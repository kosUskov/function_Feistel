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filterPrivacy="1" codeName="ЭтаКнига" defaultThemeVersion="124226"/>
  <bookViews>
    <workbookView xWindow="240" yWindow="108" windowWidth="14808" windowHeight="8016"/>
  </bookViews>
  <sheets>
    <sheet name="Выборка 1" sheetId="1" r:id="rId1"/>
    <sheet name="Выборка 3" sheetId="8" r:id="rId2"/>
    <sheet name="п1 ч1" sheetId="2" r:id="rId3"/>
    <sheet name="п1 ч2" sheetId="3" r:id="rId4"/>
    <sheet name="п1 ч3" sheetId="4" r:id="rId5"/>
    <sheet name="Анализ" sheetId="5" r:id="rId6"/>
    <sheet name="Попытка 2" sheetId="6" r:id="rId7"/>
    <sheet name="Попытка 3" sheetId="7" r:id="rId8"/>
  </sheets>
  <definedNames>
    <definedName name="_xlnm._FilterDatabase" localSheetId="0" hidden="1">'Выборка 1'!$N$2:$W$386</definedName>
    <definedName name="sum" localSheetId="7">'Попытка 3'!$B$12</definedName>
    <definedName name="xor">'Попытка 2'!$B$12</definedName>
    <definedName name="исх">'Попытка 2'!$A$1</definedName>
    <definedName name="исх2" localSheetId="7">'Попытка 3'!$A$1</definedName>
    <definedName name="ключ">'Попытка 2'!$A$3</definedName>
    <definedName name="ключ2" localSheetId="7">'Попытка 3'!$A$3</definedName>
    <definedName name="рез">'Попытка 2'!$A$2</definedName>
    <definedName name="рез2">'Попытка 3'!$A$2</definedName>
  </definedNames>
  <calcPr calcId="152511"/>
</workbook>
</file>

<file path=xl/calcChain.xml><?xml version="1.0" encoding="utf-8"?>
<calcChain xmlns="http://schemas.openxmlformats.org/spreadsheetml/2006/main">
  <c r="H554" i="1" l="1"/>
  <c r="L5" i="8" l="1"/>
  <c r="L6" i="8"/>
  <c r="M5" i="8" s="1"/>
  <c r="M6" i="8" s="1"/>
  <c r="L7" i="8"/>
  <c r="L8" i="8"/>
  <c r="M7" i="8" s="1"/>
  <c r="M8" i="8" s="1"/>
  <c r="L9" i="8"/>
  <c r="L10" i="8"/>
  <c r="M9" i="8" s="1"/>
  <c r="M10" i="8" s="1"/>
  <c r="L11" i="8"/>
  <c r="L12" i="8"/>
  <c r="M11" i="8" s="1"/>
  <c r="M12" i="8" s="1"/>
  <c r="L13" i="8"/>
  <c r="L14" i="8"/>
  <c r="M13" i="8" s="1"/>
  <c r="M14" i="8" s="1"/>
  <c r="L15" i="8"/>
  <c r="L16" i="8"/>
  <c r="M15" i="8" s="1"/>
  <c r="M16" i="8" s="1"/>
  <c r="L17" i="8"/>
  <c r="L18" i="8"/>
  <c r="M17" i="8" s="1"/>
  <c r="M18" i="8" s="1"/>
  <c r="L19" i="8"/>
  <c r="L20" i="8"/>
  <c r="M19" i="8" s="1"/>
  <c r="M20" i="8" s="1"/>
  <c r="L21" i="8"/>
  <c r="L22" i="8"/>
  <c r="M21" i="8" s="1"/>
  <c r="M22" i="8" s="1"/>
  <c r="L23" i="8"/>
  <c r="L24" i="8"/>
  <c r="M23" i="8" s="1"/>
  <c r="M24" i="8" s="1"/>
  <c r="L25" i="8"/>
  <c r="L26" i="8"/>
  <c r="M25" i="8" s="1"/>
  <c r="M26" i="8" s="1"/>
  <c r="L27" i="8"/>
  <c r="L28" i="8"/>
  <c r="M27" i="8" s="1"/>
  <c r="M28" i="8" s="1"/>
  <c r="L29" i="8"/>
  <c r="L30" i="8"/>
  <c r="M29" i="8" s="1"/>
  <c r="M30" i="8" s="1"/>
  <c r="L31" i="8"/>
  <c r="L32" i="8"/>
  <c r="M31" i="8" s="1"/>
  <c r="M32" i="8" s="1"/>
  <c r="L33" i="8"/>
  <c r="L34" i="8"/>
  <c r="M33" i="8" s="1"/>
  <c r="M34" i="8" s="1"/>
  <c r="L35" i="8"/>
  <c r="L36" i="8"/>
  <c r="M35" i="8" s="1"/>
  <c r="M36" i="8" s="1"/>
  <c r="L37" i="8"/>
  <c r="L38" i="8"/>
  <c r="M37" i="8" s="1"/>
  <c r="M38" i="8" s="1"/>
  <c r="L39" i="8"/>
  <c r="L40" i="8"/>
  <c r="M39" i="8" s="1"/>
  <c r="M40" i="8" s="1"/>
  <c r="L41" i="8"/>
  <c r="L42" i="8"/>
  <c r="M41" i="8" s="1"/>
  <c r="M42" i="8" s="1"/>
  <c r="L43" i="8"/>
  <c r="L44" i="8"/>
  <c r="M43" i="8" s="1"/>
  <c r="M44" i="8" s="1"/>
  <c r="L45" i="8"/>
  <c r="L46" i="8"/>
  <c r="M45" i="8" s="1"/>
  <c r="M46" i="8" s="1"/>
  <c r="L47" i="8"/>
  <c r="L48" i="8"/>
  <c r="M47" i="8" s="1"/>
  <c r="M48" i="8" s="1"/>
  <c r="L49" i="8"/>
  <c r="L50" i="8"/>
  <c r="M49" i="8" s="1"/>
  <c r="M50" i="8" s="1"/>
  <c r="L51" i="8"/>
  <c r="L52" i="8"/>
  <c r="M51" i="8" s="1"/>
  <c r="M52" i="8" s="1"/>
  <c r="L53" i="8"/>
  <c r="L54" i="8"/>
  <c r="M53" i="8" s="1"/>
  <c r="M54" i="8" s="1"/>
  <c r="L55" i="8"/>
  <c r="L56" i="8"/>
  <c r="M55" i="8" s="1"/>
  <c r="M56" i="8" s="1"/>
  <c r="L57" i="8"/>
  <c r="L58" i="8"/>
  <c r="M57" i="8" s="1"/>
  <c r="M58" i="8" s="1"/>
  <c r="L59" i="8"/>
  <c r="L60" i="8"/>
  <c r="M59" i="8" s="1"/>
  <c r="M60" i="8" s="1"/>
  <c r="L61" i="8"/>
  <c r="L62" i="8"/>
  <c r="M61" i="8" s="1"/>
  <c r="M62" i="8" s="1"/>
  <c r="L63" i="8"/>
  <c r="L64" i="8"/>
  <c r="M63" i="8" s="1"/>
  <c r="M64" i="8" s="1"/>
  <c r="L65" i="8"/>
  <c r="L66" i="8"/>
  <c r="M65" i="8" s="1"/>
  <c r="M66" i="8" s="1"/>
  <c r="L67" i="8"/>
  <c r="L68" i="8"/>
  <c r="M67" i="8" s="1"/>
  <c r="M68" i="8" s="1"/>
  <c r="L69" i="8"/>
  <c r="L70" i="8"/>
  <c r="M69" i="8" s="1"/>
  <c r="M70" i="8" s="1"/>
  <c r="L71" i="8"/>
  <c r="L72" i="8"/>
  <c r="M71" i="8" s="1"/>
  <c r="M72" i="8" s="1"/>
  <c r="L73" i="8"/>
  <c r="L74" i="8"/>
  <c r="M73" i="8" s="1"/>
  <c r="M74" i="8" s="1"/>
  <c r="L75" i="8"/>
  <c r="L76" i="8"/>
  <c r="M75" i="8" s="1"/>
  <c r="M76" i="8" s="1"/>
  <c r="L4" i="8"/>
  <c r="L3" i="8"/>
  <c r="M3" i="8" s="1"/>
  <c r="M4" i="8" s="1"/>
  <c r="L9" i="1"/>
  <c r="L10" i="1"/>
  <c r="M9" i="1" s="1"/>
  <c r="M10" i="1"/>
  <c r="L11" i="1"/>
  <c r="L12" i="1"/>
  <c r="M11" i="1" s="1"/>
  <c r="M12" i="1"/>
  <c r="L13" i="1"/>
  <c r="L14" i="1"/>
  <c r="M13" i="1" s="1"/>
  <c r="M14" i="1" s="1"/>
  <c r="L15" i="1"/>
  <c r="L16" i="1"/>
  <c r="M15" i="1" s="1"/>
  <c r="M16" i="1"/>
  <c r="L17" i="1"/>
  <c r="L18" i="1"/>
  <c r="M17" i="1" s="1"/>
  <c r="M18" i="1"/>
  <c r="L19" i="1"/>
  <c r="L20" i="1"/>
  <c r="M19" i="1" s="1"/>
  <c r="M20" i="1"/>
  <c r="L21" i="1"/>
  <c r="L22" i="1"/>
  <c r="M21" i="1" s="1"/>
  <c r="M22" i="1" s="1"/>
  <c r="L23" i="1"/>
  <c r="L24" i="1"/>
  <c r="M23" i="1" s="1"/>
  <c r="M24" i="1"/>
  <c r="L25" i="1"/>
  <c r="L26" i="1"/>
  <c r="M25" i="1" s="1"/>
  <c r="M26" i="1"/>
  <c r="L27" i="1"/>
  <c r="L28" i="1"/>
  <c r="M27" i="1" s="1"/>
  <c r="M28" i="1"/>
  <c r="L29" i="1"/>
  <c r="L30" i="1"/>
  <c r="M29" i="1" s="1"/>
  <c r="M30" i="1" s="1"/>
  <c r="L31" i="1"/>
  <c r="L32" i="1"/>
  <c r="M31" i="1" s="1"/>
  <c r="M32" i="1"/>
  <c r="L33" i="1"/>
  <c r="L34" i="1"/>
  <c r="M33" i="1" s="1"/>
  <c r="M34" i="1"/>
  <c r="L35" i="1"/>
  <c r="L36" i="1"/>
  <c r="M35" i="1" s="1"/>
  <c r="M36" i="1"/>
  <c r="L37" i="1"/>
  <c r="L38" i="1"/>
  <c r="M37" i="1" s="1"/>
  <c r="M38" i="1" s="1"/>
  <c r="L39" i="1"/>
  <c r="L40" i="1"/>
  <c r="M39" i="1" s="1"/>
  <c r="M40" i="1"/>
  <c r="L41" i="1"/>
  <c r="L42" i="1"/>
  <c r="M41" i="1" s="1"/>
  <c r="M42" i="1"/>
  <c r="L43" i="1"/>
  <c r="L44" i="1"/>
  <c r="M43" i="1" s="1"/>
  <c r="M44" i="1"/>
  <c r="L45" i="1"/>
  <c r="L46" i="1"/>
  <c r="M45" i="1" s="1"/>
  <c r="M46" i="1" s="1"/>
  <c r="L47" i="1"/>
  <c r="L48" i="1"/>
  <c r="M47" i="1" s="1"/>
  <c r="M48" i="1"/>
  <c r="L49" i="1"/>
  <c r="L50" i="1"/>
  <c r="M49" i="1" s="1"/>
  <c r="M50" i="1"/>
  <c r="L51" i="1"/>
  <c r="L52" i="1"/>
  <c r="M51" i="1" s="1"/>
  <c r="M52" i="1"/>
  <c r="L53" i="1"/>
  <c r="L54" i="1"/>
  <c r="M53" i="1" s="1"/>
  <c r="M54" i="1" s="1"/>
  <c r="L55" i="1"/>
  <c r="L56" i="1"/>
  <c r="M55" i="1" s="1"/>
  <c r="M56" i="1"/>
  <c r="L57" i="1"/>
  <c r="L58" i="1"/>
  <c r="M57" i="1" s="1"/>
  <c r="M58" i="1"/>
  <c r="L59" i="1"/>
  <c r="L60" i="1"/>
  <c r="M59" i="1" s="1"/>
  <c r="M60" i="1"/>
  <c r="L61" i="1"/>
  <c r="L62" i="1"/>
  <c r="M61" i="1" s="1"/>
  <c r="M62" i="1" s="1"/>
  <c r="L63" i="1"/>
  <c r="L64" i="1"/>
  <c r="M63" i="1" s="1"/>
  <c r="M64" i="1"/>
  <c r="L65" i="1"/>
  <c r="L66" i="1"/>
  <c r="M65" i="1" s="1"/>
  <c r="M66" i="1"/>
  <c r="L67" i="1"/>
  <c r="L68" i="1"/>
  <c r="M67" i="1" s="1"/>
  <c r="M68" i="1"/>
  <c r="L69" i="1"/>
  <c r="L70" i="1"/>
  <c r="M69" i="1" s="1"/>
  <c r="M70" i="1" s="1"/>
  <c r="L71" i="1"/>
  <c r="L72" i="1"/>
  <c r="M71" i="1" s="1"/>
  <c r="M72" i="1"/>
  <c r="L73" i="1"/>
  <c r="L74" i="1"/>
  <c r="M73" i="1" s="1"/>
  <c r="M74" i="1"/>
  <c r="L75" i="1"/>
  <c r="L76" i="1"/>
  <c r="M75" i="1" s="1"/>
  <c r="M76" i="1"/>
  <c r="L77" i="1"/>
  <c r="L78" i="1"/>
  <c r="M77" i="1" s="1"/>
  <c r="M78" i="1" s="1"/>
  <c r="L79" i="1"/>
  <c r="L80" i="1"/>
  <c r="M79" i="1" s="1"/>
  <c r="M80" i="1"/>
  <c r="L81" i="1"/>
  <c r="L82" i="1"/>
  <c r="M81" i="1" s="1"/>
  <c r="M82" i="1"/>
  <c r="L83" i="1"/>
  <c r="L84" i="1"/>
  <c r="M83" i="1" s="1"/>
  <c r="M84" i="1"/>
  <c r="L85" i="1"/>
  <c r="L86" i="1"/>
  <c r="M85" i="1" s="1"/>
  <c r="M86" i="1" s="1"/>
  <c r="L87" i="1"/>
  <c r="L88" i="1"/>
  <c r="M87" i="1" s="1"/>
  <c r="M88" i="1"/>
  <c r="L89" i="1"/>
  <c r="L90" i="1"/>
  <c r="M89" i="1" s="1"/>
  <c r="M90" i="1"/>
  <c r="L91" i="1"/>
  <c r="L92" i="1"/>
  <c r="M91" i="1" s="1"/>
  <c r="M92" i="1"/>
  <c r="L93" i="1"/>
  <c r="L94" i="1"/>
  <c r="M93" i="1" s="1"/>
  <c r="M94" i="1" s="1"/>
  <c r="L95" i="1"/>
  <c r="L96" i="1"/>
  <c r="M95" i="1" s="1"/>
  <c r="M96" i="1"/>
  <c r="L97" i="1"/>
  <c r="L98" i="1"/>
  <c r="M97" i="1" s="1"/>
  <c r="M98" i="1"/>
  <c r="L99" i="1"/>
  <c r="L100" i="1"/>
  <c r="M99" i="1" s="1"/>
  <c r="M100" i="1"/>
  <c r="L101" i="1"/>
  <c r="L102" i="1"/>
  <c r="M101" i="1" s="1"/>
  <c r="M102" i="1" s="1"/>
  <c r="L103" i="1"/>
  <c r="L104" i="1"/>
  <c r="M103" i="1" s="1"/>
  <c r="M104" i="1"/>
  <c r="L105" i="1"/>
  <c r="L106" i="1"/>
  <c r="M105" i="1" s="1"/>
  <c r="M106" i="1"/>
  <c r="L107" i="1"/>
  <c r="L108" i="1"/>
  <c r="M107" i="1" s="1"/>
  <c r="M108" i="1"/>
  <c r="L109" i="1"/>
  <c r="L110" i="1"/>
  <c r="M109" i="1" s="1"/>
  <c r="M110" i="1" s="1"/>
  <c r="L111" i="1"/>
  <c r="L112" i="1"/>
  <c r="M111" i="1" s="1"/>
  <c r="M112" i="1"/>
  <c r="L113" i="1"/>
  <c r="L114" i="1"/>
  <c r="M113" i="1" s="1"/>
  <c r="M114" i="1"/>
  <c r="L115" i="1"/>
  <c r="L116" i="1"/>
  <c r="M115" i="1" s="1"/>
  <c r="M116" i="1"/>
  <c r="L117" i="1"/>
  <c r="L118" i="1"/>
  <c r="M117" i="1" s="1"/>
  <c r="M118" i="1" s="1"/>
  <c r="L119" i="1"/>
  <c r="L120" i="1"/>
  <c r="M119" i="1" s="1"/>
  <c r="M120" i="1"/>
  <c r="L121" i="1"/>
  <c r="L122" i="1"/>
  <c r="M121" i="1" s="1"/>
  <c r="M122" i="1"/>
  <c r="L123" i="1"/>
  <c r="L124" i="1"/>
  <c r="M123" i="1" s="1"/>
  <c r="M124" i="1"/>
  <c r="L125" i="1"/>
  <c r="L126" i="1"/>
  <c r="M125" i="1" s="1"/>
  <c r="M126" i="1" s="1"/>
  <c r="L127" i="1"/>
  <c r="L128" i="1"/>
  <c r="M127" i="1" s="1"/>
  <c r="M128" i="1"/>
  <c r="L129" i="1"/>
  <c r="L130" i="1"/>
  <c r="M129" i="1" s="1"/>
  <c r="M130" i="1"/>
  <c r="L131" i="1"/>
  <c r="L132" i="1"/>
  <c r="M131" i="1" s="1"/>
  <c r="M132" i="1"/>
  <c r="L133" i="1"/>
  <c r="L134" i="1"/>
  <c r="M133" i="1" s="1"/>
  <c r="M134" i="1" s="1"/>
  <c r="L135" i="1"/>
  <c r="L136" i="1"/>
  <c r="M135" i="1" s="1"/>
  <c r="M136" i="1"/>
  <c r="L137" i="1"/>
  <c r="L138" i="1"/>
  <c r="M137" i="1" s="1"/>
  <c r="M138" i="1"/>
  <c r="L139" i="1"/>
  <c r="L140" i="1"/>
  <c r="M139" i="1" s="1"/>
  <c r="M140" i="1"/>
  <c r="L141" i="1"/>
  <c r="L142" i="1"/>
  <c r="M141" i="1" s="1"/>
  <c r="M142" i="1" s="1"/>
  <c r="L143" i="1"/>
  <c r="L144" i="1"/>
  <c r="M143" i="1" s="1"/>
  <c r="M144" i="1"/>
  <c r="L145" i="1"/>
  <c r="L146" i="1"/>
  <c r="M145" i="1" s="1"/>
  <c r="M146" i="1"/>
  <c r="L147" i="1"/>
  <c r="L148" i="1"/>
  <c r="M147" i="1" s="1"/>
  <c r="M148" i="1"/>
  <c r="L149" i="1"/>
  <c r="L150" i="1"/>
  <c r="M149" i="1" s="1"/>
  <c r="M150" i="1" s="1"/>
  <c r="L151" i="1"/>
  <c r="L152" i="1"/>
  <c r="M151" i="1" s="1"/>
  <c r="M152" i="1"/>
  <c r="L153" i="1"/>
  <c r="L154" i="1"/>
  <c r="M153" i="1" s="1"/>
  <c r="M154" i="1"/>
  <c r="L155" i="1"/>
  <c r="L156" i="1"/>
  <c r="M155" i="1" s="1"/>
  <c r="M156" i="1"/>
  <c r="L157" i="1"/>
  <c r="L158" i="1"/>
  <c r="M157" i="1" s="1"/>
  <c r="M158" i="1" s="1"/>
  <c r="L159" i="1"/>
  <c r="L160" i="1"/>
  <c r="M159" i="1" s="1"/>
  <c r="M160" i="1"/>
  <c r="L161" i="1"/>
  <c r="L162" i="1"/>
  <c r="M161" i="1" s="1"/>
  <c r="M162" i="1"/>
  <c r="L163" i="1"/>
  <c r="L164" i="1"/>
  <c r="M163" i="1" s="1"/>
  <c r="M164" i="1"/>
  <c r="L165" i="1"/>
  <c r="L166" i="1"/>
  <c r="M165" i="1" s="1"/>
  <c r="M166" i="1" s="1"/>
  <c r="L167" i="1"/>
  <c r="L168" i="1"/>
  <c r="M167" i="1" s="1"/>
  <c r="M168" i="1"/>
  <c r="L169" i="1"/>
  <c r="L170" i="1"/>
  <c r="M169" i="1" s="1"/>
  <c r="M170" i="1"/>
  <c r="L171" i="1"/>
  <c r="L172" i="1"/>
  <c r="M171" i="1" s="1"/>
  <c r="M172" i="1"/>
  <c r="L173" i="1"/>
  <c r="L174" i="1"/>
  <c r="M173" i="1" s="1"/>
  <c r="M174" i="1" s="1"/>
  <c r="L175" i="1"/>
  <c r="L176" i="1"/>
  <c r="M175" i="1" s="1"/>
  <c r="M176" i="1"/>
  <c r="L177" i="1"/>
  <c r="L178" i="1"/>
  <c r="M177" i="1" s="1"/>
  <c r="M178" i="1"/>
  <c r="L179" i="1"/>
  <c r="L180" i="1"/>
  <c r="M179" i="1" s="1"/>
  <c r="M180" i="1" s="1"/>
  <c r="L181" i="1"/>
  <c r="L182" i="1"/>
  <c r="M181" i="1" s="1"/>
  <c r="M182" i="1" s="1"/>
  <c r="L183" i="1"/>
  <c r="L184" i="1"/>
  <c r="M183" i="1" s="1"/>
  <c r="M184" i="1" s="1"/>
  <c r="L185" i="1"/>
  <c r="L186" i="1"/>
  <c r="M185" i="1" s="1"/>
  <c r="M186" i="1" s="1"/>
  <c r="L187" i="1"/>
  <c r="L188" i="1"/>
  <c r="M187" i="1" s="1"/>
  <c r="M188" i="1" s="1"/>
  <c r="L189" i="1"/>
  <c r="L190" i="1"/>
  <c r="M189" i="1" s="1"/>
  <c r="M190" i="1" s="1"/>
  <c r="L191" i="1"/>
  <c r="L192" i="1"/>
  <c r="M191" i="1" s="1"/>
  <c r="M192" i="1" s="1"/>
  <c r="L193" i="1"/>
  <c r="L194" i="1"/>
  <c r="M193" i="1" s="1"/>
  <c r="M194" i="1" s="1"/>
  <c r="L195" i="1"/>
  <c r="L196" i="1"/>
  <c r="M195" i="1" s="1"/>
  <c r="M196" i="1" s="1"/>
  <c r="L197" i="1"/>
  <c r="L198" i="1"/>
  <c r="M197" i="1" s="1"/>
  <c r="M198" i="1" s="1"/>
  <c r="L199" i="1"/>
  <c r="L200" i="1"/>
  <c r="M199" i="1" s="1"/>
  <c r="M200" i="1" s="1"/>
  <c r="L201" i="1"/>
  <c r="L202" i="1"/>
  <c r="M201" i="1" s="1"/>
  <c r="M202" i="1" s="1"/>
  <c r="L203" i="1"/>
  <c r="L204" i="1"/>
  <c r="M203" i="1" s="1"/>
  <c r="M204" i="1" s="1"/>
  <c r="L205" i="1"/>
  <c r="L206" i="1"/>
  <c r="M205" i="1" s="1"/>
  <c r="M206" i="1" s="1"/>
  <c r="L207" i="1"/>
  <c r="L208" i="1"/>
  <c r="M207" i="1" s="1"/>
  <c r="M208" i="1" s="1"/>
  <c r="L209" i="1"/>
  <c r="L210" i="1"/>
  <c r="M209" i="1" s="1"/>
  <c r="M210" i="1" s="1"/>
  <c r="L211" i="1"/>
  <c r="L212" i="1"/>
  <c r="M211" i="1" s="1"/>
  <c r="M212" i="1" s="1"/>
  <c r="L213" i="1"/>
  <c r="L214" i="1"/>
  <c r="M213" i="1" s="1"/>
  <c r="M214" i="1" s="1"/>
  <c r="L215" i="1"/>
  <c r="L216" i="1"/>
  <c r="M215" i="1" s="1"/>
  <c r="M216" i="1" s="1"/>
  <c r="L217" i="1"/>
  <c r="L218" i="1"/>
  <c r="M217" i="1" s="1"/>
  <c r="M218" i="1" s="1"/>
  <c r="L219" i="1"/>
  <c r="L220" i="1"/>
  <c r="M219" i="1" s="1"/>
  <c r="M220" i="1" s="1"/>
  <c r="L221" i="1"/>
  <c r="L222" i="1"/>
  <c r="M221" i="1" s="1"/>
  <c r="M222" i="1" s="1"/>
  <c r="L223" i="1"/>
  <c r="L224" i="1"/>
  <c r="M223" i="1" s="1"/>
  <c r="M224" i="1" s="1"/>
  <c r="L225" i="1"/>
  <c r="L226" i="1"/>
  <c r="M225" i="1" s="1"/>
  <c r="M226" i="1" s="1"/>
  <c r="L227" i="1"/>
  <c r="L228" i="1"/>
  <c r="M227" i="1" s="1"/>
  <c r="M228" i="1" s="1"/>
  <c r="L229" i="1"/>
  <c r="L230" i="1"/>
  <c r="M229" i="1" s="1"/>
  <c r="M230" i="1" s="1"/>
  <c r="L231" i="1"/>
  <c r="L232" i="1"/>
  <c r="M231" i="1" s="1"/>
  <c r="M232" i="1" s="1"/>
  <c r="L233" i="1"/>
  <c r="L234" i="1"/>
  <c r="M233" i="1" s="1"/>
  <c r="M234" i="1" s="1"/>
  <c r="L235" i="1"/>
  <c r="L236" i="1"/>
  <c r="M235" i="1" s="1"/>
  <c r="M236" i="1" s="1"/>
  <c r="L237" i="1"/>
  <c r="L238" i="1"/>
  <c r="M237" i="1" s="1"/>
  <c r="M238" i="1" s="1"/>
  <c r="L239" i="1"/>
  <c r="L240" i="1"/>
  <c r="M239" i="1" s="1"/>
  <c r="M240" i="1" s="1"/>
  <c r="L241" i="1"/>
  <c r="L242" i="1"/>
  <c r="M241" i="1" s="1"/>
  <c r="M242" i="1" s="1"/>
  <c r="L243" i="1"/>
  <c r="L244" i="1"/>
  <c r="M243" i="1" s="1"/>
  <c r="M244" i="1" s="1"/>
  <c r="L245" i="1"/>
  <c r="L246" i="1"/>
  <c r="M245" i="1" s="1"/>
  <c r="M246" i="1" s="1"/>
  <c r="L247" i="1"/>
  <c r="L248" i="1"/>
  <c r="M247" i="1" s="1"/>
  <c r="M248" i="1" s="1"/>
  <c r="L249" i="1"/>
  <c r="L250" i="1"/>
  <c r="M249" i="1" s="1"/>
  <c r="M250" i="1" s="1"/>
  <c r="L251" i="1"/>
  <c r="L252" i="1"/>
  <c r="M251" i="1" s="1"/>
  <c r="M252" i="1" s="1"/>
  <c r="L253" i="1"/>
  <c r="L254" i="1"/>
  <c r="M253" i="1" s="1"/>
  <c r="M254" i="1" s="1"/>
  <c r="L255" i="1"/>
  <c r="L256" i="1"/>
  <c r="M255" i="1" s="1"/>
  <c r="M256" i="1" s="1"/>
  <c r="L257" i="1"/>
  <c r="L258" i="1"/>
  <c r="M257" i="1" s="1"/>
  <c r="M258" i="1" s="1"/>
  <c r="L259" i="1"/>
  <c r="L260" i="1"/>
  <c r="M259" i="1" s="1"/>
  <c r="M260" i="1" s="1"/>
  <c r="L261" i="1"/>
  <c r="L262" i="1"/>
  <c r="M261" i="1" s="1"/>
  <c r="M262" i="1" s="1"/>
  <c r="L263" i="1"/>
  <c r="L264" i="1"/>
  <c r="M263" i="1" s="1"/>
  <c r="M264" i="1" s="1"/>
  <c r="L265" i="1"/>
  <c r="L266" i="1"/>
  <c r="M265" i="1" s="1"/>
  <c r="M266" i="1" s="1"/>
  <c r="L267" i="1"/>
  <c r="L268" i="1"/>
  <c r="M267" i="1" s="1"/>
  <c r="M268" i="1" s="1"/>
  <c r="L269" i="1"/>
  <c r="L270" i="1"/>
  <c r="M269" i="1" s="1"/>
  <c r="M270" i="1" s="1"/>
  <c r="L271" i="1"/>
  <c r="L272" i="1"/>
  <c r="M271" i="1" s="1"/>
  <c r="M272" i="1" s="1"/>
  <c r="L273" i="1"/>
  <c r="L274" i="1"/>
  <c r="M273" i="1" s="1"/>
  <c r="M274" i="1" s="1"/>
  <c r="L275" i="1"/>
  <c r="L276" i="1"/>
  <c r="M275" i="1" s="1"/>
  <c r="M276" i="1" s="1"/>
  <c r="L277" i="1"/>
  <c r="L278" i="1"/>
  <c r="M277" i="1" s="1"/>
  <c r="M278" i="1" s="1"/>
  <c r="L279" i="1"/>
  <c r="L280" i="1"/>
  <c r="M279" i="1" s="1"/>
  <c r="M280" i="1" s="1"/>
  <c r="L281" i="1"/>
  <c r="L282" i="1"/>
  <c r="M281" i="1" s="1"/>
  <c r="M282" i="1" s="1"/>
  <c r="L283" i="1"/>
  <c r="L284" i="1"/>
  <c r="M283" i="1" s="1"/>
  <c r="M284" i="1" s="1"/>
  <c r="L285" i="1"/>
  <c r="L286" i="1"/>
  <c r="M285" i="1" s="1"/>
  <c r="M286" i="1" s="1"/>
  <c r="L287" i="1"/>
  <c r="L288" i="1"/>
  <c r="M287" i="1" s="1"/>
  <c r="M288" i="1" s="1"/>
  <c r="L289" i="1"/>
  <c r="L290" i="1"/>
  <c r="M289" i="1" s="1"/>
  <c r="M290" i="1" s="1"/>
  <c r="L291" i="1"/>
  <c r="L292" i="1"/>
  <c r="M291" i="1" s="1"/>
  <c r="M292" i="1" s="1"/>
  <c r="L293" i="1"/>
  <c r="L294" i="1"/>
  <c r="M293" i="1" s="1"/>
  <c r="M294" i="1" s="1"/>
  <c r="L295" i="1"/>
  <c r="L296" i="1"/>
  <c r="M295" i="1" s="1"/>
  <c r="M296" i="1" s="1"/>
  <c r="L297" i="1"/>
  <c r="L298" i="1"/>
  <c r="M297" i="1" s="1"/>
  <c r="M298" i="1" s="1"/>
  <c r="L299" i="1"/>
  <c r="L300" i="1"/>
  <c r="M299" i="1" s="1"/>
  <c r="M300" i="1" s="1"/>
  <c r="L301" i="1"/>
  <c r="L302" i="1"/>
  <c r="M301" i="1" s="1"/>
  <c r="M302" i="1" s="1"/>
  <c r="L303" i="1"/>
  <c r="L304" i="1"/>
  <c r="M303" i="1" s="1"/>
  <c r="M304" i="1" s="1"/>
  <c r="L305" i="1"/>
  <c r="L306" i="1"/>
  <c r="M305" i="1" s="1"/>
  <c r="M306" i="1" s="1"/>
  <c r="L307" i="1"/>
  <c r="L308" i="1"/>
  <c r="M307" i="1" s="1"/>
  <c r="M308" i="1" s="1"/>
  <c r="L309" i="1"/>
  <c r="L310" i="1"/>
  <c r="M309" i="1" s="1"/>
  <c r="M310" i="1" s="1"/>
  <c r="L311" i="1"/>
  <c r="L312" i="1"/>
  <c r="M311" i="1" s="1"/>
  <c r="M312" i="1" s="1"/>
  <c r="L313" i="1"/>
  <c r="L314" i="1"/>
  <c r="M313" i="1" s="1"/>
  <c r="M314" i="1" s="1"/>
  <c r="L315" i="1"/>
  <c r="L316" i="1"/>
  <c r="M315" i="1" s="1"/>
  <c r="M316" i="1" s="1"/>
  <c r="L317" i="1"/>
  <c r="L318" i="1"/>
  <c r="M317" i="1" s="1"/>
  <c r="M318" i="1" s="1"/>
  <c r="L319" i="1"/>
  <c r="L320" i="1"/>
  <c r="M319" i="1" s="1"/>
  <c r="M320" i="1" s="1"/>
  <c r="L321" i="1"/>
  <c r="L322" i="1"/>
  <c r="M321" i="1" s="1"/>
  <c r="M322" i="1" s="1"/>
  <c r="L323" i="1"/>
  <c r="L324" i="1"/>
  <c r="M323" i="1" s="1"/>
  <c r="M324" i="1" s="1"/>
  <c r="L325" i="1"/>
  <c r="L326" i="1"/>
  <c r="M325" i="1" s="1"/>
  <c r="M326" i="1" s="1"/>
  <c r="L327" i="1"/>
  <c r="L328" i="1"/>
  <c r="M327" i="1" s="1"/>
  <c r="M328" i="1" s="1"/>
  <c r="L329" i="1"/>
  <c r="L330" i="1"/>
  <c r="M329" i="1" s="1"/>
  <c r="M330" i="1" s="1"/>
  <c r="L331" i="1"/>
  <c r="L332" i="1"/>
  <c r="M331" i="1" s="1"/>
  <c r="M332" i="1" s="1"/>
  <c r="L333" i="1"/>
  <c r="L334" i="1"/>
  <c r="M333" i="1" s="1"/>
  <c r="M334" i="1" s="1"/>
  <c r="L335" i="1"/>
  <c r="L336" i="1"/>
  <c r="M335" i="1" s="1"/>
  <c r="M336" i="1" s="1"/>
  <c r="L337" i="1"/>
  <c r="L338" i="1"/>
  <c r="M337" i="1" s="1"/>
  <c r="M338" i="1" s="1"/>
  <c r="L339" i="1"/>
  <c r="L340" i="1"/>
  <c r="M339" i="1" s="1"/>
  <c r="M340" i="1" s="1"/>
  <c r="L341" i="1"/>
  <c r="L342" i="1"/>
  <c r="M341" i="1" s="1"/>
  <c r="M342" i="1" s="1"/>
  <c r="L343" i="1"/>
  <c r="L344" i="1"/>
  <c r="M343" i="1" s="1"/>
  <c r="M344" i="1" s="1"/>
  <c r="L345" i="1"/>
  <c r="L346" i="1"/>
  <c r="M345" i="1" s="1"/>
  <c r="M346" i="1" s="1"/>
  <c r="L347" i="1"/>
  <c r="L348" i="1"/>
  <c r="M347" i="1" s="1"/>
  <c r="M348" i="1" s="1"/>
  <c r="L349" i="1"/>
  <c r="L350" i="1"/>
  <c r="M349" i="1" s="1"/>
  <c r="M350" i="1" s="1"/>
  <c r="L351" i="1"/>
  <c r="L352" i="1"/>
  <c r="M351" i="1" s="1"/>
  <c r="M352" i="1" s="1"/>
  <c r="L353" i="1"/>
  <c r="L354" i="1"/>
  <c r="M353" i="1" s="1"/>
  <c r="M354" i="1" s="1"/>
  <c r="L355" i="1"/>
  <c r="L356" i="1"/>
  <c r="M355" i="1" s="1"/>
  <c r="M356" i="1" s="1"/>
  <c r="L357" i="1"/>
  <c r="L358" i="1"/>
  <c r="M357" i="1" s="1"/>
  <c r="M358" i="1" s="1"/>
  <c r="L359" i="1"/>
  <c r="L360" i="1"/>
  <c r="M359" i="1" s="1"/>
  <c r="M360" i="1" s="1"/>
  <c r="L361" i="1"/>
  <c r="L362" i="1"/>
  <c r="M361" i="1" s="1"/>
  <c r="M362" i="1" s="1"/>
  <c r="L363" i="1"/>
  <c r="L364" i="1"/>
  <c r="M363" i="1" s="1"/>
  <c r="M364" i="1" s="1"/>
  <c r="L365" i="1"/>
  <c r="L366" i="1"/>
  <c r="M365" i="1" s="1"/>
  <c r="M366" i="1" s="1"/>
  <c r="L367" i="1"/>
  <c r="L368" i="1"/>
  <c r="M367" i="1" s="1"/>
  <c r="M368" i="1" s="1"/>
  <c r="L369" i="1"/>
  <c r="L370" i="1"/>
  <c r="M369" i="1" s="1"/>
  <c r="M370" i="1" s="1"/>
  <c r="L371" i="1"/>
  <c r="L372" i="1"/>
  <c r="M371" i="1" s="1"/>
  <c r="M372" i="1" s="1"/>
  <c r="L373" i="1"/>
  <c r="L374" i="1"/>
  <c r="M373" i="1" s="1"/>
  <c r="M374" i="1" s="1"/>
  <c r="L375" i="1"/>
  <c r="L376" i="1"/>
  <c r="M375" i="1" s="1"/>
  <c r="M376" i="1" s="1"/>
  <c r="L377" i="1"/>
  <c r="L378" i="1"/>
  <c r="M377" i="1" s="1"/>
  <c r="M378" i="1" s="1"/>
  <c r="L379" i="1"/>
  <c r="L380" i="1"/>
  <c r="M379" i="1" s="1"/>
  <c r="M380" i="1" s="1"/>
  <c r="L381" i="1"/>
  <c r="L382" i="1"/>
  <c r="M381" i="1" s="1"/>
  <c r="M382" i="1" s="1"/>
  <c r="L383" i="1"/>
  <c r="L384" i="1"/>
  <c r="M383" i="1" s="1"/>
  <c r="M384" i="1" s="1"/>
  <c r="L385" i="1"/>
  <c r="L386" i="1"/>
  <c r="M385" i="1" s="1"/>
  <c r="M386" i="1" s="1"/>
  <c r="L5" i="1"/>
  <c r="L6" i="1"/>
  <c r="M5" i="1" s="1"/>
  <c r="M6" i="1" s="1"/>
  <c r="L7" i="1"/>
  <c r="L8" i="1"/>
  <c r="M7" i="1" s="1"/>
  <c r="M8" i="1" s="1"/>
  <c r="L3" i="1"/>
  <c r="H4" i="1"/>
  <c r="M3" i="1"/>
  <c r="M4" i="1" s="1"/>
  <c r="L4" i="1"/>
  <c r="U229" i="1"/>
  <c r="L399" i="1" l="1"/>
  <c r="H13" i="8" l="1"/>
  <c r="H15" i="8"/>
  <c r="I15" i="8" s="1"/>
  <c r="J20" i="5"/>
  <c r="O2" i="5"/>
  <c r="T2" i="5"/>
  <c r="K3" i="5"/>
  <c r="K2" i="5"/>
  <c r="F3" i="5"/>
  <c r="G3" i="5" s="1"/>
  <c r="I2" i="5"/>
  <c r="G2" i="5"/>
  <c r="F2" i="5"/>
  <c r="H3" i="2"/>
  <c r="I3" i="2" s="1"/>
  <c r="K2" i="2"/>
  <c r="I2" i="2"/>
  <c r="H2" i="2"/>
  <c r="R18" i="7"/>
  <c r="O12" i="7"/>
  <c r="L12" i="7"/>
  <c r="I14" i="7"/>
  <c r="F12" i="7"/>
  <c r="C10" i="7"/>
  <c r="H32" i="8"/>
  <c r="I32" i="8" s="1"/>
  <c r="K31" i="8"/>
  <c r="H31" i="8"/>
  <c r="I31" i="8" s="1"/>
  <c r="H4" i="8"/>
  <c r="I4" i="8" s="1"/>
  <c r="K3" i="8"/>
  <c r="H3" i="8"/>
  <c r="I3" i="8" s="1"/>
  <c r="H56" i="8"/>
  <c r="I56" i="8" s="1"/>
  <c r="K55" i="8"/>
  <c r="H55" i="8"/>
  <c r="I55" i="8" s="1"/>
  <c r="H74" i="8"/>
  <c r="I74" i="8" s="1"/>
  <c r="K73" i="8"/>
  <c r="H73" i="8"/>
  <c r="I73" i="8" s="1"/>
  <c r="H72" i="8"/>
  <c r="I72" i="8" s="1"/>
  <c r="K71" i="8"/>
  <c r="H71" i="8"/>
  <c r="I71" i="8" s="1"/>
  <c r="H18" i="8"/>
  <c r="I18" i="8" s="1"/>
  <c r="K17" i="8"/>
  <c r="H17" i="8"/>
  <c r="I17" i="8" s="1"/>
  <c r="H66" i="8"/>
  <c r="I66" i="8" s="1"/>
  <c r="K65" i="8"/>
  <c r="H65" i="8"/>
  <c r="I65" i="8" s="1"/>
  <c r="H54" i="8"/>
  <c r="I54" i="8" s="1"/>
  <c r="K53" i="8"/>
  <c r="H53" i="8"/>
  <c r="I53" i="8" s="1"/>
  <c r="H52" i="8"/>
  <c r="I52" i="8" s="1"/>
  <c r="K51" i="8"/>
  <c r="H51" i="8"/>
  <c r="I51" i="8" s="1"/>
  <c r="H64" i="8"/>
  <c r="I64" i="8" s="1"/>
  <c r="K63" i="8"/>
  <c r="H63" i="8"/>
  <c r="I63" i="8" s="1"/>
  <c r="H62" i="8"/>
  <c r="I62" i="8" s="1"/>
  <c r="K61" i="8"/>
  <c r="H61" i="8"/>
  <c r="I61" i="8" s="1"/>
  <c r="H16" i="8"/>
  <c r="I16" i="8" s="1"/>
  <c r="K15" i="8"/>
  <c r="H6" i="8"/>
  <c r="I6" i="8" s="1"/>
  <c r="K5" i="8"/>
  <c r="H5" i="8"/>
  <c r="I5" i="8" s="1"/>
  <c r="H50" i="8"/>
  <c r="I50" i="8" s="1"/>
  <c r="K49" i="8"/>
  <c r="H49" i="8"/>
  <c r="I49" i="8" s="1"/>
  <c r="H48" i="8"/>
  <c r="I48" i="8" s="1"/>
  <c r="K47" i="8"/>
  <c r="H47" i="8"/>
  <c r="I47" i="8" s="1"/>
  <c r="H34" i="8"/>
  <c r="I34" i="8" s="1"/>
  <c r="K33" i="8"/>
  <c r="H33" i="8"/>
  <c r="I33" i="8" s="1"/>
  <c r="H38" i="8"/>
  <c r="I38" i="8" s="1"/>
  <c r="K37" i="8"/>
  <c r="H37" i="8"/>
  <c r="I37" i="8" s="1"/>
  <c r="H30" i="8"/>
  <c r="I30" i="8" s="1"/>
  <c r="K29" i="8"/>
  <c r="H29" i="8"/>
  <c r="I29" i="8" s="1"/>
  <c r="H76" i="8"/>
  <c r="I76" i="8" s="1"/>
  <c r="K75" i="8"/>
  <c r="H75" i="8"/>
  <c r="I75" i="8" s="1"/>
  <c r="H58" i="8"/>
  <c r="I58" i="8" s="1"/>
  <c r="K57" i="8"/>
  <c r="H57" i="8"/>
  <c r="I57" i="8" s="1"/>
  <c r="H44" i="8"/>
  <c r="I44" i="8" s="1"/>
  <c r="K43" i="8"/>
  <c r="H43" i="8"/>
  <c r="I43" i="8" s="1"/>
  <c r="H28" i="8"/>
  <c r="I28" i="8" s="1"/>
  <c r="K27" i="8"/>
  <c r="H27" i="8"/>
  <c r="I27" i="8" s="1"/>
  <c r="H14" i="8"/>
  <c r="I14" i="8" s="1"/>
  <c r="K13" i="8"/>
  <c r="I13" i="8"/>
  <c r="H12" i="8"/>
  <c r="I12" i="8" s="1"/>
  <c r="K11" i="8"/>
  <c r="H11" i="8"/>
  <c r="I11" i="8" s="1"/>
  <c r="H68" i="8"/>
  <c r="I68" i="8" s="1"/>
  <c r="K67" i="8"/>
  <c r="H67" i="8"/>
  <c r="I67" i="8" s="1"/>
  <c r="H40" i="8"/>
  <c r="I40" i="8" s="1"/>
  <c r="K39" i="8"/>
  <c r="H39" i="8"/>
  <c r="I39" i="8" s="1"/>
  <c r="H60" i="8"/>
  <c r="I60" i="8" s="1"/>
  <c r="K59" i="8"/>
  <c r="H59" i="8"/>
  <c r="I59" i="8" s="1"/>
  <c r="H24" i="8"/>
  <c r="I24" i="8" s="1"/>
  <c r="K23" i="8"/>
  <c r="H23" i="8"/>
  <c r="I23" i="8" s="1"/>
  <c r="H42" i="8"/>
  <c r="I42" i="8" s="1"/>
  <c r="K41" i="8"/>
  <c r="H41" i="8"/>
  <c r="I41" i="8" s="1"/>
  <c r="H26" i="8"/>
  <c r="I26" i="8" s="1"/>
  <c r="K25" i="8"/>
  <c r="H25" i="8"/>
  <c r="I25" i="8" s="1"/>
  <c r="H8" i="8"/>
  <c r="I8" i="8" s="1"/>
  <c r="K7" i="8"/>
  <c r="H7" i="8"/>
  <c r="I7" i="8" s="1"/>
  <c r="H22" i="8"/>
  <c r="I22" i="8" s="1"/>
  <c r="K21" i="8"/>
  <c r="H21" i="8"/>
  <c r="I21" i="8" s="1"/>
  <c r="H46" i="8"/>
  <c r="I46" i="8" s="1"/>
  <c r="K45" i="8"/>
  <c r="H45" i="8"/>
  <c r="I45" i="8" s="1"/>
  <c r="H20" i="8"/>
  <c r="I20" i="8" s="1"/>
  <c r="K19" i="8"/>
  <c r="H19" i="8"/>
  <c r="I19" i="8" s="1"/>
  <c r="H36" i="8"/>
  <c r="I36" i="8" s="1"/>
  <c r="K35" i="8"/>
  <c r="H35" i="8"/>
  <c r="I35" i="8" s="1"/>
  <c r="H70" i="8"/>
  <c r="I70" i="8" s="1"/>
  <c r="K69" i="8"/>
  <c r="H69" i="8"/>
  <c r="I69" i="8" s="1"/>
  <c r="B5" i="8"/>
  <c r="B7" i="8" s="1"/>
  <c r="B9" i="8" s="1"/>
  <c r="B11" i="8" s="1"/>
  <c r="B13" i="8" s="1"/>
  <c r="B15" i="8" s="1"/>
  <c r="B17" i="8" s="1"/>
  <c r="B19" i="8" s="1"/>
  <c r="B21" i="8" s="1"/>
  <c r="B23" i="8" s="1"/>
  <c r="B25" i="8" s="1"/>
  <c r="B27" i="8" s="1"/>
  <c r="B29" i="8" s="1"/>
  <c r="B31" i="8" s="1"/>
  <c r="B33" i="8" s="1"/>
  <c r="B35" i="8" s="1"/>
  <c r="B37" i="8" s="1"/>
  <c r="B39" i="8" s="1"/>
  <c r="B41" i="8" s="1"/>
  <c r="B43" i="8" s="1"/>
  <c r="B45" i="8" s="1"/>
  <c r="B47" i="8" s="1"/>
  <c r="B49" i="8" s="1"/>
  <c r="B51" i="8" s="1"/>
  <c r="B53" i="8" s="1"/>
  <c r="B55" i="8" s="1"/>
  <c r="B57" i="8" s="1"/>
  <c r="B59" i="8" s="1"/>
  <c r="B61" i="8" s="1"/>
  <c r="B63" i="8" s="1"/>
  <c r="B65" i="8" s="1"/>
  <c r="B67" i="8" s="1"/>
  <c r="B69" i="8" s="1"/>
  <c r="B71" i="8" s="1"/>
  <c r="B73" i="8" s="1"/>
  <c r="B75" i="8" s="1"/>
  <c r="H10" i="8"/>
  <c r="I10" i="8" s="1"/>
  <c r="K9" i="8"/>
  <c r="H9" i="8"/>
  <c r="I9" i="8" s="1"/>
  <c r="D8" i="7"/>
  <c r="D6" i="7"/>
  <c r="D4" i="7"/>
  <c r="D2" i="7"/>
  <c r="J12" i="7"/>
  <c r="G10" i="7"/>
  <c r="G8" i="7"/>
  <c r="G6" i="7"/>
  <c r="G4" i="7"/>
  <c r="G2" i="7"/>
  <c r="J10" i="7"/>
  <c r="J8" i="7"/>
  <c r="J6" i="7"/>
  <c r="J4" i="7"/>
  <c r="J2" i="7"/>
  <c r="M10" i="7"/>
  <c r="M8" i="7"/>
  <c r="M6" i="7"/>
  <c r="M4" i="7"/>
  <c r="M2" i="7"/>
  <c r="P10" i="7"/>
  <c r="P8" i="7"/>
  <c r="P6" i="7"/>
  <c r="P4" i="7"/>
  <c r="P2" i="7"/>
  <c r="S16" i="7"/>
  <c r="S14" i="7"/>
  <c r="S12" i="7"/>
  <c r="S10" i="7"/>
  <c r="S8" i="7"/>
  <c r="S6" i="7"/>
  <c r="S4" i="7"/>
  <c r="S2" i="7"/>
  <c r="C2" i="7" l="1"/>
  <c r="B21" i="6"/>
  <c r="B16" i="6"/>
  <c r="B17" i="6"/>
  <c r="B18" i="6"/>
  <c r="B19" i="6"/>
  <c r="B20" i="6"/>
  <c r="B15" i="6"/>
  <c r="R2" i="7" l="1"/>
  <c r="R3" i="7" s="1"/>
  <c r="R4" i="7" s="1"/>
  <c r="I2" i="7"/>
  <c r="I3" i="7" s="1"/>
  <c r="I4" i="7" s="1"/>
  <c r="F2" i="7"/>
  <c r="O2" i="7"/>
  <c r="O3" i="7" s="1"/>
  <c r="O4" i="7" s="1"/>
  <c r="L2" i="7"/>
  <c r="C3" i="7"/>
  <c r="C4" i="7" s="1"/>
  <c r="C5" i="7" s="1"/>
  <c r="C6" i="7" s="1"/>
  <c r="C7" i="7" s="1"/>
  <c r="C8" i="7" s="1"/>
  <c r="C9" i="7" s="1"/>
  <c r="I5" i="7" l="1"/>
  <c r="I6" i="7" s="1"/>
  <c r="I7" i="7" s="1"/>
  <c r="I8" i="7" s="1"/>
  <c r="I9" i="7" s="1"/>
  <c r="I10" i="7" s="1"/>
  <c r="I11" i="7" s="1"/>
  <c r="I12" i="7" s="1"/>
  <c r="I13" i="7" s="1"/>
  <c r="O5" i="7"/>
  <c r="O6" i="7" s="1"/>
  <c r="O7" i="7" s="1"/>
  <c r="O8" i="7" s="1"/>
  <c r="O9" i="7" s="1"/>
  <c r="O10" i="7" s="1"/>
  <c r="O11" i="7" s="1"/>
  <c r="F3" i="7"/>
  <c r="F4" i="7" s="1"/>
  <c r="F5" i="7" s="1"/>
  <c r="F6" i="7" s="1"/>
  <c r="F7" i="7" s="1"/>
  <c r="F8" i="7" s="1"/>
  <c r="F9" i="7" s="1"/>
  <c r="F10" i="7" s="1"/>
  <c r="F11" i="7" s="1"/>
  <c r="R5" i="7"/>
  <c r="L3" i="7"/>
  <c r="L4" i="7" s="1"/>
  <c r="L5" i="7" s="1"/>
  <c r="L6" i="7" s="1"/>
  <c r="L7" i="7" s="1"/>
  <c r="L8" i="7" s="1"/>
  <c r="L9" i="7" s="1"/>
  <c r="L10" i="7" s="1"/>
  <c r="L11" i="7" s="1"/>
  <c r="S4" i="6"/>
  <c r="S2" i="6"/>
  <c r="R2" i="6" s="1"/>
  <c r="R3" i="6" s="1"/>
  <c r="S16" i="6"/>
  <c r="S14" i="6"/>
  <c r="S12" i="6"/>
  <c r="S10" i="6"/>
  <c r="S8" i="6"/>
  <c r="S6" i="6"/>
  <c r="J12" i="6"/>
  <c r="J10" i="6"/>
  <c r="J8" i="6"/>
  <c r="J6" i="6"/>
  <c r="J4" i="6"/>
  <c r="J2" i="6"/>
  <c r="P10" i="6"/>
  <c r="P8" i="6"/>
  <c r="P6" i="6"/>
  <c r="P4" i="6"/>
  <c r="P2" i="6"/>
  <c r="O2" i="6" s="1"/>
  <c r="O3" i="6" s="1"/>
  <c r="M10" i="6"/>
  <c r="M8" i="6"/>
  <c r="M6" i="6"/>
  <c r="M4" i="6"/>
  <c r="M2" i="6"/>
  <c r="L2" i="6" s="1"/>
  <c r="L3" i="6" s="1"/>
  <c r="G2" i="6"/>
  <c r="F2" i="6" s="1"/>
  <c r="F3" i="6" s="1"/>
  <c r="G4" i="6"/>
  <c r="G6" i="6"/>
  <c r="G8" i="6"/>
  <c r="G10" i="6"/>
  <c r="D2" i="6"/>
  <c r="C2" i="6" s="1"/>
  <c r="D4" i="6"/>
  <c r="D6" i="6"/>
  <c r="D8" i="6"/>
  <c r="I2" i="6"/>
  <c r="I3" i="6" s="1"/>
  <c r="DX3" i="3"/>
  <c r="R6" i="7" l="1"/>
  <c r="R7" i="7" s="1"/>
  <c r="R8" i="7" s="1"/>
  <c r="R9" i="7" s="1"/>
  <c r="R10" i="7" s="1"/>
  <c r="R4" i="6"/>
  <c r="R5" i="6" s="1"/>
  <c r="I4" i="6"/>
  <c r="I5" i="6" s="1"/>
  <c r="I6" i="6" s="1"/>
  <c r="I7" i="6" s="1"/>
  <c r="I8" i="6" s="1"/>
  <c r="I9" i="6" s="1"/>
  <c r="I10" i="6" s="1"/>
  <c r="I11" i="6" s="1"/>
  <c r="I12" i="6" s="1"/>
  <c r="I13" i="6" s="1"/>
  <c r="O4" i="6"/>
  <c r="O5" i="6" s="1"/>
  <c r="O6" i="6" s="1"/>
  <c r="O7" i="6" s="1"/>
  <c r="L4" i="6"/>
  <c r="L5" i="6" s="1"/>
  <c r="L6" i="6" s="1"/>
  <c r="L7" i="6" s="1"/>
  <c r="L8" i="6" s="1"/>
  <c r="L9" i="6" s="1"/>
  <c r="L10" i="6" s="1"/>
  <c r="L11" i="6" s="1"/>
  <c r="F4" i="6"/>
  <c r="F5" i="6" s="1"/>
  <c r="F6" i="6" s="1"/>
  <c r="F7" i="6" s="1"/>
  <c r="F8" i="6" s="1"/>
  <c r="F9" i="6" s="1"/>
  <c r="F10" i="6" s="1"/>
  <c r="F11" i="6" s="1"/>
  <c r="C3" i="6"/>
  <c r="C4" i="6" s="1"/>
  <c r="C5" i="6" s="1"/>
  <c r="C6" i="6" s="1"/>
  <c r="C7" i="6" s="1"/>
  <c r="C8" i="6" s="1"/>
  <c r="C9" i="6" s="1"/>
  <c r="O78" i="1"/>
  <c r="N78" i="1"/>
  <c r="P78" i="1"/>
  <c r="O77" i="1"/>
  <c r="N77" i="1"/>
  <c r="R77" i="1" s="1"/>
  <c r="Q77" i="1"/>
  <c r="O176" i="1"/>
  <c r="N176" i="1"/>
  <c r="P176" i="1"/>
  <c r="O175" i="1"/>
  <c r="N175" i="1"/>
  <c r="Q175" i="1"/>
  <c r="Y175" i="1" s="1"/>
  <c r="O240" i="1"/>
  <c r="P239" i="1"/>
  <c r="O286" i="1"/>
  <c r="N286" i="1"/>
  <c r="P286" i="1"/>
  <c r="O285" i="1"/>
  <c r="S285" i="1" s="1"/>
  <c r="N285" i="1"/>
  <c r="R285" i="1" s="1"/>
  <c r="Q285" i="1"/>
  <c r="Y285" i="1" s="1"/>
  <c r="L2" i="2"/>
  <c r="M2" i="2" s="1"/>
  <c r="N2" i="2"/>
  <c r="O2" i="2"/>
  <c r="P2" i="2"/>
  <c r="T2" i="2" s="1"/>
  <c r="L3" i="2"/>
  <c r="O3" i="2" s="1"/>
  <c r="M3" i="2"/>
  <c r="N3" i="2"/>
  <c r="R2" i="2" s="1"/>
  <c r="P3" i="2"/>
  <c r="S1" i="5"/>
  <c r="S77" i="1" l="1"/>
  <c r="V175" i="1"/>
  <c r="W175" i="1"/>
  <c r="S2" i="2"/>
  <c r="Q2" i="2"/>
  <c r="R11" i="7"/>
  <c r="R12" i="7" s="1"/>
  <c r="O8" i="6"/>
  <c r="O9" i="6" s="1"/>
  <c r="O10" i="6" s="1"/>
  <c r="O11" i="6" s="1"/>
  <c r="R6" i="6"/>
  <c r="P77" i="1"/>
  <c r="T77" i="1" s="1"/>
  <c r="R175" i="1"/>
  <c r="Z175" i="1" s="1"/>
  <c r="S175" i="1"/>
  <c r="AA175" i="1" s="1"/>
  <c r="P175" i="1"/>
  <c r="T175" i="1" s="1"/>
  <c r="AB175" i="1" s="1"/>
  <c r="Q239" i="1"/>
  <c r="Y239" i="1" s="1"/>
  <c r="P240" i="1"/>
  <c r="T239" i="1" s="1"/>
  <c r="AB239" i="1" s="1"/>
  <c r="N239" i="1"/>
  <c r="O239" i="1"/>
  <c r="S239" i="1" s="1"/>
  <c r="N240" i="1"/>
  <c r="P285" i="1"/>
  <c r="T285" i="1" s="1"/>
  <c r="AB285" i="1" s="1"/>
  <c r="W285" i="1"/>
  <c r="AA285" i="1"/>
  <c r="U285" i="1"/>
  <c r="U239" i="1"/>
  <c r="U175" i="1"/>
  <c r="AB77" i="1"/>
  <c r="U77" i="1"/>
  <c r="Y77" i="1"/>
  <c r="V77" i="1"/>
  <c r="Z77" i="1"/>
  <c r="X77" i="1"/>
  <c r="W77" i="1"/>
  <c r="AA77" i="1"/>
  <c r="S68" i="1"/>
  <c r="R68" i="1"/>
  <c r="Q68" i="1"/>
  <c r="O68" i="1"/>
  <c r="N68" i="1"/>
  <c r="T68" i="1"/>
  <c r="S67" i="1"/>
  <c r="AA67" i="1" s="1"/>
  <c r="R67" i="1"/>
  <c r="Z67" i="1" s="1"/>
  <c r="Q67" i="1"/>
  <c r="O67" i="1"/>
  <c r="N67" i="1"/>
  <c r="V67" i="1" s="1"/>
  <c r="U67" i="1"/>
  <c r="T67" i="1"/>
  <c r="S182" i="1"/>
  <c r="T181" i="1"/>
  <c r="R120" i="1"/>
  <c r="Q120" i="1"/>
  <c r="N120" i="1"/>
  <c r="T120" i="1"/>
  <c r="S119" i="1"/>
  <c r="R119" i="1"/>
  <c r="O119" i="1"/>
  <c r="N119" i="1"/>
  <c r="V119" i="1" s="1"/>
  <c r="Q119" i="1"/>
  <c r="Y119" i="1" s="1"/>
  <c r="Q16" i="1"/>
  <c r="R16" i="1"/>
  <c r="S16" i="1"/>
  <c r="T16" i="1"/>
  <c r="N16" i="1"/>
  <c r="O16" i="1"/>
  <c r="P16" i="1"/>
  <c r="W67" i="1" l="1"/>
  <c r="Z119" i="1"/>
  <c r="Y67" i="1"/>
  <c r="R13" i="7"/>
  <c r="R14" i="7" s="1"/>
  <c r="R7" i="6"/>
  <c r="R8" i="6" s="1"/>
  <c r="R9" i="6" s="1"/>
  <c r="R10" i="6" s="1"/>
  <c r="V239" i="1"/>
  <c r="R239" i="1"/>
  <c r="Z239" i="1" s="1"/>
  <c r="Z285" i="1"/>
  <c r="V285" i="1"/>
  <c r="X285" i="1"/>
  <c r="AA239" i="1"/>
  <c r="W239" i="1"/>
  <c r="X239" i="1"/>
  <c r="X175" i="1"/>
  <c r="P67" i="1"/>
  <c r="P68" i="1"/>
  <c r="P182" i="1"/>
  <c r="T182" i="1"/>
  <c r="U181" i="1"/>
  <c r="Q181" i="1"/>
  <c r="Y181" i="1" s="1"/>
  <c r="Q182" i="1"/>
  <c r="N181" i="1"/>
  <c r="R181" i="1"/>
  <c r="Z181" i="1" s="1"/>
  <c r="N182" i="1"/>
  <c r="R182" i="1"/>
  <c r="O181" i="1"/>
  <c r="S181" i="1"/>
  <c r="AA181" i="1" s="1"/>
  <c r="O182" i="1"/>
  <c r="P181" i="1"/>
  <c r="X181" i="1" s="1"/>
  <c r="P119" i="1"/>
  <c r="T119" i="1"/>
  <c r="AB119" i="1" s="1"/>
  <c r="O120" i="1"/>
  <c r="W119" i="1" s="1"/>
  <c r="S120" i="1"/>
  <c r="AA119" i="1" s="1"/>
  <c r="U119" i="1"/>
  <c r="P120" i="1"/>
  <c r="T3" i="5"/>
  <c r="T4" i="5"/>
  <c r="T5" i="5"/>
  <c r="T6" i="5"/>
  <c r="X6" i="5" s="1"/>
  <c r="T7" i="5"/>
  <c r="T8" i="5"/>
  <c r="T9" i="5"/>
  <c r="X8" i="5" s="1"/>
  <c r="T10" i="5"/>
  <c r="X10" i="5" s="1"/>
  <c r="T11" i="5"/>
  <c r="T12" i="5"/>
  <c r="T13" i="5"/>
  <c r="X12" i="5" s="1"/>
  <c r="T14" i="5"/>
  <c r="T15" i="5"/>
  <c r="T16" i="5"/>
  <c r="X16" i="5" s="1"/>
  <c r="T17" i="5"/>
  <c r="T18" i="5"/>
  <c r="X18" i="5" s="1"/>
  <c r="T19" i="5"/>
  <c r="T20" i="5"/>
  <c r="T21" i="5"/>
  <c r="X20" i="5" s="1"/>
  <c r="T22" i="5"/>
  <c r="X22" i="5" s="1"/>
  <c r="T23" i="5"/>
  <c r="T24" i="5"/>
  <c r="T25" i="5"/>
  <c r="T26" i="5"/>
  <c r="T27" i="5"/>
  <c r="T28" i="5"/>
  <c r="X28" i="5" s="1"/>
  <c r="T29" i="5"/>
  <c r="T30" i="5"/>
  <c r="X30" i="5" s="1"/>
  <c r="T31" i="5"/>
  <c r="T32" i="5"/>
  <c r="T33" i="5"/>
  <c r="X32" i="5" s="1"/>
  <c r="T34" i="5"/>
  <c r="X34" i="5" s="1"/>
  <c r="T35" i="5"/>
  <c r="T36" i="5"/>
  <c r="T37" i="5"/>
  <c r="T38" i="5"/>
  <c r="X38" i="5" s="1"/>
  <c r="T39" i="5"/>
  <c r="T40" i="5"/>
  <c r="T41" i="5"/>
  <c r="X14" i="5"/>
  <c r="X26" i="5"/>
  <c r="X36" i="5"/>
  <c r="N4" i="5"/>
  <c r="N5" i="5"/>
  <c r="N6" i="5"/>
  <c r="N7" i="5"/>
  <c r="N8" i="5"/>
  <c r="N9" i="5"/>
  <c r="N10" i="5"/>
  <c r="N11" i="5"/>
  <c r="N12" i="5"/>
  <c r="N13" i="5"/>
  <c r="N14" i="5"/>
  <c r="N15" i="5"/>
  <c r="N16" i="5"/>
  <c r="N17" i="5"/>
  <c r="N18" i="5"/>
  <c r="N19" i="5"/>
  <c r="N20" i="5"/>
  <c r="N21" i="5"/>
  <c r="N22" i="5"/>
  <c r="N23" i="5"/>
  <c r="N24" i="5"/>
  <c r="N25" i="5"/>
  <c r="N26" i="5"/>
  <c r="N27" i="5"/>
  <c r="N28" i="5"/>
  <c r="N29" i="5"/>
  <c r="N30" i="5"/>
  <c r="N31" i="5"/>
  <c r="N32" i="5"/>
  <c r="N33" i="5"/>
  <c r="N34" i="5"/>
  <c r="N35" i="5"/>
  <c r="N36" i="5"/>
  <c r="N37" i="5"/>
  <c r="N38" i="5"/>
  <c r="N39" i="5"/>
  <c r="N40" i="5"/>
  <c r="N41" i="5"/>
  <c r="M4" i="5"/>
  <c r="M5" i="5"/>
  <c r="M6" i="5"/>
  <c r="Q6" i="5" s="1"/>
  <c r="M7" i="5"/>
  <c r="M8" i="5"/>
  <c r="M9" i="5"/>
  <c r="M10" i="5"/>
  <c r="M11" i="5"/>
  <c r="M12" i="5"/>
  <c r="M13" i="5"/>
  <c r="M14" i="5"/>
  <c r="M15" i="5"/>
  <c r="M16" i="5"/>
  <c r="M17" i="5"/>
  <c r="M18" i="5"/>
  <c r="M19" i="5"/>
  <c r="M20" i="5"/>
  <c r="M21" i="5"/>
  <c r="M22" i="5"/>
  <c r="Q22" i="5" s="1"/>
  <c r="M23" i="5"/>
  <c r="M24" i="5"/>
  <c r="M25" i="5"/>
  <c r="M26" i="5"/>
  <c r="M27" i="5"/>
  <c r="M28" i="5"/>
  <c r="M29" i="5"/>
  <c r="M30" i="5"/>
  <c r="M31" i="5"/>
  <c r="M32" i="5"/>
  <c r="M33" i="5"/>
  <c r="M34" i="5"/>
  <c r="M35" i="5"/>
  <c r="M36" i="5"/>
  <c r="M37" i="5"/>
  <c r="M38" i="5"/>
  <c r="M39" i="5"/>
  <c r="M40" i="5"/>
  <c r="M41" i="5"/>
  <c r="X24" i="5"/>
  <c r="X40" i="5"/>
  <c r="X2" i="5"/>
  <c r="V3" i="5"/>
  <c r="Z2" i="5" s="1"/>
  <c r="W3" i="5"/>
  <c r="AA2" i="5" s="1"/>
  <c r="V4" i="5"/>
  <c r="W4" i="5"/>
  <c r="AA4" i="5" s="1"/>
  <c r="V5" i="5"/>
  <c r="W5" i="5"/>
  <c r="V6" i="5"/>
  <c r="W6" i="5"/>
  <c r="AA6" i="5" s="1"/>
  <c r="V7" i="5"/>
  <c r="W7" i="5"/>
  <c r="V8" i="5"/>
  <c r="Z8" i="5" s="1"/>
  <c r="W8" i="5"/>
  <c r="AA8" i="5" s="1"/>
  <c r="V9" i="5"/>
  <c r="W9" i="5"/>
  <c r="V10" i="5"/>
  <c r="W10" i="5"/>
  <c r="AA10" i="5" s="1"/>
  <c r="V11" i="5"/>
  <c r="W11" i="5"/>
  <c r="V12" i="5"/>
  <c r="Z12" i="5" s="1"/>
  <c r="W12" i="5"/>
  <c r="V13" i="5"/>
  <c r="W13" i="5"/>
  <c r="V14" i="5"/>
  <c r="Z14" i="5" s="1"/>
  <c r="W14" i="5"/>
  <c r="AA14" i="5" s="1"/>
  <c r="V15" i="5"/>
  <c r="W15" i="5"/>
  <c r="V16" i="5"/>
  <c r="W16" i="5"/>
  <c r="AA16" i="5" s="1"/>
  <c r="V17" i="5"/>
  <c r="W17" i="5"/>
  <c r="V18" i="5"/>
  <c r="Z18" i="5" s="1"/>
  <c r="W18" i="5"/>
  <c r="V19" i="5"/>
  <c r="W19" i="5"/>
  <c r="V20" i="5"/>
  <c r="W20" i="5"/>
  <c r="AA20" i="5" s="1"/>
  <c r="V21" i="5"/>
  <c r="W21" i="5"/>
  <c r="V22" i="5"/>
  <c r="W22" i="5"/>
  <c r="AA22" i="5" s="1"/>
  <c r="V23" i="5"/>
  <c r="W23" i="5"/>
  <c r="V24" i="5"/>
  <c r="Z24" i="5" s="1"/>
  <c r="W24" i="5"/>
  <c r="AA24" i="5" s="1"/>
  <c r="V25" i="5"/>
  <c r="W25" i="5"/>
  <c r="V26" i="5"/>
  <c r="W26" i="5"/>
  <c r="AA26" i="5" s="1"/>
  <c r="V27" i="5"/>
  <c r="W27" i="5"/>
  <c r="V28" i="5"/>
  <c r="Z28" i="5" s="1"/>
  <c r="W28" i="5"/>
  <c r="V29" i="5"/>
  <c r="W29" i="5"/>
  <c r="V30" i="5"/>
  <c r="Z30" i="5" s="1"/>
  <c r="W30" i="5"/>
  <c r="AA30" i="5" s="1"/>
  <c r="V31" i="5"/>
  <c r="W31" i="5"/>
  <c r="V32" i="5"/>
  <c r="W32" i="5"/>
  <c r="AA32" i="5" s="1"/>
  <c r="V33" i="5"/>
  <c r="W33" i="5"/>
  <c r="V34" i="5"/>
  <c r="Z34" i="5" s="1"/>
  <c r="W34" i="5"/>
  <c r="V35" i="5"/>
  <c r="W35" i="5"/>
  <c r="V36" i="5"/>
  <c r="W36" i="5"/>
  <c r="AA36" i="5" s="1"/>
  <c r="V37" i="5"/>
  <c r="W37" i="5"/>
  <c r="V38" i="5"/>
  <c r="W38" i="5"/>
  <c r="AA38" i="5" s="1"/>
  <c r="V39" i="5"/>
  <c r="W39" i="5"/>
  <c r="V40" i="5"/>
  <c r="Z40" i="5" s="1"/>
  <c r="W40" i="5"/>
  <c r="AA40" i="5" s="1"/>
  <c r="V41" i="5"/>
  <c r="W41" i="5"/>
  <c r="W2" i="5"/>
  <c r="V2" i="5"/>
  <c r="U3" i="5"/>
  <c r="X4" i="5"/>
  <c r="U4" i="5"/>
  <c r="Y4" i="5" s="1"/>
  <c r="U5" i="5"/>
  <c r="U6" i="5"/>
  <c r="Y6" i="5" s="1"/>
  <c r="U7" i="5"/>
  <c r="U8" i="5"/>
  <c r="Y8" i="5" s="1"/>
  <c r="U9" i="5"/>
  <c r="U10" i="5"/>
  <c r="Y10" i="5" s="1"/>
  <c r="U11" i="5"/>
  <c r="U12" i="5"/>
  <c r="Y12" i="5" s="1"/>
  <c r="U13" i="5"/>
  <c r="U14" i="5"/>
  <c r="Y14" i="5" s="1"/>
  <c r="U15" i="5"/>
  <c r="U16" i="5"/>
  <c r="Y16" i="5" s="1"/>
  <c r="U17" i="5"/>
  <c r="U18" i="5"/>
  <c r="Y18" i="5" s="1"/>
  <c r="U19" i="5"/>
  <c r="U20" i="5"/>
  <c r="Y20" i="5" s="1"/>
  <c r="U21" i="5"/>
  <c r="U22" i="5"/>
  <c r="Y22" i="5" s="1"/>
  <c r="U23" i="5"/>
  <c r="U24" i="5"/>
  <c r="Y24" i="5" s="1"/>
  <c r="U25" i="5"/>
  <c r="U26" i="5"/>
  <c r="Y26" i="5" s="1"/>
  <c r="U27" i="5"/>
  <c r="U28" i="5"/>
  <c r="Y28" i="5" s="1"/>
  <c r="U29" i="5"/>
  <c r="U30" i="5"/>
  <c r="Y30" i="5" s="1"/>
  <c r="U31" i="5"/>
  <c r="U32" i="5"/>
  <c r="Y32" i="5" s="1"/>
  <c r="U33" i="5"/>
  <c r="U34" i="5"/>
  <c r="Y34" i="5" s="1"/>
  <c r="U35" i="5"/>
  <c r="U36" i="5"/>
  <c r="Y36" i="5" s="1"/>
  <c r="U37" i="5"/>
  <c r="U38" i="5"/>
  <c r="Y38" i="5" s="1"/>
  <c r="U39" i="5"/>
  <c r="U40" i="5"/>
  <c r="Y40" i="5" s="1"/>
  <c r="U41" i="5"/>
  <c r="U2" i="5"/>
  <c r="Y2" i="5" s="1"/>
  <c r="Z38" i="5"/>
  <c r="Z36" i="5"/>
  <c r="AA34" i="5"/>
  <c r="Z32" i="5"/>
  <c r="AA28" i="5"/>
  <c r="Z26" i="5"/>
  <c r="Z22" i="5"/>
  <c r="Z20" i="5"/>
  <c r="AA18" i="5"/>
  <c r="Z16" i="5"/>
  <c r="AA12" i="5"/>
  <c r="Z10" i="5"/>
  <c r="Z6" i="5"/>
  <c r="Z4" i="5"/>
  <c r="N3" i="4"/>
  <c r="O3" i="4"/>
  <c r="P3" i="4"/>
  <c r="N4" i="4"/>
  <c r="O4" i="4"/>
  <c r="P4" i="4"/>
  <c r="N5" i="4"/>
  <c r="O5" i="4"/>
  <c r="P5" i="4"/>
  <c r="N6" i="4"/>
  <c r="O6" i="4"/>
  <c r="P6" i="4"/>
  <c r="N7" i="4"/>
  <c r="O7" i="4"/>
  <c r="P7" i="4"/>
  <c r="N8" i="4"/>
  <c r="O8" i="4"/>
  <c r="P8" i="4"/>
  <c r="N9" i="4"/>
  <c r="O9" i="4"/>
  <c r="P9" i="4"/>
  <c r="N10" i="4"/>
  <c r="O10" i="4"/>
  <c r="P10" i="4"/>
  <c r="N11" i="4"/>
  <c r="O11" i="4"/>
  <c r="P11" i="4"/>
  <c r="N12" i="4"/>
  <c r="O12" i="4"/>
  <c r="P12" i="4"/>
  <c r="N13" i="4"/>
  <c r="O13" i="4"/>
  <c r="P13" i="4"/>
  <c r="N14" i="4"/>
  <c r="O14" i="4"/>
  <c r="P14" i="4"/>
  <c r="N15" i="4"/>
  <c r="O15" i="4"/>
  <c r="P15" i="4"/>
  <c r="N16" i="4"/>
  <c r="O16" i="4"/>
  <c r="P16" i="4"/>
  <c r="N17" i="4"/>
  <c r="O17" i="4"/>
  <c r="P17" i="4"/>
  <c r="N18" i="4"/>
  <c r="O18" i="4"/>
  <c r="P18" i="4"/>
  <c r="N19" i="4"/>
  <c r="O19" i="4"/>
  <c r="P19" i="4"/>
  <c r="N20" i="4"/>
  <c r="O20" i="4"/>
  <c r="P20" i="4"/>
  <c r="N21" i="4"/>
  <c r="O21" i="4"/>
  <c r="P21" i="4"/>
  <c r="N22" i="4"/>
  <c r="O22" i="4"/>
  <c r="P22" i="4"/>
  <c r="N23" i="4"/>
  <c r="O23" i="4"/>
  <c r="P23" i="4"/>
  <c r="N24" i="4"/>
  <c r="O24" i="4"/>
  <c r="P24" i="4"/>
  <c r="N25" i="4"/>
  <c r="O25" i="4"/>
  <c r="P25" i="4"/>
  <c r="N26" i="4"/>
  <c r="O26" i="4"/>
  <c r="P26" i="4"/>
  <c r="N27" i="4"/>
  <c r="O27" i="4"/>
  <c r="P27" i="4"/>
  <c r="N28" i="4"/>
  <c r="O28" i="4"/>
  <c r="P28" i="4"/>
  <c r="N29" i="4"/>
  <c r="O29" i="4"/>
  <c r="P29" i="4"/>
  <c r="N30" i="4"/>
  <c r="O30" i="4"/>
  <c r="P30" i="4"/>
  <c r="N31" i="4"/>
  <c r="O31" i="4"/>
  <c r="P31" i="4"/>
  <c r="N32" i="4"/>
  <c r="O32" i="4"/>
  <c r="P32" i="4"/>
  <c r="N33" i="4"/>
  <c r="O33" i="4"/>
  <c r="P33" i="4"/>
  <c r="N34" i="4"/>
  <c r="O34" i="4"/>
  <c r="P34" i="4"/>
  <c r="N35" i="4"/>
  <c r="O35" i="4"/>
  <c r="P35" i="4"/>
  <c r="N36" i="4"/>
  <c r="O36" i="4"/>
  <c r="P36" i="4"/>
  <c r="N37" i="4"/>
  <c r="O37" i="4"/>
  <c r="P37" i="4"/>
  <c r="N38" i="4"/>
  <c r="O38" i="4"/>
  <c r="P38" i="4"/>
  <c r="N39" i="4"/>
  <c r="O39" i="4"/>
  <c r="P39" i="4"/>
  <c r="N40" i="4"/>
  <c r="O40" i="4"/>
  <c r="P40" i="4"/>
  <c r="N41" i="4"/>
  <c r="O41" i="4"/>
  <c r="P41" i="4"/>
  <c r="P2" i="4"/>
  <c r="O2" i="4"/>
  <c r="N2" i="4"/>
  <c r="M3" i="4"/>
  <c r="M4" i="4"/>
  <c r="M5" i="4"/>
  <c r="M6" i="4"/>
  <c r="M7" i="4"/>
  <c r="M8" i="4"/>
  <c r="M9" i="4"/>
  <c r="M10" i="4"/>
  <c r="M11" i="4"/>
  <c r="M12" i="4"/>
  <c r="M13" i="4"/>
  <c r="M14" i="4"/>
  <c r="M15" i="4"/>
  <c r="M16" i="4"/>
  <c r="M17" i="4"/>
  <c r="M18" i="4"/>
  <c r="M19" i="4"/>
  <c r="M20" i="4"/>
  <c r="M21" i="4"/>
  <c r="M22" i="4"/>
  <c r="M23" i="4"/>
  <c r="M24" i="4"/>
  <c r="M25" i="4"/>
  <c r="M26" i="4"/>
  <c r="M27" i="4"/>
  <c r="M28" i="4"/>
  <c r="M29" i="4"/>
  <c r="M30" i="4"/>
  <c r="M31" i="4"/>
  <c r="M32" i="4"/>
  <c r="M33" i="4"/>
  <c r="M34" i="4"/>
  <c r="M35" i="4"/>
  <c r="M36" i="4"/>
  <c r="M37" i="4"/>
  <c r="M38" i="4"/>
  <c r="M39" i="4"/>
  <c r="M40" i="4"/>
  <c r="M41" i="4"/>
  <c r="M2" i="4"/>
  <c r="Q38" i="5"/>
  <c r="L4" i="5"/>
  <c r="L5" i="5"/>
  <c r="L6" i="5"/>
  <c r="P6" i="5" s="1"/>
  <c r="L7" i="5"/>
  <c r="L8" i="5"/>
  <c r="L9" i="5"/>
  <c r="L10" i="5"/>
  <c r="P10" i="5" s="1"/>
  <c r="L11" i="5"/>
  <c r="L12" i="5"/>
  <c r="L13" i="5"/>
  <c r="L14" i="5"/>
  <c r="P14" i="5" s="1"/>
  <c r="L15" i="5"/>
  <c r="L16" i="5"/>
  <c r="L17" i="5"/>
  <c r="L18" i="5"/>
  <c r="P18" i="5" s="1"/>
  <c r="L19" i="5"/>
  <c r="L20" i="5"/>
  <c r="L21" i="5"/>
  <c r="L22" i="5"/>
  <c r="L23" i="5"/>
  <c r="L24" i="5"/>
  <c r="L25" i="5"/>
  <c r="L26" i="5"/>
  <c r="P26" i="5" s="1"/>
  <c r="L27" i="5"/>
  <c r="L28" i="5"/>
  <c r="L29" i="5"/>
  <c r="L30" i="5"/>
  <c r="P30" i="5" s="1"/>
  <c r="L31" i="5"/>
  <c r="L32" i="5"/>
  <c r="L33" i="5"/>
  <c r="L34" i="5"/>
  <c r="P34" i="5" s="1"/>
  <c r="L35" i="5"/>
  <c r="L36" i="5"/>
  <c r="L37" i="5"/>
  <c r="L38" i="5"/>
  <c r="L39" i="5"/>
  <c r="L40" i="5"/>
  <c r="L41" i="5"/>
  <c r="K4" i="5"/>
  <c r="K5" i="5"/>
  <c r="K6" i="5"/>
  <c r="K7" i="5"/>
  <c r="K8" i="5"/>
  <c r="K9" i="5"/>
  <c r="K10" i="5"/>
  <c r="K11" i="5"/>
  <c r="K12" i="5"/>
  <c r="K13" i="5"/>
  <c r="K14" i="5"/>
  <c r="K15" i="5"/>
  <c r="K16" i="5"/>
  <c r="K17" i="5"/>
  <c r="K18" i="5"/>
  <c r="K19" i="5"/>
  <c r="K20" i="5"/>
  <c r="K21" i="5"/>
  <c r="K22" i="5"/>
  <c r="K23" i="5"/>
  <c r="K24" i="5"/>
  <c r="K25" i="5"/>
  <c r="K26" i="5"/>
  <c r="K27" i="5"/>
  <c r="K28" i="5"/>
  <c r="K29" i="5"/>
  <c r="K30" i="5"/>
  <c r="K31" i="5"/>
  <c r="K32" i="5"/>
  <c r="K33" i="5"/>
  <c r="K34" i="5"/>
  <c r="K35" i="5"/>
  <c r="K36" i="5"/>
  <c r="K37" i="5"/>
  <c r="K38" i="5"/>
  <c r="K39" i="5"/>
  <c r="K40" i="5"/>
  <c r="K41" i="5"/>
  <c r="P4" i="5"/>
  <c r="P8" i="5"/>
  <c r="P12" i="5"/>
  <c r="P16" i="5"/>
  <c r="P22" i="5"/>
  <c r="P36" i="5"/>
  <c r="P38" i="5"/>
  <c r="P40" i="5"/>
  <c r="P20" i="5"/>
  <c r="P28" i="5"/>
  <c r="P24" i="5"/>
  <c r="P32" i="5"/>
  <c r="F41" i="5"/>
  <c r="J41" i="5" s="1"/>
  <c r="J40" i="5"/>
  <c r="I40" i="5"/>
  <c r="F40" i="5"/>
  <c r="G40" i="5" s="1"/>
  <c r="J39" i="5"/>
  <c r="G39" i="5"/>
  <c r="F39" i="5"/>
  <c r="J38" i="5"/>
  <c r="I38" i="5"/>
  <c r="G38" i="5"/>
  <c r="F38" i="5"/>
  <c r="G37" i="5"/>
  <c r="F37" i="5"/>
  <c r="J37" i="5" s="1"/>
  <c r="I36" i="5"/>
  <c r="F36" i="5"/>
  <c r="J36" i="5" s="1"/>
  <c r="F35" i="5"/>
  <c r="I34" i="5"/>
  <c r="F34" i="5"/>
  <c r="G34" i="5" s="1"/>
  <c r="J33" i="5"/>
  <c r="F33" i="5"/>
  <c r="G33" i="5" s="1"/>
  <c r="J32" i="5"/>
  <c r="I32" i="5"/>
  <c r="F32" i="5"/>
  <c r="G32" i="5" s="1"/>
  <c r="J31" i="5"/>
  <c r="G31" i="5"/>
  <c r="F31" i="5"/>
  <c r="J30" i="5"/>
  <c r="I30" i="5"/>
  <c r="G30" i="5"/>
  <c r="F30" i="5"/>
  <c r="F29" i="5"/>
  <c r="J29" i="5" s="1"/>
  <c r="I28" i="5"/>
  <c r="G28" i="5"/>
  <c r="F28" i="5"/>
  <c r="J28" i="5" s="1"/>
  <c r="F27" i="5"/>
  <c r="I26" i="5"/>
  <c r="F26" i="5"/>
  <c r="G26" i="5" s="1"/>
  <c r="J25" i="5"/>
  <c r="F25" i="5"/>
  <c r="G25" i="5" s="1"/>
  <c r="J24" i="5"/>
  <c r="I24" i="5"/>
  <c r="F24" i="5"/>
  <c r="G24" i="5" s="1"/>
  <c r="J23" i="5"/>
  <c r="G23" i="5"/>
  <c r="F23" i="5"/>
  <c r="J22" i="5"/>
  <c r="I22" i="5"/>
  <c r="G22" i="5"/>
  <c r="F22" i="5"/>
  <c r="G21" i="5"/>
  <c r="F21" i="5"/>
  <c r="J21" i="5" s="1"/>
  <c r="I20" i="5"/>
  <c r="F20" i="5"/>
  <c r="F19" i="5"/>
  <c r="J18" i="5"/>
  <c r="I18" i="5"/>
  <c r="F18" i="5"/>
  <c r="G18" i="5" s="1"/>
  <c r="J17" i="5"/>
  <c r="F17" i="5"/>
  <c r="G17" i="5" s="1"/>
  <c r="J16" i="5"/>
  <c r="I16" i="5"/>
  <c r="F16" i="5"/>
  <c r="G16" i="5" s="1"/>
  <c r="J15" i="5"/>
  <c r="G15" i="5"/>
  <c r="F15" i="5"/>
  <c r="J14" i="5"/>
  <c r="I14" i="5"/>
  <c r="G14" i="5"/>
  <c r="F14" i="5"/>
  <c r="F13" i="5"/>
  <c r="J13" i="5" s="1"/>
  <c r="I12" i="5"/>
  <c r="G12" i="5"/>
  <c r="F12" i="5"/>
  <c r="J12" i="5" s="1"/>
  <c r="F11" i="5"/>
  <c r="J10" i="5"/>
  <c r="I10" i="5"/>
  <c r="F10" i="5"/>
  <c r="G10" i="5" s="1"/>
  <c r="J9" i="5"/>
  <c r="F9" i="5"/>
  <c r="G9" i="5" s="1"/>
  <c r="J8" i="5"/>
  <c r="I8" i="5"/>
  <c r="F8" i="5"/>
  <c r="G8" i="5" s="1"/>
  <c r="J7" i="5"/>
  <c r="G7" i="5"/>
  <c r="F7" i="5"/>
  <c r="J6" i="5"/>
  <c r="I6" i="5"/>
  <c r="G6" i="5"/>
  <c r="F6" i="5"/>
  <c r="G5" i="5"/>
  <c r="F5" i="5"/>
  <c r="J5" i="5" s="1"/>
  <c r="I4" i="5"/>
  <c r="G4" i="5"/>
  <c r="F4" i="5"/>
  <c r="J4" i="5" s="1"/>
  <c r="J3" i="5"/>
  <c r="W181" i="1" l="1"/>
  <c r="V181" i="1"/>
  <c r="L3" i="5"/>
  <c r="M3" i="5"/>
  <c r="N3" i="5"/>
  <c r="R15" i="7"/>
  <c r="R16" i="7" s="1"/>
  <c r="R17" i="7" s="1"/>
  <c r="R11" i="6"/>
  <c r="R12" i="6" s="1"/>
  <c r="X67" i="1"/>
  <c r="X119" i="1"/>
  <c r="R32" i="5"/>
  <c r="Q8" i="5"/>
  <c r="Q14" i="5"/>
  <c r="R16" i="5"/>
  <c r="O28" i="5"/>
  <c r="O38" i="5"/>
  <c r="J2" i="5"/>
  <c r="O4" i="5"/>
  <c r="R4" i="5"/>
  <c r="O14" i="5"/>
  <c r="O16" i="5"/>
  <c r="J19" i="5"/>
  <c r="G19" i="5"/>
  <c r="G20" i="5"/>
  <c r="O22" i="5"/>
  <c r="J26" i="5"/>
  <c r="R28" i="5"/>
  <c r="G29" i="5"/>
  <c r="Q32" i="5"/>
  <c r="O36" i="5"/>
  <c r="Q40" i="5"/>
  <c r="O6" i="5"/>
  <c r="O8" i="5"/>
  <c r="Q4" i="5"/>
  <c r="R8" i="5"/>
  <c r="O12" i="5"/>
  <c r="O24" i="5"/>
  <c r="R24" i="5"/>
  <c r="J27" i="5"/>
  <c r="G27" i="5"/>
  <c r="J34" i="5"/>
  <c r="Q36" i="5"/>
  <c r="J11" i="5"/>
  <c r="G11" i="5"/>
  <c r="Q20" i="5"/>
  <c r="R12" i="5"/>
  <c r="Q12" i="5"/>
  <c r="G13" i="5"/>
  <c r="Q16" i="5"/>
  <c r="O20" i="5"/>
  <c r="Q24" i="5"/>
  <c r="O30" i="5"/>
  <c r="Q30" i="5"/>
  <c r="O32" i="5"/>
  <c r="J35" i="5"/>
  <c r="G35" i="5"/>
  <c r="G36" i="5"/>
  <c r="R6" i="5"/>
  <c r="R14" i="5"/>
  <c r="R22" i="5"/>
  <c r="R30" i="5"/>
  <c r="R38" i="5"/>
  <c r="G41" i="5"/>
  <c r="LT4" i="4"/>
  <c r="LT5" i="4"/>
  <c r="LT6" i="4"/>
  <c r="LT7" i="4"/>
  <c r="LT8" i="4"/>
  <c r="LT9" i="4"/>
  <c r="LT10" i="4"/>
  <c r="LT11" i="4"/>
  <c r="LT12" i="4"/>
  <c r="LT13" i="4"/>
  <c r="LT14" i="4"/>
  <c r="LT15" i="4"/>
  <c r="LT16" i="4"/>
  <c r="LT17" i="4"/>
  <c r="LT18" i="4"/>
  <c r="LT19" i="4"/>
  <c r="LT20" i="4"/>
  <c r="LT21" i="4"/>
  <c r="LT22" i="4"/>
  <c r="LT23" i="4"/>
  <c r="LT24" i="4"/>
  <c r="LT25" i="4"/>
  <c r="LT26" i="4"/>
  <c r="LT27" i="4"/>
  <c r="LT28" i="4"/>
  <c r="LT29" i="4"/>
  <c r="LT30" i="4"/>
  <c r="LT31" i="4"/>
  <c r="LT32" i="4"/>
  <c r="LT33" i="4"/>
  <c r="LT34" i="4"/>
  <c r="LT35" i="4"/>
  <c r="LT36" i="4"/>
  <c r="LT37" i="4"/>
  <c r="LT38" i="4"/>
  <c r="LT39" i="4"/>
  <c r="LT40" i="4"/>
  <c r="LT41" i="4"/>
  <c r="LT3" i="4"/>
  <c r="JN4" i="4"/>
  <c r="JN5" i="4"/>
  <c r="JN6" i="4"/>
  <c r="JO6" i="4" s="1"/>
  <c r="JN7" i="4"/>
  <c r="JN8" i="4"/>
  <c r="JN9" i="4"/>
  <c r="JN10" i="4"/>
  <c r="JN11" i="4"/>
  <c r="JN12" i="4"/>
  <c r="JN13" i="4"/>
  <c r="JN14" i="4"/>
  <c r="JN15" i="4"/>
  <c r="JN16" i="4"/>
  <c r="JN17" i="4"/>
  <c r="JN18" i="4"/>
  <c r="JR18" i="4" s="1"/>
  <c r="JN19" i="4"/>
  <c r="JN20" i="4"/>
  <c r="KM20" i="4" s="1"/>
  <c r="JN21" i="4"/>
  <c r="JN22" i="4"/>
  <c r="KM22" i="4" s="1"/>
  <c r="JN23" i="4"/>
  <c r="JN24" i="4"/>
  <c r="JP24" i="4" s="1"/>
  <c r="JN25" i="4"/>
  <c r="JN26" i="4"/>
  <c r="JN27" i="4"/>
  <c r="JN28" i="4"/>
  <c r="JN29" i="4"/>
  <c r="JN30" i="4"/>
  <c r="JR30" i="4" s="1"/>
  <c r="JN31" i="4"/>
  <c r="JN32" i="4"/>
  <c r="JN33" i="4"/>
  <c r="JN34" i="4"/>
  <c r="KM34" i="4" s="1"/>
  <c r="JN35" i="4"/>
  <c r="JN36" i="4"/>
  <c r="JN37" i="4"/>
  <c r="JN38" i="4"/>
  <c r="JR38" i="4" s="1"/>
  <c r="JN39" i="4"/>
  <c r="JN40" i="4"/>
  <c r="JN41" i="4"/>
  <c r="LT2" i="4"/>
  <c r="KQ4" i="4"/>
  <c r="KQ5" i="4"/>
  <c r="KQ6" i="4"/>
  <c r="KR6" i="4" s="1"/>
  <c r="KQ7" i="4"/>
  <c r="KQ8" i="4"/>
  <c r="KQ9" i="4"/>
  <c r="KQ10" i="4"/>
  <c r="KQ11" i="4"/>
  <c r="KQ12" i="4"/>
  <c r="KQ13" i="4"/>
  <c r="KQ14" i="4"/>
  <c r="KQ15" i="4"/>
  <c r="KQ16" i="4"/>
  <c r="KQ17" i="4"/>
  <c r="KQ18" i="4"/>
  <c r="KQ19" i="4"/>
  <c r="KQ20" i="4"/>
  <c r="KQ21" i="4"/>
  <c r="KQ22" i="4"/>
  <c r="KQ23" i="4"/>
  <c r="KQ24" i="4"/>
  <c r="KQ25" i="4"/>
  <c r="KQ26" i="4"/>
  <c r="LQ26" i="4" s="1"/>
  <c r="KQ27" i="4"/>
  <c r="KQ28" i="4"/>
  <c r="KQ29" i="4"/>
  <c r="KQ30" i="4"/>
  <c r="LQ30" i="4" s="1"/>
  <c r="KQ31" i="4"/>
  <c r="KQ32" i="4"/>
  <c r="KQ33" i="4"/>
  <c r="KQ34" i="4"/>
  <c r="KS34" i="4" s="1"/>
  <c r="KQ35" i="4"/>
  <c r="KQ36" i="4"/>
  <c r="KQ37" i="4"/>
  <c r="KQ38" i="4"/>
  <c r="KT38" i="4" s="1"/>
  <c r="KQ39" i="4"/>
  <c r="KQ40" i="4"/>
  <c r="LP40" i="4" s="1"/>
  <c r="KQ41" i="4"/>
  <c r="KQ3" i="4"/>
  <c r="KQ2" i="4"/>
  <c r="KN8" i="4"/>
  <c r="JR28" i="4"/>
  <c r="JQ32" i="4"/>
  <c r="JN2" i="4"/>
  <c r="DX19" i="4"/>
  <c r="AO19" i="4"/>
  <c r="DX18" i="4"/>
  <c r="BR18" i="4"/>
  <c r="JQ17" i="4"/>
  <c r="FB17" i="4"/>
  <c r="DX17" i="4"/>
  <c r="AO17" i="4"/>
  <c r="DX16" i="4"/>
  <c r="BR16" i="4"/>
  <c r="DX15" i="4"/>
  <c r="AO15" i="4"/>
  <c r="DX14" i="4"/>
  <c r="BR14" i="4"/>
  <c r="JR13" i="4"/>
  <c r="FB13" i="4"/>
  <c r="DX13" i="4"/>
  <c r="AO13" i="4"/>
  <c r="DX12" i="4"/>
  <c r="BR12" i="4"/>
  <c r="DX11" i="4"/>
  <c r="AO11" i="4"/>
  <c r="DX10" i="4"/>
  <c r="BR10" i="4"/>
  <c r="KN2" i="4"/>
  <c r="KP2" i="4" s="1"/>
  <c r="JN3" i="4"/>
  <c r="IK4" i="4"/>
  <c r="IK5" i="4"/>
  <c r="IN5" i="4" s="1"/>
  <c r="IK6" i="4"/>
  <c r="JJ6" i="4" s="1"/>
  <c r="IK7" i="4"/>
  <c r="IN7" i="4" s="1"/>
  <c r="IK8" i="4"/>
  <c r="IK9" i="4"/>
  <c r="IK11" i="4"/>
  <c r="IK13" i="4"/>
  <c r="JK13" i="4" s="1"/>
  <c r="IK15" i="4"/>
  <c r="IK17" i="4"/>
  <c r="IK19" i="4"/>
  <c r="IK20" i="4"/>
  <c r="IK21" i="4"/>
  <c r="IN21" i="4" s="1"/>
  <c r="IK22" i="4"/>
  <c r="IM22" i="4" s="1"/>
  <c r="IK23" i="4"/>
  <c r="IK24" i="4"/>
  <c r="IK25" i="4"/>
  <c r="IK26" i="4"/>
  <c r="IO26" i="4" s="1"/>
  <c r="IK27" i="4"/>
  <c r="IK28" i="4"/>
  <c r="IK29" i="4"/>
  <c r="IK30" i="4"/>
  <c r="IO30" i="4" s="1"/>
  <c r="IK31" i="4"/>
  <c r="IK32" i="4"/>
  <c r="IK33" i="4"/>
  <c r="IK34" i="4"/>
  <c r="IK35" i="4"/>
  <c r="IK36" i="4"/>
  <c r="IK37" i="4"/>
  <c r="IK38" i="4"/>
  <c r="IO38" i="4" s="1"/>
  <c r="IK39" i="4"/>
  <c r="IK40" i="4"/>
  <c r="IK41" i="4"/>
  <c r="JJ41" i="4" s="1"/>
  <c r="IK3" i="4"/>
  <c r="IK2" i="4"/>
  <c r="MJ41" i="4"/>
  <c r="MI41" i="4"/>
  <c r="MH41" i="4"/>
  <c r="MG41" i="4"/>
  <c r="MF41" i="4"/>
  <c r="ME41" i="4"/>
  <c r="MD41" i="4"/>
  <c r="MC41" i="4"/>
  <c r="LG41" i="4"/>
  <c r="LF41" i="4"/>
  <c r="LE41" i="4"/>
  <c r="LD41" i="4"/>
  <c r="LC41" i="4"/>
  <c r="LB41" i="4"/>
  <c r="LA41" i="4"/>
  <c r="KZ41" i="4"/>
  <c r="KD41" i="4"/>
  <c r="KC41" i="4"/>
  <c r="KB41" i="4"/>
  <c r="KA41" i="4"/>
  <c r="JZ41" i="4"/>
  <c r="JY41" i="4"/>
  <c r="JX41" i="4"/>
  <c r="JW41" i="4"/>
  <c r="JA41" i="4"/>
  <c r="IZ41" i="4"/>
  <c r="IY41" i="4"/>
  <c r="IX41" i="4"/>
  <c r="IW41" i="4"/>
  <c r="IV41" i="4"/>
  <c r="IU41" i="4"/>
  <c r="IT41" i="4"/>
  <c r="IO41" i="4"/>
  <c r="IL41" i="4"/>
  <c r="MT40" i="4"/>
  <c r="MS40" i="4"/>
  <c r="MJ40" i="4"/>
  <c r="MR40" i="4" s="1"/>
  <c r="MI40" i="4"/>
  <c r="MQ40" i="4" s="1"/>
  <c r="MH40" i="4"/>
  <c r="MP40" i="4" s="1"/>
  <c r="MG40" i="4"/>
  <c r="MO40" i="4" s="1"/>
  <c r="MF40" i="4"/>
  <c r="MN40" i="4" s="1"/>
  <c r="ME40" i="4"/>
  <c r="MM40" i="4" s="1"/>
  <c r="MD40" i="4"/>
  <c r="ML40" i="4" s="1"/>
  <c r="MC40" i="4"/>
  <c r="MK40" i="4" s="1"/>
  <c r="LW40" i="4"/>
  <c r="LV40" i="4"/>
  <c r="LU40" i="4"/>
  <c r="LX40" i="4"/>
  <c r="LQ40" i="4"/>
  <c r="LJ40" i="4"/>
  <c r="LI40" i="4"/>
  <c r="LG40" i="4"/>
  <c r="LO40" i="4" s="1"/>
  <c r="LF40" i="4"/>
  <c r="LN40" i="4" s="1"/>
  <c r="LE40" i="4"/>
  <c r="LM40" i="4" s="1"/>
  <c r="LD40" i="4"/>
  <c r="LL40" i="4" s="1"/>
  <c r="LC40" i="4"/>
  <c r="LK40" i="4" s="1"/>
  <c r="LB40" i="4"/>
  <c r="LA40" i="4"/>
  <c r="KZ40" i="4"/>
  <c r="LH40" i="4" s="1"/>
  <c r="KT40" i="4"/>
  <c r="KS40" i="4"/>
  <c r="KL40" i="4"/>
  <c r="KG40" i="4"/>
  <c r="KD40" i="4"/>
  <c r="KC40" i="4"/>
  <c r="KK40" i="4" s="1"/>
  <c r="KB40" i="4"/>
  <c r="KA40" i="4"/>
  <c r="JZ40" i="4"/>
  <c r="KH40" i="4" s="1"/>
  <c r="JY40" i="4"/>
  <c r="JX40" i="4"/>
  <c r="JW40" i="4"/>
  <c r="JF40" i="4"/>
  <c r="JA40" i="4"/>
  <c r="IZ40" i="4"/>
  <c r="JH40" i="4" s="1"/>
  <c r="IY40" i="4"/>
  <c r="JG40" i="4" s="1"/>
  <c r="IX40" i="4"/>
  <c r="IW40" i="4"/>
  <c r="IV40" i="4"/>
  <c r="JD40" i="4" s="1"/>
  <c r="IU40" i="4"/>
  <c r="JC40" i="4" s="1"/>
  <c r="IT40" i="4"/>
  <c r="JB40" i="4" s="1"/>
  <c r="MJ39" i="4"/>
  <c r="MI39" i="4"/>
  <c r="MH39" i="4"/>
  <c r="MG39" i="4"/>
  <c r="MF39" i="4"/>
  <c r="ME39" i="4"/>
  <c r="MD39" i="4"/>
  <c r="MC39" i="4"/>
  <c r="LG39" i="4"/>
  <c r="LF39" i="4"/>
  <c r="LE39" i="4"/>
  <c r="LD39" i="4"/>
  <c r="LC39" i="4"/>
  <c r="LB39" i="4"/>
  <c r="LA39" i="4"/>
  <c r="KZ39" i="4"/>
  <c r="KD39" i="4"/>
  <c r="KC39" i="4"/>
  <c r="KB39" i="4"/>
  <c r="KA39" i="4"/>
  <c r="JZ39" i="4"/>
  <c r="JY39" i="4"/>
  <c r="JX39" i="4"/>
  <c r="JW39" i="4"/>
  <c r="JA39" i="4"/>
  <c r="IZ39" i="4"/>
  <c r="IY39" i="4"/>
  <c r="IX39" i="4"/>
  <c r="IW39" i="4"/>
  <c r="IV39" i="4"/>
  <c r="IU39" i="4"/>
  <c r="IT39" i="4"/>
  <c r="MT38" i="4"/>
  <c r="MS38" i="4"/>
  <c r="MP38" i="4"/>
  <c r="MJ38" i="4"/>
  <c r="MR38" i="4" s="1"/>
  <c r="MI38" i="4"/>
  <c r="MQ38" i="4" s="1"/>
  <c r="MH38" i="4"/>
  <c r="MG38" i="4"/>
  <c r="MO38" i="4" s="1"/>
  <c r="MF38" i="4"/>
  <c r="MN38" i="4" s="1"/>
  <c r="ME38" i="4"/>
  <c r="MM38" i="4" s="1"/>
  <c r="MD38" i="4"/>
  <c r="ML38" i="4" s="1"/>
  <c r="MC38" i="4"/>
  <c r="MK38" i="4" s="1"/>
  <c r="LW38" i="4"/>
  <c r="LV38" i="4"/>
  <c r="LU38" i="4"/>
  <c r="LX38" i="4"/>
  <c r="LN38" i="4"/>
  <c r="LM38" i="4"/>
  <c r="LI38" i="4"/>
  <c r="LG38" i="4"/>
  <c r="LO38" i="4" s="1"/>
  <c r="LF38" i="4"/>
  <c r="LE38" i="4"/>
  <c r="LD38" i="4"/>
  <c r="LL38" i="4" s="1"/>
  <c r="LC38" i="4"/>
  <c r="LK38" i="4" s="1"/>
  <c r="LB38" i="4"/>
  <c r="LJ38" i="4" s="1"/>
  <c r="LA38" i="4"/>
  <c r="KZ38" i="4"/>
  <c r="LH38" i="4" s="1"/>
  <c r="KU38" i="4"/>
  <c r="KK38" i="4"/>
  <c r="KI38" i="4"/>
  <c r="KD38" i="4"/>
  <c r="KL38" i="4" s="1"/>
  <c r="KC38" i="4"/>
  <c r="KB38" i="4"/>
  <c r="KJ38" i="4" s="1"/>
  <c r="KA38" i="4"/>
  <c r="JZ38" i="4"/>
  <c r="KH38" i="4" s="1"/>
  <c r="JY38" i="4"/>
  <c r="KG38" i="4" s="1"/>
  <c r="JX38" i="4"/>
  <c r="KF38" i="4" s="1"/>
  <c r="JW38" i="4"/>
  <c r="KE38" i="4" s="1"/>
  <c r="JG38" i="4"/>
  <c r="JA38" i="4"/>
  <c r="JI38" i="4" s="1"/>
  <c r="IZ38" i="4"/>
  <c r="JH38" i="4" s="1"/>
  <c r="IY38" i="4"/>
  <c r="IX38" i="4"/>
  <c r="JF38" i="4" s="1"/>
  <c r="IW38" i="4"/>
  <c r="JE38" i="4" s="1"/>
  <c r="IV38" i="4"/>
  <c r="JD38" i="4" s="1"/>
  <c r="IU38" i="4"/>
  <c r="JC38" i="4" s="1"/>
  <c r="IT38" i="4"/>
  <c r="JB38" i="4" s="1"/>
  <c r="IN38" i="4"/>
  <c r="MJ37" i="4"/>
  <c r="MI37" i="4"/>
  <c r="MH37" i="4"/>
  <c r="MG37" i="4"/>
  <c r="MF37" i="4"/>
  <c r="ME37" i="4"/>
  <c r="MD37" i="4"/>
  <c r="MC37" i="4"/>
  <c r="LG37" i="4"/>
  <c r="LF37" i="4"/>
  <c r="LE37" i="4"/>
  <c r="LD37" i="4"/>
  <c r="LC37" i="4"/>
  <c r="LB37" i="4"/>
  <c r="LA37" i="4"/>
  <c r="KZ37" i="4"/>
  <c r="KD37" i="4"/>
  <c r="KC37" i="4"/>
  <c r="KK36" i="4" s="1"/>
  <c r="KB37" i="4"/>
  <c r="KA37" i="4"/>
  <c r="JZ37" i="4"/>
  <c r="JY37" i="4"/>
  <c r="KG36" i="4" s="1"/>
  <c r="JX37" i="4"/>
  <c r="JW37" i="4"/>
  <c r="JA37" i="4"/>
  <c r="IZ37" i="4"/>
  <c r="IY37" i="4"/>
  <c r="IX37" i="4"/>
  <c r="IW37" i="4"/>
  <c r="IV37" i="4"/>
  <c r="IU37" i="4"/>
  <c r="IT37" i="4"/>
  <c r="MT36" i="4"/>
  <c r="MS36" i="4"/>
  <c r="MQ36" i="4"/>
  <c r="MP36" i="4"/>
  <c r="MJ36" i="4"/>
  <c r="MI36" i="4"/>
  <c r="MH36" i="4"/>
  <c r="MG36" i="4"/>
  <c r="MO36" i="4" s="1"/>
  <c r="MF36" i="4"/>
  <c r="ME36" i="4"/>
  <c r="MM36" i="4" s="1"/>
  <c r="MD36" i="4"/>
  <c r="ML36" i="4" s="1"/>
  <c r="MC36" i="4"/>
  <c r="MK36" i="4" s="1"/>
  <c r="LW36" i="4"/>
  <c r="LV36" i="4"/>
  <c r="LU36" i="4"/>
  <c r="LX36" i="4"/>
  <c r="LO36" i="4"/>
  <c r="LN36" i="4"/>
  <c r="LJ36" i="4"/>
  <c r="LI36" i="4"/>
  <c r="LG36" i="4"/>
  <c r="LF36" i="4"/>
  <c r="LE36" i="4"/>
  <c r="LM36" i="4" s="1"/>
  <c r="LD36" i="4"/>
  <c r="LL36" i="4" s="1"/>
  <c r="LC36" i="4"/>
  <c r="LK36" i="4" s="1"/>
  <c r="LB36" i="4"/>
  <c r="LA36" i="4"/>
  <c r="KZ36" i="4"/>
  <c r="LH36" i="4" s="1"/>
  <c r="KL36" i="4"/>
  <c r="KD36" i="4"/>
  <c r="KC36" i="4"/>
  <c r="KB36" i="4"/>
  <c r="KJ36" i="4" s="1"/>
  <c r="KA36" i="4"/>
  <c r="KI36" i="4" s="1"/>
  <c r="JZ36" i="4"/>
  <c r="KH36" i="4" s="1"/>
  <c r="JY36" i="4"/>
  <c r="JX36" i="4"/>
  <c r="KF36" i="4" s="1"/>
  <c r="JW36" i="4"/>
  <c r="KE36" i="4" s="1"/>
  <c r="JI36" i="4"/>
  <c r="JA36" i="4"/>
  <c r="IZ36" i="4"/>
  <c r="JH36" i="4" s="1"/>
  <c r="IY36" i="4"/>
  <c r="JG36" i="4" s="1"/>
  <c r="IX36" i="4"/>
  <c r="JF36" i="4" s="1"/>
  <c r="IW36" i="4"/>
  <c r="JE36" i="4" s="1"/>
  <c r="IV36" i="4"/>
  <c r="JD36" i="4" s="1"/>
  <c r="IU36" i="4"/>
  <c r="JC36" i="4" s="1"/>
  <c r="IT36" i="4"/>
  <c r="JB36" i="4" s="1"/>
  <c r="MJ35" i="4"/>
  <c r="MI35" i="4"/>
  <c r="MH35" i="4"/>
  <c r="MG35" i="4"/>
  <c r="MO34" i="4" s="1"/>
  <c r="MF35" i="4"/>
  <c r="ME35" i="4"/>
  <c r="MD35" i="4"/>
  <c r="MC35" i="4"/>
  <c r="LG35" i="4"/>
  <c r="LF35" i="4"/>
  <c r="LE35" i="4"/>
  <c r="LD35" i="4"/>
  <c r="LC35" i="4"/>
  <c r="LB35" i="4"/>
  <c r="LA35" i="4"/>
  <c r="KZ35" i="4"/>
  <c r="KD35" i="4"/>
  <c r="KC35" i="4"/>
  <c r="KB35" i="4"/>
  <c r="KA35" i="4"/>
  <c r="JZ35" i="4"/>
  <c r="JY35" i="4"/>
  <c r="JX35" i="4"/>
  <c r="JW35" i="4"/>
  <c r="JA35" i="4"/>
  <c r="IZ35" i="4"/>
  <c r="IY35" i="4"/>
  <c r="IX35" i="4"/>
  <c r="IW35" i="4"/>
  <c r="IV35" i="4"/>
  <c r="IU35" i="4"/>
  <c r="IT35" i="4"/>
  <c r="MS34" i="4"/>
  <c r="MN34" i="4"/>
  <c r="MJ34" i="4"/>
  <c r="MR34" i="4" s="1"/>
  <c r="MI34" i="4"/>
  <c r="MQ34" i="4" s="1"/>
  <c r="MH34" i="4"/>
  <c r="MP34" i="4" s="1"/>
  <c r="MG34" i="4"/>
  <c r="MF34" i="4"/>
  <c r="ME34" i="4"/>
  <c r="MM34" i="4" s="1"/>
  <c r="MD34" i="4"/>
  <c r="ML34" i="4" s="1"/>
  <c r="MC34" i="4"/>
  <c r="MK34" i="4" s="1"/>
  <c r="LX34" i="4"/>
  <c r="LU34" i="4"/>
  <c r="LG34" i="4"/>
  <c r="LO34" i="4" s="1"/>
  <c r="LF34" i="4"/>
  <c r="LE34" i="4"/>
  <c r="LM34" i="4" s="1"/>
  <c r="LD34" i="4"/>
  <c r="LL34" i="4" s="1"/>
  <c r="LC34" i="4"/>
  <c r="LK34" i="4" s="1"/>
  <c r="LB34" i="4"/>
  <c r="LA34" i="4"/>
  <c r="LI34" i="4" s="1"/>
  <c r="KZ34" i="4"/>
  <c r="LH34" i="4" s="1"/>
  <c r="KT34" i="4"/>
  <c r="KN34" i="4"/>
  <c r="KK34" i="4"/>
  <c r="KG34" i="4"/>
  <c r="KF34" i="4"/>
  <c r="KD34" i="4"/>
  <c r="KL34" i="4" s="1"/>
  <c r="KC34" i="4"/>
  <c r="KB34" i="4"/>
  <c r="KJ34" i="4" s="1"/>
  <c r="KA34" i="4"/>
  <c r="KI34" i="4" s="1"/>
  <c r="JZ34" i="4"/>
  <c r="KH34" i="4" s="1"/>
  <c r="JY34" i="4"/>
  <c r="JX34" i="4"/>
  <c r="JW34" i="4"/>
  <c r="KE34" i="4" s="1"/>
  <c r="JQ34" i="4"/>
  <c r="JD34" i="4"/>
  <c r="JA34" i="4"/>
  <c r="JI34" i="4" s="1"/>
  <c r="IZ34" i="4"/>
  <c r="JH34" i="4" s="1"/>
  <c r="IY34" i="4"/>
  <c r="JG34" i="4" s="1"/>
  <c r="IX34" i="4"/>
  <c r="JF34" i="4" s="1"/>
  <c r="IW34" i="4"/>
  <c r="JE34" i="4" s="1"/>
  <c r="IV34" i="4"/>
  <c r="IU34" i="4"/>
  <c r="JC34" i="4" s="1"/>
  <c r="IT34" i="4"/>
  <c r="JB34" i="4" s="1"/>
  <c r="MJ33" i="4"/>
  <c r="MI33" i="4"/>
  <c r="MH33" i="4"/>
  <c r="MG33" i="4"/>
  <c r="MF33" i="4"/>
  <c r="ME33" i="4"/>
  <c r="MD33" i="4"/>
  <c r="MC33" i="4"/>
  <c r="LG33" i="4"/>
  <c r="LF33" i="4"/>
  <c r="LE33" i="4"/>
  <c r="LD33" i="4"/>
  <c r="LC33" i="4"/>
  <c r="LB33" i="4"/>
  <c r="LA33" i="4"/>
  <c r="KZ33" i="4"/>
  <c r="KM33" i="4"/>
  <c r="KD33" i="4"/>
  <c r="KC33" i="4"/>
  <c r="KB33" i="4"/>
  <c r="KA33" i="4"/>
  <c r="JZ33" i="4"/>
  <c r="JY33" i="4"/>
  <c r="JX33" i="4"/>
  <c r="JW33" i="4"/>
  <c r="JA33" i="4"/>
  <c r="IZ33" i="4"/>
  <c r="IY33" i="4"/>
  <c r="IX33" i="4"/>
  <c r="IW33" i="4"/>
  <c r="IV33" i="4"/>
  <c r="IU33" i="4"/>
  <c r="IT33" i="4"/>
  <c r="IO33" i="4"/>
  <c r="IN33" i="4"/>
  <c r="MT32" i="4"/>
  <c r="MO32" i="4"/>
  <c r="MJ32" i="4"/>
  <c r="MR32" i="4" s="1"/>
  <c r="MI32" i="4"/>
  <c r="MH32" i="4"/>
  <c r="MG32" i="4"/>
  <c r="MF32" i="4"/>
  <c r="MN32" i="4" s="1"/>
  <c r="ME32" i="4"/>
  <c r="MM32" i="4" s="1"/>
  <c r="MD32" i="4"/>
  <c r="MC32" i="4"/>
  <c r="MK32" i="4" s="1"/>
  <c r="LV32" i="4"/>
  <c r="LU32" i="4"/>
  <c r="MS32" i="4"/>
  <c r="LQ32" i="4"/>
  <c r="LP32" i="4"/>
  <c r="LG32" i="4"/>
  <c r="LO32" i="4" s="1"/>
  <c r="LF32" i="4"/>
  <c r="LN32" i="4" s="1"/>
  <c r="LE32" i="4"/>
  <c r="LM32" i="4" s="1"/>
  <c r="LD32" i="4"/>
  <c r="LL32" i="4" s="1"/>
  <c r="LC32" i="4"/>
  <c r="LK32" i="4" s="1"/>
  <c r="LB32" i="4"/>
  <c r="LJ32" i="4" s="1"/>
  <c r="LA32" i="4"/>
  <c r="LI32" i="4" s="1"/>
  <c r="KZ32" i="4"/>
  <c r="LH32" i="4" s="1"/>
  <c r="KT32" i="4"/>
  <c r="KS32" i="4"/>
  <c r="KR32" i="4"/>
  <c r="KU32" i="4"/>
  <c r="KD32" i="4"/>
  <c r="KL32" i="4" s="1"/>
  <c r="KC32" i="4"/>
  <c r="KK32" i="4" s="1"/>
  <c r="KB32" i="4"/>
  <c r="KJ32" i="4" s="1"/>
  <c r="KA32" i="4"/>
  <c r="JZ32" i="4"/>
  <c r="KH32" i="4" s="1"/>
  <c r="JY32" i="4"/>
  <c r="KG32" i="4" s="1"/>
  <c r="JX32" i="4"/>
  <c r="KF32" i="4" s="1"/>
  <c r="JW32" i="4"/>
  <c r="JI32" i="4"/>
  <c r="JE32" i="4"/>
  <c r="JA32" i="4"/>
  <c r="IZ32" i="4"/>
  <c r="JH32" i="4" s="1"/>
  <c r="IY32" i="4"/>
  <c r="JG32" i="4" s="1"/>
  <c r="IX32" i="4"/>
  <c r="JF32" i="4" s="1"/>
  <c r="IW32" i="4"/>
  <c r="IV32" i="4"/>
  <c r="JD32" i="4" s="1"/>
  <c r="IU32" i="4"/>
  <c r="JC32" i="4" s="1"/>
  <c r="IT32" i="4"/>
  <c r="JB32" i="4" s="1"/>
  <c r="MJ31" i="4"/>
  <c r="MI31" i="4"/>
  <c r="MH31" i="4"/>
  <c r="MG31" i="4"/>
  <c r="MF31" i="4"/>
  <c r="ME31" i="4"/>
  <c r="MD31" i="4"/>
  <c r="MC31" i="4"/>
  <c r="LG31" i="4"/>
  <c r="LF31" i="4"/>
  <c r="LE31" i="4"/>
  <c r="LD31" i="4"/>
  <c r="LC31" i="4"/>
  <c r="LB31" i="4"/>
  <c r="LA31" i="4"/>
  <c r="KZ31" i="4"/>
  <c r="KD31" i="4"/>
  <c r="KC31" i="4"/>
  <c r="KB31" i="4"/>
  <c r="KA31" i="4"/>
  <c r="JZ31" i="4"/>
  <c r="JY31" i="4"/>
  <c r="JX31" i="4"/>
  <c r="JW31" i="4"/>
  <c r="JA31" i="4"/>
  <c r="IZ31" i="4"/>
  <c r="IY31" i="4"/>
  <c r="IX31" i="4"/>
  <c r="IW31" i="4"/>
  <c r="IV31" i="4"/>
  <c r="IU31" i="4"/>
  <c r="IT31" i="4"/>
  <c r="MT30" i="4"/>
  <c r="MS30" i="4"/>
  <c r="MO30" i="4"/>
  <c r="MJ30" i="4"/>
  <c r="MR30" i="4" s="1"/>
  <c r="MI30" i="4"/>
  <c r="MQ30" i="4" s="1"/>
  <c r="MH30" i="4"/>
  <c r="MP30" i="4" s="1"/>
  <c r="MG30" i="4"/>
  <c r="MF30" i="4"/>
  <c r="MN30" i="4" s="1"/>
  <c r="ME30" i="4"/>
  <c r="MM30" i="4" s="1"/>
  <c r="MD30" i="4"/>
  <c r="ML30" i="4" s="1"/>
  <c r="MC30" i="4"/>
  <c r="MK30" i="4" s="1"/>
  <c r="LV30" i="4"/>
  <c r="LU30" i="4"/>
  <c r="LX30" i="4"/>
  <c r="LM30" i="4"/>
  <c r="LG30" i="4"/>
  <c r="LO30" i="4" s="1"/>
  <c r="LF30" i="4"/>
  <c r="LN30" i="4" s="1"/>
  <c r="LE30" i="4"/>
  <c r="LD30" i="4"/>
  <c r="LL30" i="4" s="1"/>
  <c r="LC30" i="4"/>
  <c r="LK30" i="4" s="1"/>
  <c r="LB30" i="4"/>
  <c r="LJ30" i="4" s="1"/>
  <c r="LA30" i="4"/>
  <c r="LI30" i="4" s="1"/>
  <c r="KZ30" i="4"/>
  <c r="LH30" i="4" s="1"/>
  <c r="KT30" i="4"/>
  <c r="KU30" i="4"/>
  <c r="KH30" i="4"/>
  <c r="KD30" i="4"/>
  <c r="KL30" i="4" s="1"/>
  <c r="KC30" i="4"/>
  <c r="KK30" i="4" s="1"/>
  <c r="KB30" i="4"/>
  <c r="KJ30" i="4" s="1"/>
  <c r="KA30" i="4"/>
  <c r="JZ30" i="4"/>
  <c r="JY30" i="4"/>
  <c r="KG30" i="4" s="1"/>
  <c r="JX30" i="4"/>
  <c r="KF30" i="4" s="1"/>
  <c r="JW30" i="4"/>
  <c r="JJ30" i="4"/>
  <c r="JE30" i="4"/>
  <c r="JA30" i="4"/>
  <c r="JI30" i="4" s="1"/>
  <c r="IZ30" i="4"/>
  <c r="JH30" i="4" s="1"/>
  <c r="IY30" i="4"/>
  <c r="JG30" i="4" s="1"/>
  <c r="IX30" i="4"/>
  <c r="JF30" i="4" s="1"/>
  <c r="IW30" i="4"/>
  <c r="IV30" i="4"/>
  <c r="JD30" i="4" s="1"/>
  <c r="IU30" i="4"/>
  <c r="JC30" i="4" s="1"/>
  <c r="IT30" i="4"/>
  <c r="JB30" i="4" s="1"/>
  <c r="IL30" i="4"/>
  <c r="MJ29" i="4"/>
  <c r="MI29" i="4"/>
  <c r="MH29" i="4"/>
  <c r="MG29" i="4"/>
  <c r="MF29" i="4"/>
  <c r="ME29" i="4"/>
  <c r="MD29" i="4"/>
  <c r="MC29" i="4"/>
  <c r="LG29" i="4"/>
  <c r="LF29" i="4"/>
  <c r="LE29" i="4"/>
  <c r="LD29" i="4"/>
  <c r="LC29" i="4"/>
  <c r="LB29" i="4"/>
  <c r="LA29" i="4"/>
  <c r="KZ29" i="4"/>
  <c r="KD29" i="4"/>
  <c r="KC29" i="4"/>
  <c r="KB29" i="4"/>
  <c r="KA29" i="4"/>
  <c r="JZ29" i="4"/>
  <c r="JY29" i="4"/>
  <c r="JX29" i="4"/>
  <c r="JW29" i="4"/>
  <c r="JA29" i="4"/>
  <c r="IZ29" i="4"/>
  <c r="IY29" i="4"/>
  <c r="IX29" i="4"/>
  <c r="IW29" i="4"/>
  <c r="IV29" i="4"/>
  <c r="IU29" i="4"/>
  <c r="IT29" i="4"/>
  <c r="MT28" i="4"/>
  <c r="MS28" i="4"/>
  <c r="MO28" i="4"/>
  <c r="MJ28" i="4"/>
  <c r="MR28" i="4" s="1"/>
  <c r="MI28" i="4"/>
  <c r="MH28" i="4"/>
  <c r="MP28" i="4" s="1"/>
  <c r="MG28" i="4"/>
  <c r="MF28" i="4"/>
  <c r="MN28" i="4" s="1"/>
  <c r="ME28" i="4"/>
  <c r="MD28" i="4"/>
  <c r="ML28" i="4" s="1"/>
  <c r="MC28" i="4"/>
  <c r="MK28" i="4" s="1"/>
  <c r="LV28" i="4"/>
  <c r="LU28" i="4"/>
  <c r="LX28" i="4"/>
  <c r="LQ28" i="4"/>
  <c r="LP28" i="4"/>
  <c r="LG28" i="4"/>
  <c r="LO28" i="4" s="1"/>
  <c r="LF28" i="4"/>
  <c r="LN28" i="4" s="1"/>
  <c r="LE28" i="4"/>
  <c r="LM28" i="4" s="1"/>
  <c r="LD28" i="4"/>
  <c r="LL28" i="4" s="1"/>
  <c r="LC28" i="4"/>
  <c r="LK28" i="4" s="1"/>
  <c r="LB28" i="4"/>
  <c r="LJ28" i="4" s="1"/>
  <c r="LA28" i="4"/>
  <c r="LI28" i="4" s="1"/>
  <c r="KZ28" i="4"/>
  <c r="LH28" i="4" s="1"/>
  <c r="KT28" i="4"/>
  <c r="KS28" i="4"/>
  <c r="KR28" i="4"/>
  <c r="KU28" i="4"/>
  <c r="KH28" i="4"/>
  <c r="KD28" i="4"/>
  <c r="KL28" i="4" s="1"/>
  <c r="KC28" i="4"/>
  <c r="KK28" i="4" s="1"/>
  <c r="KB28" i="4"/>
  <c r="KJ28" i="4" s="1"/>
  <c r="KA28" i="4"/>
  <c r="KI28" i="4" s="1"/>
  <c r="JZ28" i="4"/>
  <c r="JY28" i="4"/>
  <c r="KG28" i="4" s="1"/>
  <c r="JX28" i="4"/>
  <c r="KF28" i="4" s="1"/>
  <c r="JW28" i="4"/>
  <c r="KE28" i="4" s="1"/>
  <c r="JQ28" i="4"/>
  <c r="JJ28" i="4"/>
  <c r="JE28" i="4"/>
  <c r="JA28" i="4"/>
  <c r="JI28" i="4" s="1"/>
  <c r="IZ28" i="4"/>
  <c r="JH28" i="4" s="1"/>
  <c r="IY28" i="4"/>
  <c r="JG28" i="4" s="1"/>
  <c r="IX28" i="4"/>
  <c r="JF28" i="4" s="1"/>
  <c r="IW28" i="4"/>
  <c r="IV28" i="4"/>
  <c r="JD28" i="4" s="1"/>
  <c r="IU28" i="4"/>
  <c r="JC28" i="4" s="1"/>
  <c r="IT28" i="4"/>
  <c r="JB28" i="4" s="1"/>
  <c r="IO28" i="4"/>
  <c r="IL28" i="4"/>
  <c r="MJ27" i="4"/>
  <c r="MI27" i="4"/>
  <c r="MH27" i="4"/>
  <c r="MG27" i="4"/>
  <c r="MF27" i="4"/>
  <c r="ME27" i="4"/>
  <c r="MD27" i="4"/>
  <c r="MC27" i="4"/>
  <c r="LG27" i="4"/>
  <c r="LF27" i="4"/>
  <c r="LE27" i="4"/>
  <c r="LD27" i="4"/>
  <c r="LC27" i="4"/>
  <c r="LB27" i="4"/>
  <c r="LA27" i="4"/>
  <c r="KZ27" i="4"/>
  <c r="KD27" i="4"/>
  <c r="KC27" i="4"/>
  <c r="KB27" i="4"/>
  <c r="KA27" i="4"/>
  <c r="JZ27" i="4"/>
  <c r="JY27" i="4"/>
  <c r="JX27" i="4"/>
  <c r="JW27" i="4"/>
  <c r="JA27" i="4"/>
  <c r="IZ27" i="4"/>
  <c r="IY27" i="4"/>
  <c r="IX27" i="4"/>
  <c r="IW27" i="4"/>
  <c r="IV27" i="4"/>
  <c r="IU27" i="4"/>
  <c r="IT27" i="4"/>
  <c r="MT26" i="4"/>
  <c r="MS26" i="4"/>
  <c r="MJ26" i="4"/>
  <c r="MR26" i="4" s="1"/>
  <c r="MI26" i="4"/>
  <c r="MQ26" i="4" s="1"/>
  <c r="MH26" i="4"/>
  <c r="MP26" i="4" s="1"/>
  <c r="MG26" i="4"/>
  <c r="MO26" i="4" s="1"/>
  <c r="MF26" i="4"/>
  <c r="MN26" i="4" s="1"/>
  <c r="ME26" i="4"/>
  <c r="MM26" i="4" s="1"/>
  <c r="MD26" i="4"/>
  <c r="ML26" i="4" s="1"/>
  <c r="MC26" i="4"/>
  <c r="MK26" i="4" s="1"/>
  <c r="LV26" i="4"/>
  <c r="LU26" i="4"/>
  <c r="LX26" i="4"/>
  <c r="LM26" i="4"/>
  <c r="LI26" i="4"/>
  <c r="LG26" i="4"/>
  <c r="LO26" i="4" s="1"/>
  <c r="LF26" i="4"/>
  <c r="LN26" i="4" s="1"/>
  <c r="LE26" i="4"/>
  <c r="LD26" i="4"/>
  <c r="LL26" i="4" s="1"/>
  <c r="LC26" i="4"/>
  <c r="LK26" i="4" s="1"/>
  <c r="LB26" i="4"/>
  <c r="LJ26" i="4" s="1"/>
  <c r="LA26" i="4"/>
  <c r="KZ26" i="4"/>
  <c r="LH26" i="4" s="1"/>
  <c r="KR26" i="4"/>
  <c r="KU26" i="4"/>
  <c r="KH26" i="4"/>
  <c r="KG26" i="4"/>
  <c r="KD26" i="4"/>
  <c r="KL26" i="4" s="1"/>
  <c r="KC26" i="4"/>
  <c r="KK26" i="4" s="1"/>
  <c r="KB26" i="4"/>
  <c r="KJ26" i="4" s="1"/>
  <c r="KA26" i="4"/>
  <c r="KI26" i="4" s="1"/>
  <c r="JZ26" i="4"/>
  <c r="JY26" i="4"/>
  <c r="JX26" i="4"/>
  <c r="KF26" i="4" s="1"/>
  <c r="JW26" i="4"/>
  <c r="KE26" i="4" s="1"/>
  <c r="JR26" i="4"/>
  <c r="JQ26" i="4"/>
  <c r="JI26" i="4"/>
  <c r="JE26" i="4"/>
  <c r="JA26" i="4"/>
  <c r="IZ26" i="4"/>
  <c r="JH26" i="4" s="1"/>
  <c r="IY26" i="4"/>
  <c r="JG26" i="4" s="1"/>
  <c r="IX26" i="4"/>
  <c r="JF26" i="4" s="1"/>
  <c r="IW26" i="4"/>
  <c r="IV26" i="4"/>
  <c r="JD26" i="4" s="1"/>
  <c r="IU26" i="4"/>
  <c r="JC26" i="4" s="1"/>
  <c r="IT26" i="4"/>
  <c r="JB26" i="4" s="1"/>
  <c r="MJ25" i="4"/>
  <c r="MI25" i="4"/>
  <c r="MH25" i="4"/>
  <c r="MG25" i="4"/>
  <c r="MF25" i="4"/>
  <c r="ME25" i="4"/>
  <c r="MD25" i="4"/>
  <c r="MC25" i="4"/>
  <c r="LG25" i="4"/>
  <c r="LF25" i="4"/>
  <c r="LE25" i="4"/>
  <c r="LM24" i="4" s="1"/>
  <c r="LD25" i="4"/>
  <c r="LC25" i="4"/>
  <c r="LB25" i="4"/>
  <c r="LA25" i="4"/>
  <c r="KZ25" i="4"/>
  <c r="KD25" i="4"/>
  <c r="KC25" i="4"/>
  <c r="KB25" i="4"/>
  <c r="KA25" i="4"/>
  <c r="JZ25" i="4"/>
  <c r="JY25" i="4"/>
  <c r="JX25" i="4"/>
  <c r="JW25" i="4"/>
  <c r="JA25" i="4"/>
  <c r="IZ25" i="4"/>
  <c r="IY25" i="4"/>
  <c r="IX25" i="4"/>
  <c r="IW25" i="4"/>
  <c r="IV25" i="4"/>
  <c r="IU25" i="4"/>
  <c r="IT25" i="4"/>
  <c r="MT24" i="4"/>
  <c r="MS24" i="4"/>
  <c r="ML24" i="4"/>
  <c r="MJ24" i="4"/>
  <c r="MR24" i="4" s="1"/>
  <c r="MI24" i="4"/>
  <c r="MH24" i="4"/>
  <c r="MP24" i="4" s="1"/>
  <c r="MG24" i="4"/>
  <c r="MO24" i="4" s="1"/>
  <c r="MF24" i="4"/>
  <c r="MN24" i="4" s="1"/>
  <c r="ME24" i="4"/>
  <c r="MD24" i="4"/>
  <c r="MC24" i="4"/>
  <c r="MK24" i="4" s="1"/>
  <c r="LV24" i="4"/>
  <c r="LU24" i="4"/>
  <c r="LX24" i="4"/>
  <c r="LQ24" i="4"/>
  <c r="LP24" i="4"/>
  <c r="LJ24" i="4"/>
  <c r="LG24" i="4"/>
  <c r="LO24" i="4" s="1"/>
  <c r="LF24" i="4"/>
  <c r="LE24" i="4"/>
  <c r="LD24" i="4"/>
  <c r="LL24" i="4" s="1"/>
  <c r="LC24" i="4"/>
  <c r="LK24" i="4" s="1"/>
  <c r="LB24" i="4"/>
  <c r="LA24" i="4"/>
  <c r="KZ24" i="4"/>
  <c r="LH24" i="4" s="1"/>
  <c r="KT24" i="4"/>
  <c r="KS24" i="4"/>
  <c r="KR24" i="4"/>
  <c r="KU24" i="4"/>
  <c r="KN24" i="4"/>
  <c r="KJ24" i="4"/>
  <c r="KH24" i="4"/>
  <c r="KF24" i="4"/>
  <c r="KD24" i="4"/>
  <c r="KL24" i="4" s="1"/>
  <c r="KC24" i="4"/>
  <c r="KK24" i="4" s="1"/>
  <c r="KB24" i="4"/>
  <c r="KA24" i="4"/>
  <c r="JZ24" i="4"/>
  <c r="JY24" i="4"/>
  <c r="KG24" i="4" s="1"/>
  <c r="JX24" i="4"/>
  <c r="JW24" i="4"/>
  <c r="JR24" i="4"/>
  <c r="JQ24" i="4"/>
  <c r="JJ24" i="4"/>
  <c r="JF24" i="4"/>
  <c r="JE24" i="4"/>
  <c r="JA24" i="4"/>
  <c r="JI24" i="4" s="1"/>
  <c r="IZ24" i="4"/>
  <c r="JH24" i="4" s="1"/>
  <c r="IY24" i="4"/>
  <c r="JG24" i="4" s="1"/>
  <c r="IX24" i="4"/>
  <c r="IW24" i="4"/>
  <c r="IV24" i="4"/>
  <c r="JD24" i="4" s="1"/>
  <c r="IU24" i="4"/>
  <c r="JC24" i="4" s="1"/>
  <c r="IT24" i="4"/>
  <c r="JB24" i="4" s="1"/>
  <c r="IO24" i="4"/>
  <c r="IN24" i="4"/>
  <c r="IL24" i="4"/>
  <c r="MJ23" i="4"/>
  <c r="MI23" i="4"/>
  <c r="MH23" i="4"/>
  <c r="MG23" i="4"/>
  <c r="MF23" i="4"/>
  <c r="ME23" i="4"/>
  <c r="MD23" i="4"/>
  <c r="MC23" i="4"/>
  <c r="LG23" i="4"/>
  <c r="LF23" i="4"/>
  <c r="LE23" i="4"/>
  <c r="LD23" i="4"/>
  <c r="LC23" i="4"/>
  <c r="LB23" i="4"/>
  <c r="LA23" i="4"/>
  <c r="KZ23" i="4"/>
  <c r="KD23" i="4"/>
  <c r="KC23" i="4"/>
  <c r="KB23" i="4"/>
  <c r="KA23" i="4"/>
  <c r="JZ23" i="4"/>
  <c r="JY23" i="4"/>
  <c r="JX23" i="4"/>
  <c r="JW23" i="4"/>
  <c r="JA23" i="4"/>
  <c r="IZ23" i="4"/>
  <c r="IY23" i="4"/>
  <c r="IX23" i="4"/>
  <c r="IW23" i="4"/>
  <c r="IV23" i="4"/>
  <c r="IU23" i="4"/>
  <c r="IT23" i="4"/>
  <c r="MR22" i="4"/>
  <c r="MP22" i="4"/>
  <c r="MJ22" i="4"/>
  <c r="MI22" i="4"/>
  <c r="MH22" i="4"/>
  <c r="MG22" i="4"/>
  <c r="MO22" i="4" s="1"/>
  <c r="MF22" i="4"/>
  <c r="MN22" i="4" s="1"/>
  <c r="ME22" i="4"/>
  <c r="MM22" i="4" s="1"/>
  <c r="MD22" i="4"/>
  <c r="ML22" i="4" s="1"/>
  <c r="MC22" i="4"/>
  <c r="MK22" i="4" s="1"/>
  <c r="LW22" i="4"/>
  <c r="LV22" i="4"/>
  <c r="LO22" i="4"/>
  <c r="LK22" i="4"/>
  <c r="LG22" i="4"/>
  <c r="LF22" i="4"/>
  <c r="LN22" i="4" s="1"/>
  <c r="LE22" i="4"/>
  <c r="LM22" i="4" s="1"/>
  <c r="LD22" i="4"/>
  <c r="LL22" i="4" s="1"/>
  <c r="LC22" i="4"/>
  <c r="LB22" i="4"/>
  <c r="LJ22" i="4" s="1"/>
  <c r="LA22" i="4"/>
  <c r="LI22" i="4" s="1"/>
  <c r="KZ22" i="4"/>
  <c r="LH22" i="4" s="1"/>
  <c r="KU22" i="4"/>
  <c r="KD22" i="4"/>
  <c r="KL22" i="4" s="1"/>
  <c r="KC22" i="4"/>
  <c r="KK22" i="4" s="1"/>
  <c r="KB22" i="4"/>
  <c r="KA22" i="4"/>
  <c r="KI22" i="4" s="1"/>
  <c r="JZ22" i="4"/>
  <c r="KH22" i="4" s="1"/>
  <c r="JY22" i="4"/>
  <c r="KG22" i="4" s="1"/>
  <c r="JX22" i="4"/>
  <c r="KF22" i="4" s="1"/>
  <c r="JW22" i="4"/>
  <c r="KE22" i="4" s="1"/>
  <c r="JO22" i="4"/>
  <c r="JR22" i="4"/>
  <c r="JJ22" i="4"/>
  <c r="JA22" i="4"/>
  <c r="JI22" i="4" s="1"/>
  <c r="IZ22" i="4"/>
  <c r="JH22" i="4" s="1"/>
  <c r="IY22" i="4"/>
  <c r="JG22" i="4" s="1"/>
  <c r="IX22" i="4"/>
  <c r="JF22" i="4" s="1"/>
  <c r="IW22" i="4"/>
  <c r="JE22" i="4" s="1"/>
  <c r="IV22" i="4"/>
  <c r="JD22" i="4" s="1"/>
  <c r="IU22" i="4"/>
  <c r="JC22" i="4" s="1"/>
  <c r="IT22" i="4"/>
  <c r="JB22" i="4" s="1"/>
  <c r="IN22" i="4"/>
  <c r="IO22" i="4"/>
  <c r="MJ21" i="4"/>
  <c r="MI21" i="4"/>
  <c r="MH21" i="4"/>
  <c r="MG21" i="4"/>
  <c r="MF21" i="4"/>
  <c r="ME21" i="4"/>
  <c r="MD21" i="4"/>
  <c r="MC21" i="4"/>
  <c r="LG21" i="4"/>
  <c r="LF21" i="4"/>
  <c r="LE21" i="4"/>
  <c r="LD21" i="4"/>
  <c r="LC21" i="4"/>
  <c r="LB21" i="4"/>
  <c r="LA21" i="4"/>
  <c r="KZ21" i="4"/>
  <c r="KD21" i="4"/>
  <c r="KC21" i="4"/>
  <c r="KB21" i="4"/>
  <c r="KA21" i="4"/>
  <c r="JZ21" i="4"/>
  <c r="JY21" i="4"/>
  <c r="JX21" i="4"/>
  <c r="JW21" i="4"/>
  <c r="JK21" i="4"/>
  <c r="JJ21" i="4"/>
  <c r="JA21" i="4"/>
  <c r="IZ21" i="4"/>
  <c r="IY21" i="4"/>
  <c r="IX21" i="4"/>
  <c r="IW21" i="4"/>
  <c r="IV21" i="4"/>
  <c r="IU21" i="4"/>
  <c r="IT21" i="4"/>
  <c r="IM21" i="4"/>
  <c r="IL21" i="4"/>
  <c r="IO21" i="4"/>
  <c r="MQ20" i="4"/>
  <c r="MJ20" i="4"/>
  <c r="MR20" i="4" s="1"/>
  <c r="MI20" i="4"/>
  <c r="MH20" i="4"/>
  <c r="MP20" i="4" s="1"/>
  <c r="MG20" i="4"/>
  <c r="MF20" i="4"/>
  <c r="MN20" i="4" s="1"/>
  <c r="ME20" i="4"/>
  <c r="MM20" i="4" s="1"/>
  <c r="MD20" i="4"/>
  <c r="ML20" i="4" s="1"/>
  <c r="MC20" i="4"/>
  <c r="LW20" i="4"/>
  <c r="LV20" i="4"/>
  <c r="MT20" i="4"/>
  <c r="LO20" i="4"/>
  <c r="LK20" i="4"/>
  <c r="LG20" i="4"/>
  <c r="LF20" i="4"/>
  <c r="LN20" i="4" s="1"/>
  <c r="LE20" i="4"/>
  <c r="LM20" i="4" s="1"/>
  <c r="LD20" i="4"/>
  <c r="LL20" i="4" s="1"/>
  <c r="LC20" i="4"/>
  <c r="LB20" i="4"/>
  <c r="LJ20" i="4" s="1"/>
  <c r="LA20" i="4"/>
  <c r="LI20" i="4" s="1"/>
  <c r="KZ20" i="4"/>
  <c r="LH20" i="4" s="1"/>
  <c r="KU20" i="4"/>
  <c r="KD20" i="4"/>
  <c r="KL20" i="4" s="1"/>
  <c r="KC20" i="4"/>
  <c r="KK20" i="4" s="1"/>
  <c r="KB20" i="4"/>
  <c r="KJ20" i="4" s="1"/>
  <c r="KA20" i="4"/>
  <c r="KI20" i="4" s="1"/>
  <c r="JZ20" i="4"/>
  <c r="KH20" i="4" s="1"/>
  <c r="JY20" i="4"/>
  <c r="KG20" i="4" s="1"/>
  <c r="JX20" i="4"/>
  <c r="KF20" i="4" s="1"/>
  <c r="JW20" i="4"/>
  <c r="KE20" i="4" s="1"/>
  <c r="JO20" i="4"/>
  <c r="JR20" i="4"/>
  <c r="JK20" i="4"/>
  <c r="JM20" i="4" s="1"/>
  <c r="JJ20" i="4"/>
  <c r="JA20" i="4"/>
  <c r="JI20" i="4" s="1"/>
  <c r="IZ20" i="4"/>
  <c r="JH20" i="4" s="1"/>
  <c r="IY20" i="4"/>
  <c r="JG20" i="4" s="1"/>
  <c r="IX20" i="4"/>
  <c r="JF20" i="4" s="1"/>
  <c r="IW20" i="4"/>
  <c r="JE20" i="4" s="1"/>
  <c r="IV20" i="4"/>
  <c r="JD20" i="4" s="1"/>
  <c r="IU20" i="4"/>
  <c r="JC20" i="4" s="1"/>
  <c r="IT20" i="4"/>
  <c r="JB20" i="4" s="1"/>
  <c r="IN20" i="4"/>
  <c r="IM20" i="4"/>
  <c r="IQ20" i="4" s="1"/>
  <c r="IL20" i="4"/>
  <c r="IO20" i="4"/>
  <c r="MJ19" i="4"/>
  <c r="MI19" i="4"/>
  <c r="MH19" i="4"/>
  <c r="MG19" i="4"/>
  <c r="MF19" i="4"/>
  <c r="ME19" i="4"/>
  <c r="MD19" i="4"/>
  <c r="MC19" i="4"/>
  <c r="LG19" i="4"/>
  <c r="LF19" i="4"/>
  <c r="LE19" i="4"/>
  <c r="LD19" i="4"/>
  <c r="LC19" i="4"/>
  <c r="LB19" i="4"/>
  <c r="LA19" i="4"/>
  <c r="KZ19" i="4"/>
  <c r="KD19" i="4"/>
  <c r="KC19" i="4"/>
  <c r="KB19" i="4"/>
  <c r="KA19" i="4"/>
  <c r="JZ19" i="4"/>
  <c r="JY19" i="4"/>
  <c r="JX19" i="4"/>
  <c r="JW19" i="4"/>
  <c r="JA19" i="4"/>
  <c r="IZ19" i="4"/>
  <c r="IY19" i="4"/>
  <c r="IX19" i="4"/>
  <c r="IW19" i="4"/>
  <c r="IV19" i="4"/>
  <c r="IU19" i="4"/>
  <c r="IT19" i="4"/>
  <c r="IO19" i="4"/>
  <c r="MJ18" i="4"/>
  <c r="MR18" i="4" s="1"/>
  <c r="MI18" i="4"/>
  <c r="MQ18" i="4" s="1"/>
  <c r="MH18" i="4"/>
  <c r="MP18" i="4" s="1"/>
  <c r="MG18" i="4"/>
  <c r="MF18" i="4"/>
  <c r="MN18" i="4" s="1"/>
  <c r="ME18" i="4"/>
  <c r="MM18" i="4" s="1"/>
  <c r="MD18" i="4"/>
  <c r="ML18" i="4" s="1"/>
  <c r="MC18" i="4"/>
  <c r="LO18" i="4"/>
  <c r="LK18" i="4"/>
  <c r="LG18" i="4"/>
  <c r="LF18" i="4"/>
  <c r="LN18" i="4" s="1"/>
  <c r="LE18" i="4"/>
  <c r="LM18" i="4" s="1"/>
  <c r="LD18" i="4"/>
  <c r="LL18" i="4" s="1"/>
  <c r="LC18" i="4"/>
  <c r="LB18" i="4"/>
  <c r="LJ18" i="4" s="1"/>
  <c r="LA18" i="4"/>
  <c r="LI18" i="4" s="1"/>
  <c r="KZ18" i="4"/>
  <c r="LH18" i="4" s="1"/>
  <c r="KD18" i="4"/>
  <c r="KL18" i="4" s="1"/>
  <c r="KC18" i="4"/>
  <c r="KK18" i="4" s="1"/>
  <c r="KB18" i="4"/>
  <c r="KJ18" i="4" s="1"/>
  <c r="KA18" i="4"/>
  <c r="KI18" i="4" s="1"/>
  <c r="JZ18" i="4"/>
  <c r="KH18" i="4" s="1"/>
  <c r="JY18" i="4"/>
  <c r="KG18" i="4" s="1"/>
  <c r="JX18" i="4"/>
  <c r="KF18" i="4" s="1"/>
  <c r="JW18" i="4"/>
  <c r="KE18" i="4" s="1"/>
  <c r="JA18" i="4"/>
  <c r="JI18" i="4" s="1"/>
  <c r="IZ18" i="4"/>
  <c r="JH18" i="4" s="1"/>
  <c r="IY18" i="4"/>
  <c r="JG18" i="4" s="1"/>
  <c r="IX18" i="4"/>
  <c r="JF18" i="4" s="1"/>
  <c r="IW18" i="4"/>
  <c r="JE18" i="4" s="1"/>
  <c r="IV18" i="4"/>
  <c r="JD18" i="4" s="1"/>
  <c r="IU18" i="4"/>
  <c r="JC18" i="4" s="1"/>
  <c r="IT18" i="4"/>
  <c r="JB18" i="4" s="1"/>
  <c r="MJ17" i="4"/>
  <c r="MI17" i="4"/>
  <c r="MH17" i="4"/>
  <c r="MG17" i="4"/>
  <c r="MF17" i="4"/>
  <c r="ME17" i="4"/>
  <c r="MD17" i="4"/>
  <c r="MC17" i="4"/>
  <c r="LG17" i="4"/>
  <c r="LF17" i="4"/>
  <c r="LE17" i="4"/>
  <c r="LD17" i="4"/>
  <c r="LC17" i="4"/>
  <c r="LB17" i="4"/>
  <c r="LA17" i="4"/>
  <c r="KZ17" i="4"/>
  <c r="KD17" i="4"/>
  <c r="KC17" i="4"/>
  <c r="KB17" i="4"/>
  <c r="KA17" i="4"/>
  <c r="JZ17" i="4"/>
  <c r="JY17" i="4"/>
  <c r="JX17" i="4"/>
  <c r="JW17" i="4"/>
  <c r="JK17" i="4"/>
  <c r="JJ17" i="4"/>
  <c r="JA17" i="4"/>
  <c r="IZ17" i="4"/>
  <c r="IY17" i="4"/>
  <c r="IX17" i="4"/>
  <c r="IW17" i="4"/>
  <c r="IV17" i="4"/>
  <c r="IU17" i="4"/>
  <c r="IT17" i="4"/>
  <c r="IN17" i="4"/>
  <c r="IL17" i="4"/>
  <c r="IO17" i="4"/>
  <c r="MQ16" i="4"/>
  <c r="MM16" i="4"/>
  <c r="MJ16" i="4"/>
  <c r="MR16" i="4" s="1"/>
  <c r="MI16" i="4"/>
  <c r="MH16" i="4"/>
  <c r="MP16" i="4" s="1"/>
  <c r="MG16" i="4"/>
  <c r="MO16" i="4" s="1"/>
  <c r="MF16" i="4"/>
  <c r="MN16" i="4" s="1"/>
  <c r="ME16" i="4"/>
  <c r="MD16" i="4"/>
  <c r="ML16" i="4" s="1"/>
  <c r="MC16" i="4"/>
  <c r="MK16" i="4" s="1"/>
  <c r="LO16" i="4"/>
  <c r="LG16" i="4"/>
  <c r="LF16" i="4"/>
  <c r="LN16" i="4" s="1"/>
  <c r="LE16" i="4"/>
  <c r="LM16" i="4" s="1"/>
  <c r="LD16" i="4"/>
  <c r="LL16" i="4" s="1"/>
  <c r="LC16" i="4"/>
  <c r="LK16" i="4" s="1"/>
  <c r="LB16" i="4"/>
  <c r="LJ16" i="4" s="1"/>
  <c r="LA16" i="4"/>
  <c r="LI16" i="4" s="1"/>
  <c r="KZ16" i="4"/>
  <c r="LH16" i="4" s="1"/>
  <c r="KD16" i="4"/>
  <c r="KL16" i="4" s="1"/>
  <c r="KC16" i="4"/>
  <c r="KK16" i="4" s="1"/>
  <c r="KB16" i="4"/>
  <c r="KJ16" i="4" s="1"/>
  <c r="KA16" i="4"/>
  <c r="KI16" i="4" s="1"/>
  <c r="JZ16" i="4"/>
  <c r="KH16" i="4" s="1"/>
  <c r="JY16" i="4"/>
  <c r="KG16" i="4" s="1"/>
  <c r="JX16" i="4"/>
  <c r="KF16" i="4" s="1"/>
  <c r="JW16" i="4"/>
  <c r="KE16" i="4" s="1"/>
  <c r="JH16" i="4"/>
  <c r="JD16" i="4"/>
  <c r="JA16" i="4"/>
  <c r="JI16" i="4" s="1"/>
  <c r="IZ16" i="4"/>
  <c r="IY16" i="4"/>
  <c r="JG16" i="4" s="1"/>
  <c r="IX16" i="4"/>
  <c r="JF16" i="4" s="1"/>
  <c r="IW16" i="4"/>
  <c r="JE16" i="4" s="1"/>
  <c r="IV16" i="4"/>
  <c r="IU16" i="4"/>
  <c r="JC16" i="4" s="1"/>
  <c r="IT16" i="4"/>
  <c r="JB16" i="4" s="1"/>
  <c r="MJ15" i="4"/>
  <c r="MI15" i="4"/>
  <c r="MH15" i="4"/>
  <c r="MG15" i="4"/>
  <c r="MF15" i="4"/>
  <c r="ME15" i="4"/>
  <c r="MD15" i="4"/>
  <c r="MC15" i="4"/>
  <c r="LG15" i="4"/>
  <c r="LF15" i="4"/>
  <c r="LE15" i="4"/>
  <c r="LD15" i="4"/>
  <c r="LC15" i="4"/>
  <c r="LB15" i="4"/>
  <c r="LA15" i="4"/>
  <c r="KZ15" i="4"/>
  <c r="KD15" i="4"/>
  <c r="KC15" i="4"/>
  <c r="KB15" i="4"/>
  <c r="KA15" i="4"/>
  <c r="JZ15" i="4"/>
  <c r="JY15" i="4"/>
  <c r="JX15" i="4"/>
  <c r="JW15" i="4"/>
  <c r="JA15" i="4"/>
  <c r="IZ15" i="4"/>
  <c r="IY15" i="4"/>
  <c r="IX15" i="4"/>
  <c r="IW15" i="4"/>
  <c r="IV15" i="4"/>
  <c r="IU15" i="4"/>
  <c r="IT15" i="4"/>
  <c r="MN14" i="4"/>
  <c r="MM14" i="4"/>
  <c r="MJ14" i="4"/>
  <c r="MR14" i="4" s="1"/>
  <c r="MI14" i="4"/>
  <c r="MQ14" i="4" s="1"/>
  <c r="MH14" i="4"/>
  <c r="MG14" i="4"/>
  <c r="MO14" i="4" s="1"/>
  <c r="MF14" i="4"/>
  <c r="ME14" i="4"/>
  <c r="MD14" i="4"/>
  <c r="MC14" i="4"/>
  <c r="MK14" i="4" s="1"/>
  <c r="LG14" i="4"/>
  <c r="LO14" i="4" s="1"/>
  <c r="LF14" i="4"/>
  <c r="LN14" i="4" s="1"/>
  <c r="LE14" i="4"/>
  <c r="LM14" i="4" s="1"/>
  <c r="LD14" i="4"/>
  <c r="LL14" i="4" s="1"/>
  <c r="LC14" i="4"/>
  <c r="LK14" i="4" s="1"/>
  <c r="LB14" i="4"/>
  <c r="LJ14" i="4" s="1"/>
  <c r="LA14" i="4"/>
  <c r="LI14" i="4" s="1"/>
  <c r="KZ14" i="4"/>
  <c r="LH14" i="4" s="1"/>
  <c r="KJ14" i="4"/>
  <c r="KI14" i="4"/>
  <c r="KD14" i="4"/>
  <c r="KC14" i="4"/>
  <c r="KK14" i="4" s="1"/>
  <c r="KB14" i="4"/>
  <c r="KA14" i="4"/>
  <c r="JZ14" i="4"/>
  <c r="JY14" i="4"/>
  <c r="KG14" i="4" s="1"/>
  <c r="JX14" i="4"/>
  <c r="KF14" i="4" s="1"/>
  <c r="JW14" i="4"/>
  <c r="KE14" i="4" s="1"/>
  <c r="JR14" i="4"/>
  <c r="JG14" i="4"/>
  <c r="JC14" i="4"/>
  <c r="JA14" i="4"/>
  <c r="JI14" i="4" s="1"/>
  <c r="IZ14" i="4"/>
  <c r="JH14" i="4" s="1"/>
  <c r="IY14" i="4"/>
  <c r="IX14" i="4"/>
  <c r="JF14" i="4" s="1"/>
  <c r="IW14" i="4"/>
  <c r="JE14" i="4" s="1"/>
  <c r="IV14" i="4"/>
  <c r="JD14" i="4" s="1"/>
  <c r="IU14" i="4"/>
  <c r="IT14" i="4"/>
  <c r="JB14" i="4" s="1"/>
  <c r="MJ13" i="4"/>
  <c r="MI13" i="4"/>
  <c r="MH13" i="4"/>
  <c r="MG13" i="4"/>
  <c r="MF13" i="4"/>
  <c r="ME13" i="4"/>
  <c r="MD13" i="4"/>
  <c r="MC13" i="4"/>
  <c r="LG13" i="4"/>
  <c r="LF13" i="4"/>
  <c r="LE13" i="4"/>
  <c r="LD13" i="4"/>
  <c r="LC13" i="4"/>
  <c r="LB13" i="4"/>
  <c r="LA13" i="4"/>
  <c r="KZ13" i="4"/>
  <c r="LP13" i="4"/>
  <c r="KD13" i="4"/>
  <c r="KC13" i="4"/>
  <c r="KB13" i="4"/>
  <c r="KA13" i="4"/>
  <c r="JZ13" i="4"/>
  <c r="JY13" i="4"/>
  <c r="JX13" i="4"/>
  <c r="JW13" i="4"/>
  <c r="JJ13" i="4"/>
  <c r="JA13" i="4"/>
  <c r="IZ13" i="4"/>
  <c r="IY13" i="4"/>
  <c r="IX13" i="4"/>
  <c r="IW13" i="4"/>
  <c r="IV13" i="4"/>
  <c r="IU13" i="4"/>
  <c r="IT13" i="4"/>
  <c r="IN13" i="4"/>
  <c r="IM13" i="4"/>
  <c r="IO13" i="4"/>
  <c r="MM12" i="4"/>
  <c r="MJ12" i="4"/>
  <c r="MR12" i="4" s="1"/>
  <c r="MI12" i="4"/>
  <c r="MQ12" i="4" s="1"/>
  <c r="MH12" i="4"/>
  <c r="MP12" i="4" s="1"/>
  <c r="MG12" i="4"/>
  <c r="MO12" i="4" s="1"/>
  <c r="MF12" i="4"/>
  <c r="MN12" i="4" s="1"/>
  <c r="ME12" i="4"/>
  <c r="MD12" i="4"/>
  <c r="ML12" i="4" s="1"/>
  <c r="MC12" i="4"/>
  <c r="MK12" i="4" s="1"/>
  <c r="LL12" i="4"/>
  <c r="LG12" i="4"/>
  <c r="LO12" i="4" s="1"/>
  <c r="LF12" i="4"/>
  <c r="LN12" i="4" s="1"/>
  <c r="LE12" i="4"/>
  <c r="LM12" i="4" s="1"/>
  <c r="LD12" i="4"/>
  <c r="LC12" i="4"/>
  <c r="LK12" i="4" s="1"/>
  <c r="LB12" i="4"/>
  <c r="LJ12" i="4" s="1"/>
  <c r="LA12" i="4"/>
  <c r="LI12" i="4" s="1"/>
  <c r="KZ12" i="4"/>
  <c r="LH12" i="4" s="1"/>
  <c r="KI12" i="4"/>
  <c r="KD12" i="4"/>
  <c r="KL12" i="4" s="1"/>
  <c r="KC12" i="4"/>
  <c r="KK12" i="4" s="1"/>
  <c r="KB12" i="4"/>
  <c r="KJ12" i="4" s="1"/>
  <c r="KA12" i="4"/>
  <c r="JZ12" i="4"/>
  <c r="KH12" i="4" s="1"/>
  <c r="JY12" i="4"/>
  <c r="KG12" i="4" s="1"/>
  <c r="JX12" i="4"/>
  <c r="KF12" i="4" s="1"/>
  <c r="JW12" i="4"/>
  <c r="KE12" i="4" s="1"/>
  <c r="JD12" i="4"/>
  <c r="JA12" i="4"/>
  <c r="JI12" i="4" s="1"/>
  <c r="IZ12" i="4"/>
  <c r="JH12" i="4" s="1"/>
  <c r="IY12" i="4"/>
  <c r="JG12" i="4" s="1"/>
  <c r="IX12" i="4"/>
  <c r="JF12" i="4" s="1"/>
  <c r="IW12" i="4"/>
  <c r="JE12" i="4" s="1"/>
  <c r="IV12" i="4"/>
  <c r="IU12" i="4"/>
  <c r="JC12" i="4" s="1"/>
  <c r="IT12" i="4"/>
  <c r="JB12" i="4" s="1"/>
  <c r="MJ11" i="4"/>
  <c r="MI11" i="4"/>
  <c r="MH11" i="4"/>
  <c r="MG11" i="4"/>
  <c r="MF11" i="4"/>
  <c r="ME11" i="4"/>
  <c r="MD11" i="4"/>
  <c r="MC11" i="4"/>
  <c r="LG11" i="4"/>
  <c r="LF11" i="4"/>
  <c r="LE11" i="4"/>
  <c r="LD11" i="4"/>
  <c r="LL10" i="4" s="1"/>
  <c r="LC11" i="4"/>
  <c r="LB11" i="4"/>
  <c r="LA11" i="4"/>
  <c r="KZ11" i="4"/>
  <c r="KD11" i="4"/>
  <c r="KC11" i="4"/>
  <c r="KB11" i="4"/>
  <c r="KA11" i="4"/>
  <c r="JZ11" i="4"/>
  <c r="KH10" i="4" s="1"/>
  <c r="JY11" i="4"/>
  <c r="JX11" i="4"/>
  <c r="JW11" i="4"/>
  <c r="JA11" i="4"/>
  <c r="IZ11" i="4"/>
  <c r="IY11" i="4"/>
  <c r="IX11" i="4"/>
  <c r="IW11" i="4"/>
  <c r="IV11" i="4"/>
  <c r="IU11" i="4"/>
  <c r="IT11" i="4"/>
  <c r="MQ10" i="4"/>
  <c r="MJ10" i="4"/>
  <c r="MR10" i="4" s="1"/>
  <c r="MI10" i="4"/>
  <c r="MH10" i="4"/>
  <c r="MG10" i="4"/>
  <c r="MO10" i="4" s="1"/>
  <c r="MF10" i="4"/>
  <c r="MN10" i="4" s="1"/>
  <c r="ME10" i="4"/>
  <c r="MM10" i="4" s="1"/>
  <c r="MD10" i="4"/>
  <c r="MC10" i="4"/>
  <c r="MK10" i="4" s="1"/>
  <c r="LK10" i="4"/>
  <c r="LG10" i="4"/>
  <c r="LO10" i="4" s="1"/>
  <c r="LF10" i="4"/>
  <c r="LN10" i="4" s="1"/>
  <c r="LE10" i="4"/>
  <c r="LM10" i="4" s="1"/>
  <c r="LD10" i="4"/>
  <c r="LC10" i="4"/>
  <c r="LB10" i="4"/>
  <c r="LJ10" i="4" s="1"/>
  <c r="LA10" i="4"/>
  <c r="LI10" i="4" s="1"/>
  <c r="KZ10" i="4"/>
  <c r="LH10" i="4" s="1"/>
  <c r="KL10" i="4"/>
  <c r="KI10" i="4"/>
  <c r="KD10" i="4"/>
  <c r="KC10" i="4"/>
  <c r="KK10" i="4" s="1"/>
  <c r="KB10" i="4"/>
  <c r="KJ10" i="4" s="1"/>
  <c r="KA10" i="4"/>
  <c r="JZ10" i="4"/>
  <c r="JY10" i="4"/>
  <c r="KG10" i="4" s="1"/>
  <c r="JX10" i="4"/>
  <c r="KF10" i="4" s="1"/>
  <c r="JW10" i="4"/>
  <c r="KE10" i="4" s="1"/>
  <c r="JH10" i="4"/>
  <c r="JF10" i="4"/>
  <c r="JA10" i="4"/>
  <c r="JI10" i="4" s="1"/>
  <c r="IZ10" i="4"/>
  <c r="IY10" i="4"/>
  <c r="JG10" i="4" s="1"/>
  <c r="IX10" i="4"/>
  <c r="IW10" i="4"/>
  <c r="JE10" i="4" s="1"/>
  <c r="IV10" i="4"/>
  <c r="JD10" i="4" s="1"/>
  <c r="IU10" i="4"/>
  <c r="JC10" i="4" s="1"/>
  <c r="IT10" i="4"/>
  <c r="JB10" i="4" s="1"/>
  <c r="MJ9" i="4"/>
  <c r="MI9" i="4"/>
  <c r="MH9" i="4"/>
  <c r="MG9" i="4"/>
  <c r="MF9" i="4"/>
  <c r="ME9" i="4"/>
  <c r="MD9" i="4"/>
  <c r="MC9" i="4"/>
  <c r="LG9" i="4"/>
  <c r="LF9" i="4"/>
  <c r="LE9" i="4"/>
  <c r="LD9" i="4"/>
  <c r="LC9" i="4"/>
  <c r="LB9" i="4"/>
  <c r="LA9" i="4"/>
  <c r="KZ9" i="4"/>
  <c r="KT9" i="4"/>
  <c r="KD9" i="4"/>
  <c r="KC9" i="4"/>
  <c r="KB9" i="4"/>
  <c r="KA9" i="4"/>
  <c r="JZ9" i="4"/>
  <c r="JY9" i="4"/>
  <c r="JX9" i="4"/>
  <c r="JW9" i="4"/>
  <c r="JP9" i="4"/>
  <c r="JK9" i="4"/>
  <c r="JJ9" i="4"/>
  <c r="JA9" i="4"/>
  <c r="IZ9" i="4"/>
  <c r="JH8" i="4" s="1"/>
  <c r="IY9" i="4"/>
  <c r="IX9" i="4"/>
  <c r="IW9" i="4"/>
  <c r="IV9" i="4"/>
  <c r="IU9" i="4"/>
  <c r="IT9" i="4"/>
  <c r="IN9" i="4"/>
  <c r="IL9" i="4"/>
  <c r="IO9" i="4"/>
  <c r="MR8" i="4"/>
  <c r="MQ8" i="4"/>
  <c r="MP8" i="4"/>
  <c r="MM8" i="4"/>
  <c r="MJ8" i="4"/>
  <c r="MI8" i="4"/>
  <c r="MH8" i="4"/>
  <c r="MG8" i="4"/>
  <c r="MF8" i="4"/>
  <c r="MN8" i="4" s="1"/>
  <c r="ME8" i="4"/>
  <c r="MD8" i="4"/>
  <c r="ML8" i="4" s="1"/>
  <c r="MC8" i="4"/>
  <c r="LX8" i="4"/>
  <c r="LW8" i="4"/>
  <c r="LO8" i="4"/>
  <c r="LN8" i="4"/>
  <c r="LL8" i="4"/>
  <c r="LJ8" i="4"/>
  <c r="LG8" i="4"/>
  <c r="LF8" i="4"/>
  <c r="LE8" i="4"/>
  <c r="LM8" i="4" s="1"/>
  <c r="LD8" i="4"/>
  <c r="LC8" i="4"/>
  <c r="LK8" i="4" s="1"/>
  <c r="LB8" i="4"/>
  <c r="LA8" i="4"/>
  <c r="LI8" i="4" s="1"/>
  <c r="KZ8" i="4"/>
  <c r="LH8" i="4" s="1"/>
  <c r="KU8" i="4"/>
  <c r="KT8" i="4"/>
  <c r="KL8" i="4"/>
  <c r="KI8" i="4"/>
  <c r="KD8" i="4"/>
  <c r="KC8" i="4"/>
  <c r="KB8" i="4"/>
  <c r="KJ8" i="4" s="1"/>
  <c r="KA8" i="4"/>
  <c r="JZ8" i="4"/>
  <c r="KH8" i="4" s="1"/>
  <c r="JY8" i="4"/>
  <c r="JX8" i="4"/>
  <c r="KF8" i="4" s="1"/>
  <c r="JW8" i="4"/>
  <c r="KE8" i="4" s="1"/>
  <c r="JR8" i="4"/>
  <c r="JL8" i="4"/>
  <c r="JK8" i="4"/>
  <c r="JJ8" i="4"/>
  <c r="JG8" i="4"/>
  <c r="JF8" i="4"/>
  <c r="JA8" i="4"/>
  <c r="JI8" i="4" s="1"/>
  <c r="IZ8" i="4"/>
  <c r="IY8" i="4"/>
  <c r="IX8" i="4"/>
  <c r="IW8" i="4"/>
  <c r="JE8" i="4" s="1"/>
  <c r="IV8" i="4"/>
  <c r="JD8" i="4" s="1"/>
  <c r="IU8" i="4"/>
  <c r="JC8" i="4" s="1"/>
  <c r="IT8" i="4"/>
  <c r="JB8" i="4" s="1"/>
  <c r="IP8" i="4"/>
  <c r="IN8" i="4"/>
  <c r="IR8" i="4" s="1"/>
  <c r="IM8" i="4"/>
  <c r="IL8" i="4"/>
  <c r="IO8" i="4"/>
  <c r="MJ7" i="4"/>
  <c r="MI7" i="4"/>
  <c r="MH7" i="4"/>
  <c r="MG7" i="4"/>
  <c r="MF7" i="4"/>
  <c r="ME7" i="4"/>
  <c r="MD7" i="4"/>
  <c r="MC7" i="4"/>
  <c r="LG7" i="4"/>
  <c r="LF7" i="4"/>
  <c r="LE7" i="4"/>
  <c r="LD7" i="4"/>
  <c r="LC7" i="4"/>
  <c r="LB7" i="4"/>
  <c r="LA7" i="4"/>
  <c r="KZ7" i="4"/>
  <c r="KD7" i="4"/>
  <c r="KC7" i="4"/>
  <c r="KB7" i="4"/>
  <c r="KA7" i="4"/>
  <c r="JZ7" i="4"/>
  <c r="KH6" i="4" s="1"/>
  <c r="JY7" i="4"/>
  <c r="JX7" i="4"/>
  <c r="JW7" i="4"/>
  <c r="JA7" i="4"/>
  <c r="IZ7" i="4"/>
  <c r="IY7" i="4"/>
  <c r="IX7" i="4"/>
  <c r="IW7" i="4"/>
  <c r="IV7" i="4"/>
  <c r="IU7" i="4"/>
  <c r="IT7" i="4"/>
  <c r="MP6" i="4"/>
  <c r="MN6" i="4"/>
  <c r="MJ6" i="4"/>
  <c r="MR6" i="4" s="1"/>
  <c r="MI6" i="4"/>
  <c r="MQ6" i="4" s="1"/>
  <c r="MH6" i="4"/>
  <c r="MG6" i="4"/>
  <c r="MF6" i="4"/>
  <c r="ME6" i="4"/>
  <c r="MM6" i="4" s="1"/>
  <c r="MD6" i="4"/>
  <c r="ML6" i="4" s="1"/>
  <c r="MC6" i="4"/>
  <c r="LL6" i="4"/>
  <c r="LK6" i="4"/>
  <c r="LG6" i="4"/>
  <c r="LO6" i="4" s="1"/>
  <c r="LF6" i="4"/>
  <c r="LN6" i="4" s="1"/>
  <c r="LE6" i="4"/>
  <c r="LM6" i="4" s="1"/>
  <c r="LD6" i="4"/>
  <c r="LC6" i="4"/>
  <c r="LB6" i="4"/>
  <c r="LJ6" i="4" s="1"/>
  <c r="LA6" i="4"/>
  <c r="LI6" i="4" s="1"/>
  <c r="KZ6" i="4"/>
  <c r="LH6" i="4" s="1"/>
  <c r="KI6" i="4"/>
  <c r="KD6" i="4"/>
  <c r="KL6" i="4" s="1"/>
  <c r="KC6" i="4"/>
  <c r="KK6" i="4" s="1"/>
  <c r="KB6" i="4"/>
  <c r="KJ6" i="4" s="1"/>
  <c r="KA6" i="4"/>
  <c r="JZ6" i="4"/>
  <c r="JY6" i="4"/>
  <c r="KG6" i="4" s="1"/>
  <c r="JX6" i="4"/>
  <c r="KF6" i="4" s="1"/>
  <c r="JW6" i="4"/>
  <c r="KE6" i="4" s="1"/>
  <c r="JK6" i="4"/>
  <c r="JF6" i="4"/>
  <c r="JA6" i="4"/>
  <c r="JI6" i="4" s="1"/>
  <c r="IZ6" i="4"/>
  <c r="JH6" i="4" s="1"/>
  <c r="IY6" i="4"/>
  <c r="JG6" i="4" s="1"/>
  <c r="IX6" i="4"/>
  <c r="IW6" i="4"/>
  <c r="JE6" i="4" s="1"/>
  <c r="IV6" i="4"/>
  <c r="JD6" i="4" s="1"/>
  <c r="IU6" i="4"/>
  <c r="JC6" i="4" s="1"/>
  <c r="IT6" i="4"/>
  <c r="IL6" i="4"/>
  <c r="IO6" i="4"/>
  <c r="MJ5" i="4"/>
  <c r="MI5" i="4"/>
  <c r="MH5" i="4"/>
  <c r="MG5" i="4"/>
  <c r="MF5" i="4"/>
  <c r="ME5" i="4"/>
  <c r="MD5" i="4"/>
  <c r="MC5" i="4"/>
  <c r="LG5" i="4"/>
  <c r="LF5" i="4"/>
  <c r="LE5" i="4"/>
  <c r="LD5" i="4"/>
  <c r="LC5" i="4"/>
  <c r="LB5" i="4"/>
  <c r="LA5" i="4"/>
  <c r="KZ5" i="4"/>
  <c r="LP5" i="4"/>
  <c r="KD5" i="4"/>
  <c r="KC5" i="4"/>
  <c r="KB5" i="4"/>
  <c r="KA5" i="4"/>
  <c r="JZ5" i="4"/>
  <c r="JY5" i="4"/>
  <c r="JX5" i="4"/>
  <c r="JW5" i="4"/>
  <c r="KN5" i="4"/>
  <c r="JA5" i="4"/>
  <c r="IZ5" i="4"/>
  <c r="IY5" i="4"/>
  <c r="IX5" i="4"/>
  <c r="IW5" i="4"/>
  <c r="IV5" i="4"/>
  <c r="IU5" i="4"/>
  <c r="IT5" i="4"/>
  <c r="IL5" i="4"/>
  <c r="IO5" i="4"/>
  <c r="MT4" i="4"/>
  <c r="MS4" i="4"/>
  <c r="MO4" i="4"/>
  <c r="MJ4" i="4"/>
  <c r="MR4" i="4" s="1"/>
  <c r="MI4" i="4"/>
  <c r="MQ4" i="4" s="1"/>
  <c r="MH4" i="4"/>
  <c r="MP4" i="4" s="1"/>
  <c r="MG4" i="4"/>
  <c r="MF4" i="4"/>
  <c r="MN4" i="4" s="1"/>
  <c r="ME4" i="4"/>
  <c r="MM4" i="4" s="1"/>
  <c r="MD4" i="4"/>
  <c r="ML4" i="4" s="1"/>
  <c r="MC4" i="4"/>
  <c r="MK4" i="4" s="1"/>
  <c r="LV4" i="4"/>
  <c r="LU4" i="4"/>
  <c r="LW4" i="4"/>
  <c r="LQ4" i="4"/>
  <c r="LP4" i="4"/>
  <c r="LL4" i="4"/>
  <c r="LG4" i="4"/>
  <c r="LO4" i="4" s="1"/>
  <c r="LF4" i="4"/>
  <c r="LN4" i="4" s="1"/>
  <c r="LE4" i="4"/>
  <c r="LM4" i="4" s="1"/>
  <c r="LD4" i="4"/>
  <c r="LC4" i="4"/>
  <c r="LK4" i="4" s="1"/>
  <c r="LB4" i="4"/>
  <c r="LJ4" i="4" s="1"/>
  <c r="LA4" i="4"/>
  <c r="LI4" i="4" s="1"/>
  <c r="KZ4" i="4"/>
  <c r="LH4" i="4" s="1"/>
  <c r="KT4" i="4"/>
  <c r="KS4" i="4"/>
  <c r="KR4" i="4"/>
  <c r="KU4" i="4"/>
  <c r="KN4" i="4"/>
  <c r="KJ4" i="4"/>
  <c r="KD4" i="4"/>
  <c r="KL4" i="4" s="1"/>
  <c r="KC4" i="4"/>
  <c r="KK4" i="4" s="1"/>
  <c r="KB4" i="4"/>
  <c r="KA4" i="4"/>
  <c r="KI4" i="4" s="1"/>
  <c r="JZ4" i="4"/>
  <c r="KH4" i="4" s="1"/>
  <c r="JY4" i="4"/>
  <c r="KG4" i="4" s="1"/>
  <c r="JX4" i="4"/>
  <c r="KF4" i="4" s="1"/>
  <c r="JW4" i="4"/>
  <c r="KE4" i="4" s="1"/>
  <c r="JQ4" i="4"/>
  <c r="JP4" i="4"/>
  <c r="JR4" i="4"/>
  <c r="JJ4" i="4"/>
  <c r="JF4" i="4"/>
  <c r="JA4" i="4"/>
  <c r="JI4" i="4" s="1"/>
  <c r="IZ4" i="4"/>
  <c r="JH4" i="4" s="1"/>
  <c r="IY4" i="4"/>
  <c r="JG4" i="4" s="1"/>
  <c r="IX4" i="4"/>
  <c r="IW4" i="4"/>
  <c r="JE4" i="4" s="1"/>
  <c r="IV4" i="4"/>
  <c r="JD4" i="4" s="1"/>
  <c r="IU4" i="4"/>
  <c r="JC4" i="4" s="1"/>
  <c r="IT4" i="4"/>
  <c r="JB4" i="4" s="1"/>
  <c r="IN4" i="4"/>
  <c r="IR4" i="4" s="1"/>
  <c r="IL4" i="4"/>
  <c r="IO4" i="4"/>
  <c r="MJ3" i="4"/>
  <c r="MI3" i="4"/>
  <c r="MH3" i="4"/>
  <c r="MG3" i="4"/>
  <c r="MF3" i="4"/>
  <c r="ME3" i="4"/>
  <c r="MD3" i="4"/>
  <c r="MC3" i="4"/>
  <c r="LG3" i="4"/>
  <c r="LF3" i="4"/>
  <c r="LE3" i="4"/>
  <c r="LD3" i="4"/>
  <c r="LC3" i="4"/>
  <c r="LB3" i="4"/>
  <c r="LA3" i="4"/>
  <c r="KZ3" i="4"/>
  <c r="KN3" i="4"/>
  <c r="KD3" i="4"/>
  <c r="KC3" i="4"/>
  <c r="KB3" i="4"/>
  <c r="KA3" i="4"/>
  <c r="JZ3" i="4"/>
  <c r="JY3" i="4"/>
  <c r="JX3" i="4"/>
  <c r="JW3" i="4"/>
  <c r="JP3" i="4"/>
  <c r="JO3" i="4"/>
  <c r="JQ3" i="4"/>
  <c r="JA3" i="4"/>
  <c r="IZ3" i="4"/>
  <c r="IY3" i="4"/>
  <c r="IX3" i="4"/>
  <c r="IW3" i="4"/>
  <c r="IV3" i="4"/>
  <c r="IU3" i="4"/>
  <c r="IT3" i="4"/>
  <c r="IO3" i="4"/>
  <c r="IN3" i="4"/>
  <c r="IL3" i="4"/>
  <c r="MT2" i="4"/>
  <c r="MS2" i="4"/>
  <c r="MP2" i="4"/>
  <c r="MJ2" i="4"/>
  <c r="MR2" i="4" s="1"/>
  <c r="MI2" i="4"/>
  <c r="MH2" i="4"/>
  <c r="MG2" i="4"/>
  <c r="MO2" i="4" s="1"/>
  <c r="MF2" i="4"/>
  <c r="MN2" i="4" s="1"/>
  <c r="ME2" i="4"/>
  <c r="MD2" i="4"/>
  <c r="ML2" i="4" s="1"/>
  <c r="MC2" i="4"/>
  <c r="MK2" i="4" s="1"/>
  <c r="LX2" i="4"/>
  <c r="LV2" i="4"/>
  <c r="LU2" i="4"/>
  <c r="LW2" i="4"/>
  <c r="LQ2" i="4"/>
  <c r="LP2" i="4"/>
  <c r="LM2" i="4"/>
  <c r="LG2" i="4"/>
  <c r="LO2" i="4" s="1"/>
  <c r="LF2" i="4"/>
  <c r="LN2" i="4" s="1"/>
  <c r="LE2" i="4"/>
  <c r="LD2" i="4"/>
  <c r="LL2" i="4" s="1"/>
  <c r="LC2" i="4"/>
  <c r="LK2" i="4" s="1"/>
  <c r="LB2" i="4"/>
  <c r="LJ2" i="4" s="1"/>
  <c r="LA2" i="4"/>
  <c r="LI2" i="4" s="1"/>
  <c r="KZ2" i="4"/>
  <c r="LH2" i="4" s="1"/>
  <c r="KT2" i="4"/>
  <c r="KS2" i="4"/>
  <c r="KR2" i="4"/>
  <c r="KU2" i="4"/>
  <c r="KK2" i="4"/>
  <c r="KJ2" i="4"/>
  <c r="KF2" i="4"/>
  <c r="KD2" i="4"/>
  <c r="KL2" i="4" s="1"/>
  <c r="KC2" i="4"/>
  <c r="KB2" i="4"/>
  <c r="KA2" i="4"/>
  <c r="KI2" i="4" s="1"/>
  <c r="JZ2" i="4"/>
  <c r="KH2" i="4" s="1"/>
  <c r="JY2" i="4"/>
  <c r="KG2" i="4" s="1"/>
  <c r="JX2" i="4"/>
  <c r="JW2" i="4"/>
  <c r="KE2" i="4" s="1"/>
  <c r="JH2" i="4"/>
  <c r="JA2" i="4"/>
  <c r="JI2" i="4" s="1"/>
  <c r="IZ2" i="4"/>
  <c r="IY2" i="4"/>
  <c r="JG2" i="4" s="1"/>
  <c r="IX2" i="4"/>
  <c r="JF2" i="4" s="1"/>
  <c r="IW2" i="4"/>
  <c r="JE2" i="4" s="1"/>
  <c r="IV2" i="4"/>
  <c r="JD2" i="4" s="1"/>
  <c r="IU2" i="4"/>
  <c r="JC2" i="4" s="1"/>
  <c r="IT2" i="4"/>
  <c r="JB2" i="4" s="1"/>
  <c r="JK2" i="4"/>
  <c r="HH4" i="4"/>
  <c r="HH5" i="4"/>
  <c r="HH6" i="4"/>
  <c r="HH7" i="4"/>
  <c r="HH8" i="4"/>
  <c r="HH9" i="4"/>
  <c r="HH10" i="4"/>
  <c r="IK10" i="4" s="1"/>
  <c r="HH12" i="4"/>
  <c r="IK12" i="4" s="1"/>
  <c r="HH14" i="4"/>
  <c r="IK14" i="4" s="1"/>
  <c r="HH18" i="4"/>
  <c r="IK18" i="4" s="1"/>
  <c r="HH20" i="4"/>
  <c r="HH21" i="4"/>
  <c r="HH22" i="4"/>
  <c r="HH23" i="4"/>
  <c r="HH24" i="4"/>
  <c r="HH25" i="4"/>
  <c r="HH26" i="4"/>
  <c r="HH27" i="4"/>
  <c r="HH28" i="4"/>
  <c r="HH29" i="4"/>
  <c r="HH30" i="4"/>
  <c r="HH31" i="4"/>
  <c r="HH32" i="4"/>
  <c r="HH33" i="4"/>
  <c r="HH34" i="4"/>
  <c r="HH35" i="4"/>
  <c r="HH36" i="4"/>
  <c r="HH37" i="4"/>
  <c r="HH38" i="4"/>
  <c r="HH39" i="4"/>
  <c r="HH40" i="4"/>
  <c r="HH41" i="4"/>
  <c r="HH2" i="4"/>
  <c r="CU2" i="4"/>
  <c r="BR2" i="4"/>
  <c r="GE2" i="4"/>
  <c r="HH3" i="4"/>
  <c r="FB4" i="4"/>
  <c r="FB5" i="4"/>
  <c r="FB6" i="4"/>
  <c r="FB7" i="4"/>
  <c r="FB8" i="4"/>
  <c r="FB9" i="4"/>
  <c r="FB10" i="4"/>
  <c r="FB12" i="4"/>
  <c r="FB14" i="4"/>
  <c r="FB16" i="4"/>
  <c r="FB18" i="4"/>
  <c r="FB20" i="4"/>
  <c r="FB21" i="4"/>
  <c r="FB22" i="4"/>
  <c r="FB23" i="4"/>
  <c r="FB24" i="4"/>
  <c r="FB25" i="4"/>
  <c r="FB26" i="4"/>
  <c r="FB27" i="4"/>
  <c r="FB28" i="4"/>
  <c r="FB29" i="4"/>
  <c r="FB30" i="4"/>
  <c r="FB31" i="4"/>
  <c r="FB32" i="4"/>
  <c r="FB33" i="4"/>
  <c r="FB34" i="4"/>
  <c r="FB35" i="4"/>
  <c r="FB36" i="4"/>
  <c r="FB37" i="4"/>
  <c r="FB38" i="4"/>
  <c r="FB39" i="4"/>
  <c r="FB40" i="4"/>
  <c r="FB41" i="4"/>
  <c r="FB3" i="4"/>
  <c r="FB2" i="4"/>
  <c r="FB3" i="3"/>
  <c r="FB2" i="3"/>
  <c r="DY4" i="4"/>
  <c r="DY5" i="4"/>
  <c r="DY6" i="4"/>
  <c r="DY7" i="4"/>
  <c r="DY8" i="4"/>
  <c r="DY9" i="4"/>
  <c r="DY10" i="4"/>
  <c r="DY11" i="4"/>
  <c r="DY12" i="4"/>
  <c r="DY13" i="4"/>
  <c r="DY14" i="4"/>
  <c r="EB14" i="4" s="1"/>
  <c r="DY15" i="4"/>
  <c r="FB15" i="4" s="1"/>
  <c r="DY16" i="4"/>
  <c r="DY17" i="4"/>
  <c r="DY18" i="4"/>
  <c r="DY19" i="4"/>
  <c r="FB19" i="4" s="1"/>
  <c r="DY20" i="4"/>
  <c r="DY21" i="4"/>
  <c r="DY22" i="4"/>
  <c r="DY23" i="4"/>
  <c r="DY24" i="4"/>
  <c r="DY25" i="4"/>
  <c r="DY26" i="4"/>
  <c r="DY27" i="4"/>
  <c r="DY28" i="4"/>
  <c r="DY29" i="4"/>
  <c r="GE29" i="4" s="1"/>
  <c r="HD29" i="4" s="1"/>
  <c r="DY30" i="4"/>
  <c r="DY31" i="4"/>
  <c r="DY32" i="4"/>
  <c r="DY33" i="4"/>
  <c r="DY34" i="4"/>
  <c r="DY35" i="4"/>
  <c r="DY36" i="4"/>
  <c r="DY37" i="4"/>
  <c r="DY38" i="4"/>
  <c r="DY39" i="4"/>
  <c r="DY40" i="4"/>
  <c r="DY41" i="4"/>
  <c r="DY2" i="4"/>
  <c r="DY3" i="4"/>
  <c r="AO3" i="4"/>
  <c r="DX4" i="4"/>
  <c r="DX5" i="4"/>
  <c r="DX6" i="4"/>
  <c r="DX7" i="4"/>
  <c r="DX8" i="4"/>
  <c r="DX9" i="4"/>
  <c r="DX20" i="4"/>
  <c r="DX21" i="4"/>
  <c r="DX22" i="4"/>
  <c r="DX23" i="4"/>
  <c r="DX24" i="4"/>
  <c r="DX25" i="4"/>
  <c r="DX26" i="4"/>
  <c r="DX27" i="4"/>
  <c r="DX28" i="4"/>
  <c r="DX29" i="4"/>
  <c r="DX30" i="4"/>
  <c r="DX31" i="4"/>
  <c r="DX32" i="4"/>
  <c r="DX33" i="4"/>
  <c r="DX34" i="4"/>
  <c r="DX35" i="4"/>
  <c r="DX36" i="4"/>
  <c r="DX37" i="4"/>
  <c r="DX38" i="4"/>
  <c r="DX39" i="4"/>
  <c r="DX40" i="4"/>
  <c r="DX41" i="4"/>
  <c r="DX2" i="4"/>
  <c r="CU3" i="4"/>
  <c r="BR3" i="4"/>
  <c r="AO4" i="4"/>
  <c r="AO5" i="4"/>
  <c r="AO6" i="4"/>
  <c r="AO7" i="4"/>
  <c r="AO8" i="4"/>
  <c r="AO9" i="4"/>
  <c r="AO10" i="4"/>
  <c r="AO12" i="4"/>
  <c r="AO14" i="4"/>
  <c r="AR14" i="4" s="1"/>
  <c r="AO16" i="4"/>
  <c r="AO18" i="4"/>
  <c r="AO20" i="4"/>
  <c r="AO21" i="4"/>
  <c r="AO22" i="4"/>
  <c r="AO23" i="4"/>
  <c r="AO24" i="4"/>
  <c r="AO25" i="4"/>
  <c r="AO26" i="4"/>
  <c r="AO27" i="4"/>
  <c r="AO28" i="4"/>
  <c r="AO29" i="4"/>
  <c r="AO30" i="4"/>
  <c r="AO31" i="4"/>
  <c r="AO32" i="4"/>
  <c r="AO33" i="4"/>
  <c r="AO34" i="4"/>
  <c r="AO35" i="4"/>
  <c r="AO36" i="4"/>
  <c r="AO37" i="4"/>
  <c r="AO38" i="4"/>
  <c r="AO39" i="4"/>
  <c r="AO40" i="4"/>
  <c r="AO41" i="4"/>
  <c r="AO2" i="4"/>
  <c r="L4" i="4"/>
  <c r="L5" i="4"/>
  <c r="L6" i="4"/>
  <c r="L7" i="4"/>
  <c r="L8" i="4"/>
  <c r="L9" i="4"/>
  <c r="L10" i="4"/>
  <c r="L11" i="4"/>
  <c r="L12" i="4"/>
  <c r="L13" i="4"/>
  <c r="L14" i="4"/>
  <c r="L15" i="4"/>
  <c r="L16" i="4"/>
  <c r="L17" i="4"/>
  <c r="L18" i="4"/>
  <c r="L19" i="4"/>
  <c r="FN19" i="4" s="1"/>
  <c r="L20" i="4"/>
  <c r="L21" i="4"/>
  <c r="L22" i="4"/>
  <c r="L23" i="4"/>
  <c r="HS23" i="4" s="1"/>
  <c r="L24" i="4"/>
  <c r="L25" i="4"/>
  <c r="L26" i="4"/>
  <c r="L27" i="4"/>
  <c r="L28" i="4"/>
  <c r="L29" i="4"/>
  <c r="L30" i="4"/>
  <c r="L31" i="4"/>
  <c r="GS31" i="4" s="1"/>
  <c r="L32" i="4"/>
  <c r="L33" i="4"/>
  <c r="L34" i="4"/>
  <c r="L35" i="4"/>
  <c r="L36" i="4"/>
  <c r="L37" i="4"/>
  <c r="L38" i="4"/>
  <c r="L39" i="4"/>
  <c r="HX39" i="4" s="1"/>
  <c r="L40" i="4"/>
  <c r="HS40" i="4" s="1"/>
  <c r="L41" i="4"/>
  <c r="L3" i="4"/>
  <c r="L2" i="4"/>
  <c r="BA41" i="4"/>
  <c r="I41" i="4"/>
  <c r="H41" i="4"/>
  <c r="HR40" i="4"/>
  <c r="GQ40" i="4"/>
  <c r="GP40" i="4"/>
  <c r="GA40" i="4"/>
  <c r="FR40" i="4"/>
  <c r="FO40" i="4"/>
  <c r="FM40" i="4"/>
  <c r="FK40" i="4"/>
  <c r="FF40" i="4"/>
  <c r="FE40" i="4"/>
  <c r="EL40" i="4"/>
  <c r="EK40" i="4"/>
  <c r="EI40" i="4"/>
  <c r="DI40" i="4"/>
  <c r="DH40" i="4"/>
  <c r="DE40" i="4"/>
  <c r="CG40" i="4"/>
  <c r="CD40" i="4"/>
  <c r="CC40" i="4"/>
  <c r="BR40" i="4"/>
  <c r="BD40" i="4"/>
  <c r="BB40" i="4"/>
  <c r="BA40" i="4"/>
  <c r="AP40" i="4"/>
  <c r="AL40" i="4"/>
  <c r="AB40" i="4"/>
  <c r="Z40" i="4"/>
  <c r="X40" i="4"/>
  <c r="V40" i="4"/>
  <c r="K40" i="4"/>
  <c r="I40" i="4"/>
  <c r="H40" i="4"/>
  <c r="AR40" i="4" s="1"/>
  <c r="FQ39" i="4"/>
  <c r="DH39" i="4"/>
  <c r="AA39" i="4"/>
  <c r="H39" i="4"/>
  <c r="HR38" i="4"/>
  <c r="GT38" i="4"/>
  <c r="FQ38" i="4"/>
  <c r="FL38" i="4"/>
  <c r="EO38" i="4"/>
  <c r="EJ38" i="4"/>
  <c r="DI38" i="4"/>
  <c r="DH38" i="4"/>
  <c r="DP38" i="4" s="1"/>
  <c r="CG38" i="4"/>
  <c r="CC38" i="4"/>
  <c r="CB38" i="4"/>
  <c r="BA38" i="4"/>
  <c r="AK38" i="4"/>
  <c r="AB38" i="4"/>
  <c r="AA38" i="4"/>
  <c r="U38" i="4"/>
  <c r="K38" i="4"/>
  <c r="H38" i="4"/>
  <c r="I38" i="4" s="1"/>
  <c r="HS37" i="4"/>
  <c r="HR37" i="4"/>
  <c r="GU37" i="4"/>
  <c r="GS37" i="4"/>
  <c r="GO37" i="4"/>
  <c r="FQ37" i="4"/>
  <c r="FK37" i="4"/>
  <c r="EM37" i="4"/>
  <c r="EK37" i="4"/>
  <c r="DI37" i="4"/>
  <c r="CE37" i="4"/>
  <c r="CC37" i="4"/>
  <c r="BE37" i="4"/>
  <c r="BA37" i="4"/>
  <c r="AB37" i="4"/>
  <c r="W37" i="4"/>
  <c r="U37" i="4"/>
  <c r="I37" i="4"/>
  <c r="H37" i="4"/>
  <c r="K36" i="4"/>
  <c r="H36" i="4"/>
  <c r="H35" i="4"/>
  <c r="K34" i="4"/>
  <c r="H34" i="4"/>
  <c r="H33" i="4"/>
  <c r="HV32" i="4"/>
  <c r="HU32" i="4"/>
  <c r="HQ32" i="4"/>
  <c r="GU32" i="4"/>
  <c r="GT32" i="4"/>
  <c r="GP32" i="4"/>
  <c r="GO32" i="4"/>
  <c r="FO32" i="4"/>
  <c r="FN32" i="4"/>
  <c r="EY32" i="4"/>
  <c r="EX32" i="4"/>
  <c r="EO32" i="4"/>
  <c r="EM32" i="4"/>
  <c r="EI32" i="4"/>
  <c r="EH32" i="4"/>
  <c r="EC32" i="4"/>
  <c r="DH32" i="4"/>
  <c r="DF32" i="4"/>
  <c r="CG32" i="4"/>
  <c r="CF32" i="4"/>
  <c r="CB32" i="4"/>
  <c r="BE32" i="4"/>
  <c r="BA32" i="4"/>
  <c r="AZ32" i="4"/>
  <c r="AK32" i="4"/>
  <c r="Z32" i="4"/>
  <c r="Y32" i="4"/>
  <c r="U32" i="4"/>
  <c r="K32" i="4"/>
  <c r="I32" i="4"/>
  <c r="H32" i="4"/>
  <c r="GT31" i="4"/>
  <c r="EK31" i="4"/>
  <c r="V31" i="4"/>
  <c r="H31" i="4"/>
  <c r="I31" i="4" s="1"/>
  <c r="HX30" i="4"/>
  <c r="DE30" i="4"/>
  <c r="CA30" i="4"/>
  <c r="BC30" i="4"/>
  <c r="W30" i="4"/>
  <c r="GT30" i="4"/>
  <c r="K30" i="4"/>
  <c r="H30" i="4"/>
  <c r="I30" i="4" s="1"/>
  <c r="GN29" i="4"/>
  <c r="CF29" i="4"/>
  <c r="X29" i="4"/>
  <c r="HR29" i="4"/>
  <c r="I29" i="4"/>
  <c r="H29" i="4"/>
  <c r="FF28" i="4"/>
  <c r="K28" i="4"/>
  <c r="I28" i="4"/>
  <c r="H28" i="4"/>
  <c r="H27" i="4"/>
  <c r="HQ26" i="4"/>
  <c r="GS26" i="4"/>
  <c r="FM26" i="4"/>
  <c r="EO26" i="4"/>
  <c r="DH26" i="4"/>
  <c r="CE26" i="4"/>
  <c r="BD26" i="4"/>
  <c r="AY26" i="4"/>
  <c r="X26" i="4"/>
  <c r="HU26" i="4"/>
  <c r="K26" i="4"/>
  <c r="H26" i="4"/>
  <c r="HU25" i="4"/>
  <c r="GQ25" i="4"/>
  <c r="FR25" i="4"/>
  <c r="FM25" i="4"/>
  <c r="EN25" i="4"/>
  <c r="EI25" i="4"/>
  <c r="DJ25" i="4"/>
  <c r="DE25" i="4"/>
  <c r="CF25" i="4"/>
  <c r="CA25" i="4"/>
  <c r="BB25" i="4"/>
  <c r="AK25" i="4"/>
  <c r="X25" i="4"/>
  <c r="HV25" i="4"/>
  <c r="I25" i="4"/>
  <c r="H25" i="4"/>
  <c r="K24" i="4"/>
  <c r="H24" i="4"/>
  <c r="HU23" i="4"/>
  <c r="GS23" i="4"/>
  <c r="FO23" i="4"/>
  <c r="EO23" i="4"/>
  <c r="DK23" i="4"/>
  <c r="CG23" i="4"/>
  <c r="BE23" i="4"/>
  <c r="AK23" i="4"/>
  <c r="U23" i="4"/>
  <c r="I23" i="4"/>
  <c r="H23" i="4"/>
  <c r="K22" i="4"/>
  <c r="H22" i="4"/>
  <c r="I21" i="4"/>
  <c r="H21" i="4"/>
  <c r="HT20" i="4"/>
  <c r="GS20" i="4"/>
  <c r="FM20" i="4"/>
  <c r="EC20" i="4"/>
  <c r="CF20" i="4"/>
  <c r="BD20" i="4"/>
  <c r="AZ20" i="4"/>
  <c r="X20" i="4"/>
  <c r="K20" i="4"/>
  <c r="I20" i="4"/>
  <c r="H20" i="4"/>
  <c r="GR19" i="4"/>
  <c r="H19" i="4"/>
  <c r="I19" i="4" s="1"/>
  <c r="GA18" i="4"/>
  <c r="FC18" i="4"/>
  <c r="K18" i="4"/>
  <c r="I18" i="4"/>
  <c r="H18" i="4"/>
  <c r="H17" i="4"/>
  <c r="EK16" i="4"/>
  <c r="EC16" i="4"/>
  <c r="DD16" i="4"/>
  <c r="AB16" i="4"/>
  <c r="K16" i="4"/>
  <c r="I16" i="4"/>
  <c r="H16" i="4"/>
  <c r="H15" i="4"/>
  <c r="I15" i="4" s="1"/>
  <c r="GA14" i="4"/>
  <c r="FF14" i="4"/>
  <c r="EC14" i="4"/>
  <c r="DZ14" i="4"/>
  <c r="BN14" i="4"/>
  <c r="K14" i="4"/>
  <c r="I14" i="4"/>
  <c r="H14" i="4"/>
  <c r="HT13" i="4"/>
  <c r="GP13" i="4"/>
  <c r="FR13" i="4"/>
  <c r="FL13" i="4"/>
  <c r="EN13" i="4"/>
  <c r="EH13" i="4"/>
  <c r="DJ13" i="4"/>
  <c r="DD13" i="4"/>
  <c r="CF13" i="4"/>
  <c r="BB13" i="4"/>
  <c r="AK13" i="4"/>
  <c r="X13" i="4"/>
  <c r="HV13" i="4"/>
  <c r="H13" i="4"/>
  <c r="I13" i="4" s="1"/>
  <c r="HT12" i="4"/>
  <c r="IB12" i="4" s="1"/>
  <c r="GU12" i="4"/>
  <c r="GQ12" i="4"/>
  <c r="FO12" i="4"/>
  <c r="FK12" i="4"/>
  <c r="FC12" i="4"/>
  <c r="EY12" i="4"/>
  <c r="EM12" i="4"/>
  <c r="EI12" i="4"/>
  <c r="EA12" i="4"/>
  <c r="EX12" i="4"/>
  <c r="DJ12" i="4"/>
  <c r="DR12" i="4" s="1"/>
  <c r="DF12" i="4"/>
  <c r="CH12" i="4"/>
  <c r="CD12" i="4"/>
  <c r="BB12" i="4"/>
  <c r="BJ12" i="4" s="1"/>
  <c r="AX12" i="4"/>
  <c r="AL12" i="4"/>
  <c r="Z12" i="4"/>
  <c r="V12" i="4"/>
  <c r="R12" i="4"/>
  <c r="HU12" i="4"/>
  <c r="K12" i="4"/>
  <c r="I12" i="4"/>
  <c r="H12" i="4"/>
  <c r="GA12" i="4" s="1"/>
  <c r="H11" i="4"/>
  <c r="HU10" i="4"/>
  <c r="HQ10" i="4"/>
  <c r="GS10" i="4"/>
  <c r="GO10" i="4"/>
  <c r="FM10" i="4"/>
  <c r="EO10" i="4"/>
  <c r="EC10" i="4"/>
  <c r="DH10" i="4"/>
  <c r="CF10" i="4"/>
  <c r="CB10" i="4"/>
  <c r="BD10" i="4"/>
  <c r="AZ10" i="4"/>
  <c r="X10" i="4"/>
  <c r="K10" i="4"/>
  <c r="I10" i="4"/>
  <c r="H10" i="4"/>
  <c r="EB9" i="4"/>
  <c r="FR9" i="4"/>
  <c r="H9" i="4"/>
  <c r="I9" i="4" s="1"/>
  <c r="HW8" i="4"/>
  <c r="HS8" i="4"/>
  <c r="GU8" i="4"/>
  <c r="GQ8" i="4"/>
  <c r="FO8" i="4"/>
  <c r="FK8" i="4"/>
  <c r="EY8" i="4"/>
  <c r="EM8" i="4"/>
  <c r="EI8" i="4"/>
  <c r="EA8" i="4"/>
  <c r="EX8" i="4"/>
  <c r="DJ8" i="4"/>
  <c r="DF8" i="4"/>
  <c r="CH8" i="4"/>
  <c r="CD8" i="4"/>
  <c r="BR8" i="4"/>
  <c r="BV8" i="4" s="1"/>
  <c r="BB8" i="4"/>
  <c r="AX8" i="4"/>
  <c r="AL8" i="4"/>
  <c r="Z8" i="4"/>
  <c r="V8" i="4"/>
  <c r="HV8" i="4"/>
  <c r="K8" i="4"/>
  <c r="I8" i="4"/>
  <c r="H8" i="4"/>
  <c r="H7" i="4"/>
  <c r="HU6" i="4"/>
  <c r="HQ6" i="4"/>
  <c r="GO6" i="4"/>
  <c r="EO6" i="4"/>
  <c r="EC6" i="4"/>
  <c r="DH6" i="4"/>
  <c r="CF6" i="4"/>
  <c r="CB6" i="4"/>
  <c r="AZ6" i="4"/>
  <c r="GS6" i="4"/>
  <c r="K6" i="4"/>
  <c r="I6" i="4"/>
  <c r="H6" i="4"/>
  <c r="AB5" i="4"/>
  <c r="HV5" i="4"/>
  <c r="H5" i="4"/>
  <c r="I5" i="4" s="1"/>
  <c r="HW4" i="4"/>
  <c r="HS4" i="4"/>
  <c r="GU4" i="4"/>
  <c r="GQ4" i="4"/>
  <c r="GA4" i="4"/>
  <c r="FO4" i="4"/>
  <c r="FK4" i="4"/>
  <c r="EY4" i="4"/>
  <c r="EM4" i="4"/>
  <c r="EI4" i="4"/>
  <c r="EA4" i="4"/>
  <c r="EX4" i="4"/>
  <c r="DJ4" i="4"/>
  <c r="DF4" i="4"/>
  <c r="CH4" i="4"/>
  <c r="CD4" i="4"/>
  <c r="BV4" i="4"/>
  <c r="BR4" i="4"/>
  <c r="BB4" i="4"/>
  <c r="AX4" i="4"/>
  <c r="AL4" i="4"/>
  <c r="Z4" i="4"/>
  <c r="V4" i="4"/>
  <c r="HV4" i="4"/>
  <c r="K4" i="4"/>
  <c r="I4" i="4"/>
  <c r="H4" i="4"/>
  <c r="H3" i="4"/>
  <c r="HQ2" i="4"/>
  <c r="GS2" i="4"/>
  <c r="FQ2" i="4"/>
  <c r="FM2" i="4"/>
  <c r="FE2" i="4"/>
  <c r="EO2" i="4"/>
  <c r="EM2" i="4"/>
  <c r="EI2" i="4"/>
  <c r="DJ2" i="4"/>
  <c r="DH2" i="4"/>
  <c r="DF2" i="4"/>
  <c r="CH2" i="4"/>
  <c r="CD2" i="4"/>
  <c r="CB2" i="4"/>
  <c r="CR2" i="4"/>
  <c r="BD2" i="4"/>
  <c r="BB2" i="4"/>
  <c r="AX2" i="4"/>
  <c r="AL2" i="4"/>
  <c r="Z2" i="4"/>
  <c r="X2" i="4"/>
  <c r="V2" i="4"/>
  <c r="K2" i="4"/>
  <c r="I2" i="4"/>
  <c r="H2" i="4"/>
  <c r="HH4" i="3"/>
  <c r="HH5" i="3"/>
  <c r="HH6" i="3"/>
  <c r="HH7" i="3"/>
  <c r="HH8" i="3"/>
  <c r="HH9" i="3"/>
  <c r="HH10" i="3"/>
  <c r="HH11" i="3"/>
  <c r="HH12" i="3"/>
  <c r="HH13" i="3"/>
  <c r="HH14" i="3"/>
  <c r="HH15" i="3"/>
  <c r="HH16" i="3"/>
  <c r="HH17" i="3"/>
  <c r="HH18" i="3"/>
  <c r="HH19" i="3"/>
  <c r="HH20" i="3"/>
  <c r="HH21" i="3"/>
  <c r="HH22" i="3"/>
  <c r="HH23" i="3"/>
  <c r="HH24" i="3"/>
  <c r="HH25" i="3"/>
  <c r="HH26" i="3"/>
  <c r="HH27" i="3"/>
  <c r="HH28" i="3"/>
  <c r="HH29" i="3"/>
  <c r="HH30" i="3"/>
  <c r="HH31" i="3"/>
  <c r="HH32" i="3"/>
  <c r="HH33" i="3"/>
  <c r="HH34" i="3"/>
  <c r="HH35" i="3"/>
  <c r="HH36" i="3"/>
  <c r="HH37" i="3"/>
  <c r="HH38" i="3"/>
  <c r="HH39" i="3"/>
  <c r="HH40" i="3"/>
  <c r="HH41" i="3"/>
  <c r="HH3" i="3"/>
  <c r="HH2" i="3"/>
  <c r="GE4" i="3"/>
  <c r="GE5" i="3"/>
  <c r="GE6" i="3"/>
  <c r="GE7" i="3"/>
  <c r="GE8" i="3"/>
  <c r="GE9" i="3"/>
  <c r="GE10" i="3"/>
  <c r="GE11" i="3"/>
  <c r="GE12" i="3"/>
  <c r="GE13" i="3"/>
  <c r="GE14" i="3"/>
  <c r="GE15" i="3"/>
  <c r="GE16" i="3"/>
  <c r="GE17" i="3"/>
  <c r="GE18" i="3"/>
  <c r="GE19" i="3"/>
  <c r="GE20" i="3"/>
  <c r="GE21" i="3"/>
  <c r="GE22" i="3"/>
  <c r="GE23" i="3"/>
  <c r="GE24" i="3"/>
  <c r="GE25" i="3"/>
  <c r="GE26" i="3"/>
  <c r="GE27" i="3"/>
  <c r="GE28" i="3"/>
  <c r="GE29" i="3"/>
  <c r="GE30" i="3"/>
  <c r="GE31" i="3"/>
  <c r="GE32" i="3"/>
  <c r="GE33" i="3"/>
  <c r="GE34" i="3"/>
  <c r="GE35" i="3"/>
  <c r="GE36" i="3"/>
  <c r="GE37" i="3"/>
  <c r="GE38" i="3"/>
  <c r="GE39" i="3"/>
  <c r="GE40" i="3"/>
  <c r="GE41" i="3"/>
  <c r="BR2" i="3"/>
  <c r="GE3" i="3"/>
  <c r="GE2" i="3"/>
  <c r="FB4" i="3"/>
  <c r="FB5" i="3"/>
  <c r="FB6" i="3"/>
  <c r="FB7" i="3"/>
  <c r="FB8" i="3"/>
  <c r="FB9" i="3"/>
  <c r="FB10" i="3"/>
  <c r="FB11" i="3"/>
  <c r="FB12" i="3"/>
  <c r="FB13" i="3"/>
  <c r="FB14" i="3"/>
  <c r="FB15" i="3"/>
  <c r="FB16" i="3"/>
  <c r="FB17" i="3"/>
  <c r="FB18" i="3"/>
  <c r="FB19" i="3"/>
  <c r="FB20" i="3"/>
  <c r="FB21" i="3"/>
  <c r="FB22" i="3"/>
  <c r="FB23" i="3"/>
  <c r="FD23" i="3" s="1"/>
  <c r="FB24" i="3"/>
  <c r="FB25" i="3"/>
  <c r="GB25" i="3" s="1"/>
  <c r="FB26" i="3"/>
  <c r="FB27" i="3"/>
  <c r="FB28" i="3"/>
  <c r="FB29" i="3"/>
  <c r="FB30" i="3"/>
  <c r="FB31" i="3"/>
  <c r="FF31" i="3" s="1"/>
  <c r="FB32" i="3"/>
  <c r="FB33" i="3"/>
  <c r="FB34" i="3"/>
  <c r="FB35" i="3"/>
  <c r="FB36" i="3"/>
  <c r="FB37" i="3"/>
  <c r="FB38" i="3"/>
  <c r="FB39" i="3"/>
  <c r="FB40" i="3"/>
  <c r="FB41" i="3"/>
  <c r="DX39" i="3"/>
  <c r="DX37" i="3"/>
  <c r="DX35" i="3"/>
  <c r="DX33" i="3"/>
  <c r="DY33" i="3" s="1"/>
  <c r="DX31" i="3"/>
  <c r="DY31" i="3" s="1"/>
  <c r="EB31" i="3" s="1"/>
  <c r="DX5" i="3"/>
  <c r="DX7" i="3"/>
  <c r="DX9" i="3"/>
  <c r="DX11" i="3"/>
  <c r="DY11" i="3" s="1"/>
  <c r="DX13" i="3"/>
  <c r="DX15" i="3"/>
  <c r="DX17" i="3"/>
  <c r="DX19" i="3"/>
  <c r="DY19" i="3" s="1"/>
  <c r="DX21" i="3"/>
  <c r="DX23" i="3"/>
  <c r="DX25" i="3"/>
  <c r="DX27" i="3"/>
  <c r="DY27" i="3" s="1"/>
  <c r="DX29" i="3"/>
  <c r="DY35" i="3"/>
  <c r="DX41" i="3"/>
  <c r="DY4" i="3"/>
  <c r="DY5" i="3"/>
  <c r="DY6" i="3"/>
  <c r="DY7" i="3"/>
  <c r="DY8" i="3"/>
  <c r="DY9" i="3"/>
  <c r="DY10" i="3"/>
  <c r="DY12" i="3"/>
  <c r="DY13" i="3"/>
  <c r="DY14" i="3"/>
  <c r="DY15" i="3"/>
  <c r="EC15" i="3" s="1"/>
  <c r="DY16" i="3"/>
  <c r="DY17" i="3"/>
  <c r="DY18" i="3"/>
  <c r="DY20" i="3"/>
  <c r="DY21" i="3"/>
  <c r="DY22" i="3"/>
  <c r="DY23" i="3"/>
  <c r="DY24" i="3"/>
  <c r="DY25" i="3"/>
  <c r="EB25" i="3" s="1"/>
  <c r="DY26" i="3"/>
  <c r="DY28" i="3"/>
  <c r="DY29" i="3"/>
  <c r="DY30" i="3"/>
  <c r="DY32" i="3"/>
  <c r="DY34" i="3"/>
  <c r="DY36" i="3"/>
  <c r="DY37" i="3"/>
  <c r="DY38" i="3"/>
  <c r="DY39" i="3"/>
  <c r="DY40" i="3"/>
  <c r="DY41" i="3"/>
  <c r="DY3" i="3"/>
  <c r="EY3" i="3"/>
  <c r="DY2" i="3"/>
  <c r="AO39" i="3"/>
  <c r="BR38" i="3"/>
  <c r="AO37" i="3"/>
  <c r="BR36" i="3"/>
  <c r="CU36" i="3" s="1"/>
  <c r="AO35" i="3"/>
  <c r="BR34" i="3"/>
  <c r="AO33" i="3"/>
  <c r="CU33" i="3" s="1"/>
  <c r="BR32" i="3"/>
  <c r="CU32" i="3" s="1"/>
  <c r="AO31" i="3"/>
  <c r="BR30" i="3"/>
  <c r="DX6" i="2"/>
  <c r="DX8" i="2"/>
  <c r="DX10" i="2"/>
  <c r="DX12" i="2"/>
  <c r="DX14" i="2"/>
  <c r="DX16" i="2"/>
  <c r="DX18" i="2"/>
  <c r="DX20" i="2"/>
  <c r="DX22" i="2"/>
  <c r="DX24" i="2"/>
  <c r="DX26" i="2"/>
  <c r="DX28" i="2"/>
  <c r="DX30" i="2"/>
  <c r="DX32" i="2"/>
  <c r="DX34" i="2"/>
  <c r="DX36" i="2"/>
  <c r="DX38" i="2"/>
  <c r="DX40" i="2"/>
  <c r="DX4" i="2"/>
  <c r="DX2" i="2"/>
  <c r="DY2" i="2" s="1"/>
  <c r="CU16" i="3"/>
  <c r="CU17" i="3"/>
  <c r="CU18" i="3"/>
  <c r="CU19" i="3"/>
  <c r="CU20" i="3"/>
  <c r="CU21" i="3"/>
  <c r="CU22" i="3"/>
  <c r="CU23" i="3"/>
  <c r="CU24" i="3"/>
  <c r="CU25" i="3"/>
  <c r="CU26" i="3"/>
  <c r="CU27" i="3"/>
  <c r="CU28" i="3"/>
  <c r="CU29" i="3"/>
  <c r="CU30" i="3"/>
  <c r="CU31" i="3"/>
  <c r="CU34" i="3"/>
  <c r="CU35" i="3"/>
  <c r="CU37" i="3"/>
  <c r="CU38" i="3"/>
  <c r="CU39" i="3"/>
  <c r="CU40" i="3"/>
  <c r="CU41" i="3"/>
  <c r="CU4" i="3"/>
  <c r="CU5" i="3"/>
  <c r="CU6" i="3"/>
  <c r="CU7" i="3"/>
  <c r="CU8" i="3"/>
  <c r="CU9" i="3"/>
  <c r="CU10" i="3"/>
  <c r="CU11" i="3"/>
  <c r="CU12" i="3"/>
  <c r="CU13" i="3"/>
  <c r="CU14" i="3"/>
  <c r="CU15" i="3"/>
  <c r="CU3" i="3"/>
  <c r="CU2" i="3"/>
  <c r="BR4" i="3"/>
  <c r="BR5" i="3"/>
  <c r="BR6" i="3"/>
  <c r="BR7" i="3"/>
  <c r="BR8" i="3"/>
  <c r="BR9" i="3"/>
  <c r="BR10" i="3"/>
  <c r="BR11" i="3"/>
  <c r="BR12" i="3"/>
  <c r="BR13" i="3"/>
  <c r="BR14" i="3"/>
  <c r="BR15" i="3"/>
  <c r="BR16" i="3"/>
  <c r="BR17" i="3"/>
  <c r="BR18" i="3"/>
  <c r="BR19" i="3"/>
  <c r="BR20" i="3"/>
  <c r="BR21" i="3"/>
  <c r="BR22" i="3"/>
  <c r="BR23" i="3"/>
  <c r="BR24" i="3"/>
  <c r="BR25" i="3"/>
  <c r="BR26" i="3"/>
  <c r="BR27" i="3"/>
  <c r="BR28" i="3"/>
  <c r="BR29" i="3"/>
  <c r="BR31" i="3"/>
  <c r="BR33" i="3"/>
  <c r="BR35" i="3"/>
  <c r="BR37" i="3"/>
  <c r="BR39" i="3"/>
  <c r="BR40" i="3"/>
  <c r="BR41" i="3"/>
  <c r="BR3" i="3"/>
  <c r="AO4" i="3"/>
  <c r="AO5" i="3"/>
  <c r="AO6" i="3"/>
  <c r="AO7" i="3"/>
  <c r="AO8" i="3"/>
  <c r="AO9" i="3"/>
  <c r="AO10" i="3"/>
  <c r="AO11" i="3"/>
  <c r="AO12" i="3"/>
  <c r="AO13" i="3"/>
  <c r="AO14" i="3"/>
  <c r="AO15" i="3"/>
  <c r="AO16" i="3"/>
  <c r="AO17" i="3"/>
  <c r="AO18" i="3"/>
  <c r="AO19" i="3"/>
  <c r="AO20" i="3"/>
  <c r="AO21" i="3"/>
  <c r="AO22" i="3"/>
  <c r="AO23" i="3"/>
  <c r="AO24" i="3"/>
  <c r="AO25" i="3"/>
  <c r="AO26" i="3"/>
  <c r="AO27" i="3"/>
  <c r="AO28" i="3"/>
  <c r="AO29" i="3"/>
  <c r="AO30" i="3"/>
  <c r="AO32" i="3"/>
  <c r="AO34" i="3"/>
  <c r="AO36" i="3"/>
  <c r="AO38" i="3"/>
  <c r="AO40" i="3"/>
  <c r="AO41" i="3"/>
  <c r="AO2" i="3"/>
  <c r="AO3" i="3"/>
  <c r="CU3" i="2"/>
  <c r="L4" i="3"/>
  <c r="L5" i="3"/>
  <c r="L6" i="3"/>
  <c r="L7" i="3"/>
  <c r="L8" i="3"/>
  <c r="L9" i="3"/>
  <c r="L10" i="3"/>
  <c r="FL10" i="3" s="1"/>
  <c r="L11" i="3"/>
  <c r="EK11" i="3" s="1"/>
  <c r="L12" i="3"/>
  <c r="L13" i="3"/>
  <c r="L14" i="3"/>
  <c r="GN14" i="3" s="1"/>
  <c r="L15" i="3"/>
  <c r="GO15" i="3" s="1"/>
  <c r="L16" i="3"/>
  <c r="L17" i="3"/>
  <c r="L18" i="3"/>
  <c r="HR18" i="3" s="1"/>
  <c r="L19" i="3"/>
  <c r="L20" i="3"/>
  <c r="L21" i="3"/>
  <c r="L22" i="3"/>
  <c r="L23" i="3"/>
  <c r="L24" i="3"/>
  <c r="L25" i="3"/>
  <c r="L26" i="3"/>
  <c r="L27" i="3"/>
  <c r="L28" i="3"/>
  <c r="L29" i="3"/>
  <c r="L30" i="3"/>
  <c r="L31" i="3"/>
  <c r="L32" i="3"/>
  <c r="L33" i="3"/>
  <c r="L34" i="3"/>
  <c r="X34" i="3" s="1"/>
  <c r="L35" i="3"/>
  <c r="FK35" i="3" s="1"/>
  <c r="L36" i="3"/>
  <c r="L37" i="3"/>
  <c r="L38" i="3"/>
  <c r="L39" i="3"/>
  <c r="L40" i="3"/>
  <c r="L41" i="3"/>
  <c r="L3" i="3"/>
  <c r="L2" i="3"/>
  <c r="I41" i="3"/>
  <c r="H41" i="3"/>
  <c r="K40" i="3"/>
  <c r="H40" i="3"/>
  <c r="H39" i="3"/>
  <c r="EL38" i="3"/>
  <c r="DF38" i="3"/>
  <c r="X38" i="3"/>
  <c r="P38" i="3"/>
  <c r="K38" i="3"/>
  <c r="I38" i="3"/>
  <c r="H38" i="3"/>
  <c r="H37" i="3"/>
  <c r="GT36" i="3"/>
  <c r="GO36" i="3"/>
  <c r="FR36" i="3"/>
  <c r="FN36" i="3"/>
  <c r="EL36" i="3"/>
  <c r="EH36" i="3"/>
  <c r="DJ36" i="3"/>
  <c r="DF36" i="3"/>
  <c r="CH36" i="3"/>
  <c r="CD36" i="3"/>
  <c r="BB36" i="3"/>
  <c r="AX36" i="3"/>
  <c r="AL36" i="3"/>
  <c r="Z36" i="3"/>
  <c r="V36" i="3"/>
  <c r="N36" i="3"/>
  <c r="HU36" i="3"/>
  <c r="K36" i="3"/>
  <c r="I36" i="3"/>
  <c r="H36" i="3"/>
  <c r="EO35" i="3"/>
  <c r="BB35" i="3"/>
  <c r="H35" i="3"/>
  <c r="FL34" i="3"/>
  <c r="BD34" i="3"/>
  <c r="K34" i="3"/>
  <c r="I34" i="3"/>
  <c r="H34" i="3"/>
  <c r="H33" i="3"/>
  <c r="K32" i="3"/>
  <c r="H32" i="3"/>
  <c r="GN31" i="3"/>
  <c r="CA31" i="3"/>
  <c r="AS31" i="3"/>
  <c r="I31" i="3"/>
  <c r="H31" i="3"/>
  <c r="K30" i="3"/>
  <c r="H30" i="3"/>
  <c r="I29" i="3"/>
  <c r="H29" i="3"/>
  <c r="K28" i="3"/>
  <c r="H28" i="3"/>
  <c r="I28" i="3" s="1"/>
  <c r="I27" i="3"/>
  <c r="H27" i="3"/>
  <c r="K26" i="3"/>
  <c r="H26" i="3"/>
  <c r="GP25" i="3"/>
  <c r="FD25" i="3"/>
  <c r="EX25" i="3"/>
  <c r="DE25" i="3"/>
  <c r="CA25" i="3"/>
  <c r="AA25" i="3"/>
  <c r="U25" i="3"/>
  <c r="I25" i="3"/>
  <c r="H25" i="3"/>
  <c r="HX24" i="3"/>
  <c r="HU24" i="3"/>
  <c r="HS24" i="3"/>
  <c r="GU24" i="3"/>
  <c r="GR24" i="3"/>
  <c r="GO24" i="3"/>
  <c r="FQ24" i="3"/>
  <c r="FO24" i="3"/>
  <c r="FL24" i="3"/>
  <c r="EN24" i="3"/>
  <c r="EK24" i="3"/>
  <c r="EI24" i="3"/>
  <c r="DM24" i="3"/>
  <c r="DK24" i="3"/>
  <c r="DH24" i="3"/>
  <c r="DE24" i="3"/>
  <c r="CG24" i="3"/>
  <c r="CE24" i="3"/>
  <c r="CB24" i="3"/>
  <c r="BD24" i="3"/>
  <c r="BA24" i="3"/>
  <c r="AY24" i="3"/>
  <c r="AK24" i="3"/>
  <c r="AA24" i="3"/>
  <c r="AI24" i="3" s="1"/>
  <c r="X24" i="3"/>
  <c r="U24" i="3"/>
  <c r="P24" i="3"/>
  <c r="M24" i="3"/>
  <c r="K24" i="3"/>
  <c r="H24" i="3"/>
  <c r="I24" i="3" s="1"/>
  <c r="GB23" i="3"/>
  <c r="GA23" i="3"/>
  <c r="I23" i="3"/>
  <c r="H23" i="3"/>
  <c r="K22" i="3"/>
  <c r="H22" i="3"/>
  <c r="I21" i="3"/>
  <c r="H21" i="3"/>
  <c r="K20" i="3"/>
  <c r="I20" i="3"/>
  <c r="H20" i="3"/>
  <c r="H19" i="3"/>
  <c r="HV18" i="3"/>
  <c r="GP18" i="3"/>
  <c r="FR18" i="3"/>
  <c r="EH18" i="3"/>
  <c r="DJ18" i="3"/>
  <c r="CD18" i="3"/>
  <c r="AX18" i="3"/>
  <c r="AL18" i="3"/>
  <c r="N18" i="3"/>
  <c r="K18" i="3"/>
  <c r="I18" i="3"/>
  <c r="H18" i="3"/>
  <c r="HW17" i="3"/>
  <c r="GS17" i="3"/>
  <c r="FO17" i="3"/>
  <c r="EO17" i="3"/>
  <c r="EK17" i="3"/>
  <c r="DJ17" i="3"/>
  <c r="DF17" i="3"/>
  <c r="CF17" i="3"/>
  <c r="CB17" i="3"/>
  <c r="BB17" i="3"/>
  <c r="AX17" i="3"/>
  <c r="AB17" i="3"/>
  <c r="X17" i="3"/>
  <c r="P17" i="3"/>
  <c r="H17" i="3"/>
  <c r="HT16" i="3"/>
  <c r="GN16" i="3"/>
  <c r="FP16" i="3"/>
  <c r="EN16" i="3"/>
  <c r="EJ16" i="3"/>
  <c r="EB16" i="3"/>
  <c r="DH16" i="3"/>
  <c r="DD16" i="3"/>
  <c r="CF16" i="3"/>
  <c r="CN16" i="3" s="1"/>
  <c r="CB16" i="3"/>
  <c r="AZ16" i="3"/>
  <c r="Z16" i="3"/>
  <c r="X16" i="3"/>
  <c r="V16" i="3"/>
  <c r="P16" i="3"/>
  <c r="T16" i="3" s="1"/>
  <c r="N16" i="3"/>
  <c r="K16" i="3"/>
  <c r="I16" i="3"/>
  <c r="H16" i="3"/>
  <c r="HS15" i="3"/>
  <c r="BB15" i="3"/>
  <c r="H15" i="3"/>
  <c r="HT14" i="3"/>
  <c r="K14" i="3"/>
  <c r="I14" i="3"/>
  <c r="H14" i="3"/>
  <c r="H13" i="3"/>
  <c r="HV12" i="3"/>
  <c r="HR12" i="3"/>
  <c r="GT12" i="3"/>
  <c r="GP12" i="3"/>
  <c r="FR12" i="3"/>
  <c r="FN12" i="3"/>
  <c r="EL12" i="3"/>
  <c r="EH12" i="3"/>
  <c r="DJ12" i="3"/>
  <c r="DF12" i="3"/>
  <c r="CH12" i="3"/>
  <c r="CD12" i="3"/>
  <c r="BV12" i="3"/>
  <c r="BB12" i="3"/>
  <c r="AX12" i="3"/>
  <c r="AL12" i="3"/>
  <c r="Z12" i="3"/>
  <c r="V12" i="3"/>
  <c r="N12" i="3"/>
  <c r="K12" i="3"/>
  <c r="I12" i="3"/>
  <c r="H12" i="3"/>
  <c r="FO11" i="3"/>
  <c r="CB11" i="3"/>
  <c r="H11" i="3"/>
  <c r="HX10" i="3"/>
  <c r="GR10" i="3"/>
  <c r="DH10" i="3"/>
  <c r="BD10" i="3"/>
  <c r="X10" i="3"/>
  <c r="K10" i="3"/>
  <c r="I10" i="3"/>
  <c r="H10" i="3"/>
  <c r="H9" i="3"/>
  <c r="GU8" i="3"/>
  <c r="GP8" i="3"/>
  <c r="FL8" i="3"/>
  <c r="EN8" i="3"/>
  <c r="DH8" i="3"/>
  <c r="CF8" i="3"/>
  <c r="CB8" i="3"/>
  <c r="BD8" i="3"/>
  <c r="AZ8" i="3"/>
  <c r="X8" i="3"/>
  <c r="P8" i="3"/>
  <c r="K8" i="3"/>
  <c r="I8" i="3"/>
  <c r="H8" i="3"/>
  <c r="H7" i="3"/>
  <c r="HR6" i="3"/>
  <c r="GT6" i="3"/>
  <c r="FN6" i="3"/>
  <c r="EL6" i="3"/>
  <c r="DF6" i="3"/>
  <c r="CH6" i="3"/>
  <c r="BB6" i="3"/>
  <c r="AX6" i="3"/>
  <c r="V6" i="3"/>
  <c r="N6" i="3"/>
  <c r="K6" i="3"/>
  <c r="I6" i="3"/>
  <c r="H6" i="3"/>
  <c r="EC5" i="3"/>
  <c r="H5" i="3"/>
  <c r="HX4" i="3"/>
  <c r="HV4" i="3"/>
  <c r="HR4" i="3"/>
  <c r="GT4" i="3"/>
  <c r="GR4" i="3"/>
  <c r="GP4" i="3"/>
  <c r="FR4" i="3"/>
  <c r="FN4" i="3"/>
  <c r="FL4" i="3"/>
  <c r="EN4" i="3"/>
  <c r="EL4" i="3"/>
  <c r="EH4" i="3"/>
  <c r="DJ4" i="3"/>
  <c r="DH4" i="3"/>
  <c r="DF4" i="3"/>
  <c r="CH4" i="3"/>
  <c r="CD4" i="3"/>
  <c r="CB4" i="3"/>
  <c r="BV4" i="3"/>
  <c r="BD4" i="3"/>
  <c r="BB4" i="3"/>
  <c r="AX4" i="3"/>
  <c r="AL4" i="3"/>
  <c r="Z4" i="3"/>
  <c r="X4" i="3"/>
  <c r="V4" i="3"/>
  <c r="P4" i="3"/>
  <c r="N4" i="3"/>
  <c r="K4" i="3"/>
  <c r="I4" i="3"/>
  <c r="H4" i="3"/>
  <c r="EC3" i="3"/>
  <c r="GS3" i="3"/>
  <c r="H3" i="3"/>
  <c r="EN2" i="3"/>
  <c r="K2" i="3"/>
  <c r="I2" i="3"/>
  <c r="H2" i="3"/>
  <c r="N2" i="5" l="1"/>
  <c r="M2" i="5"/>
  <c r="L2" i="5"/>
  <c r="P2" i="5" s="1"/>
  <c r="R13" i="6"/>
  <c r="R14" i="6" s="1"/>
  <c r="R15" i="6" s="1"/>
  <c r="R16" i="6" s="1"/>
  <c r="R17" i="6" s="1"/>
  <c r="R20" i="5"/>
  <c r="Q26" i="5"/>
  <c r="O26" i="5"/>
  <c r="Q2" i="5"/>
  <c r="R2" i="5"/>
  <c r="R18" i="5"/>
  <c r="Q18" i="5"/>
  <c r="O40" i="5"/>
  <c r="R40" i="5"/>
  <c r="Q34" i="5"/>
  <c r="O34" i="5"/>
  <c r="R34" i="5"/>
  <c r="R10" i="5"/>
  <c r="Q10" i="5"/>
  <c r="O10" i="5"/>
  <c r="R36" i="5"/>
  <c r="Q28" i="5"/>
  <c r="O18" i="5"/>
  <c r="JQ30" i="4"/>
  <c r="JP34" i="4"/>
  <c r="KU34" i="4"/>
  <c r="LP34" i="4"/>
  <c r="KS26" i="4"/>
  <c r="LP26" i="4"/>
  <c r="KR30" i="4"/>
  <c r="LP30" i="4"/>
  <c r="KR34" i="4"/>
  <c r="LQ34" i="4"/>
  <c r="KS38" i="4"/>
  <c r="LR4" i="4"/>
  <c r="KT26" i="4"/>
  <c r="KS30" i="4"/>
  <c r="KN32" i="4"/>
  <c r="JQ38" i="4"/>
  <c r="JP8" i="4"/>
  <c r="JR12" i="4"/>
  <c r="JV12" i="4" s="1"/>
  <c r="JR16" i="4"/>
  <c r="JO16" i="4"/>
  <c r="KM16" i="4"/>
  <c r="JP16" i="4"/>
  <c r="JO18" i="4"/>
  <c r="HH16" i="4"/>
  <c r="IK16" i="4" s="1"/>
  <c r="IM16" i="4" s="1"/>
  <c r="IQ16" i="4" s="1"/>
  <c r="JP2" i="4"/>
  <c r="JT2" i="4" s="1"/>
  <c r="FB11" i="4"/>
  <c r="HH11" i="4" s="1"/>
  <c r="HH19" i="4"/>
  <c r="HH15" i="4"/>
  <c r="HH17" i="4"/>
  <c r="HH13" i="4"/>
  <c r="JQ2" i="4"/>
  <c r="JU2" i="4" s="1"/>
  <c r="JJ18" i="4"/>
  <c r="JL18" i="4" s="1"/>
  <c r="JK18" i="4"/>
  <c r="JM18" i="4" s="1"/>
  <c r="IN18" i="4"/>
  <c r="IM18" i="4"/>
  <c r="IQ18" i="4" s="1"/>
  <c r="IN10" i="4"/>
  <c r="JJ10" i="4"/>
  <c r="JL10" i="4" s="1"/>
  <c r="IO10" i="4"/>
  <c r="JK10" i="4"/>
  <c r="IL10" i="4"/>
  <c r="JJ16" i="4"/>
  <c r="JL16" i="4" s="1"/>
  <c r="IN16" i="4"/>
  <c r="IR16" i="4" s="1"/>
  <c r="IL16" i="4"/>
  <c r="IP16" i="4" s="1"/>
  <c r="JK14" i="4"/>
  <c r="JM14" i="4" s="1"/>
  <c r="IN14" i="4"/>
  <c r="IM14" i="4"/>
  <c r="JK12" i="4"/>
  <c r="IM12" i="4"/>
  <c r="IQ12" i="4" s="1"/>
  <c r="IN12" i="4"/>
  <c r="IR12" i="4" s="1"/>
  <c r="JJ12" i="4"/>
  <c r="JL12" i="4" s="1"/>
  <c r="IL12" i="4"/>
  <c r="IO12" i="4"/>
  <c r="IS12" i="4" s="1"/>
  <c r="KM12" i="4"/>
  <c r="JO12" i="4"/>
  <c r="KN12" i="4"/>
  <c r="JO14" i="4"/>
  <c r="KM14" i="4"/>
  <c r="JP18" i="4"/>
  <c r="JR2" i="4"/>
  <c r="JP12" i="4"/>
  <c r="JP14" i="4"/>
  <c r="KN14" i="4"/>
  <c r="KN16" i="4"/>
  <c r="KM18" i="4"/>
  <c r="KN18" i="4"/>
  <c r="JK15" i="4"/>
  <c r="IL15" i="4"/>
  <c r="JJ15" i="4"/>
  <c r="IO15" i="4"/>
  <c r="IN15" i="4"/>
  <c r="JR11" i="4"/>
  <c r="IM11" i="4"/>
  <c r="JK11" i="4"/>
  <c r="IL11" i="4"/>
  <c r="JJ11" i="4"/>
  <c r="IO11" i="4"/>
  <c r="IS10" i="4" s="1"/>
  <c r="JP5" i="4"/>
  <c r="JT4" i="4" s="1"/>
  <c r="IO7" i="4"/>
  <c r="IM15" i="4"/>
  <c r="IQ14" i="4" s="1"/>
  <c r="IN11" i="4"/>
  <c r="JR15" i="4"/>
  <c r="JV14" i="4" s="1"/>
  <c r="IL39" i="4"/>
  <c r="JJ39" i="4"/>
  <c r="IN19" i="4"/>
  <c r="IR18" i="4" s="1"/>
  <c r="IM19" i="4"/>
  <c r="JK19" i="4"/>
  <c r="IL19" i="4"/>
  <c r="IM7" i="4"/>
  <c r="JK7" i="4"/>
  <c r="JM6" i="4" s="1"/>
  <c r="IL7" i="4"/>
  <c r="IP6" i="4" s="1"/>
  <c r="IP12" i="4"/>
  <c r="JJ19" i="4"/>
  <c r="IO39" i="4"/>
  <c r="IS38" i="4" s="1"/>
  <c r="JJ7" i="4"/>
  <c r="JL6" i="4" s="1"/>
  <c r="IL22" i="4"/>
  <c r="JK22" i="4"/>
  <c r="IL26" i="4"/>
  <c r="JJ26" i="4"/>
  <c r="IM38" i="4"/>
  <c r="JK38" i="4"/>
  <c r="JM10" i="4"/>
  <c r="IR20" i="4"/>
  <c r="IM6" i="4"/>
  <c r="IQ6" i="4" s="1"/>
  <c r="IS8" i="4"/>
  <c r="KR9" i="4"/>
  <c r="IM10" i="4"/>
  <c r="IQ10" i="4" s="1"/>
  <c r="JM12" i="4"/>
  <c r="IO14" i="4"/>
  <c r="IS14" i="4" s="1"/>
  <c r="JJ14" i="4"/>
  <c r="JL14" i="4" s="1"/>
  <c r="IO18" i="4"/>
  <c r="IS18" i="4" s="1"/>
  <c r="IS20" i="4"/>
  <c r="IP4" i="4"/>
  <c r="KP4" i="4"/>
  <c r="KR5" i="4"/>
  <c r="KV4" i="4" s="1"/>
  <c r="IN6" i="4"/>
  <c r="IR6" i="4" s="1"/>
  <c r="JM8" i="4"/>
  <c r="IM9" i="4"/>
  <c r="KU9" i="4"/>
  <c r="KY8" i="4" s="1"/>
  <c r="IL13" i="4"/>
  <c r="IL14" i="4"/>
  <c r="IM17" i="4"/>
  <c r="IL18" i="4"/>
  <c r="IP20" i="4"/>
  <c r="JL20" i="4"/>
  <c r="JQ21" i="4"/>
  <c r="IS4" i="4"/>
  <c r="LW9" i="4"/>
  <c r="MA8" i="4" s="1"/>
  <c r="LX9" i="4"/>
  <c r="MB8" i="4" s="1"/>
  <c r="MT9" i="4"/>
  <c r="LU9" i="4"/>
  <c r="LV9" i="4"/>
  <c r="MS9" i="4"/>
  <c r="IO2" i="4"/>
  <c r="IS2" i="4" s="1"/>
  <c r="MS6" i="4"/>
  <c r="LU6" i="4"/>
  <c r="LX6" i="4"/>
  <c r="IL2" i="4"/>
  <c r="IP2" i="4" s="1"/>
  <c r="KM2" i="4"/>
  <c r="JO2" i="4"/>
  <c r="JS2" i="4" s="1"/>
  <c r="JK3" i="4"/>
  <c r="JM2" i="4" s="1"/>
  <c r="IM3" i="4"/>
  <c r="JJ3" i="4"/>
  <c r="JR3" i="4"/>
  <c r="LX4" i="4"/>
  <c r="JQ5" i="4"/>
  <c r="JU4" i="4" s="1"/>
  <c r="KU5" i="4"/>
  <c r="LV6" i="4"/>
  <c r="IQ8" i="4"/>
  <c r="JQ8" i="4"/>
  <c r="KM8" i="4"/>
  <c r="JO8" i="4"/>
  <c r="LQ8" i="4"/>
  <c r="KS8" i="4"/>
  <c r="LP8" i="4"/>
  <c r="KR8" i="4"/>
  <c r="MS8" i="4"/>
  <c r="LU8" i="4"/>
  <c r="MT8" i="4"/>
  <c r="LV8" i="4"/>
  <c r="JQ9" i="4"/>
  <c r="JQ6" i="4"/>
  <c r="JR6" i="4"/>
  <c r="LQ6" i="4"/>
  <c r="KS6" i="4"/>
  <c r="KU6" i="4"/>
  <c r="JQ10" i="4"/>
  <c r="KM10" i="4"/>
  <c r="JO10" i="4"/>
  <c r="JR10" i="4"/>
  <c r="KN10" i="4"/>
  <c r="JP10" i="4"/>
  <c r="IM2" i="4"/>
  <c r="IQ2" i="4" s="1"/>
  <c r="JJ2" i="4"/>
  <c r="MM2" i="4"/>
  <c r="MQ2" i="4"/>
  <c r="KM3" i="4"/>
  <c r="JK4" i="4"/>
  <c r="IM4" i="4"/>
  <c r="KM4" i="4"/>
  <c r="JO4" i="4"/>
  <c r="KY4" i="4"/>
  <c r="JK5" i="4"/>
  <c r="IM5" i="4"/>
  <c r="JJ5" i="4"/>
  <c r="JL4" i="4" s="1"/>
  <c r="JB6" i="4"/>
  <c r="JP6" i="4"/>
  <c r="KM6" i="4"/>
  <c r="KT6" i="4"/>
  <c r="LP6" i="4"/>
  <c r="LW6" i="4"/>
  <c r="MT6" i="4"/>
  <c r="KM7" i="4"/>
  <c r="JO7" i="4"/>
  <c r="JS6" i="4" s="1"/>
  <c r="JP7" i="4"/>
  <c r="JT8" i="4"/>
  <c r="KX8" i="4"/>
  <c r="MK8" i="4"/>
  <c r="MO8" i="4"/>
  <c r="KN9" i="4"/>
  <c r="KP8" i="4" s="1"/>
  <c r="IN2" i="4"/>
  <c r="IR2" i="4" s="1"/>
  <c r="KM5" i="4"/>
  <c r="JO5" i="4"/>
  <c r="JR5" i="4"/>
  <c r="JV4" i="4" s="1"/>
  <c r="LQ5" i="4"/>
  <c r="LS4" i="4" s="1"/>
  <c r="KS5" i="4"/>
  <c r="KW4" i="4" s="1"/>
  <c r="KT5" i="4"/>
  <c r="KX4" i="4" s="1"/>
  <c r="IS6" i="4"/>
  <c r="KN6" i="4"/>
  <c r="KM9" i="4"/>
  <c r="JO9" i="4"/>
  <c r="JR9" i="4"/>
  <c r="JV8" i="4" s="1"/>
  <c r="KN11" i="4"/>
  <c r="JP11" i="4"/>
  <c r="KM11" i="4"/>
  <c r="JO11" i="4"/>
  <c r="KR11" i="4"/>
  <c r="JQ13" i="4"/>
  <c r="KU13" i="4"/>
  <c r="LX17" i="4"/>
  <c r="LW17" i="4"/>
  <c r="MT17" i="4"/>
  <c r="LV17" i="4"/>
  <c r="LU17" i="4"/>
  <c r="KT19" i="4"/>
  <c r="LQ19" i="4"/>
  <c r="KS19" i="4"/>
  <c r="LP19" i="4"/>
  <c r="KR19" i="4"/>
  <c r="KT21" i="4"/>
  <c r="LQ21" i="4"/>
  <c r="KS21" i="4"/>
  <c r="LP21" i="4"/>
  <c r="KR21" i="4"/>
  <c r="IS22" i="4"/>
  <c r="IN27" i="4"/>
  <c r="JK27" i="4"/>
  <c r="IM27" i="4"/>
  <c r="IO27" i="4"/>
  <c r="IS26" i="4" s="1"/>
  <c r="IL27" i="4"/>
  <c r="JJ27" i="4"/>
  <c r="MK6" i="4"/>
  <c r="MO6" i="4"/>
  <c r="LQ7" i="4"/>
  <c r="KS7" i="4"/>
  <c r="KG8" i="4"/>
  <c r="KK8" i="4"/>
  <c r="ML10" i="4"/>
  <c r="MP10" i="4"/>
  <c r="JQ11" i="4"/>
  <c r="KT15" i="4"/>
  <c r="LQ15" i="4"/>
  <c r="MS17" i="4"/>
  <c r="MK18" i="4"/>
  <c r="MO18" i="4"/>
  <c r="KU19" i="4"/>
  <c r="MK20" i="4"/>
  <c r="MO20" i="4"/>
  <c r="KU21" i="4"/>
  <c r="KY20" i="4" s="1"/>
  <c r="IP22" i="4"/>
  <c r="KJ22" i="4"/>
  <c r="IN32" i="4"/>
  <c r="IR32" i="4" s="1"/>
  <c r="JK32" i="4"/>
  <c r="IM32" i="4"/>
  <c r="JJ32" i="4"/>
  <c r="IL32" i="4"/>
  <c r="IO32" i="4"/>
  <c r="IS32" i="4" s="1"/>
  <c r="KT13" i="4"/>
  <c r="LQ13" i="4"/>
  <c r="KS13" i="4"/>
  <c r="KN15" i="4"/>
  <c r="KT17" i="4"/>
  <c r="LQ17" i="4"/>
  <c r="KS17" i="4"/>
  <c r="LP17" i="4"/>
  <c r="KR17" i="4"/>
  <c r="LX21" i="4"/>
  <c r="LW21" i="4"/>
  <c r="MA20" i="4" s="1"/>
  <c r="MT21" i="4"/>
  <c r="MV20" i="4" s="1"/>
  <c r="LV21" i="4"/>
  <c r="LZ20" i="4" s="1"/>
  <c r="LU21" i="4"/>
  <c r="LQ9" i="4"/>
  <c r="KS9" i="4"/>
  <c r="LP9" i="4"/>
  <c r="KT11" i="4"/>
  <c r="LQ11" i="4"/>
  <c r="KS11" i="4"/>
  <c r="KN13" i="4"/>
  <c r="JP13" i="4"/>
  <c r="KM13" i="4"/>
  <c r="KO12" i="4" s="1"/>
  <c r="JO13" i="4"/>
  <c r="KR13" i="4"/>
  <c r="KH14" i="4"/>
  <c r="KL14" i="4"/>
  <c r="ML14" i="4"/>
  <c r="MP14" i="4"/>
  <c r="KU17" i="4"/>
  <c r="KT20" i="4"/>
  <c r="LQ20" i="4"/>
  <c r="KS20" i="4"/>
  <c r="LP20" i="4"/>
  <c r="KR20" i="4"/>
  <c r="MS21" i="4"/>
  <c r="KT22" i="4"/>
  <c r="LQ22" i="4"/>
  <c r="KS22" i="4"/>
  <c r="LP22" i="4"/>
  <c r="KR22" i="4"/>
  <c r="JK23" i="4"/>
  <c r="JM22" i="4" s="1"/>
  <c r="IM23" i="4"/>
  <c r="IQ22" i="4" s="1"/>
  <c r="IL23" i="4"/>
  <c r="JJ23" i="4"/>
  <c r="JL22" i="4" s="1"/>
  <c r="IO23" i="4"/>
  <c r="IN23" i="4"/>
  <c r="IR22" i="4" s="1"/>
  <c r="IN25" i="4"/>
  <c r="IR24" i="4" s="1"/>
  <c r="JK25" i="4"/>
  <c r="IM25" i="4"/>
  <c r="IL25" i="4"/>
  <c r="IP24" i="4" s="1"/>
  <c r="JJ25" i="4"/>
  <c r="JL24" i="4" s="1"/>
  <c r="IO25" i="4"/>
  <c r="IS24" i="4" s="1"/>
  <c r="JR17" i="4"/>
  <c r="JV16" i="4" s="1"/>
  <c r="JR19" i="4"/>
  <c r="JV18" i="4" s="1"/>
  <c r="JP20" i="4"/>
  <c r="KN20" i="4"/>
  <c r="LX20" i="4"/>
  <c r="MB20" i="4" s="1"/>
  <c r="JR21" i="4"/>
  <c r="JV20" i="4" s="1"/>
  <c r="JP22" i="4"/>
  <c r="KN22" i="4"/>
  <c r="MS22" i="4"/>
  <c r="LX22" i="4"/>
  <c r="LI24" i="4"/>
  <c r="MM24" i="4"/>
  <c r="MQ24" i="4"/>
  <c r="JL26" i="4"/>
  <c r="MM28" i="4"/>
  <c r="MQ28" i="4"/>
  <c r="JQ12" i="4"/>
  <c r="JU12" i="4" s="1"/>
  <c r="JQ14" i="4"/>
  <c r="JQ16" i="4"/>
  <c r="JU16" i="4" s="1"/>
  <c r="JO17" i="4"/>
  <c r="KM17" i="4"/>
  <c r="KO16" i="4" s="1"/>
  <c r="JQ18" i="4"/>
  <c r="JO19" i="4"/>
  <c r="KM19" i="4"/>
  <c r="JQ20" i="4"/>
  <c r="JU20" i="4" s="1"/>
  <c r="LU20" i="4"/>
  <c r="MS20" i="4"/>
  <c r="JO21" i="4"/>
  <c r="JS20" i="4" s="1"/>
  <c r="KM21" i="4"/>
  <c r="KO20" i="4" s="1"/>
  <c r="JQ22" i="4"/>
  <c r="LU22" i="4"/>
  <c r="MQ22" i="4"/>
  <c r="MT22" i="4"/>
  <c r="LN24" i="4"/>
  <c r="IN26" i="4"/>
  <c r="IR26" i="4" s="1"/>
  <c r="JK26" i="4"/>
  <c r="IM26" i="4"/>
  <c r="IN29" i="4"/>
  <c r="JK29" i="4"/>
  <c r="IM29" i="4"/>
  <c r="JJ29" i="4"/>
  <c r="JL28" i="4" s="1"/>
  <c r="IO29" i="4"/>
  <c r="IS28" i="4" s="1"/>
  <c r="IL29" i="4"/>
  <c r="IP28" i="4" s="1"/>
  <c r="IN31" i="4"/>
  <c r="JK31" i="4"/>
  <c r="IM31" i="4"/>
  <c r="JJ31" i="4"/>
  <c r="JL30" i="4" s="1"/>
  <c r="IO31" i="4"/>
  <c r="IS30" i="4" s="1"/>
  <c r="IL31" i="4"/>
  <c r="IP30" i="4" s="1"/>
  <c r="JP17" i="4"/>
  <c r="KN17" i="4"/>
  <c r="JP19" i="4"/>
  <c r="KN19" i="4"/>
  <c r="KP18" i="4" s="1"/>
  <c r="JP21" i="4"/>
  <c r="KN21" i="4"/>
  <c r="KE24" i="4"/>
  <c r="KI24" i="4"/>
  <c r="IP26" i="4"/>
  <c r="JK24" i="4"/>
  <c r="JM24" i="4" s="1"/>
  <c r="IM24" i="4"/>
  <c r="IQ24" i="4" s="1"/>
  <c r="KM24" i="4"/>
  <c r="JO24" i="4"/>
  <c r="KN26" i="4"/>
  <c r="JP26" i="4"/>
  <c r="KM26" i="4"/>
  <c r="JO26" i="4"/>
  <c r="KN28" i="4"/>
  <c r="JP28" i="4"/>
  <c r="KM28" i="4"/>
  <c r="JO28" i="4"/>
  <c r="KN30" i="4"/>
  <c r="JP30" i="4"/>
  <c r="KM30" i="4"/>
  <c r="JO30" i="4"/>
  <c r="KE32" i="4"/>
  <c r="KI32" i="4"/>
  <c r="IN28" i="4"/>
  <c r="JK28" i="4"/>
  <c r="IM28" i="4"/>
  <c r="IN30" i="4"/>
  <c r="JK30" i="4"/>
  <c r="IM30" i="4"/>
  <c r="IQ30" i="4" s="1"/>
  <c r="KE30" i="4"/>
  <c r="KI30" i="4"/>
  <c r="ML32" i="4"/>
  <c r="MP32" i="4"/>
  <c r="JK34" i="4"/>
  <c r="IM34" i="4"/>
  <c r="JJ34" i="4"/>
  <c r="IL34" i="4"/>
  <c r="IO34" i="4"/>
  <c r="IS34" i="4" s="1"/>
  <c r="IN34" i="4"/>
  <c r="JQ35" i="4"/>
  <c r="JU34" i="4" s="1"/>
  <c r="KN35" i="4"/>
  <c r="KP34" i="4" s="1"/>
  <c r="JP35" i="4"/>
  <c r="JT34" i="4" s="1"/>
  <c r="KM35" i="4"/>
  <c r="KO34" i="4" s="1"/>
  <c r="JR35" i="4"/>
  <c r="JO35" i="4"/>
  <c r="JR32" i="4"/>
  <c r="JQ33" i="4"/>
  <c r="JU32" i="4" s="1"/>
  <c r="KN33" i="4"/>
  <c r="JP33" i="4"/>
  <c r="JK35" i="4"/>
  <c r="IM35" i="4"/>
  <c r="JJ35" i="4"/>
  <c r="IL35" i="4"/>
  <c r="IN36" i="4"/>
  <c r="JK36" i="4"/>
  <c r="IM36" i="4"/>
  <c r="JJ36" i="4"/>
  <c r="IL36" i="4"/>
  <c r="KN36" i="4"/>
  <c r="JP36" i="4"/>
  <c r="JQ36" i="4"/>
  <c r="KM36" i="4"/>
  <c r="JO36" i="4"/>
  <c r="LP36" i="4"/>
  <c r="KR36" i="4"/>
  <c r="KT36" i="4"/>
  <c r="LQ36" i="4"/>
  <c r="KS36" i="4"/>
  <c r="IN37" i="4"/>
  <c r="IM37" i="4"/>
  <c r="JK37" i="4"/>
  <c r="IL37" i="4"/>
  <c r="KN40" i="4"/>
  <c r="JP40" i="4"/>
  <c r="KM40" i="4"/>
  <c r="JO40" i="4"/>
  <c r="JR40" i="4"/>
  <c r="JQ40" i="4"/>
  <c r="LW24" i="4"/>
  <c r="LW26" i="4"/>
  <c r="LW28" i="4"/>
  <c r="LW30" i="4"/>
  <c r="JO32" i="4"/>
  <c r="KM32" i="4"/>
  <c r="KO32" i="4" s="1"/>
  <c r="LW32" i="4"/>
  <c r="MQ32" i="4"/>
  <c r="JK33" i="4"/>
  <c r="IM33" i="4"/>
  <c r="JJ33" i="4"/>
  <c r="IL33" i="4"/>
  <c r="JO33" i="4"/>
  <c r="LJ34" i="4"/>
  <c r="LN34" i="4"/>
  <c r="LW34" i="4"/>
  <c r="MT34" i="4"/>
  <c r="LV34" i="4"/>
  <c r="IN35" i="4"/>
  <c r="IO36" i="4"/>
  <c r="JR36" i="4"/>
  <c r="KU36" i="4"/>
  <c r="IO37" i="4"/>
  <c r="JP32" i="4"/>
  <c r="LX32" i="4"/>
  <c r="JR33" i="4"/>
  <c r="IO35" i="4"/>
  <c r="JJ37" i="4"/>
  <c r="JE40" i="4"/>
  <c r="JI40" i="4"/>
  <c r="IN40" i="4"/>
  <c r="JK40" i="4"/>
  <c r="IM40" i="4"/>
  <c r="KE40" i="4"/>
  <c r="KI40" i="4"/>
  <c r="JR34" i="4"/>
  <c r="KN38" i="4"/>
  <c r="JP38" i="4"/>
  <c r="LP38" i="4"/>
  <c r="KR38" i="4"/>
  <c r="IL40" i="4"/>
  <c r="IP40" i="4" s="1"/>
  <c r="JJ40" i="4"/>
  <c r="JL40" i="4" s="1"/>
  <c r="KF40" i="4"/>
  <c r="KJ40" i="4"/>
  <c r="IN41" i="4"/>
  <c r="JK41" i="4"/>
  <c r="IM41" i="4"/>
  <c r="JO34" i="4"/>
  <c r="JS34" i="4" s="1"/>
  <c r="MN36" i="4"/>
  <c r="MR36" i="4"/>
  <c r="IL38" i="4"/>
  <c r="IP38" i="4" s="1"/>
  <c r="JJ38" i="4"/>
  <c r="JL38" i="4" s="1"/>
  <c r="JO38" i="4"/>
  <c r="KM38" i="4"/>
  <c r="LQ38" i="4"/>
  <c r="IN39" i="4"/>
  <c r="IR38" i="4" s="1"/>
  <c r="JK39" i="4"/>
  <c r="JM38" i="4" s="1"/>
  <c r="IM39" i="4"/>
  <c r="IQ38" i="4" s="1"/>
  <c r="IO40" i="4"/>
  <c r="IS40" i="4" s="1"/>
  <c r="KU40" i="4"/>
  <c r="KR40" i="4"/>
  <c r="EX14" i="4"/>
  <c r="EY41" i="4"/>
  <c r="EB19" i="4"/>
  <c r="EB41" i="4"/>
  <c r="GE37" i="4"/>
  <c r="HE37" i="4" s="1"/>
  <c r="EB29" i="4"/>
  <c r="AX19" i="4"/>
  <c r="HV19" i="4"/>
  <c r="BN23" i="4"/>
  <c r="HV23" i="4"/>
  <c r="W23" i="4"/>
  <c r="AY23" i="4"/>
  <c r="CA23" i="4"/>
  <c r="DE23" i="4"/>
  <c r="EI23" i="4"/>
  <c r="FQ23" i="4"/>
  <c r="GU23" i="4"/>
  <c r="HW23" i="4"/>
  <c r="BD31" i="4"/>
  <c r="EL31" i="4"/>
  <c r="HR31" i="4"/>
  <c r="AI38" i="4"/>
  <c r="AB39" i="4"/>
  <c r="DI39" i="4"/>
  <c r="DQ38" i="4" s="1"/>
  <c r="GN39" i="4"/>
  <c r="CB19" i="4"/>
  <c r="EJ19" i="4"/>
  <c r="Y23" i="4"/>
  <c r="BA23" i="4"/>
  <c r="CC23" i="4"/>
  <c r="DG23" i="4"/>
  <c r="EK23" i="4"/>
  <c r="FK23" i="4"/>
  <c r="GO23" i="4"/>
  <c r="HQ23" i="4"/>
  <c r="CC31" i="4"/>
  <c r="FK31" i="4"/>
  <c r="HS31" i="4"/>
  <c r="AJ38" i="4"/>
  <c r="FY38" i="4"/>
  <c r="AZ39" i="4"/>
  <c r="EH39" i="4"/>
  <c r="GP39" i="4"/>
  <c r="BI40" i="4"/>
  <c r="AB19" i="4"/>
  <c r="DF19" i="4"/>
  <c r="AA23" i="4"/>
  <c r="BC23" i="4"/>
  <c r="CE23" i="4"/>
  <c r="DI23" i="4"/>
  <c r="EM23" i="4"/>
  <c r="FM23" i="4"/>
  <c r="GQ23" i="4"/>
  <c r="HB30" i="4"/>
  <c r="U31" i="4"/>
  <c r="CD31" i="4"/>
  <c r="BA39" i="4"/>
  <c r="BI38" i="4" s="1"/>
  <c r="FP39" i="4"/>
  <c r="BT2" i="4"/>
  <c r="BV2" i="4"/>
  <c r="GE13" i="4"/>
  <c r="EY13" i="4"/>
  <c r="FA12" i="4" s="1"/>
  <c r="EA13" i="4"/>
  <c r="EE12" i="4" s="1"/>
  <c r="EC13" i="4"/>
  <c r="EX13" i="4"/>
  <c r="EZ12" i="4" s="1"/>
  <c r="EB13" i="4"/>
  <c r="DZ13" i="4"/>
  <c r="EQ8" i="4"/>
  <c r="FE5" i="4"/>
  <c r="GB5" i="4"/>
  <c r="FD5" i="4"/>
  <c r="GA5" i="4"/>
  <c r="FC5" i="4"/>
  <c r="FF5" i="4"/>
  <c r="EU8" i="4"/>
  <c r="EB2" i="4"/>
  <c r="EX2" i="4"/>
  <c r="DZ2" i="4"/>
  <c r="ID4" i="4"/>
  <c r="GC4" i="4"/>
  <c r="GB6" i="4"/>
  <c r="FD6" i="4"/>
  <c r="GA6" i="4"/>
  <c r="FC6" i="4"/>
  <c r="FF6" i="4"/>
  <c r="FF8" i="4"/>
  <c r="FE8" i="4"/>
  <c r="GB8" i="4"/>
  <c r="FD8" i="4"/>
  <c r="GN9" i="4"/>
  <c r="HR9" i="4"/>
  <c r="I11" i="4"/>
  <c r="HX14" i="4"/>
  <c r="HT14" i="4"/>
  <c r="GR14" i="4"/>
  <c r="GN14" i="4"/>
  <c r="FP14" i="4"/>
  <c r="FL14" i="4"/>
  <c r="EN14" i="4"/>
  <c r="EJ14" i="4"/>
  <c r="DK14" i="4"/>
  <c r="DG14" i="4"/>
  <c r="CE14" i="4"/>
  <c r="CA14" i="4"/>
  <c r="BC14" i="4"/>
  <c r="AY14" i="4"/>
  <c r="AA14" i="4"/>
  <c r="W14" i="4"/>
  <c r="HV14" i="4"/>
  <c r="HQ14" i="4"/>
  <c r="GU14" i="4"/>
  <c r="GP14" i="4"/>
  <c r="FO14" i="4"/>
  <c r="EO14" i="4"/>
  <c r="EI14" i="4"/>
  <c r="DH14" i="4"/>
  <c r="CG14" i="4"/>
  <c r="CB14" i="4"/>
  <c r="BA14" i="4"/>
  <c r="AK14" i="4"/>
  <c r="Z14" i="4"/>
  <c r="U14" i="4"/>
  <c r="HU14" i="4"/>
  <c r="GT14" i="4"/>
  <c r="GO14" i="4"/>
  <c r="FN14" i="4"/>
  <c r="EM14" i="4"/>
  <c r="EH14" i="4"/>
  <c r="DF14" i="4"/>
  <c r="CF14" i="4"/>
  <c r="BE14" i="4"/>
  <c r="AZ14" i="4"/>
  <c r="Y14" i="4"/>
  <c r="HS14" i="4"/>
  <c r="GS14" i="4"/>
  <c r="FR14" i="4"/>
  <c r="FM14" i="4"/>
  <c r="EL14" i="4"/>
  <c r="DJ14" i="4"/>
  <c r="DE14" i="4"/>
  <c r="CD14" i="4"/>
  <c r="BD14" i="4"/>
  <c r="AX14" i="4"/>
  <c r="X14" i="4"/>
  <c r="DI14" i="4"/>
  <c r="EY2" i="4"/>
  <c r="FF4" i="4"/>
  <c r="FE4" i="4"/>
  <c r="GB4" i="4"/>
  <c r="GD4" i="4" s="1"/>
  <c r="FD4" i="4"/>
  <c r="FH4" i="4" s="1"/>
  <c r="HR5" i="4"/>
  <c r="I7" i="4"/>
  <c r="FC8" i="4"/>
  <c r="AX9" i="4"/>
  <c r="BF8" i="4" s="1"/>
  <c r="EJ9" i="4"/>
  <c r="BU12" i="4"/>
  <c r="CR12" i="4"/>
  <c r="BT12" i="4"/>
  <c r="CU12" i="4"/>
  <c r="CQ12" i="4"/>
  <c r="BS12" i="4"/>
  <c r="GB14" i="4"/>
  <c r="FD14" i="4"/>
  <c r="FE14" i="4"/>
  <c r="FC14" i="4"/>
  <c r="AL14" i="4"/>
  <c r="BB14" i="4"/>
  <c r="FK14" i="4"/>
  <c r="HW14" i="4"/>
  <c r="GA22" i="4"/>
  <c r="FC22" i="4"/>
  <c r="FE22" i="4"/>
  <c r="FF22" i="4"/>
  <c r="GB22" i="4"/>
  <c r="FD22" i="4"/>
  <c r="CU40" i="4"/>
  <c r="CQ40" i="4"/>
  <c r="BS40" i="4"/>
  <c r="BU40" i="4"/>
  <c r="CR40" i="4"/>
  <c r="BV40" i="4"/>
  <c r="BT40" i="4"/>
  <c r="HX2" i="4"/>
  <c r="HT2" i="4"/>
  <c r="GR2" i="4"/>
  <c r="GN2" i="4"/>
  <c r="FP2" i="4"/>
  <c r="FL2" i="4"/>
  <c r="EN2" i="4"/>
  <c r="EJ2" i="4"/>
  <c r="DK2" i="4"/>
  <c r="DG2" i="4"/>
  <c r="CE2" i="4"/>
  <c r="CA2" i="4"/>
  <c r="BC2" i="4"/>
  <c r="AY2" i="4"/>
  <c r="AA2" i="4"/>
  <c r="W2" i="4"/>
  <c r="HW2" i="4"/>
  <c r="GU2" i="4"/>
  <c r="GQ2" i="4"/>
  <c r="FO2" i="4"/>
  <c r="HS2" i="4"/>
  <c r="FK2" i="4"/>
  <c r="HV2" i="4"/>
  <c r="HR2" i="4"/>
  <c r="GT2" i="4"/>
  <c r="GP2" i="4"/>
  <c r="FR2" i="4"/>
  <c r="FN2" i="4"/>
  <c r="EL2" i="4"/>
  <c r="EH2" i="4"/>
  <c r="DI2" i="4"/>
  <c r="DE2" i="4"/>
  <c r="CG2" i="4"/>
  <c r="CC2" i="4"/>
  <c r="BE2" i="4"/>
  <c r="BA2" i="4"/>
  <c r="AK2" i="4"/>
  <c r="Y2" i="4"/>
  <c r="U2" i="4"/>
  <c r="AB2" i="4"/>
  <c r="AZ2" i="4"/>
  <c r="CF2" i="4"/>
  <c r="DD2" i="4"/>
  <c r="EC2" i="4"/>
  <c r="EK2" i="4"/>
  <c r="GO2" i="4"/>
  <c r="HU2" i="4"/>
  <c r="DX3" i="4"/>
  <c r="I3" i="4"/>
  <c r="EZ4" i="4"/>
  <c r="FC4" i="4"/>
  <c r="AX5" i="4"/>
  <c r="BF4" i="4" s="1"/>
  <c r="CB5" i="4"/>
  <c r="DF5" i="4"/>
  <c r="DN4" i="4" s="1"/>
  <c r="EJ5" i="4"/>
  <c r="FN5" i="4"/>
  <c r="GR5" i="4"/>
  <c r="X6" i="4"/>
  <c r="BD6" i="4"/>
  <c r="FM6" i="4"/>
  <c r="AN8" i="4"/>
  <c r="BU8" i="4"/>
  <c r="CR8" i="4"/>
  <c r="BT8" i="4"/>
  <c r="CU8" i="4"/>
  <c r="CQ8" i="4"/>
  <c r="BS8" i="4"/>
  <c r="X9" i="4"/>
  <c r="BB9" i="4"/>
  <c r="BJ8" i="4" s="1"/>
  <c r="CF9" i="4"/>
  <c r="DJ9" i="4"/>
  <c r="DR8" i="4" s="1"/>
  <c r="EN9" i="4"/>
  <c r="HX10" i="4"/>
  <c r="HT10" i="4"/>
  <c r="GR10" i="4"/>
  <c r="GN10" i="4"/>
  <c r="FP10" i="4"/>
  <c r="FL10" i="4"/>
  <c r="EN10" i="4"/>
  <c r="EJ10" i="4"/>
  <c r="DK10" i="4"/>
  <c r="DG10" i="4"/>
  <c r="CE10" i="4"/>
  <c r="CA10" i="4"/>
  <c r="BC10" i="4"/>
  <c r="AY10" i="4"/>
  <c r="AA10" i="4"/>
  <c r="W10" i="4"/>
  <c r="HW10" i="4"/>
  <c r="HS10" i="4"/>
  <c r="GU10" i="4"/>
  <c r="GQ10" i="4"/>
  <c r="FO10" i="4"/>
  <c r="FK10" i="4"/>
  <c r="EM10" i="4"/>
  <c r="EI10" i="4"/>
  <c r="DJ10" i="4"/>
  <c r="DF10" i="4"/>
  <c r="CH10" i="4"/>
  <c r="CD10" i="4"/>
  <c r="BB10" i="4"/>
  <c r="AX10" i="4"/>
  <c r="AL10" i="4"/>
  <c r="Z10" i="4"/>
  <c r="V10" i="4"/>
  <c r="HV10" i="4"/>
  <c r="HR10" i="4"/>
  <c r="GT10" i="4"/>
  <c r="GP10" i="4"/>
  <c r="FR10" i="4"/>
  <c r="FN10" i="4"/>
  <c r="EL10" i="4"/>
  <c r="EH10" i="4"/>
  <c r="DI10" i="4"/>
  <c r="DE10" i="4"/>
  <c r="CG10" i="4"/>
  <c r="CC10" i="4"/>
  <c r="BE10" i="4"/>
  <c r="BA10" i="4"/>
  <c r="AK10" i="4"/>
  <c r="Y10" i="4"/>
  <c r="U10" i="4"/>
  <c r="AB10" i="4"/>
  <c r="DD10" i="4"/>
  <c r="EK10" i="4"/>
  <c r="FQ10" i="4"/>
  <c r="BV12" i="4"/>
  <c r="V14" i="4"/>
  <c r="CC14" i="4"/>
  <c r="FQ14" i="4"/>
  <c r="HX16" i="4"/>
  <c r="HT16" i="4"/>
  <c r="GR16" i="4"/>
  <c r="GN16" i="4"/>
  <c r="FP16" i="4"/>
  <c r="FL16" i="4"/>
  <c r="EN16" i="4"/>
  <c r="EJ16" i="4"/>
  <c r="DK16" i="4"/>
  <c r="DG16" i="4"/>
  <c r="CE16" i="4"/>
  <c r="CA16" i="4"/>
  <c r="BC16" i="4"/>
  <c r="AY16" i="4"/>
  <c r="AA16" i="4"/>
  <c r="W16" i="4"/>
  <c r="HW16" i="4"/>
  <c r="HS16" i="4"/>
  <c r="GU16" i="4"/>
  <c r="GQ16" i="4"/>
  <c r="FO16" i="4"/>
  <c r="FK16" i="4"/>
  <c r="EM16" i="4"/>
  <c r="EI16" i="4"/>
  <c r="DJ16" i="4"/>
  <c r="DF16" i="4"/>
  <c r="CH16" i="4"/>
  <c r="CD16" i="4"/>
  <c r="BB16" i="4"/>
  <c r="AX16" i="4"/>
  <c r="AL16" i="4"/>
  <c r="Z16" i="4"/>
  <c r="V16" i="4"/>
  <c r="HV16" i="4"/>
  <c r="HR16" i="4"/>
  <c r="GT16" i="4"/>
  <c r="GP16" i="4"/>
  <c r="FR16" i="4"/>
  <c r="FN16" i="4"/>
  <c r="EL16" i="4"/>
  <c r="EH16" i="4"/>
  <c r="DI16" i="4"/>
  <c r="DE16" i="4"/>
  <c r="CG16" i="4"/>
  <c r="CC16" i="4"/>
  <c r="BE16" i="4"/>
  <c r="BA16" i="4"/>
  <c r="AK16" i="4"/>
  <c r="Y16" i="4"/>
  <c r="U16" i="4"/>
  <c r="GS16" i="4"/>
  <c r="FM16" i="4"/>
  <c r="BD16" i="4"/>
  <c r="X16" i="4"/>
  <c r="HU16" i="4"/>
  <c r="GO16" i="4"/>
  <c r="CF16" i="4"/>
  <c r="AZ16" i="4"/>
  <c r="HQ16" i="4"/>
  <c r="EO16" i="4"/>
  <c r="DH16" i="4"/>
  <c r="CB16" i="4"/>
  <c r="FQ16" i="4"/>
  <c r="GH37" i="4"/>
  <c r="GI37" i="4"/>
  <c r="HD37" i="4"/>
  <c r="GG37" i="4"/>
  <c r="GE5" i="4"/>
  <c r="EY5" i="4"/>
  <c r="FA4" i="4" s="1"/>
  <c r="EA5" i="4"/>
  <c r="EE4" i="4" s="1"/>
  <c r="EX5" i="4"/>
  <c r="DZ5" i="4"/>
  <c r="EC5" i="4"/>
  <c r="EB6" i="4"/>
  <c r="EY6" i="4"/>
  <c r="EA6" i="4"/>
  <c r="EX6" i="4"/>
  <c r="DZ6" i="4"/>
  <c r="FE6" i="4"/>
  <c r="HU9" i="4"/>
  <c r="HQ9" i="4"/>
  <c r="GU9" i="4"/>
  <c r="HC8" i="4" s="1"/>
  <c r="GQ9" i="4"/>
  <c r="GY8" i="4" s="1"/>
  <c r="FQ9" i="4"/>
  <c r="FM9" i="4"/>
  <c r="EM9" i="4"/>
  <c r="EI9" i="4"/>
  <c r="DI9" i="4"/>
  <c r="DE9" i="4"/>
  <c r="CE9" i="4"/>
  <c r="CA9" i="4"/>
  <c r="BE9" i="4"/>
  <c r="BA9" i="4"/>
  <c r="AA9" i="4"/>
  <c r="W9" i="4"/>
  <c r="HX9" i="4"/>
  <c r="HT9" i="4"/>
  <c r="GT9" i="4"/>
  <c r="GP9" i="4"/>
  <c r="FP9" i="4"/>
  <c r="FL9" i="4"/>
  <c r="EL9" i="4"/>
  <c r="EH9" i="4"/>
  <c r="DH9" i="4"/>
  <c r="DD9" i="4"/>
  <c r="CH9" i="4"/>
  <c r="CP8" i="4" s="1"/>
  <c r="CD9" i="4"/>
  <c r="CL8" i="4" s="1"/>
  <c r="BR9" i="4"/>
  <c r="BD9" i="4"/>
  <c r="AZ9" i="4"/>
  <c r="AL9" i="4"/>
  <c r="Z9" i="4"/>
  <c r="AH8" i="4" s="1"/>
  <c r="V9" i="4"/>
  <c r="AD8" i="4" s="1"/>
  <c r="R8" i="4"/>
  <c r="HW9" i="4"/>
  <c r="IE8" i="4" s="1"/>
  <c r="HS9" i="4"/>
  <c r="IA8" i="4" s="1"/>
  <c r="GS9" i="4"/>
  <c r="GO9" i="4"/>
  <c r="FO9" i="4"/>
  <c r="FW8" i="4" s="1"/>
  <c r="FK9" i="4"/>
  <c r="FS8" i="4" s="1"/>
  <c r="EO9" i="4"/>
  <c r="EK9" i="4"/>
  <c r="DK9" i="4"/>
  <c r="DG9" i="4"/>
  <c r="CG9" i="4"/>
  <c r="CC9" i="4"/>
  <c r="BC9" i="4"/>
  <c r="AY9" i="4"/>
  <c r="AK9" i="4"/>
  <c r="Y9" i="4"/>
  <c r="U9" i="4"/>
  <c r="HR14" i="4"/>
  <c r="EA2" i="4"/>
  <c r="HU5" i="4"/>
  <c r="HQ5" i="4"/>
  <c r="GU5" i="4"/>
  <c r="HC4" i="4" s="1"/>
  <c r="GQ5" i="4"/>
  <c r="GY4" i="4" s="1"/>
  <c r="FQ5" i="4"/>
  <c r="FM5" i="4"/>
  <c r="EM5" i="4"/>
  <c r="EU4" i="4" s="1"/>
  <c r="EI5" i="4"/>
  <c r="EQ4" i="4" s="1"/>
  <c r="DI5" i="4"/>
  <c r="DE5" i="4"/>
  <c r="CE5" i="4"/>
  <c r="CA5" i="4"/>
  <c r="BE5" i="4"/>
  <c r="BA5" i="4"/>
  <c r="AA5" i="4"/>
  <c r="W5" i="4"/>
  <c r="HX5" i="4"/>
  <c r="HT5" i="4"/>
  <c r="GT5" i="4"/>
  <c r="GP5" i="4"/>
  <c r="FP5" i="4"/>
  <c r="FL5" i="4"/>
  <c r="EL5" i="4"/>
  <c r="EH5" i="4"/>
  <c r="DH5" i="4"/>
  <c r="DD5" i="4"/>
  <c r="CH5" i="4"/>
  <c r="CP4" i="4" s="1"/>
  <c r="CD5" i="4"/>
  <c r="CL4" i="4" s="1"/>
  <c r="BR5" i="4"/>
  <c r="BD5" i="4"/>
  <c r="AZ5" i="4"/>
  <c r="AL5" i="4"/>
  <c r="Z5" i="4"/>
  <c r="AH4" i="4" s="1"/>
  <c r="V5" i="4"/>
  <c r="AD4" i="4" s="1"/>
  <c r="R4" i="4"/>
  <c r="HW5" i="4"/>
  <c r="IE4" i="4" s="1"/>
  <c r="HS5" i="4"/>
  <c r="IA4" i="4" s="1"/>
  <c r="GS5" i="4"/>
  <c r="GO5" i="4"/>
  <c r="FO5" i="4"/>
  <c r="FW4" i="4" s="1"/>
  <c r="FK5" i="4"/>
  <c r="FS4" i="4" s="1"/>
  <c r="EO5" i="4"/>
  <c r="EK5" i="4"/>
  <c r="DK5" i="4"/>
  <c r="DG5" i="4"/>
  <c r="CG5" i="4"/>
  <c r="CC5" i="4"/>
  <c r="BC5" i="4"/>
  <c r="AY5" i="4"/>
  <c r="AK5" i="4"/>
  <c r="Y5" i="4"/>
  <c r="U5" i="4"/>
  <c r="EB5" i="4"/>
  <c r="GN5" i="4"/>
  <c r="CB9" i="4"/>
  <c r="DF9" i="4"/>
  <c r="DN8" i="4" s="1"/>
  <c r="FN9" i="4"/>
  <c r="GR9" i="4"/>
  <c r="HV9" i="4"/>
  <c r="AN12" i="4"/>
  <c r="GB2" i="4"/>
  <c r="FD2" i="4"/>
  <c r="GA2" i="4"/>
  <c r="FF2" i="4"/>
  <c r="CQ2" i="4"/>
  <c r="BS2" i="4"/>
  <c r="BU2" i="4"/>
  <c r="FC2" i="4"/>
  <c r="AN4" i="4"/>
  <c r="BU4" i="4"/>
  <c r="CR4" i="4"/>
  <c r="BT4" i="4"/>
  <c r="CU4" i="4"/>
  <c r="CQ4" i="4"/>
  <c r="BS4" i="4"/>
  <c r="X5" i="4"/>
  <c r="BB5" i="4"/>
  <c r="BJ4" i="4" s="1"/>
  <c r="CF5" i="4"/>
  <c r="DJ5" i="4"/>
  <c r="DR4" i="4" s="1"/>
  <c r="EN5" i="4"/>
  <c r="FR5" i="4"/>
  <c r="HX6" i="4"/>
  <c r="HT6" i="4"/>
  <c r="GR6" i="4"/>
  <c r="GN6" i="4"/>
  <c r="FP6" i="4"/>
  <c r="FL6" i="4"/>
  <c r="EN6" i="4"/>
  <c r="EJ6" i="4"/>
  <c r="DK6" i="4"/>
  <c r="DG6" i="4"/>
  <c r="CE6" i="4"/>
  <c r="CA6" i="4"/>
  <c r="BC6" i="4"/>
  <c r="AY6" i="4"/>
  <c r="AA6" i="4"/>
  <c r="W6" i="4"/>
  <c r="HW6" i="4"/>
  <c r="HS6" i="4"/>
  <c r="GU6" i="4"/>
  <c r="GQ6" i="4"/>
  <c r="FO6" i="4"/>
  <c r="FK6" i="4"/>
  <c r="EM6" i="4"/>
  <c r="EI6" i="4"/>
  <c r="DJ6" i="4"/>
  <c r="DF6" i="4"/>
  <c r="CH6" i="4"/>
  <c r="CD6" i="4"/>
  <c r="BR6" i="4"/>
  <c r="BB6" i="4"/>
  <c r="AX6" i="4"/>
  <c r="AL6" i="4"/>
  <c r="Z6" i="4"/>
  <c r="V6" i="4"/>
  <c r="HV6" i="4"/>
  <c r="HR6" i="4"/>
  <c r="GT6" i="4"/>
  <c r="GP6" i="4"/>
  <c r="FR6" i="4"/>
  <c r="FN6" i="4"/>
  <c r="EL6" i="4"/>
  <c r="EH6" i="4"/>
  <c r="DI6" i="4"/>
  <c r="DE6" i="4"/>
  <c r="CG6" i="4"/>
  <c r="CC6" i="4"/>
  <c r="BE6" i="4"/>
  <c r="BA6" i="4"/>
  <c r="AK6" i="4"/>
  <c r="Y6" i="4"/>
  <c r="U6" i="4"/>
  <c r="AB6" i="4"/>
  <c r="DD6" i="4"/>
  <c r="EK6" i="4"/>
  <c r="FQ6" i="4"/>
  <c r="ID8" i="4"/>
  <c r="GA8" i="4"/>
  <c r="AB9" i="4"/>
  <c r="GE9" i="4"/>
  <c r="EY9" i="4"/>
  <c r="FA8" i="4" s="1"/>
  <c r="EA9" i="4"/>
  <c r="EE8" i="4" s="1"/>
  <c r="EX9" i="4"/>
  <c r="EZ8" i="4" s="1"/>
  <c r="DZ9" i="4"/>
  <c r="EC9" i="4"/>
  <c r="GB10" i="4"/>
  <c r="FD10" i="4"/>
  <c r="GA10" i="4"/>
  <c r="FC10" i="4"/>
  <c r="FF10" i="4"/>
  <c r="EB10" i="4"/>
  <c r="EY10" i="4"/>
  <c r="EA10" i="4"/>
  <c r="EX10" i="4"/>
  <c r="DZ10" i="4"/>
  <c r="FE10" i="4"/>
  <c r="FF12" i="4"/>
  <c r="FE12" i="4"/>
  <c r="GB12" i="4"/>
  <c r="FD12" i="4"/>
  <c r="AB14" i="4"/>
  <c r="CH14" i="4"/>
  <c r="DD14" i="4"/>
  <c r="EK14" i="4"/>
  <c r="GQ14" i="4"/>
  <c r="EX25" i="4"/>
  <c r="DZ25" i="4"/>
  <c r="EC25" i="4"/>
  <c r="GE25" i="4"/>
  <c r="EY25" i="4"/>
  <c r="EB25" i="4"/>
  <c r="EA25" i="4"/>
  <c r="S4" i="4"/>
  <c r="W4" i="4"/>
  <c r="AA4" i="4"/>
  <c r="AI4" i="4" s="1"/>
  <c r="AY4" i="4"/>
  <c r="BG4" i="4" s="1"/>
  <c r="BC4" i="4"/>
  <c r="BK4" i="4" s="1"/>
  <c r="CA4" i="4"/>
  <c r="CE4" i="4"/>
  <c r="CM4" i="4" s="1"/>
  <c r="DG4" i="4"/>
  <c r="DO4" i="4" s="1"/>
  <c r="DK4" i="4"/>
  <c r="DS4" i="4" s="1"/>
  <c r="EB4" i="4"/>
  <c r="EJ4" i="4"/>
  <c r="ER4" i="4" s="1"/>
  <c r="EN4" i="4"/>
  <c r="EV4" i="4" s="1"/>
  <c r="FL4" i="4"/>
  <c r="FP4" i="4"/>
  <c r="FX4" i="4" s="1"/>
  <c r="GN4" i="4"/>
  <c r="GR4" i="4"/>
  <c r="HT4" i="4"/>
  <c r="HX4" i="4"/>
  <c r="IF4" i="4" s="1"/>
  <c r="S8" i="4"/>
  <c r="W8" i="4"/>
  <c r="AA8" i="4"/>
  <c r="AY8" i="4"/>
  <c r="BG8" i="4" s="1"/>
  <c r="BC8" i="4"/>
  <c r="BK8" i="4" s="1"/>
  <c r="CA8" i="4"/>
  <c r="CE8" i="4"/>
  <c r="CM8" i="4" s="1"/>
  <c r="DG8" i="4"/>
  <c r="DO8" i="4" s="1"/>
  <c r="DK8" i="4"/>
  <c r="DS8" i="4" s="1"/>
  <c r="EB8" i="4"/>
  <c r="EF8" i="4" s="1"/>
  <c r="EJ8" i="4"/>
  <c r="EN8" i="4"/>
  <c r="EV8" i="4" s="1"/>
  <c r="FL8" i="4"/>
  <c r="FT8" i="4" s="1"/>
  <c r="FP8" i="4"/>
  <c r="FX8" i="4" s="1"/>
  <c r="GN8" i="4"/>
  <c r="GR8" i="4"/>
  <c r="GZ8" i="4" s="1"/>
  <c r="HT8" i="4"/>
  <c r="IB8" i="4" s="1"/>
  <c r="HX8" i="4"/>
  <c r="IF8" i="4" s="1"/>
  <c r="S12" i="4"/>
  <c r="W12" i="4"/>
  <c r="AA12" i="4"/>
  <c r="AY12" i="4"/>
  <c r="BC12" i="4"/>
  <c r="CA12" i="4"/>
  <c r="CE12" i="4"/>
  <c r="DG12" i="4"/>
  <c r="DK12" i="4"/>
  <c r="EB12" i="4"/>
  <c r="EJ12" i="4"/>
  <c r="EN12" i="4"/>
  <c r="EV12" i="4" s="1"/>
  <c r="FL12" i="4"/>
  <c r="FT12" i="4" s="1"/>
  <c r="FP12" i="4"/>
  <c r="GN12" i="4"/>
  <c r="GR12" i="4"/>
  <c r="Y13" i="4"/>
  <c r="AL13" i="4"/>
  <c r="AX13" i="4"/>
  <c r="BF12" i="4" s="1"/>
  <c r="BC13" i="4"/>
  <c r="BR13" i="4"/>
  <c r="CB13" i="4"/>
  <c r="CG13" i="4"/>
  <c r="DF13" i="4"/>
  <c r="DN12" i="4" s="1"/>
  <c r="DK13" i="4"/>
  <c r="EJ13" i="4"/>
  <c r="EO13" i="4"/>
  <c r="FN13" i="4"/>
  <c r="GR13" i="4"/>
  <c r="AS14" i="4"/>
  <c r="EA14" i="4"/>
  <c r="GB16" i="4"/>
  <c r="FD16" i="4"/>
  <c r="GA16" i="4"/>
  <c r="FC16" i="4"/>
  <c r="FF16" i="4"/>
  <c r="EB16" i="4"/>
  <c r="EY16" i="4"/>
  <c r="EA16" i="4"/>
  <c r="EX16" i="4"/>
  <c r="DZ16" i="4"/>
  <c r="FE16" i="4"/>
  <c r="FF18" i="4"/>
  <c r="FE18" i="4"/>
  <c r="GB18" i="4"/>
  <c r="FD18" i="4"/>
  <c r="X19" i="4"/>
  <c r="BB19" i="4"/>
  <c r="CF19" i="4"/>
  <c r="DJ19" i="4"/>
  <c r="EN19" i="4"/>
  <c r="FR19" i="4"/>
  <c r="HW20" i="4"/>
  <c r="HS20" i="4"/>
  <c r="GU20" i="4"/>
  <c r="GQ20" i="4"/>
  <c r="HX20" i="4"/>
  <c r="HR20" i="4"/>
  <c r="GR20" i="4"/>
  <c r="FP20" i="4"/>
  <c r="FL20" i="4"/>
  <c r="EN20" i="4"/>
  <c r="EJ20" i="4"/>
  <c r="DK20" i="4"/>
  <c r="DG20" i="4"/>
  <c r="CE20" i="4"/>
  <c r="CA20" i="4"/>
  <c r="BC20" i="4"/>
  <c r="AY20" i="4"/>
  <c r="AA20" i="4"/>
  <c r="W20" i="4"/>
  <c r="HV20" i="4"/>
  <c r="HQ20" i="4"/>
  <c r="GP20" i="4"/>
  <c r="FO20" i="4"/>
  <c r="FK20" i="4"/>
  <c r="EM20" i="4"/>
  <c r="EI20" i="4"/>
  <c r="DJ20" i="4"/>
  <c r="DF20" i="4"/>
  <c r="CH20" i="4"/>
  <c r="CD20" i="4"/>
  <c r="BR20" i="4"/>
  <c r="BB20" i="4"/>
  <c r="AX20" i="4"/>
  <c r="AL20" i="4"/>
  <c r="Z20" i="4"/>
  <c r="V20" i="4"/>
  <c r="HU20" i="4"/>
  <c r="GT20" i="4"/>
  <c r="GO20" i="4"/>
  <c r="FR20" i="4"/>
  <c r="FN20" i="4"/>
  <c r="EL20" i="4"/>
  <c r="EH20" i="4"/>
  <c r="DI20" i="4"/>
  <c r="DE20" i="4"/>
  <c r="CG20" i="4"/>
  <c r="CC20" i="4"/>
  <c r="BE20" i="4"/>
  <c r="BA20" i="4"/>
  <c r="AK20" i="4"/>
  <c r="Y20" i="4"/>
  <c r="U20" i="4"/>
  <c r="AB20" i="4"/>
  <c r="DD20" i="4"/>
  <c r="EK20" i="4"/>
  <c r="FQ20" i="4"/>
  <c r="AQ23" i="4"/>
  <c r="T4" i="4"/>
  <c r="X4" i="4"/>
  <c r="AB4" i="4"/>
  <c r="AJ4" i="4" s="1"/>
  <c r="AZ4" i="4"/>
  <c r="BH4" i="4" s="1"/>
  <c r="BD4" i="4"/>
  <c r="CB4" i="4"/>
  <c r="CF4" i="4"/>
  <c r="CN4" i="4" s="1"/>
  <c r="DD4" i="4"/>
  <c r="DL4" i="4" s="1"/>
  <c r="DH4" i="4"/>
  <c r="DP4" i="4" s="1"/>
  <c r="EC4" i="4"/>
  <c r="EK4" i="4"/>
  <c r="EO4" i="4"/>
  <c r="EW4" i="4" s="1"/>
  <c r="FM4" i="4"/>
  <c r="FU4" i="4" s="1"/>
  <c r="FQ4" i="4"/>
  <c r="GO4" i="4"/>
  <c r="GS4" i="4"/>
  <c r="HA4" i="4" s="1"/>
  <c r="HQ4" i="4"/>
  <c r="HY4" i="4" s="1"/>
  <c r="HU4" i="4"/>
  <c r="T8" i="4"/>
  <c r="X8" i="4"/>
  <c r="AF8" i="4" s="1"/>
  <c r="AB8" i="4"/>
  <c r="AJ8" i="4" s="1"/>
  <c r="AZ8" i="4"/>
  <c r="BD8" i="4"/>
  <c r="BL8" i="4" s="1"/>
  <c r="CB8" i="4"/>
  <c r="CJ8" i="4" s="1"/>
  <c r="CF8" i="4"/>
  <c r="CN8" i="4" s="1"/>
  <c r="DD8" i="4"/>
  <c r="DH8" i="4"/>
  <c r="DP8" i="4" s="1"/>
  <c r="EC8" i="4"/>
  <c r="EK8" i="4"/>
  <c r="EO8" i="4"/>
  <c r="FM8" i="4"/>
  <c r="FU8" i="4" s="1"/>
  <c r="FQ8" i="4"/>
  <c r="FY8" i="4" s="1"/>
  <c r="GO8" i="4"/>
  <c r="GS8" i="4"/>
  <c r="HQ8" i="4"/>
  <c r="HY8" i="4" s="1"/>
  <c r="HU8" i="4"/>
  <c r="IC8" i="4" s="1"/>
  <c r="HV12" i="4"/>
  <c r="ID12" i="4" s="1"/>
  <c r="HR12" i="4"/>
  <c r="X12" i="4"/>
  <c r="AF12" i="4" s="1"/>
  <c r="AB12" i="4"/>
  <c r="AZ12" i="4"/>
  <c r="BD12" i="4"/>
  <c r="CB12" i="4"/>
  <c r="CJ12" i="4" s="1"/>
  <c r="CF12" i="4"/>
  <c r="CN12" i="4" s="1"/>
  <c r="DD12" i="4"/>
  <c r="DL12" i="4" s="1"/>
  <c r="DH12" i="4"/>
  <c r="EC12" i="4"/>
  <c r="EG12" i="4" s="1"/>
  <c r="EK12" i="4"/>
  <c r="ES12" i="4" s="1"/>
  <c r="EO12" i="4"/>
  <c r="EW12" i="4" s="1"/>
  <c r="FM12" i="4"/>
  <c r="FQ12" i="4"/>
  <c r="FY12" i="4" s="1"/>
  <c r="GO12" i="4"/>
  <c r="GS12" i="4"/>
  <c r="HQ12" i="4"/>
  <c r="HW12" i="4"/>
  <c r="IE12" i="4" s="1"/>
  <c r="HU13" i="4"/>
  <c r="IC12" i="4" s="1"/>
  <c r="HQ13" i="4"/>
  <c r="GU13" i="4"/>
  <c r="HC12" i="4" s="1"/>
  <c r="GQ13" i="4"/>
  <c r="GY12" i="4" s="1"/>
  <c r="FQ13" i="4"/>
  <c r="FM13" i="4"/>
  <c r="EM13" i="4"/>
  <c r="EU12" i="4" s="1"/>
  <c r="EI13" i="4"/>
  <c r="EQ12" i="4" s="1"/>
  <c r="DI13" i="4"/>
  <c r="DE13" i="4"/>
  <c r="CE13" i="4"/>
  <c r="CA13" i="4"/>
  <c r="BE13" i="4"/>
  <c r="BA13" i="4"/>
  <c r="AA13" i="4"/>
  <c r="W13" i="4"/>
  <c r="U13" i="4"/>
  <c r="Z13" i="4"/>
  <c r="AH12" i="4" s="1"/>
  <c r="AY13" i="4"/>
  <c r="BD13" i="4"/>
  <c r="CC13" i="4"/>
  <c r="CH13" i="4"/>
  <c r="CP12" i="4" s="1"/>
  <c r="DG13" i="4"/>
  <c r="EK13" i="4"/>
  <c r="FO13" i="4"/>
  <c r="FW12" i="4" s="1"/>
  <c r="GN13" i="4"/>
  <c r="GS13" i="4"/>
  <c r="HR13" i="4"/>
  <c r="HW13" i="4"/>
  <c r="BO14" i="4"/>
  <c r="AQ14" i="4"/>
  <c r="I17" i="4"/>
  <c r="GE19" i="4"/>
  <c r="EY19" i="4"/>
  <c r="EA19" i="4"/>
  <c r="EX19" i="4"/>
  <c r="DZ19" i="4"/>
  <c r="EC19" i="4"/>
  <c r="GB20" i="4"/>
  <c r="FD20" i="4"/>
  <c r="GA20" i="4"/>
  <c r="FC20" i="4"/>
  <c r="FF20" i="4"/>
  <c r="CB20" i="4"/>
  <c r="DH20" i="4"/>
  <c r="EB20" i="4"/>
  <c r="EY20" i="4"/>
  <c r="EA20" i="4"/>
  <c r="EX20" i="4"/>
  <c r="DZ20" i="4"/>
  <c r="EO20" i="4"/>
  <c r="FE20" i="4"/>
  <c r="GN20" i="4"/>
  <c r="Q4" i="4"/>
  <c r="U4" i="4"/>
  <c r="AC4" i="4" s="1"/>
  <c r="Y4" i="4"/>
  <c r="AK4" i="4"/>
  <c r="BA4" i="4"/>
  <c r="BI4" i="4" s="1"/>
  <c r="BE4" i="4"/>
  <c r="CC4" i="4"/>
  <c r="CG4" i="4"/>
  <c r="CO4" i="4" s="1"/>
  <c r="DE4" i="4"/>
  <c r="DM4" i="4" s="1"/>
  <c r="DI4" i="4"/>
  <c r="DZ4" i="4"/>
  <c r="EH4" i="4"/>
  <c r="EP4" i="4" s="1"/>
  <c r="EL4" i="4"/>
  <c r="FN4" i="4"/>
  <c r="FR4" i="4"/>
  <c r="FZ4" i="4" s="1"/>
  <c r="GP4" i="4"/>
  <c r="GX4" i="4" s="1"/>
  <c r="GT4" i="4"/>
  <c r="HR4" i="4"/>
  <c r="Q8" i="4"/>
  <c r="U8" i="4"/>
  <c r="AC8" i="4" s="1"/>
  <c r="Y8" i="4"/>
  <c r="AK8" i="4"/>
  <c r="BA8" i="4"/>
  <c r="BI8" i="4" s="1"/>
  <c r="BE8" i="4"/>
  <c r="CC8" i="4"/>
  <c r="CG8" i="4"/>
  <c r="CO8" i="4" s="1"/>
  <c r="DE8" i="4"/>
  <c r="DM8" i="4" s="1"/>
  <c r="DI8" i="4"/>
  <c r="DZ8" i="4"/>
  <c r="EH8" i="4"/>
  <c r="EP8" i="4" s="1"/>
  <c r="EL8" i="4"/>
  <c r="ET8" i="4" s="1"/>
  <c r="FN8" i="4"/>
  <c r="FR8" i="4"/>
  <c r="FZ8" i="4" s="1"/>
  <c r="GP8" i="4"/>
  <c r="GX8" i="4" s="1"/>
  <c r="GT8" i="4"/>
  <c r="HB8" i="4" s="1"/>
  <c r="HR8" i="4"/>
  <c r="U12" i="4"/>
  <c r="AC12" i="4" s="1"/>
  <c r="Y12" i="4"/>
  <c r="AG12" i="4" s="1"/>
  <c r="AK12" i="4"/>
  <c r="AM12" i="4" s="1"/>
  <c r="BA12" i="4"/>
  <c r="BI12" i="4" s="1"/>
  <c r="BE12" i="4"/>
  <c r="BM12" i="4" s="1"/>
  <c r="CC12" i="4"/>
  <c r="CG12" i="4"/>
  <c r="CO12" i="4" s="1"/>
  <c r="DE12" i="4"/>
  <c r="DM12" i="4" s="1"/>
  <c r="DI12" i="4"/>
  <c r="DQ12" i="4" s="1"/>
  <c r="DZ12" i="4"/>
  <c r="EH12" i="4"/>
  <c r="EP12" i="4" s="1"/>
  <c r="EL12" i="4"/>
  <c r="FN12" i="4"/>
  <c r="FV12" i="4" s="1"/>
  <c r="FR12" i="4"/>
  <c r="FZ12" i="4" s="1"/>
  <c r="GP12" i="4"/>
  <c r="GX12" i="4" s="1"/>
  <c r="GT12" i="4"/>
  <c r="HS12" i="4"/>
  <c r="IA12" i="4" s="1"/>
  <c r="HX12" i="4"/>
  <c r="IF12" i="4" s="1"/>
  <c r="V13" i="4"/>
  <c r="AD12" i="4" s="1"/>
  <c r="AB13" i="4"/>
  <c r="AZ13" i="4"/>
  <c r="CD13" i="4"/>
  <c r="CL12" i="4" s="1"/>
  <c r="DH13" i="4"/>
  <c r="EL13" i="4"/>
  <c r="FK13" i="4"/>
  <c r="FS12" i="4" s="1"/>
  <c r="FP13" i="4"/>
  <c r="GO13" i="4"/>
  <c r="GT13" i="4"/>
  <c r="HS13" i="4"/>
  <c r="HX13" i="4"/>
  <c r="AP14" i="4"/>
  <c r="EY14" i="4"/>
  <c r="HU19" i="4"/>
  <c r="HQ19" i="4"/>
  <c r="GU19" i="4"/>
  <c r="GQ19" i="4"/>
  <c r="FQ19" i="4"/>
  <c r="FM19" i="4"/>
  <c r="EM19" i="4"/>
  <c r="EI19" i="4"/>
  <c r="DI19" i="4"/>
  <c r="DE19" i="4"/>
  <c r="CE19" i="4"/>
  <c r="CA19" i="4"/>
  <c r="BE19" i="4"/>
  <c r="BA19" i="4"/>
  <c r="AA19" i="4"/>
  <c r="W19" i="4"/>
  <c r="HX19" i="4"/>
  <c r="HT19" i="4"/>
  <c r="GT19" i="4"/>
  <c r="GP19" i="4"/>
  <c r="FP19" i="4"/>
  <c r="FL19" i="4"/>
  <c r="EL19" i="4"/>
  <c r="EH19" i="4"/>
  <c r="DH19" i="4"/>
  <c r="DD19" i="4"/>
  <c r="CH19" i="4"/>
  <c r="CD19" i="4"/>
  <c r="BR19" i="4"/>
  <c r="BD19" i="4"/>
  <c r="AZ19" i="4"/>
  <c r="AL19" i="4"/>
  <c r="Z19" i="4"/>
  <c r="V19" i="4"/>
  <c r="HW19" i="4"/>
  <c r="HS19" i="4"/>
  <c r="GS19" i="4"/>
  <c r="GO19" i="4"/>
  <c r="FO19" i="4"/>
  <c r="FK19" i="4"/>
  <c r="EO19" i="4"/>
  <c r="EK19" i="4"/>
  <c r="DK19" i="4"/>
  <c r="DG19" i="4"/>
  <c r="CG19" i="4"/>
  <c r="CC19" i="4"/>
  <c r="BC19" i="4"/>
  <c r="AY19" i="4"/>
  <c r="AK19" i="4"/>
  <c r="Y19" i="4"/>
  <c r="U19" i="4"/>
  <c r="GN19" i="4"/>
  <c r="HR19" i="4"/>
  <c r="EB23" i="4"/>
  <c r="EX23" i="4"/>
  <c r="DZ23" i="4"/>
  <c r="EC23" i="4"/>
  <c r="EA23" i="4"/>
  <c r="FE28" i="4"/>
  <c r="GB28" i="4"/>
  <c r="FD28" i="4"/>
  <c r="GA28" i="4"/>
  <c r="FC28" i="4"/>
  <c r="EN29" i="4"/>
  <c r="I22" i="4"/>
  <c r="EY26" i="4"/>
  <c r="EA26" i="4"/>
  <c r="EX26" i="4"/>
  <c r="DZ26" i="4"/>
  <c r="EC26" i="4"/>
  <c r="EB26" i="4"/>
  <c r="BB29" i="4"/>
  <c r="DJ29" i="4"/>
  <c r="GE31" i="4"/>
  <c r="EY31" i="4"/>
  <c r="EA31" i="4"/>
  <c r="DZ31" i="4"/>
  <c r="EC31" i="4"/>
  <c r="EX31" i="4"/>
  <c r="EB31" i="4"/>
  <c r="I24" i="4"/>
  <c r="AR28" i="4"/>
  <c r="BO28" i="4"/>
  <c r="AQ28" i="4"/>
  <c r="AS28" i="4"/>
  <c r="BN28" i="4"/>
  <c r="AP28" i="4"/>
  <c r="HX29" i="4"/>
  <c r="HT29" i="4"/>
  <c r="GT29" i="4"/>
  <c r="GP29" i="4"/>
  <c r="FP29" i="4"/>
  <c r="FL29" i="4"/>
  <c r="EL29" i="4"/>
  <c r="EH29" i="4"/>
  <c r="DH29" i="4"/>
  <c r="DD29" i="4"/>
  <c r="CH29" i="4"/>
  <c r="CD29" i="4"/>
  <c r="BR29" i="4"/>
  <c r="BD29" i="4"/>
  <c r="AZ29" i="4"/>
  <c r="AL29" i="4"/>
  <c r="Z29" i="4"/>
  <c r="V29" i="4"/>
  <c r="HW29" i="4"/>
  <c r="HS29" i="4"/>
  <c r="GS29" i="4"/>
  <c r="GO29" i="4"/>
  <c r="FO29" i="4"/>
  <c r="FK29" i="4"/>
  <c r="EO29" i="4"/>
  <c r="EK29" i="4"/>
  <c r="DK29" i="4"/>
  <c r="DG29" i="4"/>
  <c r="CG29" i="4"/>
  <c r="CC29" i="4"/>
  <c r="BC29" i="4"/>
  <c r="AY29" i="4"/>
  <c r="AK29" i="4"/>
  <c r="Y29" i="4"/>
  <c r="U29" i="4"/>
  <c r="HQ29" i="4"/>
  <c r="GU29" i="4"/>
  <c r="FQ29" i="4"/>
  <c r="EM29" i="4"/>
  <c r="DI29" i="4"/>
  <c r="CE29" i="4"/>
  <c r="BA29" i="4"/>
  <c r="W29" i="4"/>
  <c r="HV29" i="4"/>
  <c r="GR29" i="4"/>
  <c r="FN29" i="4"/>
  <c r="EJ29" i="4"/>
  <c r="DF29" i="4"/>
  <c r="CB29" i="4"/>
  <c r="AX29" i="4"/>
  <c r="AB29" i="4"/>
  <c r="HU29" i="4"/>
  <c r="GQ29" i="4"/>
  <c r="FM29" i="4"/>
  <c r="EI29" i="4"/>
  <c r="DE29" i="4"/>
  <c r="CA29" i="4"/>
  <c r="BE29" i="4"/>
  <c r="AA29" i="4"/>
  <c r="GH29" i="4"/>
  <c r="HE29" i="4"/>
  <c r="GG29" i="4"/>
  <c r="GI29" i="4"/>
  <c r="GF29" i="4"/>
  <c r="FR29" i="4"/>
  <c r="V23" i="4"/>
  <c r="Z23" i="4"/>
  <c r="AL23" i="4"/>
  <c r="AZ23" i="4"/>
  <c r="BD23" i="4"/>
  <c r="BR23" i="4"/>
  <c r="CD23" i="4"/>
  <c r="CH23" i="4"/>
  <c r="DD23" i="4"/>
  <c r="DH23" i="4"/>
  <c r="EH23" i="4"/>
  <c r="EL23" i="4"/>
  <c r="FL23" i="4"/>
  <c r="FP23" i="4"/>
  <c r="GP23" i="4"/>
  <c r="GT23" i="4"/>
  <c r="HT23" i="4"/>
  <c r="HX23" i="4"/>
  <c r="Y25" i="4"/>
  <c r="AX25" i="4"/>
  <c r="BC25" i="4"/>
  <c r="CB25" i="4"/>
  <c r="CG25" i="4"/>
  <c r="DF25" i="4"/>
  <c r="DK25" i="4"/>
  <c r="EJ25" i="4"/>
  <c r="EO25" i="4"/>
  <c r="FN25" i="4"/>
  <c r="GR25" i="4"/>
  <c r="HQ25" i="4"/>
  <c r="I26" i="4"/>
  <c r="Y26" i="4"/>
  <c r="AZ26" i="4"/>
  <c r="BE26" i="4"/>
  <c r="CA26" i="4"/>
  <c r="CF26" i="4"/>
  <c r="DK26" i="4"/>
  <c r="EJ26" i="4"/>
  <c r="FP26" i="4"/>
  <c r="GN26" i="4"/>
  <c r="HT26" i="4"/>
  <c r="EY29" i="4"/>
  <c r="X30" i="4"/>
  <c r="BD30" i="4"/>
  <c r="BL30" i="4" s="1"/>
  <c r="CB30" i="4"/>
  <c r="DG30" i="4"/>
  <c r="GO30" i="4"/>
  <c r="GB32" i="4"/>
  <c r="FD32" i="4"/>
  <c r="GA32" i="4"/>
  <c r="FF32" i="4"/>
  <c r="FE32" i="4"/>
  <c r="FC32" i="4"/>
  <c r="HX25" i="4"/>
  <c r="HT25" i="4"/>
  <c r="GT25" i="4"/>
  <c r="GP25" i="4"/>
  <c r="FP25" i="4"/>
  <c r="FL25" i="4"/>
  <c r="EL25" i="4"/>
  <c r="EH25" i="4"/>
  <c r="DH25" i="4"/>
  <c r="DD25" i="4"/>
  <c r="CH25" i="4"/>
  <c r="CD25" i="4"/>
  <c r="BR25" i="4"/>
  <c r="BD25" i="4"/>
  <c r="AZ25" i="4"/>
  <c r="AL25" i="4"/>
  <c r="Z25" i="4"/>
  <c r="V25" i="4"/>
  <c r="U25" i="4"/>
  <c r="AA25" i="4"/>
  <c r="AY25" i="4"/>
  <c r="BE25" i="4"/>
  <c r="CC25" i="4"/>
  <c r="DG25" i="4"/>
  <c r="EK25" i="4"/>
  <c r="FO25" i="4"/>
  <c r="GN25" i="4"/>
  <c r="GS25" i="4"/>
  <c r="HR25" i="4"/>
  <c r="HW25" i="4"/>
  <c r="EX37" i="4"/>
  <c r="DZ37" i="4"/>
  <c r="EA37" i="4"/>
  <c r="EC37" i="4"/>
  <c r="EY37" i="4"/>
  <c r="EB37" i="4"/>
  <c r="U26" i="4"/>
  <c r="AA26" i="4"/>
  <c r="AK26" i="4"/>
  <c r="BA26" i="4"/>
  <c r="CB26" i="4"/>
  <c r="CG26" i="4"/>
  <c r="DD26" i="4"/>
  <c r="EK26" i="4"/>
  <c r="FQ26" i="4"/>
  <c r="GO26" i="4"/>
  <c r="I27" i="4"/>
  <c r="EX29" i="4"/>
  <c r="DZ29" i="4"/>
  <c r="EC29" i="4"/>
  <c r="AA30" i="4"/>
  <c r="AY30" i="4"/>
  <c r="CE30" i="4"/>
  <c r="DK30" i="4"/>
  <c r="EH30" i="4"/>
  <c r="FN30" i="4"/>
  <c r="X23" i="4"/>
  <c r="AB23" i="4"/>
  <c r="AX23" i="4"/>
  <c r="BB23" i="4"/>
  <c r="CB23" i="4"/>
  <c r="CF23" i="4"/>
  <c r="DF23" i="4"/>
  <c r="DJ23" i="4"/>
  <c r="EJ23" i="4"/>
  <c r="EN23" i="4"/>
  <c r="FN23" i="4"/>
  <c r="FR23" i="4"/>
  <c r="GN23" i="4"/>
  <c r="GR23" i="4"/>
  <c r="HR23" i="4"/>
  <c r="W25" i="4"/>
  <c r="AB25" i="4"/>
  <c r="BA25" i="4"/>
  <c r="CE25" i="4"/>
  <c r="DI25" i="4"/>
  <c r="EM25" i="4"/>
  <c r="FK25" i="4"/>
  <c r="FQ25" i="4"/>
  <c r="GO25" i="4"/>
  <c r="GU25" i="4"/>
  <c r="HS25" i="4"/>
  <c r="HW26" i="4"/>
  <c r="HS26" i="4"/>
  <c r="GU26" i="4"/>
  <c r="GQ26" i="4"/>
  <c r="FO26" i="4"/>
  <c r="FK26" i="4"/>
  <c r="EM26" i="4"/>
  <c r="EI26" i="4"/>
  <c r="DJ26" i="4"/>
  <c r="DF26" i="4"/>
  <c r="CH26" i="4"/>
  <c r="CD26" i="4"/>
  <c r="BR26" i="4"/>
  <c r="BB26" i="4"/>
  <c r="AX26" i="4"/>
  <c r="AL26" i="4"/>
  <c r="Z26" i="4"/>
  <c r="V26" i="4"/>
  <c r="HV26" i="4"/>
  <c r="HR26" i="4"/>
  <c r="GT26" i="4"/>
  <c r="GP26" i="4"/>
  <c r="FR26" i="4"/>
  <c r="FN26" i="4"/>
  <c r="EL26" i="4"/>
  <c r="EH26" i="4"/>
  <c r="DI26" i="4"/>
  <c r="DE26" i="4"/>
  <c r="W26" i="4"/>
  <c r="AB26" i="4"/>
  <c r="BC26" i="4"/>
  <c r="CC26" i="4"/>
  <c r="DG26" i="4"/>
  <c r="EN26" i="4"/>
  <c r="FL26" i="4"/>
  <c r="GR26" i="4"/>
  <c r="HX26" i="4"/>
  <c r="EA29" i="4"/>
  <c r="HV30" i="4"/>
  <c r="ID30" i="4" s="1"/>
  <c r="HR30" i="4"/>
  <c r="HU30" i="4"/>
  <c r="GR30" i="4"/>
  <c r="GN30" i="4"/>
  <c r="FP30" i="4"/>
  <c r="FL30" i="4"/>
  <c r="EN30" i="4"/>
  <c r="EV30" i="4" s="1"/>
  <c r="EJ30" i="4"/>
  <c r="ER30" i="4" s="1"/>
  <c r="HT30" i="4"/>
  <c r="GU30" i="4"/>
  <c r="GQ30" i="4"/>
  <c r="FO30" i="4"/>
  <c r="FW30" i="4" s="1"/>
  <c r="FK30" i="4"/>
  <c r="FS30" i="4" s="1"/>
  <c r="EM30" i="4"/>
  <c r="EI30" i="4"/>
  <c r="DJ30" i="4"/>
  <c r="DF30" i="4"/>
  <c r="CH30" i="4"/>
  <c r="HW30" i="4"/>
  <c r="GS30" i="4"/>
  <c r="HA30" i="4" s="1"/>
  <c r="FM30" i="4"/>
  <c r="EO30" i="4"/>
  <c r="DI30" i="4"/>
  <c r="DD30" i="4"/>
  <c r="CD30" i="4"/>
  <c r="CL30" i="4" s="1"/>
  <c r="BR30" i="4"/>
  <c r="BB30" i="4"/>
  <c r="AX30" i="4"/>
  <c r="AL30" i="4"/>
  <c r="Z30" i="4"/>
  <c r="V30" i="4"/>
  <c r="AD30" i="4" s="1"/>
  <c r="HS30" i="4"/>
  <c r="IA30" i="4" s="1"/>
  <c r="GP30" i="4"/>
  <c r="FR30" i="4"/>
  <c r="EL30" i="4"/>
  <c r="ET30" i="4" s="1"/>
  <c r="DH30" i="4"/>
  <c r="CG30" i="4"/>
  <c r="CC30" i="4"/>
  <c r="CK30" i="4" s="1"/>
  <c r="BE30" i="4"/>
  <c r="BA30" i="4"/>
  <c r="AK30" i="4"/>
  <c r="Y30" i="4"/>
  <c r="U30" i="4"/>
  <c r="AC30" i="4" s="1"/>
  <c r="AB30" i="4"/>
  <c r="AZ30" i="4"/>
  <c r="BH30" i="4" s="1"/>
  <c r="CF30" i="4"/>
  <c r="EK30" i="4"/>
  <c r="ES30" i="4" s="1"/>
  <c r="FQ30" i="4"/>
  <c r="HQ30" i="4"/>
  <c r="HY30" i="4" s="1"/>
  <c r="HU31" i="4"/>
  <c r="HQ31" i="4"/>
  <c r="GU31" i="4"/>
  <c r="GQ31" i="4"/>
  <c r="FQ31" i="4"/>
  <c r="FM31" i="4"/>
  <c r="EM31" i="4"/>
  <c r="EI31" i="4"/>
  <c r="DI31" i="4"/>
  <c r="DE31" i="4"/>
  <c r="DM30" i="4" s="1"/>
  <c r="CE31" i="4"/>
  <c r="CA31" i="4"/>
  <c r="CI30" i="4" s="1"/>
  <c r="BE31" i="4"/>
  <c r="BA31" i="4"/>
  <c r="AA31" i="4"/>
  <c r="W31" i="4"/>
  <c r="AE30" i="4" s="1"/>
  <c r="S30" i="4"/>
  <c r="HV31" i="4"/>
  <c r="GR31" i="4"/>
  <c r="FN31" i="4"/>
  <c r="EO31" i="4"/>
  <c r="EJ31" i="4"/>
  <c r="DK31" i="4"/>
  <c r="DF31" i="4"/>
  <c r="CG31" i="4"/>
  <c r="CB31" i="4"/>
  <c r="BR31" i="4"/>
  <c r="BC31" i="4"/>
  <c r="BK30" i="4" s="1"/>
  <c r="AX31" i="4"/>
  <c r="AL31" i="4"/>
  <c r="Y31" i="4"/>
  <c r="HT31" i="4"/>
  <c r="GP31" i="4"/>
  <c r="FR31" i="4"/>
  <c r="FL31" i="4"/>
  <c r="EN31" i="4"/>
  <c r="EH31" i="4"/>
  <c r="DJ31" i="4"/>
  <c r="DD31" i="4"/>
  <c r="CF31" i="4"/>
  <c r="BB31" i="4"/>
  <c r="AK31" i="4"/>
  <c r="X31" i="4"/>
  <c r="Z31" i="4"/>
  <c r="AY31" i="4"/>
  <c r="CH31" i="4"/>
  <c r="DG31" i="4"/>
  <c r="FO31" i="4"/>
  <c r="GN31" i="4"/>
  <c r="HW31" i="4"/>
  <c r="BO32" i="4"/>
  <c r="AQ32" i="4"/>
  <c r="BN32" i="4"/>
  <c r="AS32" i="4"/>
  <c r="AR32" i="4"/>
  <c r="BN34" i="4"/>
  <c r="AP34" i="4"/>
  <c r="AR34" i="4"/>
  <c r="BO34" i="4"/>
  <c r="AS34" i="4"/>
  <c r="AQ34" i="4"/>
  <c r="AB31" i="4"/>
  <c r="AZ31" i="4"/>
  <c r="DH31" i="4"/>
  <c r="FP31" i="4"/>
  <c r="GO31" i="4"/>
  <c r="HX31" i="4"/>
  <c r="IF30" i="4" s="1"/>
  <c r="AP32" i="4"/>
  <c r="EB32" i="4"/>
  <c r="EA32" i="4"/>
  <c r="DZ32" i="4"/>
  <c r="I33" i="4"/>
  <c r="I36" i="4"/>
  <c r="HX32" i="4"/>
  <c r="HT32" i="4"/>
  <c r="GR32" i="4"/>
  <c r="GN32" i="4"/>
  <c r="FP32" i="4"/>
  <c r="FL32" i="4"/>
  <c r="EN32" i="4"/>
  <c r="EJ32" i="4"/>
  <c r="DK32" i="4"/>
  <c r="DG32" i="4"/>
  <c r="CE32" i="4"/>
  <c r="CA32" i="4"/>
  <c r="BC32" i="4"/>
  <c r="AY32" i="4"/>
  <c r="AA32" i="4"/>
  <c r="W32" i="4"/>
  <c r="V32" i="4"/>
  <c r="AB32" i="4"/>
  <c r="AL32" i="4"/>
  <c r="BB32" i="4"/>
  <c r="BR32" i="4"/>
  <c r="CC32" i="4"/>
  <c r="CH32" i="4"/>
  <c r="DD32" i="4"/>
  <c r="DI32" i="4"/>
  <c r="EK32" i="4"/>
  <c r="FK32" i="4"/>
  <c r="FQ32" i="4"/>
  <c r="GQ32" i="4"/>
  <c r="HR32" i="4"/>
  <c r="HW32" i="4"/>
  <c r="EY38" i="4"/>
  <c r="EA38" i="4"/>
  <c r="EX38" i="4"/>
  <c r="EC38" i="4"/>
  <c r="EB38" i="4"/>
  <c r="DZ38" i="4"/>
  <c r="X32" i="4"/>
  <c r="AX32" i="4"/>
  <c r="BD32" i="4"/>
  <c r="CD32" i="4"/>
  <c r="DE32" i="4"/>
  <c r="DJ32" i="4"/>
  <c r="EL32" i="4"/>
  <c r="FM32" i="4"/>
  <c r="FR32" i="4"/>
  <c r="GS32" i="4"/>
  <c r="HS32" i="4"/>
  <c r="I34" i="4"/>
  <c r="I35" i="4"/>
  <c r="AC38" i="4"/>
  <c r="CK38" i="4"/>
  <c r="HX37" i="4"/>
  <c r="HT37" i="4"/>
  <c r="GT37" i="4"/>
  <c r="GP37" i="4"/>
  <c r="FP37" i="4"/>
  <c r="FL37" i="4"/>
  <c r="EL37" i="4"/>
  <c r="EH37" i="4"/>
  <c r="DH37" i="4"/>
  <c r="DD37" i="4"/>
  <c r="CH37" i="4"/>
  <c r="CD37" i="4"/>
  <c r="BR37" i="4"/>
  <c r="BD37" i="4"/>
  <c r="AZ37" i="4"/>
  <c r="AL37" i="4"/>
  <c r="Z37" i="4"/>
  <c r="V37" i="4"/>
  <c r="HV37" i="4"/>
  <c r="HQ37" i="4"/>
  <c r="GR37" i="4"/>
  <c r="FN37" i="4"/>
  <c r="EO37" i="4"/>
  <c r="EJ37" i="4"/>
  <c r="DK37" i="4"/>
  <c r="DF37" i="4"/>
  <c r="CG37" i="4"/>
  <c r="CB37" i="4"/>
  <c r="BC37" i="4"/>
  <c r="AX37" i="4"/>
  <c r="Y37" i="4"/>
  <c r="HU37" i="4"/>
  <c r="GQ37" i="4"/>
  <c r="FR37" i="4"/>
  <c r="FM37" i="4"/>
  <c r="EN37" i="4"/>
  <c r="EI37" i="4"/>
  <c r="DJ37" i="4"/>
  <c r="DE37" i="4"/>
  <c r="CF37" i="4"/>
  <c r="CA37" i="4"/>
  <c r="BB37" i="4"/>
  <c r="AK37" i="4"/>
  <c r="X37" i="4"/>
  <c r="AA37" i="4"/>
  <c r="AY37" i="4"/>
  <c r="DG37" i="4"/>
  <c r="FO37" i="4"/>
  <c r="GN37" i="4"/>
  <c r="HW37" i="4"/>
  <c r="HX38" i="4"/>
  <c r="IF38" i="4" s="1"/>
  <c r="HT38" i="4"/>
  <c r="GR38" i="4"/>
  <c r="GN38" i="4"/>
  <c r="GV38" i="4" s="1"/>
  <c r="HW38" i="4"/>
  <c r="IE38" i="4" s="1"/>
  <c r="HS38" i="4"/>
  <c r="GU38" i="4"/>
  <c r="GQ38" i="4"/>
  <c r="GY38" i="4" s="1"/>
  <c r="FO38" i="4"/>
  <c r="FW38" i="4" s="1"/>
  <c r="FK38" i="4"/>
  <c r="EM38" i="4"/>
  <c r="EI38" i="4"/>
  <c r="EQ38" i="4" s="1"/>
  <c r="DJ38" i="4"/>
  <c r="DR38" i="4" s="1"/>
  <c r="DF38" i="4"/>
  <c r="CH38" i="4"/>
  <c r="CD38" i="4"/>
  <c r="CL38" i="4" s="1"/>
  <c r="BR38" i="4"/>
  <c r="BB38" i="4"/>
  <c r="AX38" i="4"/>
  <c r="AL38" i="4"/>
  <c r="Z38" i="4"/>
  <c r="V38" i="4"/>
  <c r="R38" i="4"/>
  <c r="HQ38" i="4"/>
  <c r="GS38" i="4"/>
  <c r="FP38" i="4"/>
  <c r="FX38" i="4" s="1"/>
  <c r="HV38" i="4"/>
  <c r="GP38" i="4"/>
  <c r="GX38" i="4" s="1"/>
  <c r="FN38" i="4"/>
  <c r="EN38" i="4"/>
  <c r="EH38" i="4"/>
  <c r="DG38" i="4"/>
  <c r="CF38" i="4"/>
  <c r="CA38" i="4"/>
  <c r="BE38" i="4"/>
  <c r="AZ38" i="4"/>
  <c r="BH38" i="4" s="1"/>
  <c r="Y38" i="4"/>
  <c r="HU38" i="4"/>
  <c r="GO38" i="4"/>
  <c r="GW38" i="4" s="1"/>
  <c r="FR38" i="4"/>
  <c r="FZ38" i="4" s="1"/>
  <c r="FM38" i="4"/>
  <c r="EL38" i="4"/>
  <c r="DK38" i="4"/>
  <c r="DS38" i="4" s="1"/>
  <c r="DE38" i="4"/>
  <c r="CE38" i="4"/>
  <c r="BD38" i="4"/>
  <c r="AY38" i="4"/>
  <c r="X38" i="4"/>
  <c r="W38" i="4"/>
  <c r="BC38" i="4"/>
  <c r="BK38" i="4" s="1"/>
  <c r="DD38" i="4"/>
  <c r="DL38" i="4" s="1"/>
  <c r="EK38" i="4"/>
  <c r="T38" i="4"/>
  <c r="EB40" i="4"/>
  <c r="EF40" i="4" s="1"/>
  <c r="EX40" i="4"/>
  <c r="EC40" i="4"/>
  <c r="EY40" i="4"/>
  <c r="FA40" i="4" s="1"/>
  <c r="EA40" i="4"/>
  <c r="DZ40" i="4"/>
  <c r="HW39" i="4"/>
  <c r="HS39" i="4"/>
  <c r="GS39" i="4"/>
  <c r="GO39" i="4"/>
  <c r="FO39" i="4"/>
  <c r="FK39" i="4"/>
  <c r="EO39" i="4"/>
  <c r="EW38" i="4" s="1"/>
  <c r="EK39" i="4"/>
  <c r="DK39" i="4"/>
  <c r="DG39" i="4"/>
  <c r="CG39" i="4"/>
  <c r="CO38" i="4" s="1"/>
  <c r="CC39" i="4"/>
  <c r="BC39" i="4"/>
  <c r="AY39" i="4"/>
  <c r="AK39" i="4"/>
  <c r="AM38" i="4" s="1"/>
  <c r="Y39" i="4"/>
  <c r="HV39" i="4"/>
  <c r="HQ39" i="4"/>
  <c r="GR39" i="4"/>
  <c r="FN39" i="4"/>
  <c r="EJ39" i="4"/>
  <c r="ER38" i="4" s="1"/>
  <c r="DF39" i="4"/>
  <c r="CH39" i="4"/>
  <c r="CB39" i="4"/>
  <c r="CJ38" i="4" s="1"/>
  <c r="BD39" i="4"/>
  <c r="AX39" i="4"/>
  <c r="Z39" i="4"/>
  <c r="U39" i="4"/>
  <c r="HU39" i="4"/>
  <c r="GQ39" i="4"/>
  <c r="FR39" i="4"/>
  <c r="FM39" i="4"/>
  <c r="EN39" i="4"/>
  <c r="EI39" i="4"/>
  <c r="DJ39" i="4"/>
  <c r="DE39" i="4"/>
  <c r="CF39" i="4"/>
  <c r="CA39" i="4"/>
  <c r="BR39" i="4"/>
  <c r="BB39" i="4"/>
  <c r="AL39" i="4"/>
  <c r="X39" i="4"/>
  <c r="V39" i="4"/>
  <c r="BE39" i="4"/>
  <c r="CD39" i="4"/>
  <c r="EL39" i="4"/>
  <c r="GT39" i="4"/>
  <c r="HB38" i="4" s="1"/>
  <c r="HR39" i="4"/>
  <c r="HZ38" i="4" s="1"/>
  <c r="I39" i="4"/>
  <c r="W39" i="4"/>
  <c r="CE39" i="4"/>
  <c r="DD39" i="4"/>
  <c r="EM39" i="4"/>
  <c r="FL39" i="4"/>
  <c r="FT38" i="4" s="1"/>
  <c r="GU39" i="4"/>
  <c r="HT39" i="4"/>
  <c r="S40" i="4"/>
  <c r="FZ40" i="4"/>
  <c r="HU41" i="4"/>
  <c r="HQ41" i="4"/>
  <c r="GU41" i="4"/>
  <c r="GQ41" i="4"/>
  <c r="GY40" i="4" s="1"/>
  <c r="HX41" i="4"/>
  <c r="HT41" i="4"/>
  <c r="GT41" i="4"/>
  <c r="GP41" i="4"/>
  <c r="GX40" i="4" s="1"/>
  <c r="FP41" i="4"/>
  <c r="FL41" i="4"/>
  <c r="EL41" i="4"/>
  <c r="ET40" i="4" s="1"/>
  <c r="EH41" i="4"/>
  <c r="DH41" i="4"/>
  <c r="DP40" i="4" s="1"/>
  <c r="DD41" i="4"/>
  <c r="CH41" i="4"/>
  <c r="CD41" i="4"/>
  <c r="CL40" i="4" s="1"/>
  <c r="BR41" i="4"/>
  <c r="BD41" i="4"/>
  <c r="BL40" i="4" s="1"/>
  <c r="AZ41" i="4"/>
  <c r="AL41" i="4"/>
  <c r="AN40" i="4" s="1"/>
  <c r="Z41" i="4"/>
  <c r="AH40" i="4" s="1"/>
  <c r="V41" i="4"/>
  <c r="AD40" i="4" s="1"/>
  <c r="R40" i="4"/>
  <c r="HW41" i="4"/>
  <c r="HS41" i="4"/>
  <c r="IA40" i="4" s="1"/>
  <c r="GS41" i="4"/>
  <c r="GO41" i="4"/>
  <c r="FO41" i="4"/>
  <c r="FW40" i="4" s="1"/>
  <c r="FK41" i="4"/>
  <c r="EO41" i="4"/>
  <c r="EK41" i="4"/>
  <c r="ES40" i="4" s="1"/>
  <c r="DK41" i="4"/>
  <c r="DG41" i="4"/>
  <c r="CG41" i="4"/>
  <c r="CO40" i="4" s="1"/>
  <c r="CC41" i="4"/>
  <c r="CK40" i="4" s="1"/>
  <c r="BC41" i="4"/>
  <c r="AY41" i="4"/>
  <c r="AK41" i="4"/>
  <c r="Y41" i="4"/>
  <c r="U41" i="4"/>
  <c r="HR41" i="4"/>
  <c r="HZ40" i="4" s="1"/>
  <c r="GN41" i="4"/>
  <c r="FN41" i="4"/>
  <c r="EJ41" i="4"/>
  <c r="DF41" i="4"/>
  <c r="CB41" i="4"/>
  <c r="AX41" i="4"/>
  <c r="AB41" i="4"/>
  <c r="GR41" i="4"/>
  <c r="FM41" i="4"/>
  <c r="FU40" i="4" s="1"/>
  <c r="EN41" i="4"/>
  <c r="DE41" i="4"/>
  <c r="DM40" i="4" s="1"/>
  <c r="CF41" i="4"/>
  <c r="X41" i="4"/>
  <c r="AF40" i="4" s="1"/>
  <c r="HV41" i="4"/>
  <c r="EM41" i="4"/>
  <c r="CE41" i="4"/>
  <c r="BE41" i="4"/>
  <c r="W41" i="4"/>
  <c r="FR41" i="4"/>
  <c r="EI41" i="4"/>
  <c r="EQ40" i="4" s="1"/>
  <c r="DJ41" i="4"/>
  <c r="CA41" i="4"/>
  <c r="BB41" i="4"/>
  <c r="FQ41" i="4"/>
  <c r="GE41" i="4"/>
  <c r="EX41" i="4"/>
  <c r="DZ41" i="4"/>
  <c r="EC41" i="4"/>
  <c r="EA41" i="4"/>
  <c r="T40" i="4"/>
  <c r="AJ40" i="4"/>
  <c r="AA41" i="4"/>
  <c r="DI41" i="4"/>
  <c r="DQ40" i="4" s="1"/>
  <c r="HX40" i="4"/>
  <c r="IF40" i="4" s="1"/>
  <c r="HT40" i="4"/>
  <c r="IB40" i="4" s="1"/>
  <c r="GR40" i="4"/>
  <c r="GN40" i="4"/>
  <c r="GV40" i="4" s="1"/>
  <c r="FP40" i="4"/>
  <c r="FX40" i="4" s="1"/>
  <c r="FL40" i="4"/>
  <c r="FT40" i="4" s="1"/>
  <c r="EN40" i="4"/>
  <c r="EJ40" i="4"/>
  <c r="DK40" i="4"/>
  <c r="DS40" i="4" s="1"/>
  <c r="DG40" i="4"/>
  <c r="CE40" i="4"/>
  <c r="CA40" i="4"/>
  <c r="BC40" i="4"/>
  <c r="BK40" i="4" s="1"/>
  <c r="AY40" i="4"/>
  <c r="AA40" i="4"/>
  <c r="AI40" i="4" s="1"/>
  <c r="HU40" i="4"/>
  <c r="GT40" i="4"/>
  <c r="GO40" i="4"/>
  <c r="FN40" i="4"/>
  <c r="EM40" i="4"/>
  <c r="EU40" i="4" s="1"/>
  <c r="EH40" i="4"/>
  <c r="EP40" i="4" s="1"/>
  <c r="DF40" i="4"/>
  <c r="DN40" i="4" s="1"/>
  <c r="CF40" i="4"/>
  <c r="BE40" i="4"/>
  <c r="BM40" i="4" s="1"/>
  <c r="AZ40" i="4"/>
  <c r="Y40" i="4"/>
  <c r="U40" i="4"/>
  <c r="W40" i="4"/>
  <c r="AE40" i="4" s="1"/>
  <c r="AK40" i="4"/>
  <c r="AM40" i="4" s="1"/>
  <c r="AX40" i="4"/>
  <c r="CB40" i="4"/>
  <c r="CJ40" i="4" s="1"/>
  <c r="CH40" i="4"/>
  <c r="DD40" i="4"/>
  <c r="DL40" i="4" s="1"/>
  <c r="DJ40" i="4"/>
  <c r="EO40" i="4"/>
  <c r="EW40" i="4" s="1"/>
  <c r="GB40" i="4"/>
  <c r="FD40" i="4"/>
  <c r="FC40" i="4"/>
  <c r="FQ40" i="4"/>
  <c r="GS40" i="4"/>
  <c r="HA40" i="4" s="1"/>
  <c r="HV40" i="4"/>
  <c r="BO40" i="4"/>
  <c r="AQ40" i="4"/>
  <c r="AS40" i="4"/>
  <c r="BN40" i="4"/>
  <c r="FS40" i="4"/>
  <c r="GU40" i="4"/>
  <c r="HQ40" i="4"/>
  <c r="HW40" i="4"/>
  <c r="BJ40" i="4"/>
  <c r="GA17" i="3"/>
  <c r="EY35" i="3"/>
  <c r="EC35" i="3"/>
  <c r="EY25" i="3"/>
  <c r="DZ25" i="3"/>
  <c r="EY15" i="3"/>
  <c r="EY31" i="3"/>
  <c r="CJ16" i="3"/>
  <c r="DJ6" i="3"/>
  <c r="FR6" i="3"/>
  <c r="HV6" i="3"/>
  <c r="CB10" i="3"/>
  <c r="CJ10" i="3" s="1"/>
  <c r="HW11" i="3"/>
  <c r="V18" i="3"/>
  <c r="BB18" i="3"/>
  <c r="CH18" i="3"/>
  <c r="EL18" i="3"/>
  <c r="GT18" i="3"/>
  <c r="W31" i="3"/>
  <c r="BA31" i="3"/>
  <c r="DE31" i="3"/>
  <c r="EJ31" i="3"/>
  <c r="FN31" i="3"/>
  <c r="HR31" i="3"/>
  <c r="GT34" i="3"/>
  <c r="HS35" i="3"/>
  <c r="BD38" i="3"/>
  <c r="FR38" i="3"/>
  <c r="P11" i="3"/>
  <c r="DF11" i="3"/>
  <c r="GS11" i="3"/>
  <c r="CF15" i="3"/>
  <c r="EO15" i="3"/>
  <c r="O31" i="3"/>
  <c r="CE31" i="3"/>
  <c r="GR31" i="3"/>
  <c r="DJ35" i="3"/>
  <c r="Z6" i="3"/>
  <c r="EN10" i="3"/>
  <c r="AB11" i="3"/>
  <c r="DJ15" i="3"/>
  <c r="FK15" i="3"/>
  <c r="AF16" i="3"/>
  <c r="AL6" i="3"/>
  <c r="CD6" i="3"/>
  <c r="EH6" i="3"/>
  <c r="GP6" i="3"/>
  <c r="P10" i="3"/>
  <c r="AX11" i="3"/>
  <c r="X15" i="3"/>
  <c r="Z18" i="3"/>
  <c r="BV18" i="3"/>
  <c r="DF18" i="3"/>
  <c r="FN18" i="3"/>
  <c r="AC24" i="3"/>
  <c r="AA31" i="3"/>
  <c r="BE31" i="3"/>
  <c r="DI31" i="3"/>
  <c r="EN31" i="3"/>
  <c r="FR31" i="3"/>
  <c r="HV31" i="3"/>
  <c r="CB38" i="3"/>
  <c r="GA4" i="3"/>
  <c r="FC4" i="3"/>
  <c r="FE4" i="3"/>
  <c r="EY8" i="3"/>
  <c r="EA8" i="3"/>
  <c r="EX8" i="3"/>
  <c r="DZ8" i="3"/>
  <c r="ED8" i="3" s="1"/>
  <c r="EC8" i="3"/>
  <c r="I13" i="3"/>
  <c r="N2" i="3"/>
  <c r="V2" i="3"/>
  <c r="BB2" i="3"/>
  <c r="EL2" i="3"/>
  <c r="ET2" i="3" s="1"/>
  <c r="GP2" i="3"/>
  <c r="GX2" i="3" s="1"/>
  <c r="HV2" i="3"/>
  <c r="N3" i="3"/>
  <c r="Z3" i="3"/>
  <c r="BD3" i="3"/>
  <c r="CH3" i="3"/>
  <c r="DD3" i="3"/>
  <c r="EI3" i="3"/>
  <c r="FM3" i="3"/>
  <c r="GQ3" i="3"/>
  <c r="HU3" i="3"/>
  <c r="BT4" i="3"/>
  <c r="CR4" i="3"/>
  <c r="I7" i="3"/>
  <c r="EB8" i="3"/>
  <c r="EB9" i="3"/>
  <c r="EX9" i="3"/>
  <c r="DZ9" i="3"/>
  <c r="EC9" i="3"/>
  <c r="EA9" i="3"/>
  <c r="EX11" i="3"/>
  <c r="DZ11" i="3"/>
  <c r="EB11" i="3"/>
  <c r="EY11" i="3"/>
  <c r="EC11" i="3"/>
  <c r="EA11" i="3"/>
  <c r="HU14" i="3"/>
  <c r="HQ14" i="3"/>
  <c r="GS14" i="3"/>
  <c r="GO14" i="3"/>
  <c r="GW14" i="3" s="1"/>
  <c r="FQ14" i="3"/>
  <c r="FM14" i="3"/>
  <c r="EO14" i="3"/>
  <c r="EW14" i="3" s="1"/>
  <c r="EK14" i="3"/>
  <c r="DI14" i="3"/>
  <c r="DE14" i="3"/>
  <c r="CG14" i="3"/>
  <c r="CC14" i="3"/>
  <c r="CK14" i="3" s="1"/>
  <c r="BE14" i="3"/>
  <c r="BA14" i="3"/>
  <c r="AK14" i="3"/>
  <c r="Y14" i="3"/>
  <c r="U14" i="3"/>
  <c r="M14" i="3"/>
  <c r="HW14" i="3"/>
  <c r="HS14" i="3"/>
  <c r="IA14" i="3" s="1"/>
  <c r="GU14" i="3"/>
  <c r="GQ14" i="3"/>
  <c r="FO14" i="3"/>
  <c r="FK14" i="3"/>
  <c r="FS14" i="3" s="1"/>
  <c r="EM14" i="3"/>
  <c r="EI14" i="3"/>
  <c r="DK14" i="3"/>
  <c r="DG14" i="3"/>
  <c r="CE14" i="3"/>
  <c r="CA14" i="3"/>
  <c r="BC14" i="3"/>
  <c r="AY14" i="3"/>
  <c r="AA14" i="3"/>
  <c r="W14" i="3"/>
  <c r="O14" i="3"/>
  <c r="HR14" i="3"/>
  <c r="GT14" i="3"/>
  <c r="FN14" i="3"/>
  <c r="EH14" i="3"/>
  <c r="DJ14" i="3"/>
  <c r="CD14" i="3"/>
  <c r="AX14" i="3"/>
  <c r="Z14" i="3"/>
  <c r="AH14" i="3" s="1"/>
  <c r="HX14" i="3"/>
  <c r="GR14" i="3"/>
  <c r="FL14" i="3"/>
  <c r="EN14" i="3"/>
  <c r="DH14" i="3"/>
  <c r="CB14" i="3"/>
  <c r="CJ14" i="3" s="1"/>
  <c r="BD14" i="3"/>
  <c r="X14" i="3"/>
  <c r="P14" i="3"/>
  <c r="HV14" i="3"/>
  <c r="GP14" i="3"/>
  <c r="FR14" i="3"/>
  <c r="EL14" i="3"/>
  <c r="DF14" i="3"/>
  <c r="CH14" i="3"/>
  <c r="BB14" i="3"/>
  <c r="BJ14" i="3" s="1"/>
  <c r="AL14" i="3"/>
  <c r="V14" i="3"/>
  <c r="N14" i="3"/>
  <c r="DD14" i="3"/>
  <c r="FP14" i="3"/>
  <c r="P2" i="3"/>
  <c r="DH2" i="3"/>
  <c r="P3" i="3"/>
  <c r="AB3" i="3"/>
  <c r="AX3" i="3"/>
  <c r="CB3" i="3"/>
  <c r="DF3" i="3"/>
  <c r="FF4" i="3"/>
  <c r="I5" i="3"/>
  <c r="BU6" i="3"/>
  <c r="CR6" i="3"/>
  <c r="BT6" i="3"/>
  <c r="CQ6" i="3"/>
  <c r="BS6" i="3"/>
  <c r="AZ14" i="3"/>
  <c r="CF14" i="3"/>
  <c r="CN14" i="3" s="1"/>
  <c r="HV20" i="3"/>
  <c r="HR20" i="3"/>
  <c r="GT20" i="3"/>
  <c r="GP20" i="3"/>
  <c r="FR20" i="3"/>
  <c r="FN20" i="3"/>
  <c r="HX20" i="3"/>
  <c r="HT20" i="3"/>
  <c r="GR20" i="3"/>
  <c r="GN20" i="3"/>
  <c r="FP20" i="3"/>
  <c r="FL20" i="3"/>
  <c r="EN20" i="3"/>
  <c r="EJ20" i="3"/>
  <c r="DH20" i="3"/>
  <c r="DD20" i="3"/>
  <c r="CF20" i="3"/>
  <c r="CB20" i="3"/>
  <c r="BD20" i="3"/>
  <c r="AZ20" i="3"/>
  <c r="HW20" i="3"/>
  <c r="GQ20" i="3"/>
  <c r="FK20" i="3"/>
  <c r="EL20" i="3"/>
  <c r="DK20" i="3"/>
  <c r="DF20" i="3"/>
  <c r="CE20" i="3"/>
  <c r="BE20" i="3"/>
  <c r="AY20" i="3"/>
  <c r="AA20" i="3"/>
  <c r="W20" i="3"/>
  <c r="O20" i="3"/>
  <c r="HU20" i="3"/>
  <c r="GO20" i="3"/>
  <c r="FQ20" i="3"/>
  <c r="EK20" i="3"/>
  <c r="DJ20" i="3"/>
  <c r="DE20" i="3"/>
  <c r="CD20" i="3"/>
  <c r="BC20" i="3"/>
  <c r="AX20" i="3"/>
  <c r="Z20" i="3"/>
  <c r="V20" i="3"/>
  <c r="N20" i="3"/>
  <c r="HS20" i="3"/>
  <c r="GU20" i="3"/>
  <c r="FO20" i="3"/>
  <c r="EO20" i="3"/>
  <c r="EI20" i="3"/>
  <c r="DI20" i="3"/>
  <c r="CH20" i="3"/>
  <c r="CC20" i="3"/>
  <c r="BB20" i="3"/>
  <c r="AL20" i="3"/>
  <c r="Y20" i="3"/>
  <c r="U20" i="3"/>
  <c r="M20" i="3"/>
  <c r="CG20" i="3"/>
  <c r="X20" i="3"/>
  <c r="GS20" i="3"/>
  <c r="FM20" i="3"/>
  <c r="EM20" i="3"/>
  <c r="CA20" i="3"/>
  <c r="AK20" i="3"/>
  <c r="HQ20" i="3"/>
  <c r="EH20" i="3"/>
  <c r="BA20" i="3"/>
  <c r="P20" i="3"/>
  <c r="HU2" i="3"/>
  <c r="HQ2" i="3"/>
  <c r="GS2" i="3"/>
  <c r="HA2" i="3" s="1"/>
  <c r="GO2" i="3"/>
  <c r="FQ2" i="3"/>
  <c r="FM2" i="3"/>
  <c r="FU2" i="3" s="1"/>
  <c r="EO2" i="3"/>
  <c r="EW2" i="3" s="1"/>
  <c r="EK2" i="3"/>
  <c r="ES2" i="3" s="1"/>
  <c r="DI2" i="3"/>
  <c r="DE2" i="3"/>
  <c r="CG2" i="3"/>
  <c r="CO2" i="3" s="1"/>
  <c r="CC2" i="3"/>
  <c r="CK2" i="3" s="1"/>
  <c r="BE2" i="3"/>
  <c r="BA2" i="3"/>
  <c r="AK2" i="3"/>
  <c r="AM2" i="3" s="1"/>
  <c r="Y2" i="3"/>
  <c r="U2" i="3"/>
  <c r="M2" i="3"/>
  <c r="Q2" i="3" s="1"/>
  <c r="HW2" i="3"/>
  <c r="HS2" i="3"/>
  <c r="IA2" i="3" s="1"/>
  <c r="GU2" i="3"/>
  <c r="HC2" i="3" s="1"/>
  <c r="GQ2" i="3"/>
  <c r="FO2" i="3"/>
  <c r="FK2" i="3"/>
  <c r="EM2" i="3"/>
  <c r="EU2" i="3" s="1"/>
  <c r="EI2" i="3"/>
  <c r="DK2" i="3"/>
  <c r="DG2" i="3"/>
  <c r="CE2" i="3"/>
  <c r="CA2" i="3"/>
  <c r="BC2" i="3"/>
  <c r="AY2" i="3"/>
  <c r="BG2" i="3" s="1"/>
  <c r="AA2" i="3"/>
  <c r="W2" i="3"/>
  <c r="O2" i="3"/>
  <c r="S2" i="3" s="1"/>
  <c r="AB2" i="3"/>
  <c r="AJ2" i="3" s="1"/>
  <c r="AZ2" i="3"/>
  <c r="CF2" i="3"/>
  <c r="DD2" i="3"/>
  <c r="DL2" i="3" s="1"/>
  <c r="EJ2" i="3"/>
  <c r="ER2" i="3" s="1"/>
  <c r="FP2" i="3"/>
  <c r="GN2" i="3"/>
  <c r="HT2" i="3"/>
  <c r="HX3" i="3"/>
  <c r="HT3" i="3"/>
  <c r="GT3" i="3"/>
  <c r="GP3" i="3"/>
  <c r="FP3" i="3"/>
  <c r="FL3" i="3"/>
  <c r="EL3" i="3"/>
  <c r="EH3" i="3"/>
  <c r="DK3" i="3"/>
  <c r="DG3" i="3"/>
  <c r="CG3" i="3"/>
  <c r="CC3" i="3"/>
  <c r="BC3" i="3"/>
  <c r="AY3" i="3"/>
  <c r="AK3" i="3"/>
  <c r="Y3" i="3"/>
  <c r="U3" i="3"/>
  <c r="M3" i="3"/>
  <c r="HV3" i="3"/>
  <c r="HR3" i="3"/>
  <c r="GR3" i="3"/>
  <c r="GN3" i="3"/>
  <c r="FR3" i="3"/>
  <c r="FN3" i="3"/>
  <c r="EN3" i="3"/>
  <c r="EV2" i="3" s="1"/>
  <c r="EJ3" i="3"/>
  <c r="DI3" i="3"/>
  <c r="DE3" i="3"/>
  <c r="CE3" i="3"/>
  <c r="CA3" i="3"/>
  <c r="BE3" i="3"/>
  <c r="BA3" i="3"/>
  <c r="AA3" i="3"/>
  <c r="W3" i="3"/>
  <c r="O3" i="3"/>
  <c r="X3" i="3"/>
  <c r="BB3" i="3"/>
  <c r="CF3" i="3"/>
  <c r="DJ3" i="3"/>
  <c r="EO3" i="3"/>
  <c r="FK3" i="3"/>
  <c r="GO3" i="3"/>
  <c r="HS3" i="3"/>
  <c r="CQ4" i="3"/>
  <c r="BS4" i="3"/>
  <c r="BU4" i="3"/>
  <c r="AL2" i="3"/>
  <c r="AN2" i="3" s="1"/>
  <c r="CH2" i="3"/>
  <c r="CP2" i="3" s="1"/>
  <c r="DF2" i="3"/>
  <c r="FR2" i="3"/>
  <c r="EY4" i="3"/>
  <c r="EA4" i="3"/>
  <c r="EC4" i="3"/>
  <c r="EG4" i="3" s="1"/>
  <c r="FD4" i="3"/>
  <c r="GB4" i="3"/>
  <c r="EB5" i="3"/>
  <c r="EY5" i="3"/>
  <c r="EA5" i="3"/>
  <c r="EX5" i="3"/>
  <c r="DZ5" i="3"/>
  <c r="EC10" i="3"/>
  <c r="EY10" i="3"/>
  <c r="EA10" i="3"/>
  <c r="EE10" i="3" s="1"/>
  <c r="EB10" i="3"/>
  <c r="EF10" i="3" s="1"/>
  <c r="EX10" i="3"/>
  <c r="DZ10" i="3"/>
  <c r="ED10" i="3" s="1"/>
  <c r="EJ14" i="3"/>
  <c r="X2" i="3"/>
  <c r="AF2" i="3" s="1"/>
  <c r="BD2" i="3"/>
  <c r="BL2" i="3" s="1"/>
  <c r="CB2" i="3"/>
  <c r="CJ2" i="3" s="1"/>
  <c r="FL2" i="3"/>
  <c r="FT2" i="3" s="1"/>
  <c r="GR2" i="3"/>
  <c r="HX2" i="3"/>
  <c r="EX3" i="3"/>
  <c r="DZ3" i="3"/>
  <c r="EB3" i="3"/>
  <c r="EK3" i="3"/>
  <c r="FO3" i="3"/>
  <c r="HW3" i="3"/>
  <c r="DZ4" i="3"/>
  <c r="ED4" i="3" s="1"/>
  <c r="EX4" i="3"/>
  <c r="EZ4" i="3" s="1"/>
  <c r="Z2" i="3"/>
  <c r="AX2" i="3"/>
  <c r="BF2" i="3" s="1"/>
  <c r="CD2" i="3"/>
  <c r="DJ2" i="3"/>
  <c r="DR2" i="3" s="1"/>
  <c r="EH2" i="3"/>
  <c r="FN2" i="3"/>
  <c r="GT2" i="3"/>
  <c r="HB2" i="3" s="1"/>
  <c r="HR2" i="3"/>
  <c r="HZ2" i="3" s="1"/>
  <c r="I3" i="3"/>
  <c r="V3" i="3"/>
  <c r="AL3" i="3"/>
  <c r="AZ3" i="3"/>
  <c r="CD3" i="3"/>
  <c r="DH3" i="3"/>
  <c r="EA3" i="3"/>
  <c r="EM3" i="3"/>
  <c r="FQ3" i="3"/>
  <c r="GU3" i="3"/>
  <c r="HQ3" i="3"/>
  <c r="HW4" i="3"/>
  <c r="HS4" i="3"/>
  <c r="GU4" i="3"/>
  <c r="GQ4" i="3"/>
  <c r="FO4" i="3"/>
  <c r="FK4" i="3"/>
  <c r="EM4" i="3"/>
  <c r="EI4" i="3"/>
  <c r="DK4" i="3"/>
  <c r="DG4" i="3"/>
  <c r="CE4" i="3"/>
  <c r="CA4" i="3"/>
  <c r="BC4" i="3"/>
  <c r="AY4" i="3"/>
  <c r="AA4" i="3"/>
  <c r="W4" i="3"/>
  <c r="O4" i="3"/>
  <c r="HU4" i="3"/>
  <c r="HQ4" i="3"/>
  <c r="GS4" i="3"/>
  <c r="GO4" i="3"/>
  <c r="FQ4" i="3"/>
  <c r="FM4" i="3"/>
  <c r="EO4" i="3"/>
  <c r="EK4" i="3"/>
  <c r="DI4" i="3"/>
  <c r="DE4" i="3"/>
  <c r="CG4" i="3"/>
  <c r="CC4" i="3"/>
  <c r="BE4" i="3"/>
  <c r="BA4" i="3"/>
  <c r="AK4" i="3"/>
  <c r="Y4" i="3"/>
  <c r="U4" i="3"/>
  <c r="M4" i="3"/>
  <c r="AB4" i="3"/>
  <c r="AZ4" i="3"/>
  <c r="CF4" i="3"/>
  <c r="DD4" i="3"/>
  <c r="EB4" i="3"/>
  <c r="EJ4" i="3"/>
  <c r="FP4" i="3"/>
  <c r="GN4" i="3"/>
  <c r="HT4" i="3"/>
  <c r="BV6" i="3"/>
  <c r="HW8" i="3"/>
  <c r="HU8" i="3"/>
  <c r="HQ8" i="3"/>
  <c r="GS8" i="3"/>
  <c r="GO8" i="3"/>
  <c r="HT8" i="3"/>
  <c r="GT8" i="3"/>
  <c r="GN8" i="3"/>
  <c r="FO8" i="3"/>
  <c r="FK8" i="3"/>
  <c r="EM8" i="3"/>
  <c r="EI8" i="3"/>
  <c r="DK8" i="3"/>
  <c r="DG8" i="3"/>
  <c r="CE8" i="3"/>
  <c r="CA8" i="3"/>
  <c r="BC8" i="3"/>
  <c r="AY8" i="3"/>
  <c r="AA8" i="3"/>
  <c r="W8" i="3"/>
  <c r="O8" i="3"/>
  <c r="FR8" i="3"/>
  <c r="FN8" i="3"/>
  <c r="EL8" i="3"/>
  <c r="DJ8" i="3"/>
  <c r="CH8" i="3"/>
  <c r="CD8" i="3"/>
  <c r="BB8" i="3"/>
  <c r="AX8" i="3"/>
  <c r="V8" i="3"/>
  <c r="N8" i="3"/>
  <c r="HS8" i="3"/>
  <c r="GR8" i="3"/>
  <c r="EH8" i="3"/>
  <c r="DF8" i="3"/>
  <c r="AL8" i="3"/>
  <c r="Z8" i="3"/>
  <c r="HX8" i="3"/>
  <c r="HR8" i="3"/>
  <c r="GQ8" i="3"/>
  <c r="FQ8" i="3"/>
  <c r="FM8" i="3"/>
  <c r="EO8" i="3"/>
  <c r="EK8" i="3"/>
  <c r="DI8" i="3"/>
  <c r="DE8" i="3"/>
  <c r="CG8" i="3"/>
  <c r="CC8" i="3"/>
  <c r="BE8" i="3"/>
  <c r="BA8" i="3"/>
  <c r="AK8" i="3"/>
  <c r="Y8" i="3"/>
  <c r="U8" i="3"/>
  <c r="M8" i="3"/>
  <c r="AB8" i="3"/>
  <c r="DD8" i="3"/>
  <c r="EJ8" i="3"/>
  <c r="FP8" i="3"/>
  <c r="HV8" i="3"/>
  <c r="EY9" i="3"/>
  <c r="T10" i="3"/>
  <c r="AB14" i="3"/>
  <c r="HX15" i="3"/>
  <c r="HT15" i="3"/>
  <c r="IB14" i="3" s="1"/>
  <c r="GT15" i="3"/>
  <c r="GP15" i="3"/>
  <c r="FP15" i="3"/>
  <c r="FL15" i="3"/>
  <c r="EL15" i="3"/>
  <c r="EH15" i="3"/>
  <c r="DK15" i="3"/>
  <c r="DG15" i="3"/>
  <c r="CG15" i="3"/>
  <c r="CC15" i="3"/>
  <c r="BC15" i="3"/>
  <c r="AY15" i="3"/>
  <c r="AK15" i="3"/>
  <c r="Y15" i="3"/>
  <c r="U15" i="3"/>
  <c r="M15" i="3"/>
  <c r="HV15" i="3"/>
  <c r="HR15" i="3"/>
  <c r="GR15" i="3"/>
  <c r="GN15" i="3"/>
  <c r="GV14" i="3" s="1"/>
  <c r="FR15" i="3"/>
  <c r="FN15" i="3"/>
  <c r="EN15" i="3"/>
  <c r="EJ15" i="3"/>
  <c r="DI15" i="3"/>
  <c r="DE15" i="3"/>
  <c r="CE15" i="3"/>
  <c r="CA15" i="3"/>
  <c r="BE15" i="3"/>
  <c r="BA15" i="3"/>
  <c r="AA15" i="3"/>
  <c r="W15" i="3"/>
  <c r="O15" i="3"/>
  <c r="HQ15" i="3"/>
  <c r="GU15" i="3"/>
  <c r="FQ15" i="3"/>
  <c r="EM15" i="3"/>
  <c r="DH15" i="3"/>
  <c r="CD15" i="3"/>
  <c r="AZ15" i="3"/>
  <c r="AL15" i="3"/>
  <c r="V15" i="3"/>
  <c r="HW15" i="3"/>
  <c r="GS15" i="3"/>
  <c r="FO15" i="3"/>
  <c r="EK15" i="3"/>
  <c r="DF15" i="3"/>
  <c r="CB15" i="3"/>
  <c r="AX15" i="3"/>
  <c r="AB15" i="3"/>
  <c r="P15" i="3"/>
  <c r="HU15" i="3"/>
  <c r="GQ15" i="3"/>
  <c r="FM15" i="3"/>
  <c r="EI15" i="3"/>
  <c r="DD15" i="3"/>
  <c r="CH15" i="3"/>
  <c r="BD15" i="3"/>
  <c r="Z15" i="3"/>
  <c r="N15" i="3"/>
  <c r="AB20" i="3"/>
  <c r="DG20" i="3"/>
  <c r="O6" i="3"/>
  <c r="W6" i="3"/>
  <c r="AA6" i="3"/>
  <c r="AY6" i="3"/>
  <c r="BC6" i="3"/>
  <c r="CA6" i="3"/>
  <c r="CE6" i="3"/>
  <c r="DG6" i="3"/>
  <c r="DK6" i="3"/>
  <c r="EI6" i="3"/>
  <c r="EM6" i="3"/>
  <c r="FK6" i="3"/>
  <c r="FO6" i="3"/>
  <c r="GQ6" i="3"/>
  <c r="GU6" i="3"/>
  <c r="HS6" i="3"/>
  <c r="HW6" i="3"/>
  <c r="Z10" i="3"/>
  <c r="AX10" i="3"/>
  <c r="BF10" i="3" s="1"/>
  <c r="CD10" i="3"/>
  <c r="DJ10" i="3"/>
  <c r="EH10" i="3"/>
  <c r="EP10" i="3" s="1"/>
  <c r="FN10" i="3"/>
  <c r="GT10" i="3"/>
  <c r="HR10" i="3"/>
  <c r="I11" i="3"/>
  <c r="V11" i="3"/>
  <c r="AL11" i="3"/>
  <c r="AZ11" i="3"/>
  <c r="CD11" i="3"/>
  <c r="DH11" i="3"/>
  <c r="DP10" i="3" s="1"/>
  <c r="EM11" i="3"/>
  <c r="FQ11" i="3"/>
  <c r="GU11" i="3"/>
  <c r="HQ11" i="3"/>
  <c r="HW12" i="3"/>
  <c r="HS12" i="3"/>
  <c r="GU12" i="3"/>
  <c r="GQ12" i="3"/>
  <c r="FO12" i="3"/>
  <c r="FK12" i="3"/>
  <c r="EM12" i="3"/>
  <c r="EI12" i="3"/>
  <c r="DK12" i="3"/>
  <c r="DG12" i="3"/>
  <c r="CE12" i="3"/>
  <c r="CA12" i="3"/>
  <c r="BC12" i="3"/>
  <c r="AY12" i="3"/>
  <c r="AA12" i="3"/>
  <c r="W12" i="3"/>
  <c r="O12" i="3"/>
  <c r="HU12" i="3"/>
  <c r="HQ12" i="3"/>
  <c r="GS12" i="3"/>
  <c r="GO12" i="3"/>
  <c r="FQ12" i="3"/>
  <c r="FM12" i="3"/>
  <c r="EO12" i="3"/>
  <c r="EK12" i="3"/>
  <c r="DI12" i="3"/>
  <c r="DE12" i="3"/>
  <c r="CG12" i="3"/>
  <c r="CC12" i="3"/>
  <c r="BE12" i="3"/>
  <c r="BA12" i="3"/>
  <c r="AK12" i="3"/>
  <c r="Y12" i="3"/>
  <c r="U12" i="3"/>
  <c r="M12" i="3"/>
  <c r="AB12" i="3"/>
  <c r="AZ12" i="3"/>
  <c r="CF12" i="3"/>
  <c r="DD12" i="3"/>
  <c r="EJ12" i="3"/>
  <c r="FP12" i="3"/>
  <c r="GN12" i="3"/>
  <c r="HT12" i="3"/>
  <c r="EY16" i="3"/>
  <c r="EA16" i="3"/>
  <c r="EX16" i="3"/>
  <c r="DZ16" i="3"/>
  <c r="EC16" i="3"/>
  <c r="P6" i="3"/>
  <c r="BD6" i="3"/>
  <c r="EN6" i="3"/>
  <c r="FL6" i="3"/>
  <c r="FP6" i="3"/>
  <c r="GN6" i="3"/>
  <c r="GR6" i="3"/>
  <c r="HT6" i="3"/>
  <c r="HX6" i="3"/>
  <c r="I9" i="3"/>
  <c r="HU10" i="3"/>
  <c r="HQ10" i="3"/>
  <c r="HY10" i="3" s="1"/>
  <c r="GS10" i="3"/>
  <c r="GO10" i="3"/>
  <c r="FQ10" i="3"/>
  <c r="FM10" i="3"/>
  <c r="EO10" i="3"/>
  <c r="EK10" i="3"/>
  <c r="ES10" i="3" s="1"/>
  <c r="DI10" i="3"/>
  <c r="DE10" i="3"/>
  <c r="CG10" i="3"/>
  <c r="CC10" i="3"/>
  <c r="CK10" i="3" s="1"/>
  <c r="BE10" i="3"/>
  <c r="BA10" i="3"/>
  <c r="AK10" i="3"/>
  <c r="AM10" i="3" s="1"/>
  <c r="Y10" i="3"/>
  <c r="U10" i="3"/>
  <c r="M10" i="3"/>
  <c r="HW10" i="3"/>
  <c r="HS10" i="3"/>
  <c r="GU10" i="3"/>
  <c r="HC10" i="3" s="1"/>
  <c r="GQ10" i="3"/>
  <c r="GY10" i="3" s="1"/>
  <c r="FO10" i="3"/>
  <c r="FW10" i="3" s="1"/>
  <c r="FK10" i="3"/>
  <c r="EM10" i="3"/>
  <c r="EU10" i="3" s="1"/>
  <c r="EI10" i="3"/>
  <c r="DK10" i="3"/>
  <c r="DG10" i="3"/>
  <c r="CE10" i="3"/>
  <c r="CM10" i="3" s="1"/>
  <c r="CA10" i="3"/>
  <c r="BC10" i="3"/>
  <c r="AY10" i="3"/>
  <c r="AA10" i="3"/>
  <c r="W10" i="3"/>
  <c r="O10" i="3"/>
  <c r="AB10" i="3"/>
  <c r="AJ10" i="3" s="1"/>
  <c r="AZ10" i="3"/>
  <c r="CF10" i="3"/>
  <c r="DD10" i="3"/>
  <c r="EJ10" i="3"/>
  <c r="ER10" i="3" s="1"/>
  <c r="FP10" i="3"/>
  <c r="GN10" i="3"/>
  <c r="HT10" i="3"/>
  <c r="HX11" i="3"/>
  <c r="IF10" i="3" s="1"/>
  <c r="HT11" i="3"/>
  <c r="GT11" i="3"/>
  <c r="GP11" i="3"/>
  <c r="FP11" i="3"/>
  <c r="FL11" i="3"/>
  <c r="FT10" i="3" s="1"/>
  <c r="EL11" i="3"/>
  <c r="EH11" i="3"/>
  <c r="DK11" i="3"/>
  <c r="DG11" i="3"/>
  <c r="CG11" i="3"/>
  <c r="CC11" i="3"/>
  <c r="BC11" i="3"/>
  <c r="AY11" i="3"/>
  <c r="AK11" i="3"/>
  <c r="Y11" i="3"/>
  <c r="U11" i="3"/>
  <c r="M11" i="3"/>
  <c r="HV11" i="3"/>
  <c r="HR11" i="3"/>
  <c r="GR11" i="3"/>
  <c r="GZ10" i="3" s="1"/>
  <c r="GN11" i="3"/>
  <c r="FR11" i="3"/>
  <c r="FN11" i="3"/>
  <c r="EN11" i="3"/>
  <c r="EV10" i="3" s="1"/>
  <c r="EJ11" i="3"/>
  <c r="DI11" i="3"/>
  <c r="DE11" i="3"/>
  <c r="CE11" i="3"/>
  <c r="CA11" i="3"/>
  <c r="BE11" i="3"/>
  <c r="BA11" i="3"/>
  <c r="AA11" i="3"/>
  <c r="W11" i="3"/>
  <c r="O11" i="3"/>
  <c r="X11" i="3"/>
  <c r="AF10" i="3" s="1"/>
  <c r="BB11" i="3"/>
  <c r="CF11" i="3"/>
  <c r="DJ11" i="3"/>
  <c r="EO11" i="3"/>
  <c r="FK11" i="3"/>
  <c r="GO11" i="3"/>
  <c r="HS11" i="3"/>
  <c r="CQ12" i="3"/>
  <c r="BS12" i="3"/>
  <c r="BU12" i="3"/>
  <c r="EX15" i="3"/>
  <c r="DZ15" i="3"/>
  <c r="EB15" i="3"/>
  <c r="FF17" i="3"/>
  <c r="FE17" i="3"/>
  <c r="GB17" i="3"/>
  <c r="FD17" i="3"/>
  <c r="EB17" i="3"/>
  <c r="EF16" i="3" s="1"/>
  <c r="EY17" i="3"/>
  <c r="EA17" i="3"/>
  <c r="EX17" i="3"/>
  <c r="DZ17" i="3"/>
  <c r="FC17" i="3"/>
  <c r="I19" i="3"/>
  <c r="X6" i="3"/>
  <c r="AB6" i="3"/>
  <c r="AZ6" i="3"/>
  <c r="CB6" i="3"/>
  <c r="CF6" i="3"/>
  <c r="DD6" i="3"/>
  <c r="DH6" i="3"/>
  <c r="EJ6" i="3"/>
  <c r="M6" i="3"/>
  <c r="U6" i="3"/>
  <c r="Y6" i="3"/>
  <c r="AK6" i="3"/>
  <c r="BA6" i="3"/>
  <c r="BE6" i="3"/>
  <c r="CC6" i="3"/>
  <c r="CG6" i="3"/>
  <c r="DE6" i="3"/>
  <c r="DI6" i="3"/>
  <c r="EK6" i="3"/>
  <c r="EO6" i="3"/>
  <c r="FM6" i="3"/>
  <c r="FQ6" i="3"/>
  <c r="GO6" i="3"/>
  <c r="GS6" i="3"/>
  <c r="HQ6" i="3"/>
  <c r="HU6" i="3"/>
  <c r="N10" i="3"/>
  <c r="V10" i="3"/>
  <c r="AD10" i="3" s="1"/>
  <c r="AL10" i="3"/>
  <c r="AN10" i="3" s="1"/>
  <c r="BB10" i="3"/>
  <c r="CH10" i="3"/>
  <c r="CP10" i="3" s="1"/>
  <c r="DF10" i="3"/>
  <c r="DN10" i="3" s="1"/>
  <c r="EL10" i="3"/>
  <c r="FR10" i="3"/>
  <c r="GP10" i="3"/>
  <c r="GX10" i="3" s="1"/>
  <c r="HV10" i="3"/>
  <c r="N11" i="3"/>
  <c r="Z11" i="3"/>
  <c r="BD11" i="3"/>
  <c r="BL10" i="3" s="1"/>
  <c r="CH11" i="3"/>
  <c r="DD11" i="3"/>
  <c r="EI11" i="3"/>
  <c r="FM11" i="3"/>
  <c r="GQ11" i="3"/>
  <c r="HU11" i="3"/>
  <c r="P12" i="3"/>
  <c r="X12" i="3"/>
  <c r="BD12" i="3"/>
  <c r="BT12" i="3"/>
  <c r="CB12" i="3"/>
  <c r="CR12" i="3"/>
  <c r="DH12" i="3"/>
  <c r="EN12" i="3"/>
  <c r="FL12" i="3"/>
  <c r="GR12" i="3"/>
  <c r="HX12" i="3"/>
  <c r="I15" i="3"/>
  <c r="EA15" i="3"/>
  <c r="HW16" i="3"/>
  <c r="IE16" i="3" s="1"/>
  <c r="HS16" i="3"/>
  <c r="GU16" i="3"/>
  <c r="GQ16" i="3"/>
  <c r="FO16" i="3"/>
  <c r="FW16" i="3" s="1"/>
  <c r="FK16" i="3"/>
  <c r="EM16" i="3"/>
  <c r="EI16" i="3"/>
  <c r="DK16" i="3"/>
  <c r="DG16" i="3"/>
  <c r="DO16" i="3" s="1"/>
  <c r="CE16" i="3"/>
  <c r="CA16" i="3"/>
  <c r="CI16" i="3" s="1"/>
  <c r="BC16" i="3"/>
  <c r="BK16" i="3" s="1"/>
  <c r="AY16" i="3"/>
  <c r="AA16" i="3"/>
  <c r="W16" i="3"/>
  <c r="O16" i="3"/>
  <c r="HV16" i="3"/>
  <c r="HR16" i="3"/>
  <c r="GT16" i="3"/>
  <c r="GP16" i="3"/>
  <c r="FR16" i="3"/>
  <c r="FN16" i="3"/>
  <c r="EL16" i="3"/>
  <c r="EH16" i="3"/>
  <c r="DJ16" i="3"/>
  <c r="DR16" i="3" s="1"/>
  <c r="DF16" i="3"/>
  <c r="DN16" i="3" s="1"/>
  <c r="CH16" i="3"/>
  <c r="CD16" i="3"/>
  <c r="BB16" i="3"/>
  <c r="BJ16" i="3" s="1"/>
  <c r="AX16" i="3"/>
  <c r="BF16" i="3" s="1"/>
  <c r="AL16" i="3"/>
  <c r="HU16" i="3"/>
  <c r="HQ16" i="3"/>
  <c r="GS16" i="3"/>
  <c r="HA16" i="3" s="1"/>
  <c r="GO16" i="3"/>
  <c r="GW16" i="3" s="1"/>
  <c r="FQ16" i="3"/>
  <c r="FM16" i="3"/>
  <c r="EO16" i="3"/>
  <c r="EW16" i="3" s="1"/>
  <c r="EK16" i="3"/>
  <c r="ES16" i="3" s="1"/>
  <c r="DI16" i="3"/>
  <c r="DE16" i="3"/>
  <c r="CG16" i="3"/>
  <c r="CC16" i="3"/>
  <c r="BE16" i="3"/>
  <c r="BA16" i="3"/>
  <c r="AK16" i="3"/>
  <c r="Y16" i="3"/>
  <c r="U16" i="3"/>
  <c r="M16" i="3"/>
  <c r="Q16" i="3" s="1"/>
  <c r="AB16" i="3"/>
  <c r="AJ16" i="3" s="1"/>
  <c r="BD16" i="3"/>
  <c r="FL16" i="3"/>
  <c r="GR16" i="3"/>
  <c r="GZ16" i="3" s="1"/>
  <c r="HX16" i="3"/>
  <c r="HV17" i="3"/>
  <c r="HR17" i="3"/>
  <c r="GR17" i="3"/>
  <c r="GN17" i="3"/>
  <c r="GV16" i="3" s="1"/>
  <c r="FR17" i="3"/>
  <c r="FN17" i="3"/>
  <c r="EN17" i="3"/>
  <c r="EV16" i="3" s="1"/>
  <c r="EJ17" i="3"/>
  <c r="ER16" i="3" s="1"/>
  <c r="DI17" i="3"/>
  <c r="DE17" i="3"/>
  <c r="CE17" i="3"/>
  <c r="CA17" i="3"/>
  <c r="BE17" i="3"/>
  <c r="BA17" i="3"/>
  <c r="AA17" i="3"/>
  <c r="W17" i="3"/>
  <c r="O17" i="3"/>
  <c r="HU17" i="3"/>
  <c r="HQ17" i="3"/>
  <c r="GU17" i="3"/>
  <c r="GQ17" i="3"/>
  <c r="FQ17" i="3"/>
  <c r="FM17" i="3"/>
  <c r="EM17" i="3"/>
  <c r="EI17" i="3"/>
  <c r="DH17" i="3"/>
  <c r="DP16" i="3" s="1"/>
  <c r="DD17" i="3"/>
  <c r="DL16" i="3" s="1"/>
  <c r="CH17" i="3"/>
  <c r="CD17" i="3"/>
  <c r="BD17" i="3"/>
  <c r="AZ17" i="3"/>
  <c r="BH16" i="3" s="1"/>
  <c r="AL17" i="3"/>
  <c r="Z17" i="3"/>
  <c r="AH16" i="3" s="1"/>
  <c r="V17" i="3"/>
  <c r="AD16" i="3" s="1"/>
  <c r="N17" i="3"/>
  <c r="R16" i="3" s="1"/>
  <c r="HX17" i="3"/>
  <c r="HT17" i="3"/>
  <c r="IB16" i="3" s="1"/>
  <c r="GT17" i="3"/>
  <c r="GP17" i="3"/>
  <c r="FP17" i="3"/>
  <c r="FX16" i="3" s="1"/>
  <c r="FL17" i="3"/>
  <c r="EL17" i="3"/>
  <c r="EH17" i="3"/>
  <c r="DK17" i="3"/>
  <c r="DG17" i="3"/>
  <c r="CG17" i="3"/>
  <c r="CC17" i="3"/>
  <c r="BC17" i="3"/>
  <c r="AY17" i="3"/>
  <c r="AK17" i="3"/>
  <c r="Y17" i="3"/>
  <c r="U17" i="3"/>
  <c r="M17" i="3"/>
  <c r="EC17" i="3"/>
  <c r="FK17" i="3"/>
  <c r="GO17" i="3"/>
  <c r="HS17" i="3"/>
  <c r="BU18" i="3"/>
  <c r="CR18" i="3"/>
  <c r="BT18" i="3"/>
  <c r="CQ18" i="3"/>
  <c r="BS18" i="3"/>
  <c r="FE21" i="3"/>
  <c r="GA21" i="3"/>
  <c r="FC21" i="3"/>
  <c r="GB21" i="3"/>
  <c r="FF21" i="3"/>
  <c r="FD21" i="3"/>
  <c r="O18" i="3"/>
  <c r="W18" i="3"/>
  <c r="AA18" i="3"/>
  <c r="AY18" i="3"/>
  <c r="BC18" i="3"/>
  <c r="CA18" i="3"/>
  <c r="CE18" i="3"/>
  <c r="DG18" i="3"/>
  <c r="DK18" i="3"/>
  <c r="EI18" i="3"/>
  <c r="EM18" i="3"/>
  <c r="FK18" i="3"/>
  <c r="FO18" i="3"/>
  <c r="GQ18" i="3"/>
  <c r="GU18" i="3"/>
  <c r="HS18" i="3"/>
  <c r="HW18" i="3"/>
  <c r="I26" i="3"/>
  <c r="P18" i="3"/>
  <c r="X18" i="3"/>
  <c r="AB18" i="3"/>
  <c r="AZ18" i="3"/>
  <c r="BD18" i="3"/>
  <c r="CB18" i="3"/>
  <c r="CF18" i="3"/>
  <c r="DD18" i="3"/>
  <c r="DH18" i="3"/>
  <c r="EJ18" i="3"/>
  <c r="EN18" i="3"/>
  <c r="FL18" i="3"/>
  <c r="FP18" i="3"/>
  <c r="GN18" i="3"/>
  <c r="GR18" i="3"/>
  <c r="HT18" i="3"/>
  <c r="HX18" i="3"/>
  <c r="I22" i="3"/>
  <c r="I17" i="3"/>
  <c r="M18" i="3"/>
  <c r="U18" i="3"/>
  <c r="Y18" i="3"/>
  <c r="AK18" i="3"/>
  <c r="BA18" i="3"/>
  <c r="BE18" i="3"/>
  <c r="CC18" i="3"/>
  <c r="CG18" i="3"/>
  <c r="DE18" i="3"/>
  <c r="DI18" i="3"/>
  <c r="EK18" i="3"/>
  <c r="EO18" i="3"/>
  <c r="FM18" i="3"/>
  <c r="FQ18" i="3"/>
  <c r="GO18" i="3"/>
  <c r="GS18" i="3"/>
  <c r="HQ18" i="3"/>
  <c r="HU18" i="3"/>
  <c r="HU25" i="3"/>
  <c r="IC24" i="3" s="1"/>
  <c r="HQ25" i="3"/>
  <c r="GU25" i="3"/>
  <c r="HC24" i="3" s="1"/>
  <c r="GQ25" i="3"/>
  <c r="FQ25" i="3"/>
  <c r="FY24" i="3" s="1"/>
  <c r="FM25" i="3"/>
  <c r="EM25" i="3"/>
  <c r="EI25" i="3"/>
  <c r="EQ24" i="3" s="1"/>
  <c r="DH25" i="3"/>
  <c r="DP24" i="3" s="1"/>
  <c r="DD25" i="3"/>
  <c r="CH25" i="3"/>
  <c r="CD25" i="3"/>
  <c r="BD25" i="3"/>
  <c r="BL24" i="3" s="1"/>
  <c r="AZ25" i="3"/>
  <c r="AL25" i="3"/>
  <c r="Z25" i="3"/>
  <c r="V25" i="3"/>
  <c r="N25" i="3"/>
  <c r="HW25" i="3"/>
  <c r="HS25" i="3"/>
  <c r="IA24" i="3" s="1"/>
  <c r="GS25" i="3"/>
  <c r="GO25" i="3"/>
  <c r="GW24" i="3" s="1"/>
  <c r="FO25" i="3"/>
  <c r="FW24" i="3" s="1"/>
  <c r="FK25" i="3"/>
  <c r="EO25" i="3"/>
  <c r="EK25" i="3"/>
  <c r="ES24" i="3" s="1"/>
  <c r="DJ25" i="3"/>
  <c r="DF25" i="3"/>
  <c r="CF25" i="3"/>
  <c r="CB25" i="3"/>
  <c r="CJ24" i="3" s="1"/>
  <c r="BB25" i="3"/>
  <c r="AX25" i="3"/>
  <c r="AB25" i="3"/>
  <c r="HR25" i="3"/>
  <c r="GN25" i="3"/>
  <c r="FR25" i="3"/>
  <c r="EN25" i="3"/>
  <c r="EV24" i="3" s="1"/>
  <c r="DK25" i="3"/>
  <c r="DS24" i="3" s="1"/>
  <c r="CG25" i="3"/>
  <c r="CO24" i="3" s="1"/>
  <c r="BC25" i="3"/>
  <c r="Y25" i="3"/>
  <c r="P25" i="3"/>
  <c r="T24" i="3" s="1"/>
  <c r="HX25" i="3"/>
  <c r="IF24" i="3" s="1"/>
  <c r="GT25" i="3"/>
  <c r="FP25" i="3"/>
  <c r="EL25" i="3"/>
  <c r="DI25" i="3"/>
  <c r="CE25" i="3"/>
  <c r="CM24" i="3" s="1"/>
  <c r="BA25" i="3"/>
  <c r="BI24" i="3" s="1"/>
  <c r="X25" i="3"/>
  <c r="AF24" i="3" s="1"/>
  <c r="O25" i="3"/>
  <c r="HV25" i="3"/>
  <c r="GR25" i="3"/>
  <c r="GZ24" i="3" s="1"/>
  <c r="FN25" i="3"/>
  <c r="EJ25" i="3"/>
  <c r="DG25" i="3"/>
  <c r="CC25" i="3"/>
  <c r="AY25" i="3"/>
  <c r="BG24" i="3" s="1"/>
  <c r="AK25" i="3"/>
  <c r="AM24" i="3" s="1"/>
  <c r="W25" i="3"/>
  <c r="M25" i="3"/>
  <c r="Q24" i="3" s="1"/>
  <c r="BE25" i="3"/>
  <c r="EH25" i="3"/>
  <c r="FL25" i="3"/>
  <c r="FT24" i="3" s="1"/>
  <c r="HT25" i="3"/>
  <c r="GA27" i="3"/>
  <c r="FC27" i="3"/>
  <c r="FE27" i="3"/>
  <c r="GB27" i="3"/>
  <c r="FF27" i="3"/>
  <c r="FD27" i="3"/>
  <c r="FE23" i="3"/>
  <c r="HV24" i="3"/>
  <c r="HR24" i="3"/>
  <c r="GT24" i="3"/>
  <c r="GP24" i="3"/>
  <c r="GX24" i="3" s="1"/>
  <c r="FR24" i="3"/>
  <c r="FN24" i="3"/>
  <c r="EL24" i="3"/>
  <c r="ET24" i="3" s="1"/>
  <c r="EH24" i="3"/>
  <c r="DJ24" i="3"/>
  <c r="DF24" i="3"/>
  <c r="CH24" i="3"/>
  <c r="CP24" i="3" s="1"/>
  <c r="CD24" i="3"/>
  <c r="CL24" i="3" s="1"/>
  <c r="BB24" i="3"/>
  <c r="AX24" i="3"/>
  <c r="BF24" i="3" s="1"/>
  <c r="AL24" i="3"/>
  <c r="AN24" i="3" s="1"/>
  <c r="Z24" i="3"/>
  <c r="V24" i="3"/>
  <c r="N24" i="3"/>
  <c r="R24" i="3" s="1"/>
  <c r="W24" i="3"/>
  <c r="AE24" i="3" s="1"/>
  <c r="AB24" i="3"/>
  <c r="BC24" i="3"/>
  <c r="CC24" i="3"/>
  <c r="DD24" i="3"/>
  <c r="DI24" i="3"/>
  <c r="EJ24" i="3"/>
  <c r="EO24" i="3"/>
  <c r="EW24" i="3" s="1"/>
  <c r="FK24" i="3"/>
  <c r="FP24" i="3"/>
  <c r="GQ24" i="3"/>
  <c r="HQ24" i="3"/>
  <c r="HY24" i="3" s="1"/>
  <c r="HW24" i="3"/>
  <c r="FE25" i="3"/>
  <c r="GA25" i="3"/>
  <c r="FC25" i="3"/>
  <c r="I30" i="3"/>
  <c r="FF23" i="3"/>
  <c r="FC23" i="3"/>
  <c r="O24" i="3"/>
  <c r="Y24" i="3"/>
  <c r="AG24" i="3" s="1"/>
  <c r="AZ24" i="3"/>
  <c r="BE24" i="3"/>
  <c r="CA24" i="3"/>
  <c r="CI24" i="3" s="1"/>
  <c r="CF24" i="3"/>
  <c r="DG24" i="3"/>
  <c r="EM24" i="3"/>
  <c r="FM24" i="3"/>
  <c r="FU24" i="3" s="1"/>
  <c r="GN24" i="3"/>
  <c r="GV24" i="3" s="1"/>
  <c r="GS24" i="3"/>
  <c r="HT24" i="3"/>
  <c r="FF25" i="3"/>
  <c r="EX33" i="3"/>
  <c r="DZ33" i="3"/>
  <c r="EB33" i="3"/>
  <c r="EY33" i="3"/>
  <c r="EC33" i="3"/>
  <c r="EA33" i="3"/>
  <c r="EC25" i="3"/>
  <c r="AR31" i="3"/>
  <c r="BO31" i="3"/>
  <c r="AQ31" i="3"/>
  <c r="BN31" i="3"/>
  <c r="AP31" i="3"/>
  <c r="FE31" i="3"/>
  <c r="GB31" i="3"/>
  <c r="FD31" i="3"/>
  <c r="GA31" i="3"/>
  <c r="FC31" i="3"/>
  <c r="I32" i="3"/>
  <c r="HB34" i="3"/>
  <c r="EA25" i="3"/>
  <c r="P31" i="3"/>
  <c r="X31" i="3"/>
  <c r="AB31" i="3"/>
  <c r="AX31" i="3"/>
  <c r="BB31" i="3"/>
  <c r="CB31" i="3"/>
  <c r="CF31" i="3"/>
  <c r="DF31" i="3"/>
  <c r="DJ31" i="3"/>
  <c r="EC31" i="3"/>
  <c r="EK31" i="3"/>
  <c r="EO31" i="3"/>
  <c r="FK31" i="3"/>
  <c r="FO31" i="3"/>
  <c r="GO31" i="3"/>
  <c r="GS31" i="3"/>
  <c r="HS31" i="3"/>
  <c r="HW31" i="3"/>
  <c r="I33" i="3"/>
  <c r="HW34" i="3"/>
  <c r="HS34" i="3"/>
  <c r="IA34" i="3" s="1"/>
  <c r="GU34" i="3"/>
  <c r="GQ34" i="3"/>
  <c r="HT34" i="3"/>
  <c r="GS34" i="3"/>
  <c r="GN34" i="3"/>
  <c r="FO34" i="3"/>
  <c r="FW34" i="3" s="1"/>
  <c r="FK34" i="3"/>
  <c r="FS34" i="3" s="1"/>
  <c r="EM34" i="3"/>
  <c r="EI34" i="3"/>
  <c r="DK34" i="3"/>
  <c r="DG34" i="3"/>
  <c r="CE34" i="3"/>
  <c r="CA34" i="3"/>
  <c r="BC34" i="3"/>
  <c r="AY34" i="3"/>
  <c r="AA34" i="3"/>
  <c r="W34" i="3"/>
  <c r="O34" i="3"/>
  <c r="HX34" i="3"/>
  <c r="HR34" i="3"/>
  <c r="HZ34" i="3" s="1"/>
  <c r="GR34" i="3"/>
  <c r="FR34" i="3"/>
  <c r="FN34" i="3"/>
  <c r="EL34" i="3"/>
  <c r="ET34" i="3" s="1"/>
  <c r="EH34" i="3"/>
  <c r="DJ34" i="3"/>
  <c r="DF34" i="3"/>
  <c r="CH34" i="3"/>
  <c r="CP34" i="3" s="1"/>
  <c r="CD34" i="3"/>
  <c r="BB34" i="3"/>
  <c r="BJ34" i="3" s="1"/>
  <c r="AX34" i="3"/>
  <c r="BF34" i="3" s="1"/>
  <c r="AL34" i="3"/>
  <c r="Z34" i="3"/>
  <c r="V34" i="3"/>
  <c r="N34" i="3"/>
  <c r="R34" i="3" s="1"/>
  <c r="HV34" i="3"/>
  <c r="HQ34" i="3"/>
  <c r="GP34" i="3"/>
  <c r="FQ34" i="3"/>
  <c r="FM34" i="3"/>
  <c r="EO34" i="3"/>
  <c r="EW34" i="3" s="1"/>
  <c r="EK34" i="3"/>
  <c r="ES34" i="3" s="1"/>
  <c r="DI34" i="3"/>
  <c r="DE34" i="3"/>
  <c r="CG34" i="3"/>
  <c r="CC34" i="3"/>
  <c r="BE34" i="3"/>
  <c r="BA34" i="3"/>
  <c r="AK34" i="3"/>
  <c r="Y34" i="3"/>
  <c r="U34" i="3"/>
  <c r="M34" i="3"/>
  <c r="AB34" i="3"/>
  <c r="AJ34" i="3" s="1"/>
  <c r="DD34" i="3"/>
  <c r="EJ34" i="3"/>
  <c r="FP34" i="3"/>
  <c r="HU34" i="3"/>
  <c r="IC34" i="3" s="1"/>
  <c r="BU36" i="3"/>
  <c r="CQ36" i="3"/>
  <c r="BS36" i="3"/>
  <c r="BV36" i="3"/>
  <c r="CR36" i="3"/>
  <c r="BT36" i="3"/>
  <c r="M31" i="3"/>
  <c r="U31" i="3"/>
  <c r="Y31" i="3"/>
  <c r="AK31" i="3"/>
  <c r="AY31" i="3"/>
  <c r="BC31" i="3"/>
  <c r="CC31" i="3"/>
  <c r="CG31" i="3"/>
  <c r="DG31" i="3"/>
  <c r="DK31" i="3"/>
  <c r="DZ31" i="3"/>
  <c r="EH31" i="3"/>
  <c r="EL31" i="3"/>
  <c r="EX31" i="3"/>
  <c r="FL31" i="3"/>
  <c r="FP31" i="3"/>
  <c r="GP31" i="3"/>
  <c r="GT31" i="3"/>
  <c r="HT31" i="3"/>
  <c r="HX31" i="3"/>
  <c r="P34" i="3"/>
  <c r="CB34" i="3"/>
  <c r="DH34" i="3"/>
  <c r="EN34" i="3"/>
  <c r="HV35" i="3"/>
  <c r="HR35" i="3"/>
  <c r="GR35" i="3"/>
  <c r="GN35" i="3"/>
  <c r="FR35" i="3"/>
  <c r="FN35" i="3"/>
  <c r="EN35" i="3"/>
  <c r="EJ35" i="3"/>
  <c r="DI35" i="3"/>
  <c r="DE35" i="3"/>
  <c r="CE35" i="3"/>
  <c r="CA35" i="3"/>
  <c r="BE35" i="3"/>
  <c r="BA35" i="3"/>
  <c r="AA35" i="3"/>
  <c r="W35" i="3"/>
  <c r="O35" i="3"/>
  <c r="HX35" i="3"/>
  <c r="HT35" i="3"/>
  <c r="GT35" i="3"/>
  <c r="GP35" i="3"/>
  <c r="FP35" i="3"/>
  <c r="FL35" i="3"/>
  <c r="FT34" i="3" s="1"/>
  <c r="EL35" i="3"/>
  <c r="EH35" i="3"/>
  <c r="DK35" i="3"/>
  <c r="DG35" i="3"/>
  <c r="CG35" i="3"/>
  <c r="CC35" i="3"/>
  <c r="BC35" i="3"/>
  <c r="AY35" i="3"/>
  <c r="AK35" i="3"/>
  <c r="Y35" i="3"/>
  <c r="U35" i="3"/>
  <c r="M35" i="3"/>
  <c r="HQ35" i="3"/>
  <c r="GU35" i="3"/>
  <c r="FQ35" i="3"/>
  <c r="EM35" i="3"/>
  <c r="DH35" i="3"/>
  <c r="CD35" i="3"/>
  <c r="AZ35" i="3"/>
  <c r="AL35" i="3"/>
  <c r="V35" i="3"/>
  <c r="HW35" i="3"/>
  <c r="GS35" i="3"/>
  <c r="FO35" i="3"/>
  <c r="EK35" i="3"/>
  <c r="DF35" i="3"/>
  <c r="CB35" i="3"/>
  <c r="AX35" i="3"/>
  <c r="AB35" i="3"/>
  <c r="P35" i="3"/>
  <c r="HU35" i="3"/>
  <c r="GQ35" i="3"/>
  <c r="FM35" i="3"/>
  <c r="EI35" i="3"/>
  <c r="DD35" i="3"/>
  <c r="CH35" i="3"/>
  <c r="BD35" i="3"/>
  <c r="BL34" i="3" s="1"/>
  <c r="Z35" i="3"/>
  <c r="N35" i="3"/>
  <c r="N31" i="3"/>
  <c r="V31" i="3"/>
  <c r="Z31" i="3"/>
  <c r="AL31" i="3"/>
  <c r="AZ31" i="3"/>
  <c r="BD31" i="3"/>
  <c r="CD31" i="3"/>
  <c r="CH31" i="3"/>
  <c r="DD31" i="3"/>
  <c r="DH31" i="3"/>
  <c r="EA31" i="3"/>
  <c r="EI31" i="3"/>
  <c r="EM31" i="3"/>
  <c r="FM31" i="3"/>
  <c r="FQ31" i="3"/>
  <c r="GQ31" i="3"/>
  <c r="GU31" i="3"/>
  <c r="HQ31" i="3"/>
  <c r="HU31" i="3"/>
  <c r="AZ34" i="3"/>
  <c r="CF34" i="3"/>
  <c r="GO34" i="3"/>
  <c r="X35" i="3"/>
  <c r="AF34" i="3" s="1"/>
  <c r="CF35" i="3"/>
  <c r="GO35" i="3"/>
  <c r="P36" i="3"/>
  <c r="X36" i="3"/>
  <c r="BD36" i="3"/>
  <c r="CB36" i="3"/>
  <c r="DH36" i="3"/>
  <c r="EN36" i="3"/>
  <c r="FL36" i="3"/>
  <c r="HR36" i="3"/>
  <c r="EB35" i="3"/>
  <c r="EX35" i="3"/>
  <c r="DZ35" i="3"/>
  <c r="I35" i="3"/>
  <c r="EA35" i="3"/>
  <c r="HW36" i="3"/>
  <c r="HS36" i="3"/>
  <c r="GU36" i="3"/>
  <c r="GQ36" i="3"/>
  <c r="HT36" i="3"/>
  <c r="GS36" i="3"/>
  <c r="GN36" i="3"/>
  <c r="FQ36" i="3"/>
  <c r="FM36" i="3"/>
  <c r="EO36" i="3"/>
  <c r="EK36" i="3"/>
  <c r="DI36" i="3"/>
  <c r="DE36" i="3"/>
  <c r="CG36" i="3"/>
  <c r="CC36" i="3"/>
  <c r="BE36" i="3"/>
  <c r="BA36" i="3"/>
  <c r="AK36" i="3"/>
  <c r="Y36" i="3"/>
  <c r="U36" i="3"/>
  <c r="M36" i="3"/>
  <c r="HV36" i="3"/>
  <c r="HQ36" i="3"/>
  <c r="GP36" i="3"/>
  <c r="FO36" i="3"/>
  <c r="FK36" i="3"/>
  <c r="EM36" i="3"/>
  <c r="EI36" i="3"/>
  <c r="DK36" i="3"/>
  <c r="DG36" i="3"/>
  <c r="CE36" i="3"/>
  <c r="CA36" i="3"/>
  <c r="BC36" i="3"/>
  <c r="AY36" i="3"/>
  <c r="AA36" i="3"/>
  <c r="W36" i="3"/>
  <c r="O36" i="3"/>
  <c r="AB36" i="3"/>
  <c r="AZ36" i="3"/>
  <c r="CF36" i="3"/>
  <c r="DD36" i="3"/>
  <c r="EJ36" i="3"/>
  <c r="FP36" i="3"/>
  <c r="GR36" i="3"/>
  <c r="HX36" i="3"/>
  <c r="EB37" i="3"/>
  <c r="EY37" i="3"/>
  <c r="EC37" i="3"/>
  <c r="EX37" i="3"/>
  <c r="EA37" i="3"/>
  <c r="DZ37" i="3"/>
  <c r="Z38" i="3"/>
  <c r="AX38" i="3"/>
  <c r="CD38" i="3"/>
  <c r="DJ38" i="3"/>
  <c r="HR38" i="3"/>
  <c r="I39" i="3"/>
  <c r="I37" i="3"/>
  <c r="HU38" i="3"/>
  <c r="HQ38" i="3"/>
  <c r="GS38" i="3"/>
  <c r="GO38" i="3"/>
  <c r="FQ38" i="3"/>
  <c r="FM38" i="3"/>
  <c r="EO38" i="3"/>
  <c r="EK38" i="3"/>
  <c r="DI38" i="3"/>
  <c r="DE38" i="3"/>
  <c r="CG38" i="3"/>
  <c r="CC38" i="3"/>
  <c r="BE38" i="3"/>
  <c r="BA38" i="3"/>
  <c r="AK38" i="3"/>
  <c r="Y38" i="3"/>
  <c r="U38" i="3"/>
  <c r="M38" i="3"/>
  <c r="HX38" i="3"/>
  <c r="HT38" i="3"/>
  <c r="GR38" i="3"/>
  <c r="GN38" i="3"/>
  <c r="FP38" i="3"/>
  <c r="FL38" i="3"/>
  <c r="EN38" i="3"/>
  <c r="EJ38" i="3"/>
  <c r="DH38" i="3"/>
  <c r="DD38" i="3"/>
  <c r="HW38" i="3"/>
  <c r="HS38" i="3"/>
  <c r="GU38" i="3"/>
  <c r="GQ38" i="3"/>
  <c r="FO38" i="3"/>
  <c r="FK38" i="3"/>
  <c r="EM38" i="3"/>
  <c r="EI38" i="3"/>
  <c r="DK38" i="3"/>
  <c r="DG38" i="3"/>
  <c r="CE38" i="3"/>
  <c r="CA38" i="3"/>
  <c r="BC38" i="3"/>
  <c r="AY38" i="3"/>
  <c r="AA38" i="3"/>
  <c r="W38" i="3"/>
  <c r="O38" i="3"/>
  <c r="AB38" i="3"/>
  <c r="AZ38" i="3"/>
  <c r="CF38" i="3"/>
  <c r="GP38" i="3"/>
  <c r="HV38" i="3"/>
  <c r="N38" i="3"/>
  <c r="V38" i="3"/>
  <c r="AL38" i="3"/>
  <c r="BB38" i="3"/>
  <c r="CH38" i="3"/>
  <c r="EH38" i="3"/>
  <c r="FN38" i="3"/>
  <c r="GT38" i="3"/>
  <c r="I40" i="3"/>
  <c r="FE41" i="3"/>
  <c r="GB41" i="3"/>
  <c r="FD41" i="3"/>
  <c r="GA41" i="3"/>
  <c r="FC41" i="3"/>
  <c r="FF41" i="3"/>
  <c r="HH13" i="2"/>
  <c r="HH5" i="2"/>
  <c r="HH7" i="2"/>
  <c r="HK7" i="2" s="1"/>
  <c r="HH9" i="2"/>
  <c r="HH11" i="2"/>
  <c r="IG11" i="2" s="1"/>
  <c r="HH15" i="2"/>
  <c r="IH15" i="2" s="1"/>
  <c r="HH17" i="2"/>
  <c r="HH19" i="2"/>
  <c r="HL19" i="2" s="1"/>
  <c r="HH21" i="2"/>
  <c r="HH23" i="2"/>
  <c r="IH23" i="2" s="1"/>
  <c r="HH25" i="2"/>
  <c r="HH27" i="2"/>
  <c r="IG27" i="2" s="1"/>
  <c r="HH29" i="2"/>
  <c r="HH31" i="2"/>
  <c r="HK31" i="2" s="1"/>
  <c r="HH33" i="2"/>
  <c r="HH35" i="2"/>
  <c r="IH35" i="2" s="1"/>
  <c r="HH37" i="2"/>
  <c r="HH39" i="2"/>
  <c r="IG39" i="2" s="1"/>
  <c r="HH41" i="2"/>
  <c r="IH41" i="2"/>
  <c r="IG41" i="2"/>
  <c r="HX41" i="2"/>
  <c r="HW41" i="2"/>
  <c r="HV41" i="2"/>
  <c r="HU41" i="2"/>
  <c r="HT41" i="2"/>
  <c r="HS41" i="2"/>
  <c r="HR41" i="2"/>
  <c r="HQ41" i="2"/>
  <c r="HL41" i="2"/>
  <c r="HK41" i="2"/>
  <c r="HJ41" i="2"/>
  <c r="HI41" i="2"/>
  <c r="HX40" i="2"/>
  <c r="IF40" i="2" s="1"/>
  <c r="HW40" i="2"/>
  <c r="IE40" i="2" s="1"/>
  <c r="HV40" i="2"/>
  <c r="ID40" i="2" s="1"/>
  <c r="HU40" i="2"/>
  <c r="IC40" i="2" s="1"/>
  <c r="HT40" i="2"/>
  <c r="IB40" i="2" s="1"/>
  <c r="HS40" i="2"/>
  <c r="IA40" i="2" s="1"/>
  <c r="HR40" i="2"/>
  <c r="HZ40" i="2" s="1"/>
  <c r="HQ40" i="2"/>
  <c r="HY40" i="2" s="1"/>
  <c r="IH39" i="2"/>
  <c r="HX39" i="2"/>
  <c r="HW39" i="2"/>
  <c r="HV39" i="2"/>
  <c r="HU39" i="2"/>
  <c r="HT39" i="2"/>
  <c r="HS39" i="2"/>
  <c r="HR39" i="2"/>
  <c r="HQ39" i="2"/>
  <c r="HJ39" i="2"/>
  <c r="HX38" i="2"/>
  <c r="IF38" i="2" s="1"/>
  <c r="HW38" i="2"/>
  <c r="IE38" i="2" s="1"/>
  <c r="HV38" i="2"/>
  <c r="ID38" i="2" s="1"/>
  <c r="HU38" i="2"/>
  <c r="IC38" i="2" s="1"/>
  <c r="HT38" i="2"/>
  <c r="IB38" i="2" s="1"/>
  <c r="HS38" i="2"/>
  <c r="IA38" i="2" s="1"/>
  <c r="HR38" i="2"/>
  <c r="HZ38" i="2" s="1"/>
  <c r="HQ38" i="2"/>
  <c r="HY38" i="2" s="1"/>
  <c r="IH37" i="2"/>
  <c r="IG37" i="2"/>
  <c r="HX37" i="2"/>
  <c r="HW37" i="2"/>
  <c r="HV37" i="2"/>
  <c r="HU37" i="2"/>
  <c r="HT37" i="2"/>
  <c r="HS37" i="2"/>
  <c r="HR37" i="2"/>
  <c r="HQ37" i="2"/>
  <c r="HL37" i="2"/>
  <c r="HK37" i="2"/>
  <c r="HJ37" i="2"/>
  <c r="HI37" i="2"/>
  <c r="HX36" i="2"/>
  <c r="IF36" i="2" s="1"/>
  <c r="HW36" i="2"/>
  <c r="IE36" i="2" s="1"/>
  <c r="HV36" i="2"/>
  <c r="ID36" i="2" s="1"/>
  <c r="HU36" i="2"/>
  <c r="IC36" i="2" s="1"/>
  <c r="HT36" i="2"/>
  <c r="IB36" i="2" s="1"/>
  <c r="HS36" i="2"/>
  <c r="IA36" i="2" s="1"/>
  <c r="HR36" i="2"/>
  <c r="HZ36" i="2" s="1"/>
  <c r="HQ36" i="2"/>
  <c r="HY36" i="2" s="1"/>
  <c r="HX35" i="2"/>
  <c r="HW35" i="2"/>
  <c r="HV35" i="2"/>
  <c r="HU35" i="2"/>
  <c r="HT35" i="2"/>
  <c r="HS35" i="2"/>
  <c r="HR35" i="2"/>
  <c r="HQ35" i="2"/>
  <c r="HK35" i="2"/>
  <c r="HX34" i="2"/>
  <c r="IF34" i="2" s="1"/>
  <c r="HW34" i="2"/>
  <c r="IE34" i="2" s="1"/>
  <c r="HV34" i="2"/>
  <c r="ID34" i="2" s="1"/>
  <c r="HU34" i="2"/>
  <c r="IC34" i="2" s="1"/>
  <c r="HT34" i="2"/>
  <c r="IB34" i="2" s="1"/>
  <c r="HS34" i="2"/>
  <c r="IA34" i="2" s="1"/>
  <c r="HR34" i="2"/>
  <c r="HZ34" i="2" s="1"/>
  <c r="HQ34" i="2"/>
  <c r="HY34" i="2" s="1"/>
  <c r="IH33" i="2"/>
  <c r="IG33" i="2"/>
  <c r="HX33" i="2"/>
  <c r="HW33" i="2"/>
  <c r="HV33" i="2"/>
  <c r="HU33" i="2"/>
  <c r="HT33" i="2"/>
  <c r="HS33" i="2"/>
  <c r="HR33" i="2"/>
  <c r="HQ33" i="2"/>
  <c r="HL33" i="2"/>
  <c r="HK33" i="2"/>
  <c r="HJ33" i="2"/>
  <c r="HI33" i="2"/>
  <c r="HX32" i="2"/>
  <c r="IF32" i="2" s="1"/>
  <c r="HW32" i="2"/>
  <c r="IE32" i="2" s="1"/>
  <c r="HV32" i="2"/>
  <c r="ID32" i="2" s="1"/>
  <c r="HU32" i="2"/>
  <c r="IC32" i="2" s="1"/>
  <c r="HT32" i="2"/>
  <c r="IB32" i="2" s="1"/>
  <c r="HS32" i="2"/>
  <c r="IA32" i="2" s="1"/>
  <c r="HR32" i="2"/>
  <c r="HZ32" i="2" s="1"/>
  <c r="HQ32" i="2"/>
  <c r="HY32" i="2" s="1"/>
  <c r="HX31" i="2"/>
  <c r="HW31" i="2"/>
  <c r="HV31" i="2"/>
  <c r="HU31" i="2"/>
  <c r="HT31" i="2"/>
  <c r="HS31" i="2"/>
  <c r="HR31" i="2"/>
  <c r="HQ31" i="2"/>
  <c r="HL31" i="2"/>
  <c r="HX30" i="2"/>
  <c r="IF30" i="2" s="1"/>
  <c r="HW30" i="2"/>
  <c r="IE30" i="2" s="1"/>
  <c r="HV30" i="2"/>
  <c r="ID30" i="2" s="1"/>
  <c r="HU30" i="2"/>
  <c r="IC30" i="2" s="1"/>
  <c r="HT30" i="2"/>
  <c r="IB30" i="2" s="1"/>
  <c r="HS30" i="2"/>
  <c r="IA30" i="2" s="1"/>
  <c r="HR30" i="2"/>
  <c r="HZ30" i="2" s="1"/>
  <c r="HQ30" i="2"/>
  <c r="HY30" i="2" s="1"/>
  <c r="IH29" i="2"/>
  <c r="IG29" i="2"/>
  <c r="HX29" i="2"/>
  <c r="HW29" i="2"/>
  <c r="HV29" i="2"/>
  <c r="HU29" i="2"/>
  <c r="HT29" i="2"/>
  <c r="HS29" i="2"/>
  <c r="HR29" i="2"/>
  <c r="HQ29" i="2"/>
  <c r="HL29" i="2"/>
  <c r="HK29" i="2"/>
  <c r="HJ29" i="2"/>
  <c r="HI29" i="2"/>
  <c r="HX28" i="2"/>
  <c r="IF28" i="2" s="1"/>
  <c r="HW28" i="2"/>
  <c r="IE28" i="2" s="1"/>
  <c r="HV28" i="2"/>
  <c r="ID28" i="2" s="1"/>
  <c r="HU28" i="2"/>
  <c r="IC28" i="2" s="1"/>
  <c r="HT28" i="2"/>
  <c r="IB28" i="2" s="1"/>
  <c r="HS28" i="2"/>
  <c r="IA28" i="2" s="1"/>
  <c r="HR28" i="2"/>
  <c r="HZ28" i="2" s="1"/>
  <c r="HQ28" i="2"/>
  <c r="HY28" i="2" s="1"/>
  <c r="IH27" i="2"/>
  <c r="HX27" i="2"/>
  <c r="HW27" i="2"/>
  <c r="HV27" i="2"/>
  <c r="HU27" i="2"/>
  <c r="HT27" i="2"/>
  <c r="HS27" i="2"/>
  <c r="HR27" i="2"/>
  <c r="HQ27" i="2"/>
  <c r="HJ27" i="2"/>
  <c r="HX26" i="2"/>
  <c r="IF26" i="2" s="1"/>
  <c r="HW26" i="2"/>
  <c r="IE26" i="2" s="1"/>
  <c r="HV26" i="2"/>
  <c r="ID26" i="2" s="1"/>
  <c r="HU26" i="2"/>
  <c r="IC26" i="2" s="1"/>
  <c r="HT26" i="2"/>
  <c r="IB26" i="2" s="1"/>
  <c r="HS26" i="2"/>
  <c r="IA26" i="2" s="1"/>
  <c r="HR26" i="2"/>
  <c r="HZ26" i="2" s="1"/>
  <c r="HQ26" i="2"/>
  <c r="HY26" i="2" s="1"/>
  <c r="IH25" i="2"/>
  <c r="IG25" i="2"/>
  <c r="HX25" i="2"/>
  <c r="HW25" i="2"/>
  <c r="HV25" i="2"/>
  <c r="HU25" i="2"/>
  <c r="HT25" i="2"/>
  <c r="HS25" i="2"/>
  <c r="HR25" i="2"/>
  <c r="HQ25" i="2"/>
  <c r="HL25" i="2"/>
  <c r="HK25" i="2"/>
  <c r="HJ25" i="2"/>
  <c r="HI25" i="2"/>
  <c r="HX24" i="2"/>
  <c r="IF24" i="2" s="1"/>
  <c r="HW24" i="2"/>
  <c r="IE24" i="2" s="1"/>
  <c r="HV24" i="2"/>
  <c r="ID24" i="2" s="1"/>
  <c r="HU24" i="2"/>
  <c r="IC24" i="2" s="1"/>
  <c r="HT24" i="2"/>
  <c r="IB24" i="2" s="1"/>
  <c r="HS24" i="2"/>
  <c r="IA24" i="2" s="1"/>
  <c r="HR24" i="2"/>
  <c r="HZ24" i="2" s="1"/>
  <c r="HQ24" i="2"/>
  <c r="HY24" i="2" s="1"/>
  <c r="HX23" i="2"/>
  <c r="HW23" i="2"/>
  <c r="HV23" i="2"/>
  <c r="HU23" i="2"/>
  <c r="HT23" i="2"/>
  <c r="HS23" i="2"/>
  <c r="HR23" i="2"/>
  <c r="HQ23" i="2"/>
  <c r="HL23" i="2"/>
  <c r="HK23" i="2"/>
  <c r="HX22" i="2"/>
  <c r="IF22" i="2" s="1"/>
  <c r="HW22" i="2"/>
  <c r="IE22" i="2" s="1"/>
  <c r="HV22" i="2"/>
  <c r="ID22" i="2" s="1"/>
  <c r="HU22" i="2"/>
  <c r="IC22" i="2" s="1"/>
  <c r="HT22" i="2"/>
  <c r="IB22" i="2" s="1"/>
  <c r="HS22" i="2"/>
  <c r="IA22" i="2" s="1"/>
  <c r="HR22" i="2"/>
  <c r="HZ22" i="2" s="1"/>
  <c r="HQ22" i="2"/>
  <c r="HY22" i="2" s="1"/>
  <c r="IH21" i="2"/>
  <c r="IG21" i="2"/>
  <c r="HX21" i="2"/>
  <c r="HW21" i="2"/>
  <c r="HV21" i="2"/>
  <c r="HU21" i="2"/>
  <c r="HT21" i="2"/>
  <c r="HS21" i="2"/>
  <c r="HR21" i="2"/>
  <c r="HQ21" i="2"/>
  <c r="HL21" i="2"/>
  <c r="HK21" i="2"/>
  <c r="HJ21" i="2"/>
  <c r="HI21" i="2"/>
  <c r="HX20" i="2"/>
  <c r="IF20" i="2" s="1"/>
  <c r="HW20" i="2"/>
  <c r="IE20" i="2" s="1"/>
  <c r="HV20" i="2"/>
  <c r="ID20" i="2" s="1"/>
  <c r="HU20" i="2"/>
  <c r="IC20" i="2" s="1"/>
  <c r="HT20" i="2"/>
  <c r="IB20" i="2" s="1"/>
  <c r="HS20" i="2"/>
  <c r="IA20" i="2" s="1"/>
  <c r="HR20" i="2"/>
  <c r="HZ20" i="2" s="1"/>
  <c r="HQ20" i="2"/>
  <c r="HY20" i="2" s="1"/>
  <c r="IH19" i="2"/>
  <c r="IG19" i="2"/>
  <c r="HX19" i="2"/>
  <c r="HW19" i="2"/>
  <c r="HV19" i="2"/>
  <c r="HU19" i="2"/>
  <c r="HT19" i="2"/>
  <c r="HS19" i="2"/>
  <c r="HR19" i="2"/>
  <c r="HQ19" i="2"/>
  <c r="HJ19" i="2"/>
  <c r="HI19" i="2"/>
  <c r="HX18" i="2"/>
  <c r="IF18" i="2" s="1"/>
  <c r="HW18" i="2"/>
  <c r="IE18" i="2" s="1"/>
  <c r="HV18" i="2"/>
  <c r="ID18" i="2" s="1"/>
  <c r="HU18" i="2"/>
  <c r="IC18" i="2" s="1"/>
  <c r="HT18" i="2"/>
  <c r="IB18" i="2" s="1"/>
  <c r="HS18" i="2"/>
  <c r="IA18" i="2" s="1"/>
  <c r="HR18" i="2"/>
  <c r="HZ18" i="2" s="1"/>
  <c r="HQ18" i="2"/>
  <c r="HY18" i="2" s="1"/>
  <c r="IH17" i="2"/>
  <c r="IG17" i="2"/>
  <c r="HX17" i="2"/>
  <c r="HW17" i="2"/>
  <c r="HV17" i="2"/>
  <c r="HU17" i="2"/>
  <c r="HT17" i="2"/>
  <c r="HS17" i="2"/>
  <c r="HR17" i="2"/>
  <c r="HQ17" i="2"/>
  <c r="HL17" i="2"/>
  <c r="HK17" i="2"/>
  <c r="HJ17" i="2"/>
  <c r="HI17" i="2"/>
  <c r="HX16" i="2"/>
  <c r="IF16" i="2" s="1"/>
  <c r="HW16" i="2"/>
  <c r="IE16" i="2" s="1"/>
  <c r="HV16" i="2"/>
  <c r="ID16" i="2" s="1"/>
  <c r="HU16" i="2"/>
  <c r="IC16" i="2" s="1"/>
  <c r="HT16" i="2"/>
  <c r="IB16" i="2" s="1"/>
  <c r="HS16" i="2"/>
  <c r="IA16" i="2" s="1"/>
  <c r="HR16" i="2"/>
  <c r="HZ16" i="2" s="1"/>
  <c r="HQ16" i="2"/>
  <c r="HY16" i="2" s="1"/>
  <c r="HX15" i="2"/>
  <c r="HW15" i="2"/>
  <c r="HV15" i="2"/>
  <c r="HU15" i="2"/>
  <c r="HT15" i="2"/>
  <c r="HS15" i="2"/>
  <c r="HR15" i="2"/>
  <c r="HQ15" i="2"/>
  <c r="HL15" i="2"/>
  <c r="HK15" i="2"/>
  <c r="IC14" i="2"/>
  <c r="HX14" i="2"/>
  <c r="IF14" i="2" s="1"/>
  <c r="HW14" i="2"/>
  <c r="IE14" i="2" s="1"/>
  <c r="HV14" i="2"/>
  <c r="ID14" i="2" s="1"/>
  <c r="HU14" i="2"/>
  <c r="HT14" i="2"/>
  <c r="IB14" i="2" s="1"/>
  <c r="HS14" i="2"/>
  <c r="IA14" i="2" s="1"/>
  <c r="HR14" i="2"/>
  <c r="HZ14" i="2" s="1"/>
  <c r="HQ14" i="2"/>
  <c r="HY14" i="2" s="1"/>
  <c r="IH13" i="2"/>
  <c r="IG13" i="2"/>
  <c r="HX13" i="2"/>
  <c r="HW13" i="2"/>
  <c r="HV13" i="2"/>
  <c r="HU13" i="2"/>
  <c r="HT13" i="2"/>
  <c r="HS13" i="2"/>
  <c r="HR13" i="2"/>
  <c r="HQ13" i="2"/>
  <c r="HL13" i="2"/>
  <c r="HK13" i="2"/>
  <c r="HJ13" i="2"/>
  <c r="HI13" i="2"/>
  <c r="HX12" i="2"/>
  <c r="IF12" i="2" s="1"/>
  <c r="HW12" i="2"/>
  <c r="IE12" i="2" s="1"/>
  <c r="HV12" i="2"/>
  <c r="ID12" i="2" s="1"/>
  <c r="HU12" i="2"/>
  <c r="IC12" i="2" s="1"/>
  <c r="HT12" i="2"/>
  <c r="IB12" i="2" s="1"/>
  <c r="HS12" i="2"/>
  <c r="IA12" i="2" s="1"/>
  <c r="HR12" i="2"/>
  <c r="HZ12" i="2" s="1"/>
  <c r="HQ12" i="2"/>
  <c r="HY12" i="2" s="1"/>
  <c r="IH11" i="2"/>
  <c r="HX11" i="2"/>
  <c r="HW11" i="2"/>
  <c r="HV11" i="2"/>
  <c r="HU11" i="2"/>
  <c r="HT11" i="2"/>
  <c r="HS11" i="2"/>
  <c r="HR11" i="2"/>
  <c r="HQ11" i="2"/>
  <c r="HK11" i="2"/>
  <c r="HJ11" i="2"/>
  <c r="IC10" i="2"/>
  <c r="HX10" i="2"/>
  <c r="IF10" i="2" s="1"/>
  <c r="HW10" i="2"/>
  <c r="IE10" i="2" s="1"/>
  <c r="HV10" i="2"/>
  <c r="ID10" i="2" s="1"/>
  <c r="HU10" i="2"/>
  <c r="HT10" i="2"/>
  <c r="IB10" i="2" s="1"/>
  <c r="HS10" i="2"/>
  <c r="IA10" i="2" s="1"/>
  <c r="HR10" i="2"/>
  <c r="HZ10" i="2" s="1"/>
  <c r="HQ10" i="2"/>
  <c r="HY10" i="2" s="1"/>
  <c r="IH9" i="2"/>
  <c r="IG9" i="2"/>
  <c r="HX9" i="2"/>
  <c r="HW9" i="2"/>
  <c r="HV9" i="2"/>
  <c r="HU9" i="2"/>
  <c r="HT9" i="2"/>
  <c r="HS9" i="2"/>
  <c r="HR9" i="2"/>
  <c r="HQ9" i="2"/>
  <c r="HL9" i="2"/>
  <c r="HK9" i="2"/>
  <c r="HJ9" i="2"/>
  <c r="HI9" i="2"/>
  <c r="IF8" i="2"/>
  <c r="IE8" i="2"/>
  <c r="HX8" i="2"/>
  <c r="HW8" i="2"/>
  <c r="HV8" i="2"/>
  <c r="ID8" i="2" s="1"/>
  <c r="HU8" i="2"/>
  <c r="IC8" i="2" s="1"/>
  <c r="HT8" i="2"/>
  <c r="IB8" i="2" s="1"/>
  <c r="HS8" i="2"/>
  <c r="IA8" i="2" s="1"/>
  <c r="HR8" i="2"/>
  <c r="HZ8" i="2" s="1"/>
  <c r="HQ8" i="2"/>
  <c r="HY8" i="2" s="1"/>
  <c r="IG7" i="2"/>
  <c r="HX7" i="2"/>
  <c r="HW7" i="2"/>
  <c r="HV7" i="2"/>
  <c r="HU7" i="2"/>
  <c r="HT7" i="2"/>
  <c r="HS7" i="2"/>
  <c r="HR7" i="2"/>
  <c r="HQ7" i="2"/>
  <c r="HL7" i="2"/>
  <c r="HI7" i="2"/>
  <c r="HX6" i="2"/>
  <c r="IF6" i="2" s="1"/>
  <c r="HW6" i="2"/>
  <c r="IE6" i="2" s="1"/>
  <c r="HV6" i="2"/>
  <c r="ID6" i="2" s="1"/>
  <c r="HU6" i="2"/>
  <c r="IC6" i="2" s="1"/>
  <c r="HT6" i="2"/>
  <c r="IB6" i="2" s="1"/>
  <c r="HS6" i="2"/>
  <c r="IA6" i="2" s="1"/>
  <c r="HR6" i="2"/>
  <c r="HZ6" i="2" s="1"/>
  <c r="HQ6" i="2"/>
  <c r="HY6" i="2" s="1"/>
  <c r="IH5" i="2"/>
  <c r="IG5" i="2"/>
  <c r="HX5" i="2"/>
  <c r="HW5" i="2"/>
  <c r="HV5" i="2"/>
  <c r="HU5" i="2"/>
  <c r="HT5" i="2"/>
  <c r="HS5" i="2"/>
  <c r="HR5" i="2"/>
  <c r="HQ5" i="2"/>
  <c r="HL5" i="2"/>
  <c r="HK5" i="2"/>
  <c r="HJ5" i="2"/>
  <c r="HI5" i="2"/>
  <c r="IE4" i="2"/>
  <c r="IA4" i="2"/>
  <c r="HX4" i="2"/>
  <c r="IF4" i="2" s="1"/>
  <c r="HW4" i="2"/>
  <c r="HV4" i="2"/>
  <c r="ID4" i="2" s="1"/>
  <c r="HU4" i="2"/>
  <c r="IC4" i="2" s="1"/>
  <c r="HT4" i="2"/>
  <c r="IB4" i="2" s="1"/>
  <c r="HS4" i="2"/>
  <c r="HR4" i="2"/>
  <c r="HZ4" i="2" s="1"/>
  <c r="HQ4" i="2"/>
  <c r="HY4" i="2" s="1"/>
  <c r="HX3" i="2"/>
  <c r="HW3" i="2"/>
  <c r="HV3" i="2"/>
  <c r="HU3" i="2"/>
  <c r="HT3" i="2"/>
  <c r="HS3" i="2"/>
  <c r="HR3" i="2"/>
  <c r="HQ3" i="2"/>
  <c r="HX2" i="2"/>
  <c r="IF2" i="2" s="1"/>
  <c r="HW2" i="2"/>
  <c r="IE2" i="2" s="1"/>
  <c r="HV2" i="2"/>
  <c r="ID2" i="2" s="1"/>
  <c r="HU2" i="2"/>
  <c r="IC2" i="2" s="1"/>
  <c r="HT2" i="2"/>
  <c r="IB2" i="2" s="1"/>
  <c r="HS2" i="2"/>
  <c r="IA2" i="2" s="1"/>
  <c r="HR2" i="2"/>
  <c r="HZ2" i="2" s="1"/>
  <c r="HQ2" i="2"/>
  <c r="HY2" i="2" s="1"/>
  <c r="HE41" i="2"/>
  <c r="HD41" i="2"/>
  <c r="GU41" i="2"/>
  <c r="GT41" i="2"/>
  <c r="GS41" i="2"/>
  <c r="GR41" i="2"/>
  <c r="GQ41" i="2"/>
  <c r="GP41" i="2"/>
  <c r="GO41" i="2"/>
  <c r="GN41" i="2"/>
  <c r="GI41" i="2"/>
  <c r="GH41" i="2"/>
  <c r="GG41" i="2"/>
  <c r="GF41" i="2"/>
  <c r="HD40" i="2"/>
  <c r="HF40" i="2" s="1"/>
  <c r="GU40" i="2"/>
  <c r="HC40" i="2" s="1"/>
  <c r="GT40" i="2"/>
  <c r="HB40" i="2" s="1"/>
  <c r="GS40" i="2"/>
  <c r="HA40" i="2" s="1"/>
  <c r="GR40" i="2"/>
  <c r="GZ40" i="2" s="1"/>
  <c r="GQ40" i="2"/>
  <c r="GY40" i="2" s="1"/>
  <c r="GP40" i="2"/>
  <c r="GX40" i="2" s="1"/>
  <c r="GO40" i="2"/>
  <c r="GW40" i="2" s="1"/>
  <c r="GN40" i="2"/>
  <c r="GV40" i="2" s="1"/>
  <c r="GG40" i="2"/>
  <c r="GK40" i="2" s="1"/>
  <c r="HE39" i="2"/>
  <c r="HD39" i="2"/>
  <c r="GU39" i="2"/>
  <c r="GT39" i="2"/>
  <c r="GS39" i="2"/>
  <c r="GR39" i="2"/>
  <c r="GQ39" i="2"/>
  <c r="GP39" i="2"/>
  <c r="GO39" i="2"/>
  <c r="GN39" i="2"/>
  <c r="GI39" i="2"/>
  <c r="GH39" i="2"/>
  <c r="GG39" i="2"/>
  <c r="GF39" i="2"/>
  <c r="GU38" i="2"/>
  <c r="HC38" i="2" s="1"/>
  <c r="GT38" i="2"/>
  <c r="HB38" i="2" s="1"/>
  <c r="GS38" i="2"/>
  <c r="HA38" i="2" s="1"/>
  <c r="GR38" i="2"/>
  <c r="GZ38" i="2" s="1"/>
  <c r="GQ38" i="2"/>
  <c r="GY38" i="2" s="1"/>
  <c r="GP38" i="2"/>
  <c r="GX38" i="2" s="1"/>
  <c r="GO38" i="2"/>
  <c r="GW38" i="2" s="1"/>
  <c r="GN38" i="2"/>
  <c r="GV38" i="2" s="1"/>
  <c r="GG38" i="2"/>
  <c r="GK38" i="2" s="1"/>
  <c r="HE37" i="2"/>
  <c r="HD37" i="2"/>
  <c r="GU37" i="2"/>
  <c r="GT37" i="2"/>
  <c r="GS37" i="2"/>
  <c r="GR37" i="2"/>
  <c r="GQ37" i="2"/>
  <c r="GP37" i="2"/>
  <c r="GO37" i="2"/>
  <c r="GN37" i="2"/>
  <c r="GI37" i="2"/>
  <c r="GH37" i="2"/>
  <c r="GG37" i="2"/>
  <c r="GF37" i="2"/>
  <c r="GU36" i="2"/>
  <c r="HC36" i="2" s="1"/>
  <c r="GT36" i="2"/>
  <c r="HB36" i="2" s="1"/>
  <c r="GS36" i="2"/>
  <c r="HA36" i="2" s="1"/>
  <c r="GR36" i="2"/>
  <c r="GZ36" i="2" s="1"/>
  <c r="GQ36" i="2"/>
  <c r="GY36" i="2" s="1"/>
  <c r="GP36" i="2"/>
  <c r="GX36" i="2" s="1"/>
  <c r="GO36" i="2"/>
  <c r="GW36" i="2" s="1"/>
  <c r="GN36" i="2"/>
  <c r="GV36" i="2" s="1"/>
  <c r="HE35" i="2"/>
  <c r="HD35" i="2"/>
  <c r="GU35" i="2"/>
  <c r="GT35" i="2"/>
  <c r="GS35" i="2"/>
  <c r="GR35" i="2"/>
  <c r="GQ35" i="2"/>
  <c r="GP35" i="2"/>
  <c r="GO35" i="2"/>
  <c r="GN35" i="2"/>
  <c r="GI35" i="2"/>
  <c r="GH35" i="2"/>
  <c r="GG35" i="2"/>
  <c r="GF35" i="2"/>
  <c r="GU34" i="2"/>
  <c r="HC34" i="2" s="1"/>
  <c r="GT34" i="2"/>
  <c r="HB34" i="2" s="1"/>
  <c r="GS34" i="2"/>
  <c r="HA34" i="2" s="1"/>
  <c r="GR34" i="2"/>
  <c r="GZ34" i="2" s="1"/>
  <c r="GQ34" i="2"/>
  <c r="GY34" i="2" s="1"/>
  <c r="GP34" i="2"/>
  <c r="GX34" i="2" s="1"/>
  <c r="GO34" i="2"/>
  <c r="GW34" i="2" s="1"/>
  <c r="GN34" i="2"/>
  <c r="GV34" i="2" s="1"/>
  <c r="HE33" i="2"/>
  <c r="HD33" i="2"/>
  <c r="GU33" i="2"/>
  <c r="GT33" i="2"/>
  <c r="GS33" i="2"/>
  <c r="GR33" i="2"/>
  <c r="GQ33" i="2"/>
  <c r="GP33" i="2"/>
  <c r="GO33" i="2"/>
  <c r="GN33" i="2"/>
  <c r="GI33" i="2"/>
  <c r="GH33" i="2"/>
  <c r="GG33" i="2"/>
  <c r="GF33" i="2"/>
  <c r="GU32" i="2"/>
  <c r="HC32" i="2" s="1"/>
  <c r="GT32" i="2"/>
  <c r="HB32" i="2" s="1"/>
  <c r="GS32" i="2"/>
  <c r="HA32" i="2" s="1"/>
  <c r="GR32" i="2"/>
  <c r="GZ32" i="2" s="1"/>
  <c r="GQ32" i="2"/>
  <c r="GY32" i="2" s="1"/>
  <c r="GP32" i="2"/>
  <c r="GX32" i="2" s="1"/>
  <c r="GO32" i="2"/>
  <c r="GW32" i="2" s="1"/>
  <c r="GN32" i="2"/>
  <c r="GV32" i="2" s="1"/>
  <c r="HE31" i="2"/>
  <c r="HD31" i="2"/>
  <c r="GU31" i="2"/>
  <c r="GT31" i="2"/>
  <c r="GS31" i="2"/>
  <c r="GR31" i="2"/>
  <c r="GQ31" i="2"/>
  <c r="GP31" i="2"/>
  <c r="GO31" i="2"/>
  <c r="GN31" i="2"/>
  <c r="GI31" i="2"/>
  <c r="GH31" i="2"/>
  <c r="GG31" i="2"/>
  <c r="GF31" i="2"/>
  <c r="GU30" i="2"/>
  <c r="HC30" i="2" s="1"/>
  <c r="GT30" i="2"/>
  <c r="HB30" i="2" s="1"/>
  <c r="GS30" i="2"/>
  <c r="HA30" i="2" s="1"/>
  <c r="GR30" i="2"/>
  <c r="GZ30" i="2" s="1"/>
  <c r="GQ30" i="2"/>
  <c r="GY30" i="2" s="1"/>
  <c r="GP30" i="2"/>
  <c r="GX30" i="2" s="1"/>
  <c r="GO30" i="2"/>
  <c r="GW30" i="2" s="1"/>
  <c r="GN30" i="2"/>
  <c r="GV30" i="2" s="1"/>
  <c r="HE29" i="2"/>
  <c r="HD29" i="2"/>
  <c r="GU29" i="2"/>
  <c r="GT29" i="2"/>
  <c r="HB28" i="2" s="1"/>
  <c r="GS29" i="2"/>
  <c r="GR29" i="2"/>
  <c r="GQ29" i="2"/>
  <c r="GP29" i="2"/>
  <c r="GO29" i="2"/>
  <c r="GN29" i="2"/>
  <c r="GI29" i="2"/>
  <c r="GH29" i="2"/>
  <c r="GG29" i="2"/>
  <c r="GF29" i="2"/>
  <c r="GX28" i="2"/>
  <c r="GU28" i="2"/>
  <c r="HC28" i="2" s="1"/>
  <c r="GT28" i="2"/>
  <c r="GS28" i="2"/>
  <c r="HA28" i="2" s="1"/>
  <c r="GR28" i="2"/>
  <c r="GZ28" i="2" s="1"/>
  <c r="GQ28" i="2"/>
  <c r="GY28" i="2" s="1"/>
  <c r="GP28" i="2"/>
  <c r="GO28" i="2"/>
  <c r="GW28" i="2" s="1"/>
  <c r="GN28" i="2"/>
  <c r="GV28" i="2" s="1"/>
  <c r="HE27" i="2"/>
  <c r="HD27" i="2"/>
  <c r="GU27" i="2"/>
  <c r="GT27" i="2"/>
  <c r="GS27" i="2"/>
  <c r="GR27" i="2"/>
  <c r="GQ27" i="2"/>
  <c r="GP27" i="2"/>
  <c r="GO27" i="2"/>
  <c r="GN27" i="2"/>
  <c r="GI27" i="2"/>
  <c r="GH27" i="2"/>
  <c r="GG27" i="2"/>
  <c r="GF27" i="2"/>
  <c r="GU26" i="2"/>
  <c r="HC26" i="2" s="1"/>
  <c r="GT26" i="2"/>
  <c r="HB26" i="2" s="1"/>
  <c r="GS26" i="2"/>
  <c r="HA26" i="2" s="1"/>
  <c r="GR26" i="2"/>
  <c r="GZ26" i="2" s="1"/>
  <c r="GQ26" i="2"/>
  <c r="GY26" i="2" s="1"/>
  <c r="GP26" i="2"/>
  <c r="GX26" i="2" s="1"/>
  <c r="GO26" i="2"/>
  <c r="GW26" i="2" s="1"/>
  <c r="GN26" i="2"/>
  <c r="GV26" i="2" s="1"/>
  <c r="HE25" i="2"/>
  <c r="HD25" i="2"/>
  <c r="GU25" i="2"/>
  <c r="GT25" i="2"/>
  <c r="HB24" i="2" s="1"/>
  <c r="GS25" i="2"/>
  <c r="GR25" i="2"/>
  <c r="GQ25" i="2"/>
  <c r="GP25" i="2"/>
  <c r="GO25" i="2"/>
  <c r="GN25" i="2"/>
  <c r="GI25" i="2"/>
  <c r="GH25" i="2"/>
  <c r="GG25" i="2"/>
  <c r="GF25" i="2"/>
  <c r="GX24" i="2"/>
  <c r="GU24" i="2"/>
  <c r="HC24" i="2" s="1"/>
  <c r="GT24" i="2"/>
  <c r="GS24" i="2"/>
  <c r="HA24" i="2" s="1"/>
  <c r="GR24" i="2"/>
  <c r="GZ24" i="2" s="1"/>
  <c r="GQ24" i="2"/>
  <c r="GY24" i="2" s="1"/>
  <c r="GP24" i="2"/>
  <c r="GO24" i="2"/>
  <c r="GW24" i="2" s="1"/>
  <c r="GN24" i="2"/>
  <c r="GV24" i="2" s="1"/>
  <c r="HE23" i="2"/>
  <c r="HD23" i="2"/>
  <c r="GU23" i="2"/>
  <c r="GT23" i="2"/>
  <c r="GS23" i="2"/>
  <c r="GR23" i="2"/>
  <c r="GQ23" i="2"/>
  <c r="GP23" i="2"/>
  <c r="GO23" i="2"/>
  <c r="GN23" i="2"/>
  <c r="GI23" i="2"/>
  <c r="GH23" i="2"/>
  <c r="GG23" i="2"/>
  <c r="GF23" i="2"/>
  <c r="GU22" i="2"/>
  <c r="HC22" i="2" s="1"/>
  <c r="GT22" i="2"/>
  <c r="HB22" i="2" s="1"/>
  <c r="GS22" i="2"/>
  <c r="HA22" i="2" s="1"/>
  <c r="GR22" i="2"/>
  <c r="GZ22" i="2" s="1"/>
  <c r="GQ22" i="2"/>
  <c r="GY22" i="2" s="1"/>
  <c r="GP22" i="2"/>
  <c r="GX22" i="2" s="1"/>
  <c r="GO22" i="2"/>
  <c r="GW22" i="2" s="1"/>
  <c r="GN22" i="2"/>
  <c r="GV22" i="2" s="1"/>
  <c r="HE21" i="2"/>
  <c r="HD21" i="2"/>
  <c r="GU21" i="2"/>
  <c r="GT21" i="2"/>
  <c r="HB20" i="2" s="1"/>
  <c r="GS21" i="2"/>
  <c r="GR21" i="2"/>
  <c r="GQ21" i="2"/>
  <c r="GP21" i="2"/>
  <c r="GO21" i="2"/>
  <c r="GN21" i="2"/>
  <c r="GI21" i="2"/>
  <c r="GH21" i="2"/>
  <c r="GG21" i="2"/>
  <c r="GF21" i="2"/>
  <c r="GX20" i="2"/>
  <c r="GU20" i="2"/>
  <c r="HC20" i="2" s="1"/>
  <c r="GT20" i="2"/>
  <c r="GS20" i="2"/>
  <c r="HA20" i="2" s="1"/>
  <c r="GR20" i="2"/>
  <c r="GZ20" i="2" s="1"/>
  <c r="GQ20" i="2"/>
  <c r="GY20" i="2" s="1"/>
  <c r="GP20" i="2"/>
  <c r="GO20" i="2"/>
  <c r="GW20" i="2" s="1"/>
  <c r="GN20" i="2"/>
  <c r="GV20" i="2" s="1"/>
  <c r="HE19" i="2"/>
  <c r="HD19" i="2"/>
  <c r="GU19" i="2"/>
  <c r="GT19" i="2"/>
  <c r="GS19" i="2"/>
  <c r="GR19" i="2"/>
  <c r="GQ19" i="2"/>
  <c r="GP19" i="2"/>
  <c r="GO19" i="2"/>
  <c r="GN19" i="2"/>
  <c r="GI19" i="2"/>
  <c r="GH19" i="2"/>
  <c r="GG19" i="2"/>
  <c r="GF19" i="2"/>
  <c r="GU18" i="2"/>
  <c r="HC18" i="2" s="1"/>
  <c r="GT18" i="2"/>
  <c r="HB18" i="2" s="1"/>
  <c r="GS18" i="2"/>
  <c r="HA18" i="2" s="1"/>
  <c r="GR18" i="2"/>
  <c r="GZ18" i="2" s="1"/>
  <c r="GQ18" i="2"/>
  <c r="GY18" i="2" s="1"/>
  <c r="GP18" i="2"/>
  <c r="GX18" i="2" s="1"/>
  <c r="GO18" i="2"/>
  <c r="GW18" i="2" s="1"/>
  <c r="GN18" i="2"/>
  <c r="GV18" i="2" s="1"/>
  <c r="HE17" i="2"/>
  <c r="HD17" i="2"/>
  <c r="GU17" i="2"/>
  <c r="GT17" i="2"/>
  <c r="HB16" i="2" s="1"/>
  <c r="GS17" i="2"/>
  <c r="GR17" i="2"/>
  <c r="GQ17" i="2"/>
  <c r="GP17" i="2"/>
  <c r="GO17" i="2"/>
  <c r="GN17" i="2"/>
  <c r="GI17" i="2"/>
  <c r="GH17" i="2"/>
  <c r="GG17" i="2"/>
  <c r="GF17" i="2"/>
  <c r="GX16" i="2"/>
  <c r="GU16" i="2"/>
  <c r="HC16" i="2" s="1"/>
  <c r="GT16" i="2"/>
  <c r="GS16" i="2"/>
  <c r="HA16" i="2" s="1"/>
  <c r="GR16" i="2"/>
  <c r="GZ16" i="2" s="1"/>
  <c r="GQ16" i="2"/>
  <c r="GY16" i="2" s="1"/>
  <c r="GP16" i="2"/>
  <c r="GO16" i="2"/>
  <c r="GW16" i="2" s="1"/>
  <c r="GN16" i="2"/>
  <c r="GV16" i="2" s="1"/>
  <c r="HE15" i="2"/>
  <c r="HD15" i="2"/>
  <c r="GU15" i="2"/>
  <c r="GT15" i="2"/>
  <c r="GS15" i="2"/>
  <c r="GR15" i="2"/>
  <c r="GQ15" i="2"/>
  <c r="GP15" i="2"/>
  <c r="GO15" i="2"/>
  <c r="GN15" i="2"/>
  <c r="GI15" i="2"/>
  <c r="GH15" i="2"/>
  <c r="GG15" i="2"/>
  <c r="GF15" i="2"/>
  <c r="GU14" i="2"/>
  <c r="HC14" i="2" s="1"/>
  <c r="GT14" i="2"/>
  <c r="HB14" i="2" s="1"/>
  <c r="GS14" i="2"/>
  <c r="HA14" i="2" s="1"/>
  <c r="GR14" i="2"/>
  <c r="GZ14" i="2" s="1"/>
  <c r="GQ14" i="2"/>
  <c r="GY14" i="2" s="1"/>
  <c r="GP14" i="2"/>
  <c r="GX14" i="2" s="1"/>
  <c r="GO14" i="2"/>
  <c r="GW14" i="2" s="1"/>
  <c r="GN14" i="2"/>
  <c r="GV14" i="2" s="1"/>
  <c r="HE13" i="2"/>
  <c r="HD13" i="2"/>
  <c r="GU13" i="2"/>
  <c r="GT13" i="2"/>
  <c r="HB12" i="2" s="1"/>
  <c r="GS13" i="2"/>
  <c r="GR13" i="2"/>
  <c r="GQ13" i="2"/>
  <c r="GP13" i="2"/>
  <c r="GO13" i="2"/>
  <c r="GN13" i="2"/>
  <c r="GI13" i="2"/>
  <c r="GH13" i="2"/>
  <c r="GG13" i="2"/>
  <c r="GF13" i="2"/>
  <c r="GX12" i="2"/>
  <c r="GU12" i="2"/>
  <c r="HC12" i="2" s="1"/>
  <c r="GT12" i="2"/>
  <c r="GS12" i="2"/>
  <c r="HA12" i="2" s="1"/>
  <c r="GR12" i="2"/>
  <c r="GZ12" i="2" s="1"/>
  <c r="GQ12" i="2"/>
  <c r="GY12" i="2" s="1"/>
  <c r="GP12" i="2"/>
  <c r="GO12" i="2"/>
  <c r="GW12" i="2" s="1"/>
  <c r="GN12" i="2"/>
  <c r="GV12" i="2" s="1"/>
  <c r="HE11" i="2"/>
  <c r="HD11" i="2"/>
  <c r="GU11" i="2"/>
  <c r="GT11" i="2"/>
  <c r="GS11" i="2"/>
  <c r="GR11" i="2"/>
  <c r="GQ11" i="2"/>
  <c r="GP11" i="2"/>
  <c r="GO11" i="2"/>
  <c r="GN11" i="2"/>
  <c r="GI11" i="2"/>
  <c r="GH11" i="2"/>
  <c r="GG11" i="2"/>
  <c r="GF11" i="2"/>
  <c r="GU10" i="2"/>
  <c r="HC10" i="2" s="1"/>
  <c r="GT10" i="2"/>
  <c r="HB10" i="2" s="1"/>
  <c r="GS10" i="2"/>
  <c r="HA10" i="2" s="1"/>
  <c r="GR10" i="2"/>
  <c r="GZ10" i="2" s="1"/>
  <c r="GQ10" i="2"/>
  <c r="GY10" i="2" s="1"/>
  <c r="GP10" i="2"/>
  <c r="GX10" i="2" s="1"/>
  <c r="GO10" i="2"/>
  <c r="GW10" i="2" s="1"/>
  <c r="GN10" i="2"/>
  <c r="GV10" i="2" s="1"/>
  <c r="HE9" i="2"/>
  <c r="HD9" i="2"/>
  <c r="GU9" i="2"/>
  <c r="GT9" i="2"/>
  <c r="HB8" i="2" s="1"/>
  <c r="GS9" i="2"/>
  <c r="GR9" i="2"/>
  <c r="GQ9" i="2"/>
  <c r="GP9" i="2"/>
  <c r="GO9" i="2"/>
  <c r="GN9" i="2"/>
  <c r="GI9" i="2"/>
  <c r="GH9" i="2"/>
  <c r="GG9" i="2"/>
  <c r="GF9" i="2"/>
  <c r="GX8" i="2"/>
  <c r="GU8" i="2"/>
  <c r="HC8" i="2" s="1"/>
  <c r="GT8" i="2"/>
  <c r="GS8" i="2"/>
  <c r="HA8" i="2" s="1"/>
  <c r="GR8" i="2"/>
  <c r="GZ8" i="2" s="1"/>
  <c r="GQ8" i="2"/>
  <c r="GY8" i="2" s="1"/>
  <c r="GP8" i="2"/>
  <c r="GO8" i="2"/>
  <c r="GW8" i="2" s="1"/>
  <c r="GN8" i="2"/>
  <c r="GV8" i="2" s="1"/>
  <c r="HE7" i="2"/>
  <c r="HD7" i="2"/>
  <c r="GU7" i="2"/>
  <c r="GT7" i="2"/>
  <c r="GS7" i="2"/>
  <c r="GR7" i="2"/>
  <c r="GQ7" i="2"/>
  <c r="GP7" i="2"/>
  <c r="GO7" i="2"/>
  <c r="GN7" i="2"/>
  <c r="GI7" i="2"/>
  <c r="GH7" i="2"/>
  <c r="GG7" i="2"/>
  <c r="GF7" i="2"/>
  <c r="GU6" i="2"/>
  <c r="HC6" i="2" s="1"/>
  <c r="GT6" i="2"/>
  <c r="HB6" i="2" s="1"/>
  <c r="GS6" i="2"/>
  <c r="HA6" i="2" s="1"/>
  <c r="GR6" i="2"/>
  <c r="GZ6" i="2" s="1"/>
  <c r="GQ6" i="2"/>
  <c r="GY6" i="2" s="1"/>
  <c r="GP6" i="2"/>
  <c r="GX6" i="2" s="1"/>
  <c r="GO6" i="2"/>
  <c r="GW6" i="2" s="1"/>
  <c r="GN6" i="2"/>
  <c r="GV6" i="2" s="1"/>
  <c r="HE5" i="2"/>
  <c r="HD5" i="2"/>
  <c r="GU5" i="2"/>
  <c r="GT5" i="2"/>
  <c r="HB4" i="2" s="1"/>
  <c r="GS5" i="2"/>
  <c r="GR5" i="2"/>
  <c r="GQ5" i="2"/>
  <c r="GP5" i="2"/>
  <c r="GO5" i="2"/>
  <c r="GN5" i="2"/>
  <c r="GI5" i="2"/>
  <c r="GH5" i="2"/>
  <c r="GG5" i="2"/>
  <c r="GF5" i="2"/>
  <c r="HE4" i="2"/>
  <c r="HG4" i="2" s="1"/>
  <c r="GX4" i="2"/>
  <c r="GU4" i="2"/>
  <c r="HC4" i="2" s="1"/>
  <c r="GT4" i="2"/>
  <c r="GS4" i="2"/>
  <c r="HA4" i="2" s="1"/>
  <c r="GR4" i="2"/>
  <c r="GZ4" i="2" s="1"/>
  <c r="GQ4" i="2"/>
  <c r="GY4" i="2" s="1"/>
  <c r="GP4" i="2"/>
  <c r="GO4" i="2"/>
  <c r="GW4" i="2" s="1"/>
  <c r="GN4" i="2"/>
  <c r="GV4" i="2" s="1"/>
  <c r="GI4" i="2"/>
  <c r="GM4" i="2" s="1"/>
  <c r="GU3" i="2"/>
  <c r="GT3" i="2"/>
  <c r="GS3" i="2"/>
  <c r="GR3" i="2"/>
  <c r="GQ3" i="2"/>
  <c r="GP3" i="2"/>
  <c r="GO3" i="2"/>
  <c r="GN3" i="2"/>
  <c r="GU2" i="2"/>
  <c r="HC2" i="2" s="1"/>
  <c r="GT2" i="2"/>
  <c r="HB2" i="2" s="1"/>
  <c r="GS2" i="2"/>
  <c r="HA2" i="2" s="1"/>
  <c r="GR2" i="2"/>
  <c r="GZ2" i="2" s="1"/>
  <c r="GQ2" i="2"/>
  <c r="GY2" i="2" s="1"/>
  <c r="GP2" i="2"/>
  <c r="GX2" i="2" s="1"/>
  <c r="GO2" i="2"/>
  <c r="GW2" i="2" s="1"/>
  <c r="GN2" i="2"/>
  <c r="GV2" i="2" s="1"/>
  <c r="GE4" i="2"/>
  <c r="HD4" i="2" s="1"/>
  <c r="HF4" i="2" s="1"/>
  <c r="GE5" i="2"/>
  <c r="GE7" i="2"/>
  <c r="GE8" i="2"/>
  <c r="HE8" i="2" s="1"/>
  <c r="HG8" i="2" s="1"/>
  <c r="GE9" i="2"/>
  <c r="GE11" i="2"/>
  <c r="GE12" i="2"/>
  <c r="HE12" i="2" s="1"/>
  <c r="HG12" i="2" s="1"/>
  <c r="GE13" i="2"/>
  <c r="GE15" i="2"/>
  <c r="GE16" i="2"/>
  <c r="HD16" i="2" s="1"/>
  <c r="HF16" i="2" s="1"/>
  <c r="GE17" i="2"/>
  <c r="GE19" i="2"/>
  <c r="GE20" i="2"/>
  <c r="GE21" i="2"/>
  <c r="GE23" i="2"/>
  <c r="GE24" i="2"/>
  <c r="GG24" i="2" s="1"/>
  <c r="GK24" i="2" s="1"/>
  <c r="GE25" i="2"/>
  <c r="GE27" i="2"/>
  <c r="GE28" i="2"/>
  <c r="HH28" i="2" s="1"/>
  <c r="GE29" i="2"/>
  <c r="GE31" i="2"/>
  <c r="GE32" i="2"/>
  <c r="HH32" i="2" s="1"/>
  <c r="GE33" i="2"/>
  <c r="GE35" i="2"/>
  <c r="GE36" i="2"/>
  <c r="GE37" i="2"/>
  <c r="GE39" i="2"/>
  <c r="GE41" i="2"/>
  <c r="GB41" i="2"/>
  <c r="GA41" i="2"/>
  <c r="FR41" i="2"/>
  <c r="FQ41" i="2"/>
  <c r="FP41" i="2"/>
  <c r="FO41" i="2"/>
  <c r="FN41" i="2"/>
  <c r="FM41" i="2"/>
  <c r="FL41" i="2"/>
  <c r="FK41" i="2"/>
  <c r="FF41" i="2"/>
  <c r="FE41" i="2"/>
  <c r="FD41" i="2"/>
  <c r="FC41" i="2"/>
  <c r="FR40" i="2"/>
  <c r="FZ40" i="2" s="1"/>
  <c r="FQ40" i="2"/>
  <c r="FY40" i="2" s="1"/>
  <c r="FP40" i="2"/>
  <c r="FX40" i="2" s="1"/>
  <c r="FO40" i="2"/>
  <c r="FW40" i="2" s="1"/>
  <c r="FN40" i="2"/>
  <c r="FV40" i="2" s="1"/>
  <c r="FM40" i="2"/>
  <c r="FU40" i="2" s="1"/>
  <c r="FL40" i="2"/>
  <c r="FT40" i="2" s="1"/>
  <c r="FK40" i="2"/>
  <c r="FS40" i="2" s="1"/>
  <c r="GB39" i="2"/>
  <c r="GA39" i="2"/>
  <c r="FR39" i="2"/>
  <c r="FQ39" i="2"/>
  <c r="FP39" i="2"/>
  <c r="FO39" i="2"/>
  <c r="FN39" i="2"/>
  <c r="FM39" i="2"/>
  <c r="FL39" i="2"/>
  <c r="FK39" i="2"/>
  <c r="FF39" i="2"/>
  <c r="FE39" i="2"/>
  <c r="FD39" i="2"/>
  <c r="FC39" i="2"/>
  <c r="FR38" i="2"/>
  <c r="FZ38" i="2" s="1"/>
  <c r="FQ38" i="2"/>
  <c r="FY38" i="2" s="1"/>
  <c r="FP38" i="2"/>
  <c r="FX38" i="2" s="1"/>
  <c r="FO38" i="2"/>
  <c r="FW38" i="2" s="1"/>
  <c r="FN38" i="2"/>
  <c r="FV38" i="2" s="1"/>
  <c r="FM38" i="2"/>
  <c r="FU38" i="2" s="1"/>
  <c r="FL38" i="2"/>
  <c r="FT38" i="2" s="1"/>
  <c r="FK38" i="2"/>
  <c r="FS38" i="2" s="1"/>
  <c r="GB37" i="2"/>
  <c r="GA37" i="2"/>
  <c r="FR37" i="2"/>
  <c r="FQ37" i="2"/>
  <c r="FP37" i="2"/>
  <c r="FO37" i="2"/>
  <c r="FN37" i="2"/>
  <c r="FM37" i="2"/>
  <c r="FL37" i="2"/>
  <c r="FK37" i="2"/>
  <c r="FF37" i="2"/>
  <c r="FE37" i="2"/>
  <c r="FD37" i="2"/>
  <c r="FC37" i="2"/>
  <c r="FY36" i="2"/>
  <c r="FR36" i="2"/>
  <c r="FZ36" i="2" s="1"/>
  <c r="FQ36" i="2"/>
  <c r="FP36" i="2"/>
  <c r="FX36" i="2" s="1"/>
  <c r="FO36" i="2"/>
  <c r="FW36" i="2" s="1"/>
  <c r="FN36" i="2"/>
  <c r="FV36" i="2" s="1"/>
  <c r="FM36" i="2"/>
  <c r="FU36" i="2" s="1"/>
  <c r="FL36" i="2"/>
  <c r="FT36" i="2" s="1"/>
  <c r="FK36" i="2"/>
  <c r="FS36" i="2" s="1"/>
  <c r="GB35" i="2"/>
  <c r="GA35" i="2"/>
  <c r="FR35" i="2"/>
  <c r="FQ35" i="2"/>
  <c r="FP35" i="2"/>
  <c r="FO35" i="2"/>
  <c r="FN35" i="2"/>
  <c r="FM35" i="2"/>
  <c r="FL35" i="2"/>
  <c r="FK35" i="2"/>
  <c r="FF35" i="2"/>
  <c r="FE35" i="2"/>
  <c r="FD35" i="2"/>
  <c r="FC35" i="2"/>
  <c r="FR34" i="2"/>
  <c r="FZ34" i="2" s="1"/>
  <c r="FQ34" i="2"/>
  <c r="FY34" i="2" s="1"/>
  <c r="FP34" i="2"/>
  <c r="FX34" i="2" s="1"/>
  <c r="FO34" i="2"/>
  <c r="FW34" i="2" s="1"/>
  <c r="FN34" i="2"/>
  <c r="FV34" i="2" s="1"/>
  <c r="FM34" i="2"/>
  <c r="FU34" i="2" s="1"/>
  <c r="FL34" i="2"/>
  <c r="FT34" i="2" s="1"/>
  <c r="FK34" i="2"/>
  <c r="FS34" i="2" s="1"/>
  <c r="GB33" i="2"/>
  <c r="GA33" i="2"/>
  <c r="FR33" i="2"/>
  <c r="FQ33" i="2"/>
  <c r="FY32" i="2" s="1"/>
  <c r="FP33" i="2"/>
  <c r="FO33" i="2"/>
  <c r="FN33" i="2"/>
  <c r="FM33" i="2"/>
  <c r="FL33" i="2"/>
  <c r="FK33" i="2"/>
  <c r="FF33" i="2"/>
  <c r="FE33" i="2"/>
  <c r="FD33" i="2"/>
  <c r="FC33" i="2"/>
  <c r="FU32" i="2"/>
  <c r="FR32" i="2"/>
  <c r="FZ32" i="2" s="1"/>
  <c r="FQ32" i="2"/>
  <c r="FP32" i="2"/>
  <c r="FX32" i="2" s="1"/>
  <c r="FO32" i="2"/>
  <c r="FW32" i="2" s="1"/>
  <c r="FN32" i="2"/>
  <c r="FV32" i="2" s="1"/>
  <c r="FM32" i="2"/>
  <c r="FL32" i="2"/>
  <c r="FT32" i="2" s="1"/>
  <c r="FK32" i="2"/>
  <c r="FS32" i="2" s="1"/>
  <c r="FF32" i="2"/>
  <c r="FJ32" i="2" s="1"/>
  <c r="GB31" i="2"/>
  <c r="GA31" i="2"/>
  <c r="FR31" i="2"/>
  <c r="FQ31" i="2"/>
  <c r="FP31" i="2"/>
  <c r="FO31" i="2"/>
  <c r="FN31" i="2"/>
  <c r="FM31" i="2"/>
  <c r="FL31" i="2"/>
  <c r="FK31" i="2"/>
  <c r="FF31" i="2"/>
  <c r="FE31" i="2"/>
  <c r="FD31" i="2"/>
  <c r="FC31" i="2"/>
  <c r="FR30" i="2"/>
  <c r="FZ30" i="2" s="1"/>
  <c r="FQ30" i="2"/>
  <c r="FY30" i="2" s="1"/>
  <c r="FP30" i="2"/>
  <c r="FX30" i="2" s="1"/>
  <c r="FO30" i="2"/>
  <c r="FW30" i="2" s="1"/>
  <c r="FN30" i="2"/>
  <c r="FV30" i="2" s="1"/>
  <c r="FM30" i="2"/>
  <c r="FU30" i="2" s="1"/>
  <c r="FL30" i="2"/>
  <c r="FT30" i="2" s="1"/>
  <c r="FK30" i="2"/>
  <c r="FS30" i="2" s="1"/>
  <c r="GB29" i="2"/>
  <c r="GA29" i="2"/>
  <c r="FR29" i="2"/>
  <c r="FQ29" i="2"/>
  <c r="FY28" i="2" s="1"/>
  <c r="FP29" i="2"/>
  <c r="FO29" i="2"/>
  <c r="FN29" i="2"/>
  <c r="FM29" i="2"/>
  <c r="FL29" i="2"/>
  <c r="FK29" i="2"/>
  <c r="FF29" i="2"/>
  <c r="FE29" i="2"/>
  <c r="FD29" i="2"/>
  <c r="FC29" i="2"/>
  <c r="GB28" i="2"/>
  <c r="GD28" i="2" s="1"/>
  <c r="FU28" i="2"/>
  <c r="FR28" i="2"/>
  <c r="FZ28" i="2" s="1"/>
  <c r="FQ28" i="2"/>
  <c r="FP28" i="2"/>
  <c r="FX28" i="2" s="1"/>
  <c r="FO28" i="2"/>
  <c r="FW28" i="2" s="1"/>
  <c r="FN28" i="2"/>
  <c r="FV28" i="2" s="1"/>
  <c r="FM28" i="2"/>
  <c r="FL28" i="2"/>
  <c r="FT28" i="2" s="1"/>
  <c r="FK28" i="2"/>
  <c r="FS28" i="2" s="1"/>
  <c r="FD28" i="2"/>
  <c r="FH28" i="2" s="1"/>
  <c r="GB27" i="2"/>
  <c r="GA27" i="2"/>
  <c r="FR27" i="2"/>
  <c r="FQ27" i="2"/>
  <c r="FP27" i="2"/>
  <c r="FO27" i="2"/>
  <c r="FN27" i="2"/>
  <c r="FM27" i="2"/>
  <c r="FL27" i="2"/>
  <c r="FK27" i="2"/>
  <c r="FF27" i="2"/>
  <c r="FE27" i="2"/>
  <c r="FD27" i="2"/>
  <c r="FC27" i="2"/>
  <c r="FR26" i="2"/>
  <c r="FZ26" i="2" s="1"/>
  <c r="FQ26" i="2"/>
  <c r="FY26" i="2" s="1"/>
  <c r="FP26" i="2"/>
  <c r="FX26" i="2" s="1"/>
  <c r="FO26" i="2"/>
  <c r="FW26" i="2" s="1"/>
  <c r="FN26" i="2"/>
  <c r="FV26" i="2" s="1"/>
  <c r="FM26" i="2"/>
  <c r="FU26" i="2" s="1"/>
  <c r="FL26" i="2"/>
  <c r="FT26" i="2" s="1"/>
  <c r="FK26" i="2"/>
  <c r="FS26" i="2" s="1"/>
  <c r="GB25" i="2"/>
  <c r="GA25" i="2"/>
  <c r="FR25" i="2"/>
  <c r="FQ25" i="2"/>
  <c r="FY24" i="2" s="1"/>
  <c r="FP25" i="2"/>
  <c r="FO25" i="2"/>
  <c r="FN25" i="2"/>
  <c r="FM25" i="2"/>
  <c r="FL25" i="2"/>
  <c r="FK25" i="2"/>
  <c r="FF25" i="2"/>
  <c r="FE25" i="2"/>
  <c r="FD25" i="2"/>
  <c r="FC25" i="2"/>
  <c r="FU24" i="2"/>
  <c r="FR24" i="2"/>
  <c r="FZ24" i="2" s="1"/>
  <c r="FQ24" i="2"/>
  <c r="FP24" i="2"/>
  <c r="FX24" i="2" s="1"/>
  <c r="FO24" i="2"/>
  <c r="FW24" i="2" s="1"/>
  <c r="FN24" i="2"/>
  <c r="FV24" i="2" s="1"/>
  <c r="FM24" i="2"/>
  <c r="FL24" i="2"/>
  <c r="FT24" i="2" s="1"/>
  <c r="FK24" i="2"/>
  <c r="FS24" i="2" s="1"/>
  <c r="FD24" i="2"/>
  <c r="FH24" i="2" s="1"/>
  <c r="GB23" i="2"/>
  <c r="GA23" i="2"/>
  <c r="FR23" i="2"/>
  <c r="FQ23" i="2"/>
  <c r="FP23" i="2"/>
  <c r="FO23" i="2"/>
  <c r="FN23" i="2"/>
  <c r="FM23" i="2"/>
  <c r="FL23" i="2"/>
  <c r="FK23" i="2"/>
  <c r="FF23" i="2"/>
  <c r="FE23" i="2"/>
  <c r="FD23" i="2"/>
  <c r="FC23" i="2"/>
  <c r="FR22" i="2"/>
  <c r="FZ22" i="2" s="1"/>
  <c r="FQ22" i="2"/>
  <c r="FY22" i="2" s="1"/>
  <c r="FP22" i="2"/>
  <c r="FX22" i="2" s="1"/>
  <c r="FO22" i="2"/>
  <c r="FW22" i="2" s="1"/>
  <c r="FN22" i="2"/>
  <c r="FV22" i="2" s="1"/>
  <c r="FM22" i="2"/>
  <c r="FU22" i="2" s="1"/>
  <c r="FL22" i="2"/>
  <c r="FT22" i="2" s="1"/>
  <c r="FK22" i="2"/>
  <c r="FS22" i="2" s="1"/>
  <c r="GB21" i="2"/>
  <c r="GA21" i="2"/>
  <c r="FR21" i="2"/>
  <c r="FQ21" i="2"/>
  <c r="FY20" i="2" s="1"/>
  <c r="FP21" i="2"/>
  <c r="FO21" i="2"/>
  <c r="FN21" i="2"/>
  <c r="FM21" i="2"/>
  <c r="FL21" i="2"/>
  <c r="FK21" i="2"/>
  <c r="FF21" i="2"/>
  <c r="FE21" i="2"/>
  <c r="FD21" i="2"/>
  <c r="FC21" i="2"/>
  <c r="FU20" i="2"/>
  <c r="FR20" i="2"/>
  <c r="FZ20" i="2" s="1"/>
  <c r="FQ20" i="2"/>
  <c r="FP20" i="2"/>
  <c r="FX20" i="2" s="1"/>
  <c r="FO20" i="2"/>
  <c r="FW20" i="2" s="1"/>
  <c r="FN20" i="2"/>
  <c r="FV20" i="2" s="1"/>
  <c r="FM20" i="2"/>
  <c r="FL20" i="2"/>
  <c r="FT20" i="2" s="1"/>
  <c r="FK20" i="2"/>
  <c r="FS20" i="2" s="1"/>
  <c r="FE20" i="2"/>
  <c r="GB19" i="2"/>
  <c r="GA19" i="2"/>
  <c r="FR19" i="2"/>
  <c r="FQ19" i="2"/>
  <c r="FP19" i="2"/>
  <c r="FO19" i="2"/>
  <c r="FN19" i="2"/>
  <c r="FM19" i="2"/>
  <c r="FL19" i="2"/>
  <c r="FK19" i="2"/>
  <c r="FF19" i="2"/>
  <c r="FE19" i="2"/>
  <c r="FD19" i="2"/>
  <c r="FC19" i="2"/>
  <c r="FR18" i="2"/>
  <c r="FZ18" i="2" s="1"/>
  <c r="FQ18" i="2"/>
  <c r="FY18" i="2" s="1"/>
  <c r="FP18" i="2"/>
  <c r="FX18" i="2" s="1"/>
  <c r="FO18" i="2"/>
  <c r="FW18" i="2" s="1"/>
  <c r="FN18" i="2"/>
  <c r="FV18" i="2" s="1"/>
  <c r="FM18" i="2"/>
  <c r="FU18" i="2" s="1"/>
  <c r="FL18" i="2"/>
  <c r="FT18" i="2" s="1"/>
  <c r="FK18" i="2"/>
  <c r="FS18" i="2" s="1"/>
  <c r="GB17" i="2"/>
  <c r="GA17" i="2"/>
  <c r="FR17" i="2"/>
  <c r="FQ17" i="2"/>
  <c r="FY16" i="2" s="1"/>
  <c r="FP17" i="2"/>
  <c r="FO17" i="2"/>
  <c r="FN17" i="2"/>
  <c r="FM17" i="2"/>
  <c r="FL17" i="2"/>
  <c r="FK17" i="2"/>
  <c r="FF17" i="2"/>
  <c r="FE17" i="2"/>
  <c r="FD17" i="2"/>
  <c r="FC17" i="2"/>
  <c r="GA16" i="2"/>
  <c r="GC16" i="2" s="1"/>
  <c r="FU16" i="2"/>
  <c r="FR16" i="2"/>
  <c r="FZ16" i="2" s="1"/>
  <c r="FQ16" i="2"/>
  <c r="FP16" i="2"/>
  <c r="FX16" i="2" s="1"/>
  <c r="FO16" i="2"/>
  <c r="FW16" i="2" s="1"/>
  <c r="FN16" i="2"/>
  <c r="FV16" i="2" s="1"/>
  <c r="FM16" i="2"/>
  <c r="FL16" i="2"/>
  <c r="FT16" i="2" s="1"/>
  <c r="FK16" i="2"/>
  <c r="FS16" i="2" s="1"/>
  <c r="FD16" i="2"/>
  <c r="FH16" i="2" s="1"/>
  <c r="GB15" i="2"/>
  <c r="GA15" i="2"/>
  <c r="FR15" i="2"/>
  <c r="FQ15" i="2"/>
  <c r="FP15" i="2"/>
  <c r="FO15" i="2"/>
  <c r="FN15" i="2"/>
  <c r="FM15" i="2"/>
  <c r="FL15" i="2"/>
  <c r="FK15" i="2"/>
  <c r="FF15" i="2"/>
  <c r="FE15" i="2"/>
  <c r="FD15" i="2"/>
  <c r="FC15" i="2"/>
  <c r="FR14" i="2"/>
  <c r="FZ14" i="2" s="1"/>
  <c r="FQ14" i="2"/>
  <c r="FY14" i="2" s="1"/>
  <c r="FP14" i="2"/>
  <c r="FX14" i="2" s="1"/>
  <c r="FO14" i="2"/>
  <c r="FW14" i="2" s="1"/>
  <c r="FN14" i="2"/>
  <c r="FV14" i="2" s="1"/>
  <c r="FM14" i="2"/>
  <c r="FU14" i="2" s="1"/>
  <c r="FL14" i="2"/>
  <c r="FT14" i="2" s="1"/>
  <c r="FK14" i="2"/>
  <c r="FS14" i="2" s="1"/>
  <c r="GB13" i="2"/>
  <c r="GA13" i="2"/>
  <c r="FR13" i="2"/>
  <c r="FQ13" i="2"/>
  <c r="FY12" i="2" s="1"/>
  <c r="FP13" i="2"/>
  <c r="FO13" i="2"/>
  <c r="FN13" i="2"/>
  <c r="FM13" i="2"/>
  <c r="FL13" i="2"/>
  <c r="FK13" i="2"/>
  <c r="FF13" i="2"/>
  <c r="FE13" i="2"/>
  <c r="FD13" i="2"/>
  <c r="FC13" i="2"/>
  <c r="FU12" i="2"/>
  <c r="FR12" i="2"/>
  <c r="FZ12" i="2" s="1"/>
  <c r="FQ12" i="2"/>
  <c r="FP12" i="2"/>
  <c r="FX12" i="2" s="1"/>
  <c r="FO12" i="2"/>
  <c r="FW12" i="2" s="1"/>
  <c r="FN12" i="2"/>
  <c r="FV12" i="2" s="1"/>
  <c r="FM12" i="2"/>
  <c r="FL12" i="2"/>
  <c r="FT12" i="2" s="1"/>
  <c r="FK12" i="2"/>
  <c r="FS12" i="2" s="1"/>
  <c r="GB11" i="2"/>
  <c r="GA11" i="2"/>
  <c r="FR11" i="2"/>
  <c r="FQ11" i="2"/>
  <c r="FP11" i="2"/>
  <c r="FO11" i="2"/>
  <c r="FN11" i="2"/>
  <c r="FM11" i="2"/>
  <c r="FL11" i="2"/>
  <c r="FK11" i="2"/>
  <c r="FF11" i="2"/>
  <c r="FE11" i="2"/>
  <c r="FD11" i="2"/>
  <c r="FC11" i="2"/>
  <c r="FR10" i="2"/>
  <c r="FZ10" i="2" s="1"/>
  <c r="FQ10" i="2"/>
  <c r="FY10" i="2" s="1"/>
  <c r="FP10" i="2"/>
  <c r="FX10" i="2" s="1"/>
  <c r="FO10" i="2"/>
  <c r="FW10" i="2" s="1"/>
  <c r="FN10" i="2"/>
  <c r="FV10" i="2" s="1"/>
  <c r="FM10" i="2"/>
  <c r="FU10" i="2" s="1"/>
  <c r="FL10" i="2"/>
  <c r="FT10" i="2" s="1"/>
  <c r="FK10" i="2"/>
  <c r="FS10" i="2" s="1"/>
  <c r="GB9" i="2"/>
  <c r="GA9" i="2"/>
  <c r="FR9" i="2"/>
  <c r="FQ9" i="2"/>
  <c r="FP9" i="2"/>
  <c r="FO9" i="2"/>
  <c r="FN9" i="2"/>
  <c r="FM9" i="2"/>
  <c r="FL9" i="2"/>
  <c r="FK9" i="2"/>
  <c r="FF9" i="2"/>
  <c r="FE9" i="2"/>
  <c r="FD9" i="2"/>
  <c r="FC9" i="2"/>
  <c r="GA8" i="2"/>
  <c r="GC8" i="2" s="1"/>
  <c r="FY8" i="2"/>
  <c r="FU8" i="2"/>
  <c r="FR8" i="2"/>
  <c r="FZ8" i="2" s="1"/>
  <c r="FQ8" i="2"/>
  <c r="FP8" i="2"/>
  <c r="FX8" i="2" s="1"/>
  <c r="FO8" i="2"/>
  <c r="FW8" i="2" s="1"/>
  <c r="FN8" i="2"/>
  <c r="FV8" i="2" s="1"/>
  <c r="FM8" i="2"/>
  <c r="FL8" i="2"/>
  <c r="FT8" i="2" s="1"/>
  <c r="FK8" i="2"/>
  <c r="FS8" i="2" s="1"/>
  <c r="FE8" i="2"/>
  <c r="FI8" i="2" s="1"/>
  <c r="GB7" i="2"/>
  <c r="GA7" i="2"/>
  <c r="FR7" i="2"/>
  <c r="FQ7" i="2"/>
  <c r="FP7" i="2"/>
  <c r="FO7" i="2"/>
  <c r="FN7" i="2"/>
  <c r="FM7" i="2"/>
  <c r="FL7" i="2"/>
  <c r="FK7" i="2"/>
  <c r="FF7" i="2"/>
  <c r="FE7" i="2"/>
  <c r="FD7" i="2"/>
  <c r="FC7" i="2"/>
  <c r="FR6" i="2"/>
  <c r="FZ6" i="2" s="1"/>
  <c r="FQ6" i="2"/>
  <c r="FY6" i="2" s="1"/>
  <c r="FP6" i="2"/>
  <c r="FX6" i="2" s="1"/>
  <c r="FO6" i="2"/>
  <c r="FW6" i="2" s="1"/>
  <c r="FN6" i="2"/>
  <c r="FV6" i="2" s="1"/>
  <c r="FM6" i="2"/>
  <c r="FU6" i="2" s="1"/>
  <c r="FL6" i="2"/>
  <c r="FT6" i="2" s="1"/>
  <c r="FK6" i="2"/>
  <c r="FS6" i="2" s="1"/>
  <c r="GB5" i="2"/>
  <c r="GA5" i="2"/>
  <c r="FR5" i="2"/>
  <c r="FQ5" i="2"/>
  <c r="FP5" i="2"/>
  <c r="FO5" i="2"/>
  <c r="FN5" i="2"/>
  <c r="FM5" i="2"/>
  <c r="FL5" i="2"/>
  <c r="FK5" i="2"/>
  <c r="FF5" i="2"/>
  <c r="FE5" i="2"/>
  <c r="FD5" i="2"/>
  <c r="FC5" i="2"/>
  <c r="FR4" i="2"/>
  <c r="FZ4" i="2" s="1"/>
  <c r="FQ4" i="2"/>
  <c r="FY4" i="2" s="1"/>
  <c r="FP4" i="2"/>
  <c r="FX4" i="2" s="1"/>
  <c r="FO4" i="2"/>
  <c r="FW4" i="2" s="1"/>
  <c r="FN4" i="2"/>
  <c r="FV4" i="2" s="1"/>
  <c r="FM4" i="2"/>
  <c r="FU4" i="2" s="1"/>
  <c r="FL4" i="2"/>
  <c r="FT4" i="2" s="1"/>
  <c r="FK4" i="2"/>
  <c r="FS4" i="2" s="1"/>
  <c r="FE4" i="2"/>
  <c r="FI4" i="2" s="1"/>
  <c r="GB3" i="2"/>
  <c r="FR3" i="2"/>
  <c r="FQ3" i="2"/>
  <c r="FP3" i="2"/>
  <c r="FO3" i="2"/>
  <c r="FN3" i="2"/>
  <c r="FM3" i="2"/>
  <c r="FL3" i="2"/>
  <c r="FK3" i="2"/>
  <c r="FD3" i="2"/>
  <c r="FR2" i="2"/>
  <c r="FZ2" i="2" s="1"/>
  <c r="FQ2" i="2"/>
  <c r="FP2" i="2"/>
  <c r="FX2" i="2" s="1"/>
  <c r="FO2" i="2"/>
  <c r="FW2" i="2" s="1"/>
  <c r="FN2" i="2"/>
  <c r="FV2" i="2" s="1"/>
  <c r="FM2" i="2"/>
  <c r="FL2" i="2"/>
  <c r="FT2" i="2" s="1"/>
  <c r="FK2" i="2"/>
  <c r="FS2" i="2" s="1"/>
  <c r="FB41" i="2"/>
  <c r="FB40" i="2"/>
  <c r="FE40" i="2" s="1"/>
  <c r="FI40" i="2" s="1"/>
  <c r="FB39" i="2"/>
  <c r="FB37" i="2"/>
  <c r="FB36" i="2"/>
  <c r="FE36" i="2" s="1"/>
  <c r="FI36" i="2" s="1"/>
  <c r="FB35" i="2"/>
  <c r="FB33" i="2"/>
  <c r="FB32" i="2"/>
  <c r="FC32" i="2" s="1"/>
  <c r="FG32" i="2" s="1"/>
  <c r="FB31" i="2"/>
  <c r="FB29" i="2"/>
  <c r="FB28" i="2"/>
  <c r="FF28" i="2" s="1"/>
  <c r="FJ28" i="2" s="1"/>
  <c r="FB27" i="2"/>
  <c r="FB25" i="2"/>
  <c r="FB24" i="2"/>
  <c r="FB23" i="2"/>
  <c r="FB21" i="2"/>
  <c r="FB20" i="2"/>
  <c r="FF20" i="2" s="1"/>
  <c r="FJ20" i="2" s="1"/>
  <c r="FB19" i="2"/>
  <c r="FB17" i="2"/>
  <c r="FB16" i="2"/>
  <c r="FC16" i="2" s="1"/>
  <c r="FG16" i="2" s="1"/>
  <c r="FB15" i="2"/>
  <c r="FB13" i="2"/>
  <c r="FB12" i="2"/>
  <c r="FC12" i="2" s="1"/>
  <c r="FG12" i="2" s="1"/>
  <c r="FB11" i="2"/>
  <c r="FB9" i="2"/>
  <c r="FB8" i="2"/>
  <c r="FD8" i="2" s="1"/>
  <c r="FH8" i="2" s="1"/>
  <c r="FB7" i="2"/>
  <c r="FB5" i="2"/>
  <c r="FB4" i="2"/>
  <c r="GB4" i="2" s="1"/>
  <c r="GD4" i="2" s="1"/>
  <c r="FB3" i="2"/>
  <c r="GA3" i="2" s="1"/>
  <c r="EY41" i="2"/>
  <c r="EX41" i="2"/>
  <c r="EO41" i="2"/>
  <c r="EN41" i="2"/>
  <c r="EM41" i="2"/>
  <c r="EL41" i="2"/>
  <c r="EK41" i="2"/>
  <c r="EJ41" i="2"/>
  <c r="EI41" i="2"/>
  <c r="EH41" i="2"/>
  <c r="EC41" i="2"/>
  <c r="EB41" i="2"/>
  <c r="EA41" i="2"/>
  <c r="DZ41" i="2"/>
  <c r="EO40" i="2"/>
  <c r="EW40" i="2" s="1"/>
  <c r="EN40" i="2"/>
  <c r="EV40" i="2" s="1"/>
  <c r="EM40" i="2"/>
  <c r="EU40" i="2" s="1"/>
  <c r="EL40" i="2"/>
  <c r="ET40" i="2" s="1"/>
  <c r="EK40" i="2"/>
  <c r="ES40" i="2" s="1"/>
  <c r="EJ40" i="2"/>
  <c r="ER40" i="2" s="1"/>
  <c r="EI40" i="2"/>
  <c r="EQ40" i="2" s="1"/>
  <c r="EH40" i="2"/>
  <c r="EP40" i="2" s="1"/>
  <c r="EC40" i="2"/>
  <c r="EG40" i="2" s="1"/>
  <c r="EB40" i="2"/>
  <c r="EF40" i="2" s="1"/>
  <c r="EY39" i="2"/>
  <c r="EX39" i="2"/>
  <c r="EO39" i="2"/>
  <c r="EN39" i="2"/>
  <c r="EM39" i="2"/>
  <c r="EL39" i="2"/>
  <c r="EK39" i="2"/>
  <c r="EJ39" i="2"/>
  <c r="EI39" i="2"/>
  <c r="EH39" i="2"/>
  <c r="EC39" i="2"/>
  <c r="EB39" i="2"/>
  <c r="EA39" i="2"/>
  <c r="DZ39" i="2"/>
  <c r="EO38" i="2"/>
  <c r="EW38" i="2" s="1"/>
  <c r="EN38" i="2"/>
  <c r="EV38" i="2" s="1"/>
  <c r="EM38" i="2"/>
  <c r="EU38" i="2" s="1"/>
  <c r="EL38" i="2"/>
  <c r="ET38" i="2" s="1"/>
  <c r="EK38" i="2"/>
  <c r="ES38" i="2" s="1"/>
  <c r="EJ38" i="2"/>
  <c r="ER38" i="2" s="1"/>
  <c r="EI38" i="2"/>
  <c r="EQ38" i="2" s="1"/>
  <c r="EH38" i="2"/>
  <c r="EP38" i="2" s="1"/>
  <c r="EC38" i="2"/>
  <c r="EG38" i="2" s="1"/>
  <c r="EY37" i="2"/>
  <c r="EX37" i="2"/>
  <c r="EO37" i="2"/>
  <c r="EN37" i="2"/>
  <c r="EM37" i="2"/>
  <c r="EL37" i="2"/>
  <c r="EK37" i="2"/>
  <c r="EJ37" i="2"/>
  <c r="EI37" i="2"/>
  <c r="EH37" i="2"/>
  <c r="EC37" i="2"/>
  <c r="EB37" i="2"/>
  <c r="EA37" i="2"/>
  <c r="DZ37" i="2"/>
  <c r="EY36" i="2"/>
  <c r="FA36" i="2" s="1"/>
  <c r="EO36" i="2"/>
  <c r="EW36" i="2" s="1"/>
  <c r="EN36" i="2"/>
  <c r="EV36" i="2" s="1"/>
  <c r="EM36" i="2"/>
  <c r="EU36" i="2" s="1"/>
  <c r="EL36" i="2"/>
  <c r="ET36" i="2" s="1"/>
  <c r="EK36" i="2"/>
  <c r="ES36" i="2" s="1"/>
  <c r="EJ36" i="2"/>
  <c r="ER36" i="2" s="1"/>
  <c r="EI36" i="2"/>
  <c r="EQ36" i="2" s="1"/>
  <c r="EH36" i="2"/>
  <c r="EP36" i="2" s="1"/>
  <c r="EB36" i="2"/>
  <c r="EF36" i="2" s="1"/>
  <c r="EA36" i="2"/>
  <c r="EE36" i="2" s="1"/>
  <c r="EY35" i="2"/>
  <c r="EX35" i="2"/>
  <c r="EO35" i="2"/>
  <c r="EN35" i="2"/>
  <c r="EM35" i="2"/>
  <c r="EL35" i="2"/>
  <c r="EK35" i="2"/>
  <c r="EJ35" i="2"/>
  <c r="EI35" i="2"/>
  <c r="EH35" i="2"/>
  <c r="EC35" i="2"/>
  <c r="EB35" i="2"/>
  <c r="EA35" i="2"/>
  <c r="DZ35" i="2"/>
  <c r="EY34" i="2"/>
  <c r="FA34" i="2" s="1"/>
  <c r="EO34" i="2"/>
  <c r="EW34" i="2" s="1"/>
  <c r="EN34" i="2"/>
  <c r="EV34" i="2" s="1"/>
  <c r="EM34" i="2"/>
  <c r="EU34" i="2" s="1"/>
  <c r="EL34" i="2"/>
  <c r="ET34" i="2" s="1"/>
  <c r="EK34" i="2"/>
  <c r="ES34" i="2" s="1"/>
  <c r="EJ34" i="2"/>
  <c r="ER34" i="2" s="1"/>
  <c r="EI34" i="2"/>
  <c r="EQ34" i="2" s="1"/>
  <c r="EH34" i="2"/>
  <c r="EP34" i="2" s="1"/>
  <c r="EA34" i="2"/>
  <c r="EE34" i="2" s="1"/>
  <c r="EY33" i="2"/>
  <c r="EX33" i="2"/>
  <c r="EO33" i="2"/>
  <c r="EN33" i="2"/>
  <c r="EM33" i="2"/>
  <c r="EL33" i="2"/>
  <c r="EK33" i="2"/>
  <c r="EJ33" i="2"/>
  <c r="EI33" i="2"/>
  <c r="EH33" i="2"/>
  <c r="EC33" i="2"/>
  <c r="EB33" i="2"/>
  <c r="EA33" i="2"/>
  <c r="DZ33" i="2"/>
  <c r="EX32" i="2"/>
  <c r="EZ32" i="2" s="1"/>
  <c r="EO32" i="2"/>
  <c r="EW32" i="2" s="1"/>
  <c r="EN32" i="2"/>
  <c r="EV32" i="2" s="1"/>
  <c r="EM32" i="2"/>
  <c r="EU32" i="2" s="1"/>
  <c r="EL32" i="2"/>
  <c r="ET32" i="2" s="1"/>
  <c r="EK32" i="2"/>
  <c r="ES32" i="2" s="1"/>
  <c r="EJ32" i="2"/>
  <c r="ER32" i="2" s="1"/>
  <c r="EI32" i="2"/>
  <c r="EQ32" i="2" s="1"/>
  <c r="EH32" i="2"/>
  <c r="EP32" i="2" s="1"/>
  <c r="EC32" i="2"/>
  <c r="EG32" i="2" s="1"/>
  <c r="DZ32" i="2"/>
  <c r="ED32" i="2" s="1"/>
  <c r="EY31" i="2"/>
  <c r="EX31" i="2"/>
  <c r="EO31" i="2"/>
  <c r="EN31" i="2"/>
  <c r="EM31" i="2"/>
  <c r="EL31" i="2"/>
  <c r="EK31" i="2"/>
  <c r="EJ31" i="2"/>
  <c r="EI31" i="2"/>
  <c r="EH31" i="2"/>
  <c r="EC31" i="2"/>
  <c r="EB31" i="2"/>
  <c r="EA31" i="2"/>
  <c r="DZ31" i="2"/>
  <c r="EO30" i="2"/>
  <c r="EW30" i="2" s="1"/>
  <c r="EN30" i="2"/>
  <c r="EV30" i="2" s="1"/>
  <c r="EM30" i="2"/>
  <c r="EU30" i="2" s="1"/>
  <c r="EL30" i="2"/>
  <c r="ET30" i="2" s="1"/>
  <c r="EK30" i="2"/>
  <c r="ES30" i="2" s="1"/>
  <c r="EJ30" i="2"/>
  <c r="ER30" i="2" s="1"/>
  <c r="EI30" i="2"/>
  <c r="EQ30" i="2" s="1"/>
  <c r="EH30" i="2"/>
  <c r="EP30" i="2" s="1"/>
  <c r="EC30" i="2"/>
  <c r="EG30" i="2" s="1"/>
  <c r="EY29" i="2"/>
  <c r="EX29" i="2"/>
  <c r="EO29" i="2"/>
  <c r="EN29" i="2"/>
  <c r="EM29" i="2"/>
  <c r="EL29" i="2"/>
  <c r="EK29" i="2"/>
  <c r="EJ29" i="2"/>
  <c r="EI29" i="2"/>
  <c r="EH29" i="2"/>
  <c r="EC29" i="2"/>
  <c r="EB29" i="2"/>
  <c r="EA29" i="2"/>
  <c r="DZ29" i="2"/>
  <c r="EY28" i="2"/>
  <c r="FA28" i="2" s="1"/>
  <c r="EO28" i="2"/>
  <c r="EW28" i="2" s="1"/>
  <c r="EN28" i="2"/>
  <c r="EV28" i="2" s="1"/>
  <c r="EM28" i="2"/>
  <c r="EU28" i="2" s="1"/>
  <c r="EL28" i="2"/>
  <c r="ET28" i="2" s="1"/>
  <c r="EK28" i="2"/>
  <c r="ES28" i="2" s="1"/>
  <c r="EJ28" i="2"/>
  <c r="ER28" i="2" s="1"/>
  <c r="EI28" i="2"/>
  <c r="EQ28" i="2" s="1"/>
  <c r="EH28" i="2"/>
  <c r="EP28" i="2" s="1"/>
  <c r="EB28" i="2"/>
  <c r="EF28" i="2" s="1"/>
  <c r="EA28" i="2"/>
  <c r="EE28" i="2" s="1"/>
  <c r="EY27" i="2"/>
  <c r="EX27" i="2"/>
  <c r="EO27" i="2"/>
  <c r="EN27" i="2"/>
  <c r="EM27" i="2"/>
  <c r="EL27" i="2"/>
  <c r="EK27" i="2"/>
  <c r="EJ27" i="2"/>
  <c r="EI27" i="2"/>
  <c r="EH27" i="2"/>
  <c r="EC27" i="2"/>
  <c r="EB27" i="2"/>
  <c r="EA27" i="2"/>
  <c r="DZ27" i="2"/>
  <c r="EY26" i="2"/>
  <c r="FA26" i="2" s="1"/>
  <c r="EO26" i="2"/>
  <c r="EW26" i="2" s="1"/>
  <c r="EN26" i="2"/>
  <c r="EV26" i="2" s="1"/>
  <c r="EM26" i="2"/>
  <c r="EU26" i="2" s="1"/>
  <c r="EL26" i="2"/>
  <c r="ET26" i="2" s="1"/>
  <c r="EK26" i="2"/>
  <c r="ES26" i="2" s="1"/>
  <c r="EJ26" i="2"/>
  <c r="ER26" i="2" s="1"/>
  <c r="EI26" i="2"/>
  <c r="EQ26" i="2" s="1"/>
  <c r="EH26" i="2"/>
  <c r="EP26" i="2" s="1"/>
  <c r="EB26" i="2"/>
  <c r="EF26" i="2" s="1"/>
  <c r="EY25" i="2"/>
  <c r="EX25" i="2"/>
  <c r="EO25" i="2"/>
  <c r="EN25" i="2"/>
  <c r="EM25" i="2"/>
  <c r="EL25" i="2"/>
  <c r="EK25" i="2"/>
  <c r="EJ25" i="2"/>
  <c r="EI25" i="2"/>
  <c r="EH25" i="2"/>
  <c r="EC25" i="2"/>
  <c r="EB25" i="2"/>
  <c r="EA25" i="2"/>
  <c r="DZ25" i="2"/>
  <c r="EY24" i="2"/>
  <c r="FA24" i="2" s="1"/>
  <c r="EX24" i="2"/>
  <c r="EZ24" i="2" s="1"/>
  <c r="EO24" i="2"/>
  <c r="EW24" i="2" s="1"/>
  <c r="EN24" i="2"/>
  <c r="EV24" i="2" s="1"/>
  <c r="EM24" i="2"/>
  <c r="EU24" i="2" s="1"/>
  <c r="EL24" i="2"/>
  <c r="ET24" i="2" s="1"/>
  <c r="EK24" i="2"/>
  <c r="ES24" i="2" s="1"/>
  <c r="EJ24" i="2"/>
  <c r="ER24" i="2" s="1"/>
  <c r="EI24" i="2"/>
  <c r="EQ24" i="2" s="1"/>
  <c r="EH24" i="2"/>
  <c r="EP24" i="2" s="1"/>
  <c r="EA24" i="2"/>
  <c r="EE24" i="2" s="1"/>
  <c r="DZ24" i="2"/>
  <c r="ED24" i="2" s="1"/>
  <c r="EY23" i="2"/>
  <c r="EX23" i="2"/>
  <c r="EO23" i="2"/>
  <c r="EN23" i="2"/>
  <c r="EM23" i="2"/>
  <c r="EL23" i="2"/>
  <c r="EK23" i="2"/>
  <c r="EJ23" i="2"/>
  <c r="EI23" i="2"/>
  <c r="EH23" i="2"/>
  <c r="EC23" i="2"/>
  <c r="EB23" i="2"/>
  <c r="EA23" i="2"/>
  <c r="DZ23" i="2"/>
  <c r="EX22" i="2"/>
  <c r="EZ22" i="2" s="1"/>
  <c r="EO22" i="2"/>
  <c r="EW22" i="2" s="1"/>
  <c r="EN22" i="2"/>
  <c r="EV22" i="2" s="1"/>
  <c r="EM22" i="2"/>
  <c r="EU22" i="2" s="1"/>
  <c r="EL22" i="2"/>
  <c r="ET22" i="2" s="1"/>
  <c r="EK22" i="2"/>
  <c r="ES22" i="2" s="1"/>
  <c r="EJ22" i="2"/>
  <c r="ER22" i="2" s="1"/>
  <c r="EI22" i="2"/>
  <c r="EQ22" i="2" s="1"/>
  <c r="EH22" i="2"/>
  <c r="EP22" i="2" s="1"/>
  <c r="DZ22" i="2"/>
  <c r="ED22" i="2" s="1"/>
  <c r="EY21" i="2"/>
  <c r="EX21" i="2"/>
  <c r="EO21" i="2"/>
  <c r="EN21" i="2"/>
  <c r="EM21" i="2"/>
  <c r="EL21" i="2"/>
  <c r="EK21" i="2"/>
  <c r="EJ21" i="2"/>
  <c r="EI21" i="2"/>
  <c r="EH21" i="2"/>
  <c r="EC21" i="2"/>
  <c r="EB21" i="2"/>
  <c r="EA21" i="2"/>
  <c r="DZ21" i="2"/>
  <c r="EO20" i="2"/>
  <c r="EW20" i="2" s="1"/>
  <c r="EN20" i="2"/>
  <c r="EV20" i="2" s="1"/>
  <c r="EM20" i="2"/>
  <c r="EU20" i="2" s="1"/>
  <c r="EL20" i="2"/>
  <c r="ET20" i="2" s="1"/>
  <c r="EK20" i="2"/>
  <c r="ES20" i="2" s="1"/>
  <c r="EJ20" i="2"/>
  <c r="ER20" i="2" s="1"/>
  <c r="EI20" i="2"/>
  <c r="EQ20" i="2" s="1"/>
  <c r="EH20" i="2"/>
  <c r="EP20" i="2" s="1"/>
  <c r="EC20" i="2"/>
  <c r="EG20" i="2" s="1"/>
  <c r="EB20" i="2"/>
  <c r="EF20" i="2" s="1"/>
  <c r="EY19" i="2"/>
  <c r="EX19" i="2"/>
  <c r="EO19" i="2"/>
  <c r="EN19" i="2"/>
  <c r="EM19" i="2"/>
  <c r="EL19" i="2"/>
  <c r="EK19" i="2"/>
  <c r="EJ19" i="2"/>
  <c r="EI19" i="2"/>
  <c r="EH19" i="2"/>
  <c r="EC19" i="2"/>
  <c r="EB19" i="2"/>
  <c r="EA19" i="2"/>
  <c r="DZ19" i="2"/>
  <c r="EO18" i="2"/>
  <c r="EW18" i="2" s="1"/>
  <c r="EN18" i="2"/>
  <c r="EV18" i="2" s="1"/>
  <c r="EM18" i="2"/>
  <c r="EU18" i="2" s="1"/>
  <c r="EL18" i="2"/>
  <c r="ET18" i="2" s="1"/>
  <c r="EK18" i="2"/>
  <c r="ES18" i="2" s="1"/>
  <c r="EJ18" i="2"/>
  <c r="ER18" i="2" s="1"/>
  <c r="EI18" i="2"/>
  <c r="EQ18" i="2" s="1"/>
  <c r="EH18" i="2"/>
  <c r="EP18" i="2" s="1"/>
  <c r="EB18" i="2"/>
  <c r="EF18" i="2" s="1"/>
  <c r="EY17" i="2"/>
  <c r="EX17" i="2"/>
  <c r="EO17" i="2"/>
  <c r="EN17" i="2"/>
  <c r="EM17" i="2"/>
  <c r="EL17" i="2"/>
  <c r="EK17" i="2"/>
  <c r="EJ17" i="2"/>
  <c r="EI17" i="2"/>
  <c r="EH17" i="2"/>
  <c r="EC17" i="2"/>
  <c r="EB17" i="2"/>
  <c r="EA17" i="2"/>
  <c r="DZ17" i="2"/>
  <c r="EY16" i="2"/>
  <c r="FA16" i="2" s="1"/>
  <c r="EX16" i="2"/>
  <c r="EZ16" i="2" s="1"/>
  <c r="EO16" i="2"/>
  <c r="EW16" i="2" s="1"/>
  <c r="EN16" i="2"/>
  <c r="EV16" i="2" s="1"/>
  <c r="EM16" i="2"/>
  <c r="EU16" i="2" s="1"/>
  <c r="EL16" i="2"/>
  <c r="ET16" i="2" s="1"/>
  <c r="EK16" i="2"/>
  <c r="ES16" i="2" s="1"/>
  <c r="EJ16" i="2"/>
  <c r="ER16" i="2" s="1"/>
  <c r="EI16" i="2"/>
  <c r="EQ16" i="2" s="1"/>
  <c r="EH16" i="2"/>
  <c r="EP16" i="2" s="1"/>
  <c r="EA16" i="2"/>
  <c r="EE16" i="2" s="1"/>
  <c r="DZ16" i="2"/>
  <c r="ED16" i="2" s="1"/>
  <c r="EY15" i="2"/>
  <c r="EX15" i="2"/>
  <c r="EO15" i="2"/>
  <c r="EN15" i="2"/>
  <c r="EM15" i="2"/>
  <c r="EL15" i="2"/>
  <c r="EK15" i="2"/>
  <c r="EJ15" i="2"/>
  <c r="EI15" i="2"/>
  <c r="EH15" i="2"/>
  <c r="EC15" i="2"/>
  <c r="EB15" i="2"/>
  <c r="EA15" i="2"/>
  <c r="DZ15" i="2"/>
  <c r="EX14" i="2"/>
  <c r="EZ14" i="2" s="1"/>
  <c r="EO14" i="2"/>
  <c r="EW14" i="2" s="1"/>
  <c r="EN14" i="2"/>
  <c r="EV14" i="2" s="1"/>
  <c r="EM14" i="2"/>
  <c r="EU14" i="2" s="1"/>
  <c r="EL14" i="2"/>
  <c r="ET14" i="2" s="1"/>
  <c r="EK14" i="2"/>
  <c r="ES14" i="2" s="1"/>
  <c r="EJ14" i="2"/>
  <c r="ER14" i="2" s="1"/>
  <c r="EI14" i="2"/>
  <c r="EQ14" i="2" s="1"/>
  <c r="EH14" i="2"/>
  <c r="EP14" i="2" s="1"/>
  <c r="DZ14" i="2"/>
  <c r="ED14" i="2" s="1"/>
  <c r="EY13" i="2"/>
  <c r="EX13" i="2"/>
  <c r="EO13" i="2"/>
  <c r="EN13" i="2"/>
  <c r="EM13" i="2"/>
  <c r="EL13" i="2"/>
  <c r="EK13" i="2"/>
  <c r="EJ13" i="2"/>
  <c r="EI13" i="2"/>
  <c r="EH13" i="2"/>
  <c r="EC13" i="2"/>
  <c r="EB13" i="2"/>
  <c r="EA13" i="2"/>
  <c r="DZ13" i="2"/>
  <c r="EO12" i="2"/>
  <c r="EW12" i="2" s="1"/>
  <c r="EN12" i="2"/>
  <c r="EV12" i="2" s="1"/>
  <c r="EM12" i="2"/>
  <c r="EU12" i="2" s="1"/>
  <c r="EL12" i="2"/>
  <c r="ET12" i="2" s="1"/>
  <c r="EK12" i="2"/>
  <c r="ES12" i="2" s="1"/>
  <c r="EJ12" i="2"/>
  <c r="ER12" i="2" s="1"/>
  <c r="EI12" i="2"/>
  <c r="EQ12" i="2" s="1"/>
  <c r="EH12" i="2"/>
  <c r="EP12" i="2" s="1"/>
  <c r="EC12" i="2"/>
  <c r="EG12" i="2" s="1"/>
  <c r="DZ12" i="2"/>
  <c r="ED12" i="2" s="1"/>
  <c r="EY11" i="2"/>
  <c r="EX11" i="2"/>
  <c r="EO11" i="2"/>
  <c r="EN11" i="2"/>
  <c r="EM11" i="2"/>
  <c r="EL11" i="2"/>
  <c r="EK11" i="2"/>
  <c r="EJ11" i="2"/>
  <c r="EI11" i="2"/>
  <c r="EH11" i="2"/>
  <c r="EC11" i="2"/>
  <c r="EB11" i="2"/>
  <c r="EA11" i="2"/>
  <c r="DZ11" i="2"/>
  <c r="ET10" i="2"/>
  <c r="EO10" i="2"/>
  <c r="EW10" i="2" s="1"/>
  <c r="EN10" i="2"/>
  <c r="EV10" i="2" s="1"/>
  <c r="EM10" i="2"/>
  <c r="EU10" i="2" s="1"/>
  <c r="EL10" i="2"/>
  <c r="EK10" i="2"/>
  <c r="ES10" i="2" s="1"/>
  <c r="EJ10" i="2"/>
  <c r="ER10" i="2" s="1"/>
  <c r="EI10" i="2"/>
  <c r="EQ10" i="2" s="1"/>
  <c r="EH10" i="2"/>
  <c r="EP10" i="2" s="1"/>
  <c r="DZ10" i="2"/>
  <c r="ED10" i="2" s="1"/>
  <c r="EY9" i="2"/>
  <c r="EX9" i="2"/>
  <c r="EO9" i="2"/>
  <c r="EN9" i="2"/>
  <c r="EM9" i="2"/>
  <c r="EL9" i="2"/>
  <c r="EK9" i="2"/>
  <c r="EJ9" i="2"/>
  <c r="EI9" i="2"/>
  <c r="EH9" i="2"/>
  <c r="EC9" i="2"/>
  <c r="EB9" i="2"/>
  <c r="EA9" i="2"/>
  <c r="DZ9" i="2"/>
  <c r="EO8" i="2"/>
  <c r="EW8" i="2" s="1"/>
  <c r="EN8" i="2"/>
  <c r="EV8" i="2" s="1"/>
  <c r="EM8" i="2"/>
  <c r="EU8" i="2" s="1"/>
  <c r="EL8" i="2"/>
  <c r="ET8" i="2" s="1"/>
  <c r="EK8" i="2"/>
  <c r="ES8" i="2" s="1"/>
  <c r="EJ8" i="2"/>
  <c r="ER8" i="2" s="1"/>
  <c r="EI8" i="2"/>
  <c r="EQ8" i="2" s="1"/>
  <c r="EH8" i="2"/>
  <c r="EP8" i="2" s="1"/>
  <c r="EC8" i="2"/>
  <c r="EG8" i="2" s="1"/>
  <c r="DZ8" i="2"/>
  <c r="ED8" i="2" s="1"/>
  <c r="EY7" i="2"/>
  <c r="EX7" i="2"/>
  <c r="EO7" i="2"/>
  <c r="EN7" i="2"/>
  <c r="EM7" i="2"/>
  <c r="EL7" i="2"/>
  <c r="EK7" i="2"/>
  <c r="EJ7" i="2"/>
  <c r="EI7" i="2"/>
  <c r="EH7" i="2"/>
  <c r="EC7" i="2"/>
  <c r="EB7" i="2"/>
  <c r="EA7" i="2"/>
  <c r="DZ7" i="2"/>
  <c r="ET6" i="2"/>
  <c r="EO6" i="2"/>
  <c r="EW6" i="2" s="1"/>
  <c r="EN6" i="2"/>
  <c r="EV6" i="2" s="1"/>
  <c r="EM6" i="2"/>
  <c r="EU6" i="2" s="1"/>
  <c r="EL6" i="2"/>
  <c r="EK6" i="2"/>
  <c r="ES6" i="2" s="1"/>
  <c r="EJ6" i="2"/>
  <c r="ER6" i="2" s="1"/>
  <c r="EI6" i="2"/>
  <c r="EQ6" i="2" s="1"/>
  <c r="EH6" i="2"/>
  <c r="EP6" i="2" s="1"/>
  <c r="DZ6" i="2"/>
  <c r="ED6" i="2" s="1"/>
  <c r="EY5" i="2"/>
  <c r="EX5" i="2"/>
  <c r="EO5" i="2"/>
  <c r="EN5" i="2"/>
  <c r="EM5" i="2"/>
  <c r="EL5" i="2"/>
  <c r="EK5" i="2"/>
  <c r="EJ5" i="2"/>
  <c r="EI5" i="2"/>
  <c r="EH5" i="2"/>
  <c r="EC5" i="2"/>
  <c r="EB5" i="2"/>
  <c r="EA5" i="2"/>
  <c r="DZ5" i="2"/>
  <c r="EO4" i="2"/>
  <c r="EW4" i="2" s="1"/>
  <c r="EN4" i="2"/>
  <c r="EV4" i="2" s="1"/>
  <c r="EM4" i="2"/>
  <c r="EU4" i="2" s="1"/>
  <c r="EL4" i="2"/>
  <c r="ET4" i="2" s="1"/>
  <c r="EK4" i="2"/>
  <c r="ES4" i="2" s="1"/>
  <c r="EJ4" i="2"/>
  <c r="ER4" i="2" s="1"/>
  <c r="EI4" i="2"/>
  <c r="EQ4" i="2" s="1"/>
  <c r="EH4" i="2"/>
  <c r="EP4" i="2" s="1"/>
  <c r="EC4" i="2"/>
  <c r="EG4" i="2" s="1"/>
  <c r="DZ4" i="2"/>
  <c r="ED4" i="2" s="1"/>
  <c r="EO3" i="2"/>
  <c r="EN3" i="2"/>
  <c r="EM3" i="2"/>
  <c r="EL3" i="2"/>
  <c r="EK3" i="2"/>
  <c r="EJ3" i="2"/>
  <c r="EI3" i="2"/>
  <c r="EH3" i="2"/>
  <c r="EO2" i="2"/>
  <c r="EN2" i="2"/>
  <c r="EM2" i="2"/>
  <c r="EL2" i="2"/>
  <c r="EK2" i="2"/>
  <c r="EJ2" i="2"/>
  <c r="EI2" i="2"/>
  <c r="EH2" i="2"/>
  <c r="DY6" i="2"/>
  <c r="FB6" i="2" s="1"/>
  <c r="DY7" i="2"/>
  <c r="DY8" i="2"/>
  <c r="EY8" i="2" s="1"/>
  <c r="FA8" i="2" s="1"/>
  <c r="DY9" i="2"/>
  <c r="DY10" i="2"/>
  <c r="FB10" i="2" s="1"/>
  <c r="DY11" i="2"/>
  <c r="DY12" i="2"/>
  <c r="EY12" i="2" s="1"/>
  <c r="FA12" i="2" s="1"/>
  <c r="DY13" i="2"/>
  <c r="DY14" i="2"/>
  <c r="FB14" i="2" s="1"/>
  <c r="DY15" i="2"/>
  <c r="DY16" i="2"/>
  <c r="EC16" i="2" s="1"/>
  <c r="EG16" i="2" s="1"/>
  <c r="DY17" i="2"/>
  <c r="DY18" i="2"/>
  <c r="FB18" i="2" s="1"/>
  <c r="DY19" i="2"/>
  <c r="DY20" i="2"/>
  <c r="EY20" i="2" s="1"/>
  <c r="FA20" i="2" s="1"/>
  <c r="DY21" i="2"/>
  <c r="DY22" i="2"/>
  <c r="FB22" i="2" s="1"/>
  <c r="DY23" i="2"/>
  <c r="DY24" i="2"/>
  <c r="EC24" i="2" s="1"/>
  <c r="EG24" i="2" s="1"/>
  <c r="DY25" i="2"/>
  <c r="DY26" i="2"/>
  <c r="FB26" i="2" s="1"/>
  <c r="DY27" i="2"/>
  <c r="DY28" i="2"/>
  <c r="EX28" i="2" s="1"/>
  <c r="EZ28" i="2" s="1"/>
  <c r="DY29" i="2"/>
  <c r="DY30" i="2"/>
  <c r="FB30" i="2" s="1"/>
  <c r="DY31" i="2"/>
  <c r="DY32" i="2"/>
  <c r="EB32" i="2" s="1"/>
  <c r="EF32" i="2" s="1"/>
  <c r="DY33" i="2"/>
  <c r="DY34" i="2"/>
  <c r="EX34" i="2" s="1"/>
  <c r="EZ34" i="2" s="1"/>
  <c r="DY35" i="2"/>
  <c r="DY36" i="2"/>
  <c r="EX36" i="2" s="1"/>
  <c r="EZ36" i="2" s="1"/>
  <c r="DY37" i="2"/>
  <c r="DY38" i="2"/>
  <c r="GE38" i="2" s="1"/>
  <c r="DY39" i="2"/>
  <c r="DY40" i="2"/>
  <c r="GE40" i="2" s="1"/>
  <c r="HE40" i="2" s="1"/>
  <c r="HG40" i="2" s="1"/>
  <c r="DY41" i="2"/>
  <c r="DY4" i="2"/>
  <c r="EY4" i="2" s="1"/>
  <c r="FA4" i="2" s="1"/>
  <c r="DY5" i="2"/>
  <c r="DY3" i="2"/>
  <c r="EY3" i="2" s="1"/>
  <c r="GE2" i="2"/>
  <c r="DU41" i="2"/>
  <c r="DT41" i="2"/>
  <c r="DK41" i="2"/>
  <c r="DJ41" i="2"/>
  <c r="DR40" i="2" s="1"/>
  <c r="DI41" i="2"/>
  <c r="DH41" i="2"/>
  <c r="DG41" i="2"/>
  <c r="DF41" i="2"/>
  <c r="DE41" i="2"/>
  <c r="DD41" i="2"/>
  <c r="CY41" i="2"/>
  <c r="CX41" i="2"/>
  <c r="CW41" i="2"/>
  <c r="CV41" i="2"/>
  <c r="DW40" i="2"/>
  <c r="DV40" i="2"/>
  <c r="DU40" i="2"/>
  <c r="DT40" i="2"/>
  <c r="DN40" i="2"/>
  <c r="DK40" i="2"/>
  <c r="DS40" i="2" s="1"/>
  <c r="DJ40" i="2"/>
  <c r="DI40" i="2"/>
  <c r="DQ40" i="2" s="1"/>
  <c r="DH40" i="2"/>
  <c r="DP40" i="2" s="1"/>
  <c r="DG40" i="2"/>
  <c r="DO40" i="2" s="1"/>
  <c r="DF40" i="2"/>
  <c r="DE40" i="2"/>
  <c r="DM40" i="2" s="1"/>
  <c r="DD40" i="2"/>
  <c r="DL40" i="2" s="1"/>
  <c r="CY40" i="2"/>
  <c r="DC40" i="2" s="1"/>
  <c r="CX40" i="2"/>
  <c r="DB40" i="2" s="1"/>
  <c r="CW40" i="2"/>
  <c r="DA40" i="2" s="1"/>
  <c r="CV40" i="2"/>
  <c r="CZ40" i="2" s="1"/>
  <c r="DU39" i="2"/>
  <c r="DT39" i="2"/>
  <c r="DK39" i="2"/>
  <c r="DJ39" i="2"/>
  <c r="DI39" i="2"/>
  <c r="DH39" i="2"/>
  <c r="DG39" i="2"/>
  <c r="DF39" i="2"/>
  <c r="DE39" i="2"/>
  <c r="DD39" i="2"/>
  <c r="CY39" i="2"/>
  <c r="CX39" i="2"/>
  <c r="CW39" i="2"/>
  <c r="CV39" i="2"/>
  <c r="DU38" i="2"/>
  <c r="DW38" i="2" s="1"/>
  <c r="DT38" i="2"/>
  <c r="DK38" i="2"/>
  <c r="DS38" i="2" s="1"/>
  <c r="DJ38" i="2"/>
  <c r="DR38" i="2" s="1"/>
  <c r="DI38" i="2"/>
  <c r="DQ38" i="2" s="1"/>
  <c r="DH38" i="2"/>
  <c r="DP38" i="2" s="1"/>
  <c r="DG38" i="2"/>
  <c r="DO38" i="2" s="1"/>
  <c r="DF38" i="2"/>
  <c r="DN38" i="2" s="1"/>
  <c r="DE38" i="2"/>
  <c r="DM38" i="2" s="1"/>
  <c r="DD38" i="2"/>
  <c r="DL38" i="2" s="1"/>
  <c r="CY38" i="2"/>
  <c r="DC38" i="2" s="1"/>
  <c r="CX38" i="2"/>
  <c r="DB38" i="2" s="1"/>
  <c r="CW38" i="2"/>
  <c r="DA38" i="2" s="1"/>
  <c r="CV38" i="2"/>
  <c r="CZ38" i="2" s="1"/>
  <c r="DU37" i="2"/>
  <c r="DT37" i="2"/>
  <c r="DK37" i="2"/>
  <c r="DJ37" i="2"/>
  <c r="DR36" i="2" s="1"/>
  <c r="DI37" i="2"/>
  <c r="DH37" i="2"/>
  <c r="DG37" i="2"/>
  <c r="DF37" i="2"/>
  <c r="DE37" i="2"/>
  <c r="DD37" i="2"/>
  <c r="CY37" i="2"/>
  <c r="CX37" i="2"/>
  <c r="CW37" i="2"/>
  <c r="CV37" i="2"/>
  <c r="DW36" i="2"/>
  <c r="DV36" i="2"/>
  <c r="DU36" i="2"/>
  <c r="DT36" i="2"/>
  <c r="DN36" i="2"/>
  <c r="DK36" i="2"/>
  <c r="DS36" i="2" s="1"/>
  <c r="DJ36" i="2"/>
  <c r="DI36" i="2"/>
  <c r="DQ36" i="2" s="1"/>
  <c r="DH36" i="2"/>
  <c r="DP36" i="2" s="1"/>
  <c r="DG36" i="2"/>
  <c r="DO36" i="2" s="1"/>
  <c r="DF36" i="2"/>
  <c r="DE36" i="2"/>
  <c r="DM36" i="2" s="1"/>
  <c r="DD36" i="2"/>
  <c r="DL36" i="2" s="1"/>
  <c r="CY36" i="2"/>
  <c r="DC36" i="2" s="1"/>
  <c r="CX36" i="2"/>
  <c r="DB36" i="2" s="1"/>
  <c r="CW36" i="2"/>
  <c r="DA36" i="2" s="1"/>
  <c r="CV36" i="2"/>
  <c r="CZ36" i="2" s="1"/>
  <c r="DU35" i="2"/>
  <c r="DT35" i="2"/>
  <c r="DK35" i="2"/>
  <c r="DJ35" i="2"/>
  <c r="DI35" i="2"/>
  <c r="DH35" i="2"/>
  <c r="DG35" i="2"/>
  <c r="DF35" i="2"/>
  <c r="DE35" i="2"/>
  <c r="DD35" i="2"/>
  <c r="CY35" i="2"/>
  <c r="CX35" i="2"/>
  <c r="CW35" i="2"/>
  <c r="CV35" i="2"/>
  <c r="DU34" i="2"/>
  <c r="DW34" i="2" s="1"/>
  <c r="DT34" i="2"/>
  <c r="DK34" i="2"/>
  <c r="DS34" i="2" s="1"/>
  <c r="DJ34" i="2"/>
  <c r="DR34" i="2" s="1"/>
  <c r="DI34" i="2"/>
  <c r="DQ34" i="2" s="1"/>
  <c r="DH34" i="2"/>
  <c r="DP34" i="2" s="1"/>
  <c r="DG34" i="2"/>
  <c r="DO34" i="2" s="1"/>
  <c r="DF34" i="2"/>
  <c r="DN34" i="2" s="1"/>
  <c r="DE34" i="2"/>
  <c r="DM34" i="2" s="1"/>
  <c r="DD34" i="2"/>
  <c r="DL34" i="2" s="1"/>
  <c r="CY34" i="2"/>
  <c r="DC34" i="2" s="1"/>
  <c r="CX34" i="2"/>
  <c r="DB34" i="2" s="1"/>
  <c r="CW34" i="2"/>
  <c r="DA34" i="2" s="1"/>
  <c r="CV34" i="2"/>
  <c r="CZ34" i="2" s="1"/>
  <c r="DU33" i="2"/>
  <c r="DT33" i="2"/>
  <c r="DK33" i="2"/>
  <c r="DJ33" i="2"/>
  <c r="DR32" i="2" s="1"/>
  <c r="DI33" i="2"/>
  <c r="DH33" i="2"/>
  <c r="DG33" i="2"/>
  <c r="DF33" i="2"/>
  <c r="DE33" i="2"/>
  <c r="DD33" i="2"/>
  <c r="CY33" i="2"/>
  <c r="CX33" i="2"/>
  <c r="CW33" i="2"/>
  <c r="CV33" i="2"/>
  <c r="DW32" i="2"/>
  <c r="DV32" i="2"/>
  <c r="DU32" i="2"/>
  <c r="DT32" i="2"/>
  <c r="DN32" i="2"/>
  <c r="DK32" i="2"/>
  <c r="DS32" i="2" s="1"/>
  <c r="DJ32" i="2"/>
  <c r="DI32" i="2"/>
  <c r="DQ32" i="2" s="1"/>
  <c r="DH32" i="2"/>
  <c r="DP32" i="2" s="1"/>
  <c r="DG32" i="2"/>
  <c r="DO32" i="2" s="1"/>
  <c r="DF32" i="2"/>
  <c r="DE32" i="2"/>
  <c r="DM32" i="2" s="1"/>
  <c r="DD32" i="2"/>
  <c r="DL32" i="2" s="1"/>
  <c r="CY32" i="2"/>
  <c r="DC32" i="2" s="1"/>
  <c r="CX32" i="2"/>
  <c r="DB32" i="2" s="1"/>
  <c r="CW32" i="2"/>
  <c r="DA32" i="2" s="1"/>
  <c r="CV32" i="2"/>
  <c r="CZ32" i="2" s="1"/>
  <c r="DU31" i="2"/>
  <c r="DT31" i="2"/>
  <c r="DK31" i="2"/>
  <c r="DJ31" i="2"/>
  <c r="DI31" i="2"/>
  <c r="DH31" i="2"/>
  <c r="DG31" i="2"/>
  <c r="DF31" i="2"/>
  <c r="DE31" i="2"/>
  <c r="DD31" i="2"/>
  <c r="CY31" i="2"/>
  <c r="CX31" i="2"/>
  <c r="CW31" i="2"/>
  <c r="CV31" i="2"/>
  <c r="DU30" i="2"/>
  <c r="DW30" i="2" s="1"/>
  <c r="DT30" i="2"/>
  <c r="DK30" i="2"/>
  <c r="DS30" i="2" s="1"/>
  <c r="DJ30" i="2"/>
  <c r="DR30" i="2" s="1"/>
  <c r="DI30" i="2"/>
  <c r="DQ30" i="2" s="1"/>
  <c r="DH30" i="2"/>
  <c r="DP30" i="2" s="1"/>
  <c r="DG30" i="2"/>
  <c r="DO30" i="2" s="1"/>
  <c r="DF30" i="2"/>
  <c r="DN30" i="2" s="1"/>
  <c r="DE30" i="2"/>
  <c r="DM30" i="2" s="1"/>
  <c r="DD30" i="2"/>
  <c r="DL30" i="2" s="1"/>
  <c r="CY30" i="2"/>
  <c r="DC30" i="2" s="1"/>
  <c r="CX30" i="2"/>
  <c r="DB30" i="2" s="1"/>
  <c r="CW30" i="2"/>
  <c r="DA30" i="2" s="1"/>
  <c r="CV30" i="2"/>
  <c r="CZ30" i="2" s="1"/>
  <c r="DU29" i="2"/>
  <c r="DT29" i="2"/>
  <c r="DK29" i="2"/>
  <c r="DJ29" i="2"/>
  <c r="DR28" i="2" s="1"/>
  <c r="DI29" i="2"/>
  <c r="DH29" i="2"/>
  <c r="DG29" i="2"/>
  <c r="DF29" i="2"/>
  <c r="DE29" i="2"/>
  <c r="DD29" i="2"/>
  <c r="CY29" i="2"/>
  <c r="CX29" i="2"/>
  <c r="CW29" i="2"/>
  <c r="CV29" i="2"/>
  <c r="DW28" i="2"/>
  <c r="DV28" i="2"/>
  <c r="DU28" i="2"/>
  <c r="DT28" i="2"/>
  <c r="DN28" i="2"/>
  <c r="DK28" i="2"/>
  <c r="DS28" i="2" s="1"/>
  <c r="DJ28" i="2"/>
  <c r="DI28" i="2"/>
  <c r="DQ28" i="2" s="1"/>
  <c r="DH28" i="2"/>
  <c r="DP28" i="2" s="1"/>
  <c r="DG28" i="2"/>
  <c r="DO28" i="2" s="1"/>
  <c r="DF28" i="2"/>
  <c r="DE28" i="2"/>
  <c r="DM28" i="2" s="1"/>
  <c r="DD28" i="2"/>
  <c r="DL28" i="2" s="1"/>
  <c r="CY28" i="2"/>
  <c r="DC28" i="2" s="1"/>
  <c r="CX28" i="2"/>
  <c r="DB28" i="2" s="1"/>
  <c r="CW28" i="2"/>
  <c r="DA28" i="2" s="1"/>
  <c r="CV28" i="2"/>
  <c r="CZ28" i="2" s="1"/>
  <c r="DU27" i="2"/>
  <c r="DT27" i="2"/>
  <c r="DK27" i="2"/>
  <c r="DJ27" i="2"/>
  <c r="DI27" i="2"/>
  <c r="DH27" i="2"/>
  <c r="DG27" i="2"/>
  <c r="DF27" i="2"/>
  <c r="DE27" i="2"/>
  <c r="DD27" i="2"/>
  <c r="CY27" i="2"/>
  <c r="CX27" i="2"/>
  <c r="CW27" i="2"/>
  <c r="CV27" i="2"/>
  <c r="DU26" i="2"/>
  <c r="DW26" i="2" s="1"/>
  <c r="DT26" i="2"/>
  <c r="DK26" i="2"/>
  <c r="DS26" i="2" s="1"/>
  <c r="DJ26" i="2"/>
  <c r="DR26" i="2" s="1"/>
  <c r="DI26" i="2"/>
  <c r="DQ26" i="2" s="1"/>
  <c r="DH26" i="2"/>
  <c r="DP26" i="2" s="1"/>
  <c r="DG26" i="2"/>
  <c r="DO26" i="2" s="1"/>
  <c r="DF26" i="2"/>
  <c r="DN26" i="2" s="1"/>
  <c r="DE26" i="2"/>
  <c r="DM26" i="2" s="1"/>
  <c r="DD26" i="2"/>
  <c r="DL26" i="2" s="1"/>
  <c r="CY26" i="2"/>
  <c r="DC26" i="2" s="1"/>
  <c r="CX26" i="2"/>
  <c r="DB26" i="2" s="1"/>
  <c r="CW26" i="2"/>
  <c r="DA26" i="2" s="1"/>
  <c r="CV26" i="2"/>
  <c r="CZ26" i="2" s="1"/>
  <c r="DU25" i="2"/>
  <c r="DT25" i="2"/>
  <c r="DK25" i="2"/>
  <c r="DJ25" i="2"/>
  <c r="DR24" i="2" s="1"/>
  <c r="DI25" i="2"/>
  <c r="DH25" i="2"/>
  <c r="DG25" i="2"/>
  <c r="DF25" i="2"/>
  <c r="DE25" i="2"/>
  <c r="DD25" i="2"/>
  <c r="CY25" i="2"/>
  <c r="CX25" i="2"/>
  <c r="CW25" i="2"/>
  <c r="CV25" i="2"/>
  <c r="DW24" i="2"/>
  <c r="DV24" i="2"/>
  <c r="DU24" i="2"/>
  <c r="DT24" i="2"/>
  <c r="DN24" i="2"/>
  <c r="DK24" i="2"/>
  <c r="DS24" i="2" s="1"/>
  <c r="DJ24" i="2"/>
  <c r="DI24" i="2"/>
  <c r="DQ24" i="2" s="1"/>
  <c r="DH24" i="2"/>
  <c r="DP24" i="2" s="1"/>
  <c r="DG24" i="2"/>
  <c r="DO24" i="2" s="1"/>
  <c r="DF24" i="2"/>
  <c r="DE24" i="2"/>
  <c r="DM24" i="2" s="1"/>
  <c r="DD24" i="2"/>
  <c r="DL24" i="2" s="1"/>
  <c r="CY24" i="2"/>
  <c r="DC24" i="2" s="1"/>
  <c r="CX24" i="2"/>
  <c r="DB24" i="2" s="1"/>
  <c r="CW24" i="2"/>
  <c r="DA24" i="2" s="1"/>
  <c r="CV24" i="2"/>
  <c r="CZ24" i="2" s="1"/>
  <c r="DU23" i="2"/>
  <c r="DT23" i="2"/>
  <c r="DK23" i="2"/>
  <c r="DJ23" i="2"/>
  <c r="DI23" i="2"/>
  <c r="DH23" i="2"/>
  <c r="DG23" i="2"/>
  <c r="DF23" i="2"/>
  <c r="DE23" i="2"/>
  <c r="DD23" i="2"/>
  <c r="CY23" i="2"/>
  <c r="CX23" i="2"/>
  <c r="CW23" i="2"/>
  <c r="CV23" i="2"/>
  <c r="DU22" i="2"/>
  <c r="DW22" i="2" s="1"/>
  <c r="DT22" i="2"/>
  <c r="DK22" i="2"/>
  <c r="DS22" i="2" s="1"/>
  <c r="DJ22" i="2"/>
  <c r="DR22" i="2" s="1"/>
  <c r="DI22" i="2"/>
  <c r="DQ22" i="2" s="1"/>
  <c r="DH22" i="2"/>
  <c r="DP22" i="2" s="1"/>
  <c r="DG22" i="2"/>
  <c r="DO22" i="2" s="1"/>
  <c r="DF22" i="2"/>
  <c r="DN22" i="2" s="1"/>
  <c r="DE22" i="2"/>
  <c r="DM22" i="2" s="1"/>
  <c r="DD22" i="2"/>
  <c r="DL22" i="2" s="1"/>
  <c r="CY22" i="2"/>
  <c r="DC22" i="2" s="1"/>
  <c r="CX22" i="2"/>
  <c r="DB22" i="2" s="1"/>
  <c r="CW22" i="2"/>
  <c r="DA22" i="2" s="1"/>
  <c r="CV22" i="2"/>
  <c r="CZ22" i="2" s="1"/>
  <c r="DU21" i="2"/>
  <c r="DT21" i="2"/>
  <c r="DK21" i="2"/>
  <c r="DJ21" i="2"/>
  <c r="DI21" i="2"/>
  <c r="DH21" i="2"/>
  <c r="DG21" i="2"/>
  <c r="DF21" i="2"/>
  <c r="DE21" i="2"/>
  <c r="DD21" i="2"/>
  <c r="CY21" i="2"/>
  <c r="CX21" i="2"/>
  <c r="DB20" i="2" s="1"/>
  <c r="CW21" i="2"/>
  <c r="CV21" i="2"/>
  <c r="DW20" i="2"/>
  <c r="DV20" i="2"/>
  <c r="DU20" i="2"/>
  <c r="DT20" i="2"/>
  <c r="DO20" i="2"/>
  <c r="DK20" i="2"/>
  <c r="DS20" i="2" s="1"/>
  <c r="DJ20" i="2"/>
  <c r="DR20" i="2" s="1"/>
  <c r="DI20" i="2"/>
  <c r="DQ20" i="2" s="1"/>
  <c r="DH20" i="2"/>
  <c r="DP20" i="2" s="1"/>
  <c r="DG20" i="2"/>
  <c r="DF20" i="2"/>
  <c r="DN20" i="2" s="1"/>
  <c r="DE20" i="2"/>
  <c r="DM20" i="2" s="1"/>
  <c r="DD20" i="2"/>
  <c r="DL20" i="2" s="1"/>
  <c r="CY20" i="2"/>
  <c r="DC20" i="2" s="1"/>
  <c r="CX20" i="2"/>
  <c r="CW20" i="2"/>
  <c r="DA20" i="2" s="1"/>
  <c r="CV20" i="2"/>
  <c r="CZ20" i="2" s="1"/>
  <c r="DU19" i="2"/>
  <c r="DT19" i="2"/>
  <c r="DK19" i="2"/>
  <c r="DJ19" i="2"/>
  <c r="DI19" i="2"/>
  <c r="DH19" i="2"/>
  <c r="DG19" i="2"/>
  <c r="DF19" i="2"/>
  <c r="DE19" i="2"/>
  <c r="DD19" i="2"/>
  <c r="CY19" i="2"/>
  <c r="CX19" i="2"/>
  <c r="CW19" i="2"/>
  <c r="CV19" i="2"/>
  <c r="DU18" i="2"/>
  <c r="DT18" i="2"/>
  <c r="DV18" i="2" s="1"/>
  <c r="DQ18" i="2"/>
  <c r="DK18" i="2"/>
  <c r="DS18" i="2" s="1"/>
  <c r="DJ18" i="2"/>
  <c r="DR18" i="2" s="1"/>
  <c r="DI18" i="2"/>
  <c r="DH18" i="2"/>
  <c r="DP18" i="2" s="1"/>
  <c r="DG18" i="2"/>
  <c r="DO18" i="2" s="1"/>
  <c r="DF18" i="2"/>
  <c r="DN18" i="2" s="1"/>
  <c r="DE18" i="2"/>
  <c r="DM18" i="2" s="1"/>
  <c r="DD18" i="2"/>
  <c r="DL18" i="2" s="1"/>
  <c r="CY18" i="2"/>
  <c r="DC18" i="2" s="1"/>
  <c r="CX18" i="2"/>
  <c r="DB18" i="2" s="1"/>
  <c r="CW18" i="2"/>
  <c r="DA18" i="2" s="1"/>
  <c r="CV18" i="2"/>
  <c r="CZ18" i="2" s="1"/>
  <c r="DU17" i="2"/>
  <c r="DT17" i="2"/>
  <c r="DK17" i="2"/>
  <c r="DJ17" i="2"/>
  <c r="DI17" i="2"/>
  <c r="DH17" i="2"/>
  <c r="DG17" i="2"/>
  <c r="DF17" i="2"/>
  <c r="DE17" i="2"/>
  <c r="DD17" i="2"/>
  <c r="CY17" i="2"/>
  <c r="CX17" i="2"/>
  <c r="CW17" i="2"/>
  <c r="CV17" i="2"/>
  <c r="DW16" i="2"/>
  <c r="DV16" i="2"/>
  <c r="DU16" i="2"/>
  <c r="DT16" i="2"/>
  <c r="DN16" i="2"/>
  <c r="DK16" i="2"/>
  <c r="DS16" i="2" s="1"/>
  <c r="DJ16" i="2"/>
  <c r="DR16" i="2" s="1"/>
  <c r="DI16" i="2"/>
  <c r="DQ16" i="2" s="1"/>
  <c r="DH16" i="2"/>
  <c r="DP16" i="2" s="1"/>
  <c r="DG16" i="2"/>
  <c r="DO16" i="2" s="1"/>
  <c r="DF16" i="2"/>
  <c r="DE16" i="2"/>
  <c r="DM16" i="2" s="1"/>
  <c r="DD16" i="2"/>
  <c r="DL16" i="2" s="1"/>
  <c r="DC16" i="2"/>
  <c r="CY16" i="2"/>
  <c r="CX16" i="2"/>
  <c r="DB16" i="2" s="1"/>
  <c r="CW16" i="2"/>
  <c r="DA16" i="2" s="1"/>
  <c r="CV16" i="2"/>
  <c r="CZ16" i="2" s="1"/>
  <c r="DU15" i="2"/>
  <c r="DT15" i="2"/>
  <c r="DK15" i="2"/>
  <c r="DJ15" i="2"/>
  <c r="DI15" i="2"/>
  <c r="DH15" i="2"/>
  <c r="DG15" i="2"/>
  <c r="DF15" i="2"/>
  <c r="DE15" i="2"/>
  <c r="DD15" i="2"/>
  <c r="CY15" i="2"/>
  <c r="CX15" i="2"/>
  <c r="CW15" i="2"/>
  <c r="CV15" i="2"/>
  <c r="DU14" i="2"/>
  <c r="DW14" i="2" s="1"/>
  <c r="DT14" i="2"/>
  <c r="DP14" i="2"/>
  <c r="DK14" i="2"/>
  <c r="DS14" i="2" s="1"/>
  <c r="DJ14" i="2"/>
  <c r="DR14" i="2" s="1"/>
  <c r="DI14" i="2"/>
  <c r="DQ14" i="2" s="1"/>
  <c r="DH14" i="2"/>
  <c r="DG14" i="2"/>
  <c r="DO14" i="2" s="1"/>
  <c r="DF14" i="2"/>
  <c r="DN14" i="2" s="1"/>
  <c r="DE14" i="2"/>
  <c r="DM14" i="2" s="1"/>
  <c r="DD14" i="2"/>
  <c r="DL14" i="2" s="1"/>
  <c r="CY14" i="2"/>
  <c r="DC14" i="2" s="1"/>
  <c r="CX14" i="2"/>
  <c r="DB14" i="2" s="1"/>
  <c r="CW14" i="2"/>
  <c r="DA14" i="2" s="1"/>
  <c r="CV14" i="2"/>
  <c r="CZ14" i="2" s="1"/>
  <c r="DU13" i="2"/>
  <c r="DT13" i="2"/>
  <c r="DK13" i="2"/>
  <c r="DJ13" i="2"/>
  <c r="DI13" i="2"/>
  <c r="DH13" i="2"/>
  <c r="DG13" i="2"/>
  <c r="DF13" i="2"/>
  <c r="DE13" i="2"/>
  <c r="DD13" i="2"/>
  <c r="CY13" i="2"/>
  <c r="CX13" i="2"/>
  <c r="CW13" i="2"/>
  <c r="CV13" i="2"/>
  <c r="DW12" i="2"/>
  <c r="DV12" i="2"/>
  <c r="DU12" i="2"/>
  <c r="DT12" i="2"/>
  <c r="DO12" i="2"/>
  <c r="DK12" i="2"/>
  <c r="DS12" i="2" s="1"/>
  <c r="DJ12" i="2"/>
  <c r="DR12" i="2" s="1"/>
  <c r="DI12" i="2"/>
  <c r="DQ12" i="2" s="1"/>
  <c r="DH12" i="2"/>
  <c r="DP12" i="2" s="1"/>
  <c r="DG12" i="2"/>
  <c r="DF12" i="2"/>
  <c r="DN12" i="2" s="1"/>
  <c r="DE12" i="2"/>
  <c r="DM12" i="2" s="1"/>
  <c r="DD12" i="2"/>
  <c r="DL12" i="2" s="1"/>
  <c r="DB12" i="2"/>
  <c r="CY12" i="2"/>
  <c r="DC12" i="2" s="1"/>
  <c r="CX12" i="2"/>
  <c r="CW12" i="2"/>
  <c r="DA12" i="2" s="1"/>
  <c r="CV12" i="2"/>
  <c r="CZ12" i="2" s="1"/>
  <c r="DU11" i="2"/>
  <c r="DT11" i="2"/>
  <c r="DK11" i="2"/>
  <c r="DJ11" i="2"/>
  <c r="DI11" i="2"/>
  <c r="DH11" i="2"/>
  <c r="DG11" i="2"/>
  <c r="DF11" i="2"/>
  <c r="DE11" i="2"/>
  <c r="DD11" i="2"/>
  <c r="CY11" i="2"/>
  <c r="CX11" i="2"/>
  <c r="CW11" i="2"/>
  <c r="CV11" i="2"/>
  <c r="DU10" i="2"/>
  <c r="DT10" i="2"/>
  <c r="DV10" i="2" s="1"/>
  <c r="DQ10" i="2"/>
  <c r="DK10" i="2"/>
  <c r="DS10" i="2" s="1"/>
  <c r="DJ10" i="2"/>
  <c r="DR10" i="2" s="1"/>
  <c r="DI10" i="2"/>
  <c r="DH10" i="2"/>
  <c r="DP10" i="2" s="1"/>
  <c r="DG10" i="2"/>
  <c r="DO10" i="2" s="1"/>
  <c r="DF10" i="2"/>
  <c r="DN10" i="2" s="1"/>
  <c r="DE10" i="2"/>
  <c r="DM10" i="2" s="1"/>
  <c r="DD10" i="2"/>
  <c r="DL10" i="2" s="1"/>
  <c r="CY10" i="2"/>
  <c r="DC10" i="2" s="1"/>
  <c r="CX10" i="2"/>
  <c r="DB10" i="2" s="1"/>
  <c r="CW10" i="2"/>
  <c r="DA10" i="2" s="1"/>
  <c r="CV10" i="2"/>
  <c r="CZ10" i="2" s="1"/>
  <c r="DU9" i="2"/>
  <c r="DT9" i="2"/>
  <c r="DK9" i="2"/>
  <c r="DJ9" i="2"/>
  <c r="DI9" i="2"/>
  <c r="DH9" i="2"/>
  <c r="DG9" i="2"/>
  <c r="DF9" i="2"/>
  <c r="DE9" i="2"/>
  <c r="DD9" i="2"/>
  <c r="CY9" i="2"/>
  <c r="CX9" i="2"/>
  <c r="CW9" i="2"/>
  <c r="CV9" i="2"/>
  <c r="DW8" i="2"/>
  <c r="DV8" i="2"/>
  <c r="DU8" i="2"/>
  <c r="DT8" i="2"/>
  <c r="DN8" i="2"/>
  <c r="DK8" i="2"/>
  <c r="DS8" i="2" s="1"/>
  <c r="DJ8" i="2"/>
  <c r="DR8" i="2" s="1"/>
  <c r="DI8" i="2"/>
  <c r="DQ8" i="2" s="1"/>
  <c r="DH8" i="2"/>
  <c r="DP8" i="2" s="1"/>
  <c r="DG8" i="2"/>
  <c r="DO8" i="2" s="1"/>
  <c r="DF8" i="2"/>
  <c r="DE8" i="2"/>
  <c r="DM8" i="2" s="1"/>
  <c r="DD8" i="2"/>
  <c r="DL8" i="2" s="1"/>
  <c r="DC8" i="2"/>
  <c r="CY8" i="2"/>
  <c r="CX8" i="2"/>
  <c r="DB8" i="2" s="1"/>
  <c r="CW8" i="2"/>
  <c r="DA8" i="2" s="1"/>
  <c r="CV8" i="2"/>
  <c r="CZ8" i="2" s="1"/>
  <c r="DU7" i="2"/>
  <c r="DT7" i="2"/>
  <c r="DK7" i="2"/>
  <c r="DJ7" i="2"/>
  <c r="DI7" i="2"/>
  <c r="DH7" i="2"/>
  <c r="DG7" i="2"/>
  <c r="DF7" i="2"/>
  <c r="DE7" i="2"/>
  <c r="DD7" i="2"/>
  <c r="CY7" i="2"/>
  <c r="CX7" i="2"/>
  <c r="CW7" i="2"/>
  <c r="CV7" i="2"/>
  <c r="DU6" i="2"/>
  <c r="DW6" i="2" s="1"/>
  <c r="DT6" i="2"/>
  <c r="DP6" i="2"/>
  <c r="DK6" i="2"/>
  <c r="DS6" i="2" s="1"/>
  <c r="DJ6" i="2"/>
  <c r="DR6" i="2" s="1"/>
  <c r="DI6" i="2"/>
  <c r="DQ6" i="2" s="1"/>
  <c r="DH6" i="2"/>
  <c r="DG6" i="2"/>
  <c r="DO6" i="2" s="1"/>
  <c r="DF6" i="2"/>
  <c r="DN6" i="2" s="1"/>
  <c r="DE6" i="2"/>
  <c r="DM6" i="2" s="1"/>
  <c r="DD6" i="2"/>
  <c r="DL6" i="2" s="1"/>
  <c r="CY6" i="2"/>
  <c r="DC6" i="2" s="1"/>
  <c r="CX6" i="2"/>
  <c r="DB6" i="2" s="1"/>
  <c r="CW6" i="2"/>
  <c r="DA6" i="2" s="1"/>
  <c r="CV6" i="2"/>
  <c r="CZ6" i="2" s="1"/>
  <c r="DU5" i="2"/>
  <c r="DT5" i="2"/>
  <c r="DK5" i="2"/>
  <c r="DJ5" i="2"/>
  <c r="DI5" i="2"/>
  <c r="DH5" i="2"/>
  <c r="DG5" i="2"/>
  <c r="DF5" i="2"/>
  <c r="DE5" i="2"/>
  <c r="DD5" i="2"/>
  <c r="CY5" i="2"/>
  <c r="CX5" i="2"/>
  <c r="CW5" i="2"/>
  <c r="CV5" i="2"/>
  <c r="DW4" i="2"/>
  <c r="DV4" i="2"/>
  <c r="DU4" i="2"/>
  <c r="DT4" i="2"/>
  <c r="DO4" i="2"/>
  <c r="DK4" i="2"/>
  <c r="DS4" i="2" s="1"/>
  <c r="DJ4" i="2"/>
  <c r="DR4" i="2" s="1"/>
  <c r="DI4" i="2"/>
  <c r="DQ4" i="2" s="1"/>
  <c r="DH4" i="2"/>
  <c r="DP4" i="2" s="1"/>
  <c r="DG4" i="2"/>
  <c r="DF4" i="2"/>
  <c r="DN4" i="2" s="1"/>
  <c r="DE4" i="2"/>
  <c r="DM4" i="2" s="1"/>
  <c r="DD4" i="2"/>
  <c r="DL4" i="2" s="1"/>
  <c r="DB4" i="2"/>
  <c r="CY4" i="2"/>
  <c r="DC4" i="2" s="1"/>
  <c r="CX4" i="2"/>
  <c r="CW4" i="2"/>
  <c r="DA4" i="2" s="1"/>
  <c r="CV4" i="2"/>
  <c r="CZ4" i="2" s="1"/>
  <c r="DU3" i="2"/>
  <c r="DT3" i="2"/>
  <c r="DK3" i="2"/>
  <c r="DJ3" i="2"/>
  <c r="DI3" i="2"/>
  <c r="DH3" i="2"/>
  <c r="DG3" i="2"/>
  <c r="DF3" i="2"/>
  <c r="DE3" i="2"/>
  <c r="DD3" i="2"/>
  <c r="CY3" i="2"/>
  <c r="CX3" i="2"/>
  <c r="CW3" i="2"/>
  <c r="CV3" i="2"/>
  <c r="DK2" i="2"/>
  <c r="DS2" i="2" s="1"/>
  <c r="DJ2" i="2"/>
  <c r="DR2" i="2" s="1"/>
  <c r="DI2" i="2"/>
  <c r="DQ2" i="2" s="1"/>
  <c r="DH2" i="2"/>
  <c r="DG2" i="2"/>
  <c r="DO2" i="2" s="1"/>
  <c r="DF2" i="2"/>
  <c r="DN2" i="2" s="1"/>
  <c r="DE2" i="2"/>
  <c r="DD2" i="2"/>
  <c r="CV2" i="2"/>
  <c r="CU41" i="2"/>
  <c r="CU40" i="2"/>
  <c r="CU39" i="2"/>
  <c r="CU38" i="2"/>
  <c r="CU37" i="2"/>
  <c r="CU36" i="2"/>
  <c r="CU35" i="2"/>
  <c r="CU34" i="2"/>
  <c r="CU33" i="2"/>
  <c r="CU32" i="2"/>
  <c r="CU31" i="2"/>
  <c r="CU30" i="2"/>
  <c r="CU29" i="2"/>
  <c r="CU28" i="2"/>
  <c r="CU27" i="2"/>
  <c r="CU26" i="2"/>
  <c r="CU25" i="2"/>
  <c r="CU24" i="2"/>
  <c r="CU23" i="2"/>
  <c r="CU22" i="2"/>
  <c r="CU21" i="2"/>
  <c r="CU20" i="2"/>
  <c r="CU19" i="2"/>
  <c r="CU18" i="2"/>
  <c r="CU17" i="2"/>
  <c r="CU16" i="2"/>
  <c r="CU15" i="2"/>
  <c r="CU14" i="2"/>
  <c r="CU13" i="2"/>
  <c r="CU12" i="2"/>
  <c r="CU11" i="2"/>
  <c r="CU10" i="2"/>
  <c r="CU8" i="2"/>
  <c r="CU9" i="2"/>
  <c r="CU7" i="2"/>
  <c r="CU6" i="2"/>
  <c r="CU5" i="2"/>
  <c r="CU4" i="2"/>
  <c r="CU2" i="2"/>
  <c r="DU2" i="2" s="1"/>
  <c r="CR41" i="2"/>
  <c r="CQ41" i="2"/>
  <c r="CH41" i="2"/>
  <c r="CG41" i="2"/>
  <c r="CF41" i="2"/>
  <c r="CE41" i="2"/>
  <c r="CD41" i="2"/>
  <c r="CC41" i="2"/>
  <c r="CB41" i="2"/>
  <c r="CA41" i="2"/>
  <c r="BV41" i="2"/>
  <c r="BU41" i="2"/>
  <c r="BT41" i="2"/>
  <c r="BS41" i="2"/>
  <c r="CS40" i="2"/>
  <c r="CR40" i="2"/>
  <c r="CT40" i="2" s="1"/>
  <c r="CQ40" i="2"/>
  <c r="CH40" i="2"/>
  <c r="CP40" i="2" s="1"/>
  <c r="CG40" i="2"/>
  <c r="CO40" i="2" s="1"/>
  <c r="CF40" i="2"/>
  <c r="CN40" i="2" s="1"/>
  <c r="CE40" i="2"/>
  <c r="CM40" i="2" s="1"/>
  <c r="CD40" i="2"/>
  <c r="CL40" i="2" s="1"/>
  <c r="CC40" i="2"/>
  <c r="CK40" i="2" s="1"/>
  <c r="CB40" i="2"/>
  <c r="CJ40" i="2" s="1"/>
  <c r="CA40" i="2"/>
  <c r="CI40" i="2" s="1"/>
  <c r="BV40" i="2"/>
  <c r="BZ40" i="2" s="1"/>
  <c r="BU40" i="2"/>
  <c r="BY40" i="2" s="1"/>
  <c r="BT40" i="2"/>
  <c r="BX40" i="2" s="1"/>
  <c r="BS40" i="2"/>
  <c r="BW40" i="2" s="1"/>
  <c r="CR39" i="2"/>
  <c r="CQ39" i="2"/>
  <c r="CH39" i="2"/>
  <c r="CG39" i="2"/>
  <c r="CF39" i="2"/>
  <c r="CE39" i="2"/>
  <c r="CD39" i="2"/>
  <c r="CC39" i="2"/>
  <c r="CB39" i="2"/>
  <c r="CA39" i="2"/>
  <c r="BV39" i="2"/>
  <c r="BU39" i="2"/>
  <c r="BT39" i="2"/>
  <c r="BS39" i="2"/>
  <c r="CT38" i="2"/>
  <c r="CR38" i="2"/>
  <c r="CQ38" i="2"/>
  <c r="CS38" i="2" s="1"/>
  <c r="CH38" i="2"/>
  <c r="CP38" i="2" s="1"/>
  <c r="CG38" i="2"/>
  <c r="CO38" i="2" s="1"/>
  <c r="CF38" i="2"/>
  <c r="CN38" i="2" s="1"/>
  <c r="CE38" i="2"/>
  <c r="CM38" i="2" s="1"/>
  <c r="CD38" i="2"/>
  <c r="CL38" i="2" s="1"/>
  <c r="CC38" i="2"/>
  <c r="CK38" i="2" s="1"/>
  <c r="CB38" i="2"/>
  <c r="CJ38" i="2" s="1"/>
  <c r="CA38" i="2"/>
  <c r="CI38" i="2" s="1"/>
  <c r="BV38" i="2"/>
  <c r="BZ38" i="2" s="1"/>
  <c r="BU38" i="2"/>
  <c r="BY38" i="2" s="1"/>
  <c r="BT38" i="2"/>
  <c r="BX38" i="2" s="1"/>
  <c r="BS38" i="2"/>
  <c r="BW38" i="2" s="1"/>
  <c r="CR37" i="2"/>
  <c r="CQ37" i="2"/>
  <c r="CH37" i="2"/>
  <c r="CG37" i="2"/>
  <c r="CF37" i="2"/>
  <c r="CE37" i="2"/>
  <c r="CD37" i="2"/>
  <c r="CC37" i="2"/>
  <c r="CB37" i="2"/>
  <c r="CA37" i="2"/>
  <c r="BV37" i="2"/>
  <c r="BU37" i="2"/>
  <c r="BT37" i="2"/>
  <c r="BS37" i="2"/>
  <c r="CS36" i="2"/>
  <c r="CR36" i="2"/>
  <c r="CT36" i="2" s="1"/>
  <c r="CQ36" i="2"/>
  <c r="CH36" i="2"/>
  <c r="CP36" i="2" s="1"/>
  <c r="CG36" i="2"/>
  <c r="CO36" i="2" s="1"/>
  <c r="CF36" i="2"/>
  <c r="CN36" i="2" s="1"/>
  <c r="CE36" i="2"/>
  <c r="CM36" i="2" s="1"/>
  <c r="CD36" i="2"/>
  <c r="CL36" i="2" s="1"/>
  <c r="CC36" i="2"/>
  <c r="CK36" i="2" s="1"/>
  <c r="CB36" i="2"/>
  <c r="CJ36" i="2" s="1"/>
  <c r="CA36" i="2"/>
  <c r="CI36" i="2" s="1"/>
  <c r="BV36" i="2"/>
  <c r="BZ36" i="2" s="1"/>
  <c r="BU36" i="2"/>
  <c r="BY36" i="2" s="1"/>
  <c r="BT36" i="2"/>
  <c r="BX36" i="2" s="1"/>
  <c r="BS36" i="2"/>
  <c r="BW36" i="2" s="1"/>
  <c r="CR35" i="2"/>
  <c r="CQ35" i="2"/>
  <c r="CH35" i="2"/>
  <c r="CG35" i="2"/>
  <c r="CF35" i="2"/>
  <c r="CE35" i="2"/>
  <c r="CD35" i="2"/>
  <c r="CC35" i="2"/>
  <c r="CB35" i="2"/>
  <c r="CA35" i="2"/>
  <c r="BV35" i="2"/>
  <c r="BU35" i="2"/>
  <c r="BT35" i="2"/>
  <c r="BS35" i="2"/>
  <c r="CT34" i="2"/>
  <c r="CR34" i="2"/>
  <c r="CQ34" i="2"/>
  <c r="CS34" i="2" s="1"/>
  <c r="CH34" i="2"/>
  <c r="CP34" i="2" s="1"/>
  <c r="CG34" i="2"/>
  <c r="CO34" i="2" s="1"/>
  <c r="CF34" i="2"/>
  <c r="CN34" i="2" s="1"/>
  <c r="CE34" i="2"/>
  <c r="CM34" i="2" s="1"/>
  <c r="CD34" i="2"/>
  <c r="CL34" i="2" s="1"/>
  <c r="CC34" i="2"/>
  <c r="CK34" i="2" s="1"/>
  <c r="CB34" i="2"/>
  <c r="CJ34" i="2" s="1"/>
  <c r="CA34" i="2"/>
  <c r="CI34" i="2" s="1"/>
  <c r="BV34" i="2"/>
  <c r="BZ34" i="2" s="1"/>
  <c r="BU34" i="2"/>
  <c r="BY34" i="2" s="1"/>
  <c r="BT34" i="2"/>
  <c r="BX34" i="2" s="1"/>
  <c r="BS34" i="2"/>
  <c r="BW34" i="2" s="1"/>
  <c r="CR33" i="2"/>
  <c r="CQ33" i="2"/>
  <c r="CH33" i="2"/>
  <c r="CG33" i="2"/>
  <c r="CF33" i="2"/>
  <c r="CE33" i="2"/>
  <c r="CD33" i="2"/>
  <c r="CC33" i="2"/>
  <c r="CB33" i="2"/>
  <c r="CA33" i="2"/>
  <c r="BV33" i="2"/>
  <c r="BU33" i="2"/>
  <c r="BT33" i="2"/>
  <c r="BS33" i="2"/>
  <c r="CS32" i="2"/>
  <c r="CR32" i="2"/>
  <c r="CT32" i="2" s="1"/>
  <c r="CQ32" i="2"/>
  <c r="CH32" i="2"/>
  <c r="CP32" i="2" s="1"/>
  <c r="CG32" i="2"/>
  <c r="CO32" i="2" s="1"/>
  <c r="CF32" i="2"/>
  <c r="CN32" i="2" s="1"/>
  <c r="CE32" i="2"/>
  <c r="CM32" i="2" s="1"/>
  <c r="CD32" i="2"/>
  <c r="CL32" i="2" s="1"/>
  <c r="CC32" i="2"/>
  <c r="CK32" i="2" s="1"/>
  <c r="CB32" i="2"/>
  <c r="CJ32" i="2" s="1"/>
  <c r="CA32" i="2"/>
  <c r="CI32" i="2" s="1"/>
  <c r="BV32" i="2"/>
  <c r="BZ32" i="2" s="1"/>
  <c r="BU32" i="2"/>
  <c r="BY32" i="2" s="1"/>
  <c r="BT32" i="2"/>
  <c r="BX32" i="2" s="1"/>
  <c r="BS32" i="2"/>
  <c r="BW32" i="2" s="1"/>
  <c r="CR31" i="2"/>
  <c r="CQ31" i="2"/>
  <c r="CH31" i="2"/>
  <c r="CG31" i="2"/>
  <c r="CF31" i="2"/>
  <c r="CE31" i="2"/>
  <c r="CD31" i="2"/>
  <c r="CC31" i="2"/>
  <c r="CB31" i="2"/>
  <c r="CA31" i="2"/>
  <c r="BV31" i="2"/>
  <c r="BU31" i="2"/>
  <c r="BT31" i="2"/>
  <c r="BS31" i="2"/>
  <c r="CT30" i="2"/>
  <c r="CR30" i="2"/>
  <c r="CQ30" i="2"/>
  <c r="CS30" i="2" s="1"/>
  <c r="CH30" i="2"/>
  <c r="CP30" i="2" s="1"/>
  <c r="CG30" i="2"/>
  <c r="CO30" i="2" s="1"/>
  <c r="CF30" i="2"/>
  <c r="CN30" i="2" s="1"/>
  <c r="CE30" i="2"/>
  <c r="CM30" i="2" s="1"/>
  <c r="CD30" i="2"/>
  <c r="CL30" i="2" s="1"/>
  <c r="CC30" i="2"/>
  <c r="CK30" i="2" s="1"/>
  <c r="CB30" i="2"/>
  <c r="CJ30" i="2" s="1"/>
  <c r="CA30" i="2"/>
  <c r="CI30" i="2" s="1"/>
  <c r="BV30" i="2"/>
  <c r="BZ30" i="2" s="1"/>
  <c r="BU30" i="2"/>
  <c r="BY30" i="2" s="1"/>
  <c r="BT30" i="2"/>
  <c r="BX30" i="2" s="1"/>
  <c r="BS30" i="2"/>
  <c r="BW30" i="2" s="1"/>
  <c r="CR29" i="2"/>
  <c r="CQ29" i="2"/>
  <c r="CH29" i="2"/>
  <c r="CG29" i="2"/>
  <c r="CF29" i="2"/>
  <c r="CE29" i="2"/>
  <c r="CD29" i="2"/>
  <c r="CC29" i="2"/>
  <c r="CB29" i="2"/>
  <c r="CA29" i="2"/>
  <c r="BV29" i="2"/>
  <c r="BU29" i="2"/>
  <c r="BT29" i="2"/>
  <c r="BS29" i="2"/>
  <c r="CS28" i="2"/>
  <c r="CR28" i="2"/>
  <c r="CT28" i="2" s="1"/>
  <c r="CQ28" i="2"/>
  <c r="CH28" i="2"/>
  <c r="CP28" i="2" s="1"/>
  <c r="CG28" i="2"/>
  <c r="CO28" i="2" s="1"/>
  <c r="CF28" i="2"/>
  <c r="CN28" i="2" s="1"/>
  <c r="CE28" i="2"/>
  <c r="CM28" i="2" s="1"/>
  <c r="CD28" i="2"/>
  <c r="CL28" i="2" s="1"/>
  <c r="CC28" i="2"/>
  <c r="CK28" i="2" s="1"/>
  <c r="CB28" i="2"/>
  <c r="CJ28" i="2" s="1"/>
  <c r="CA28" i="2"/>
  <c r="CI28" i="2" s="1"/>
  <c r="BY28" i="2"/>
  <c r="BV28" i="2"/>
  <c r="BZ28" i="2" s="1"/>
  <c r="BU28" i="2"/>
  <c r="BT28" i="2"/>
  <c r="BX28" i="2" s="1"/>
  <c r="BS28" i="2"/>
  <c r="BW28" i="2" s="1"/>
  <c r="CR27" i="2"/>
  <c r="CQ27" i="2"/>
  <c r="CH27" i="2"/>
  <c r="CG27" i="2"/>
  <c r="CF27" i="2"/>
  <c r="CE27" i="2"/>
  <c r="CD27" i="2"/>
  <c r="CC27" i="2"/>
  <c r="CB27" i="2"/>
  <c r="CA27" i="2"/>
  <c r="BV27" i="2"/>
  <c r="BU27" i="2"/>
  <c r="BT27" i="2"/>
  <c r="BS27" i="2"/>
  <c r="CT26" i="2"/>
  <c r="CR26" i="2"/>
  <c r="CQ26" i="2"/>
  <c r="CH26" i="2"/>
  <c r="CP26" i="2" s="1"/>
  <c r="CG26" i="2"/>
  <c r="CO26" i="2" s="1"/>
  <c r="CF26" i="2"/>
  <c r="CN26" i="2" s="1"/>
  <c r="CE26" i="2"/>
  <c r="CM26" i="2" s="1"/>
  <c r="CD26" i="2"/>
  <c r="CL26" i="2" s="1"/>
  <c r="CC26" i="2"/>
  <c r="CK26" i="2" s="1"/>
  <c r="CB26" i="2"/>
  <c r="CJ26" i="2" s="1"/>
  <c r="CA26" i="2"/>
  <c r="CI26" i="2" s="1"/>
  <c r="BV26" i="2"/>
  <c r="BZ26" i="2" s="1"/>
  <c r="BU26" i="2"/>
  <c r="BY26" i="2" s="1"/>
  <c r="BT26" i="2"/>
  <c r="BX26" i="2" s="1"/>
  <c r="BS26" i="2"/>
  <c r="BW26" i="2" s="1"/>
  <c r="CR25" i="2"/>
  <c r="CQ25" i="2"/>
  <c r="CH25" i="2"/>
  <c r="CG25" i="2"/>
  <c r="CO24" i="2" s="1"/>
  <c r="CF25" i="2"/>
  <c r="CE25" i="2"/>
  <c r="CD25" i="2"/>
  <c r="CC25" i="2"/>
  <c r="CK24" i="2" s="1"/>
  <c r="CB25" i="2"/>
  <c r="CA25" i="2"/>
  <c r="BV25" i="2"/>
  <c r="BU25" i="2"/>
  <c r="BT25" i="2"/>
  <c r="BS25" i="2"/>
  <c r="CS24" i="2"/>
  <c r="CR24" i="2"/>
  <c r="CT24" i="2" s="1"/>
  <c r="CQ24" i="2"/>
  <c r="CH24" i="2"/>
  <c r="CP24" i="2" s="1"/>
  <c r="CG24" i="2"/>
  <c r="CF24" i="2"/>
  <c r="CN24" i="2" s="1"/>
  <c r="CE24" i="2"/>
  <c r="CM24" i="2" s="1"/>
  <c r="CD24" i="2"/>
  <c r="CL24" i="2" s="1"/>
  <c r="CC24" i="2"/>
  <c r="CB24" i="2"/>
  <c r="CJ24" i="2" s="1"/>
  <c r="CA24" i="2"/>
  <c r="CI24" i="2" s="1"/>
  <c r="BY24" i="2"/>
  <c r="BV24" i="2"/>
  <c r="BZ24" i="2" s="1"/>
  <c r="BU24" i="2"/>
  <c r="BT24" i="2"/>
  <c r="BX24" i="2" s="1"/>
  <c r="BS24" i="2"/>
  <c r="BW24" i="2" s="1"/>
  <c r="CR23" i="2"/>
  <c r="CQ23" i="2"/>
  <c r="CH23" i="2"/>
  <c r="CG23" i="2"/>
  <c r="CF23" i="2"/>
  <c r="CE23" i="2"/>
  <c r="CD23" i="2"/>
  <c r="CC23" i="2"/>
  <c r="CB23" i="2"/>
  <c r="CA23" i="2"/>
  <c r="BV23" i="2"/>
  <c r="BU23" i="2"/>
  <c r="BT23" i="2"/>
  <c r="BS23" i="2"/>
  <c r="CT22" i="2"/>
  <c r="CR22" i="2"/>
  <c r="CQ22" i="2"/>
  <c r="CH22" i="2"/>
  <c r="CP22" i="2" s="1"/>
  <c r="CG22" i="2"/>
  <c r="CO22" i="2" s="1"/>
  <c r="CF22" i="2"/>
  <c r="CN22" i="2" s="1"/>
  <c r="CE22" i="2"/>
  <c r="CM22" i="2" s="1"/>
  <c r="CD22" i="2"/>
  <c r="CL22" i="2" s="1"/>
  <c r="CC22" i="2"/>
  <c r="CK22" i="2" s="1"/>
  <c r="CB22" i="2"/>
  <c r="CJ22" i="2" s="1"/>
  <c r="CA22" i="2"/>
  <c r="CI22" i="2" s="1"/>
  <c r="BV22" i="2"/>
  <c r="BZ22" i="2" s="1"/>
  <c r="BU22" i="2"/>
  <c r="BY22" i="2" s="1"/>
  <c r="BT22" i="2"/>
  <c r="BX22" i="2" s="1"/>
  <c r="BS22" i="2"/>
  <c r="BW22" i="2" s="1"/>
  <c r="CR21" i="2"/>
  <c r="CQ21" i="2"/>
  <c r="CH21" i="2"/>
  <c r="CG21" i="2"/>
  <c r="CO20" i="2" s="1"/>
  <c r="CF21" i="2"/>
  <c r="CE21" i="2"/>
  <c r="CD21" i="2"/>
  <c r="CC21" i="2"/>
  <c r="CK20" i="2" s="1"/>
  <c r="CB21" i="2"/>
  <c r="CA21" i="2"/>
  <c r="BV21" i="2"/>
  <c r="BU21" i="2"/>
  <c r="BT21" i="2"/>
  <c r="BS21" i="2"/>
  <c r="CS20" i="2"/>
  <c r="CR20" i="2"/>
  <c r="CT20" i="2" s="1"/>
  <c r="CQ20" i="2"/>
  <c r="CH20" i="2"/>
  <c r="CP20" i="2" s="1"/>
  <c r="CG20" i="2"/>
  <c r="CF20" i="2"/>
  <c r="CN20" i="2" s="1"/>
  <c r="CE20" i="2"/>
  <c r="CM20" i="2" s="1"/>
  <c r="CD20" i="2"/>
  <c r="CL20" i="2" s="1"/>
  <c r="CC20" i="2"/>
  <c r="CB20" i="2"/>
  <c r="CJ20" i="2" s="1"/>
  <c r="CA20" i="2"/>
  <c r="CI20" i="2" s="1"/>
  <c r="BY20" i="2"/>
  <c r="BV20" i="2"/>
  <c r="BZ20" i="2" s="1"/>
  <c r="BU20" i="2"/>
  <c r="BT20" i="2"/>
  <c r="BX20" i="2" s="1"/>
  <c r="BS20" i="2"/>
  <c r="BW20" i="2" s="1"/>
  <c r="CR19" i="2"/>
  <c r="CQ19" i="2"/>
  <c r="CH19" i="2"/>
  <c r="CG19" i="2"/>
  <c r="CF19" i="2"/>
  <c r="CE19" i="2"/>
  <c r="CD19" i="2"/>
  <c r="CC19" i="2"/>
  <c r="CB19" i="2"/>
  <c r="CA19" i="2"/>
  <c r="BV19" i="2"/>
  <c r="BU19" i="2"/>
  <c r="BT19" i="2"/>
  <c r="BS19" i="2"/>
  <c r="CT18" i="2"/>
  <c r="CR18" i="2"/>
  <c r="CQ18" i="2"/>
  <c r="CH18" i="2"/>
  <c r="CP18" i="2" s="1"/>
  <c r="CG18" i="2"/>
  <c r="CO18" i="2" s="1"/>
  <c r="CF18" i="2"/>
  <c r="CN18" i="2" s="1"/>
  <c r="CE18" i="2"/>
  <c r="CM18" i="2" s="1"/>
  <c r="CD18" i="2"/>
  <c r="CL18" i="2" s="1"/>
  <c r="CC18" i="2"/>
  <c r="CK18" i="2" s="1"/>
  <c r="CB18" i="2"/>
  <c r="CJ18" i="2" s="1"/>
  <c r="CA18" i="2"/>
  <c r="CI18" i="2" s="1"/>
  <c r="BV18" i="2"/>
  <c r="BZ18" i="2" s="1"/>
  <c r="BU18" i="2"/>
  <c r="BY18" i="2" s="1"/>
  <c r="BT18" i="2"/>
  <c r="BX18" i="2" s="1"/>
  <c r="BS18" i="2"/>
  <c r="BW18" i="2" s="1"/>
  <c r="CR17" i="2"/>
  <c r="CQ17" i="2"/>
  <c r="CH17" i="2"/>
  <c r="CG17" i="2"/>
  <c r="CO16" i="2" s="1"/>
  <c r="CF17" i="2"/>
  <c r="CE17" i="2"/>
  <c r="CD17" i="2"/>
  <c r="CC17" i="2"/>
  <c r="CK16" i="2" s="1"/>
  <c r="CB17" i="2"/>
  <c r="CA17" i="2"/>
  <c r="BV17" i="2"/>
  <c r="BU17" i="2"/>
  <c r="BT17" i="2"/>
  <c r="BS17" i="2"/>
  <c r="CS16" i="2"/>
  <c r="CR16" i="2"/>
  <c r="CT16" i="2" s="1"/>
  <c r="CQ16" i="2"/>
  <c r="CH16" i="2"/>
  <c r="CP16" i="2" s="1"/>
  <c r="CG16" i="2"/>
  <c r="CF16" i="2"/>
  <c r="CN16" i="2" s="1"/>
  <c r="CE16" i="2"/>
  <c r="CM16" i="2" s="1"/>
  <c r="CD16" i="2"/>
  <c r="CL16" i="2" s="1"/>
  <c r="CC16" i="2"/>
  <c r="CB16" i="2"/>
  <c r="CJ16" i="2" s="1"/>
  <c r="CA16" i="2"/>
  <c r="CI16" i="2" s="1"/>
  <c r="BY16" i="2"/>
  <c r="BV16" i="2"/>
  <c r="BZ16" i="2" s="1"/>
  <c r="BU16" i="2"/>
  <c r="BT16" i="2"/>
  <c r="BX16" i="2" s="1"/>
  <c r="BS16" i="2"/>
  <c r="BW16" i="2" s="1"/>
  <c r="CR15" i="2"/>
  <c r="CQ15" i="2"/>
  <c r="CH15" i="2"/>
  <c r="CG15" i="2"/>
  <c r="CF15" i="2"/>
  <c r="CE15" i="2"/>
  <c r="CD15" i="2"/>
  <c r="CC15" i="2"/>
  <c r="CB15" i="2"/>
  <c r="CA15" i="2"/>
  <c r="BV15" i="2"/>
  <c r="BU15" i="2"/>
  <c r="BT15" i="2"/>
  <c r="BS15" i="2"/>
  <c r="CT14" i="2"/>
  <c r="CR14" i="2"/>
  <c r="CQ14" i="2"/>
  <c r="CH14" i="2"/>
  <c r="CP14" i="2" s="1"/>
  <c r="CG14" i="2"/>
  <c r="CO14" i="2" s="1"/>
  <c r="CF14" i="2"/>
  <c r="CN14" i="2" s="1"/>
  <c r="CE14" i="2"/>
  <c r="CM14" i="2" s="1"/>
  <c r="CD14" i="2"/>
  <c r="CL14" i="2" s="1"/>
  <c r="CC14" i="2"/>
  <c r="CK14" i="2" s="1"/>
  <c r="CB14" i="2"/>
  <c r="CJ14" i="2" s="1"/>
  <c r="CA14" i="2"/>
  <c r="CI14" i="2" s="1"/>
  <c r="BV14" i="2"/>
  <c r="BZ14" i="2" s="1"/>
  <c r="BU14" i="2"/>
  <c r="BY14" i="2" s="1"/>
  <c r="BT14" i="2"/>
  <c r="BX14" i="2" s="1"/>
  <c r="BS14" i="2"/>
  <c r="BW14" i="2" s="1"/>
  <c r="CR13" i="2"/>
  <c r="CQ13" i="2"/>
  <c r="CH13" i="2"/>
  <c r="CG13" i="2"/>
  <c r="CO12" i="2" s="1"/>
  <c r="CF13" i="2"/>
  <c r="CE13" i="2"/>
  <c r="CD13" i="2"/>
  <c r="CC13" i="2"/>
  <c r="CK12" i="2" s="1"/>
  <c r="CB13" i="2"/>
  <c r="CA13" i="2"/>
  <c r="BV13" i="2"/>
  <c r="BU13" i="2"/>
  <c r="BT13" i="2"/>
  <c r="BS13" i="2"/>
  <c r="CS12" i="2"/>
  <c r="CR12" i="2"/>
  <c r="CT12" i="2" s="1"/>
  <c r="CQ12" i="2"/>
  <c r="CH12" i="2"/>
  <c r="CP12" i="2" s="1"/>
  <c r="CG12" i="2"/>
  <c r="CF12" i="2"/>
  <c r="CN12" i="2" s="1"/>
  <c r="CE12" i="2"/>
  <c r="CM12" i="2" s="1"/>
  <c r="CD12" i="2"/>
  <c r="CL12" i="2" s="1"/>
  <c r="CC12" i="2"/>
  <c r="CB12" i="2"/>
  <c r="CJ12" i="2" s="1"/>
  <c r="CA12" i="2"/>
  <c r="CI12" i="2" s="1"/>
  <c r="BY12" i="2"/>
  <c r="BV12" i="2"/>
  <c r="BZ12" i="2" s="1"/>
  <c r="BU12" i="2"/>
  <c r="BT12" i="2"/>
  <c r="BX12" i="2" s="1"/>
  <c r="BS12" i="2"/>
  <c r="BW12" i="2" s="1"/>
  <c r="CR11" i="2"/>
  <c r="CQ11" i="2"/>
  <c r="CH11" i="2"/>
  <c r="CG11" i="2"/>
  <c r="CF11" i="2"/>
  <c r="CE11" i="2"/>
  <c r="CD11" i="2"/>
  <c r="CC11" i="2"/>
  <c r="CB11" i="2"/>
  <c r="CA11" i="2"/>
  <c r="BV11" i="2"/>
  <c r="BU11" i="2"/>
  <c r="BT11" i="2"/>
  <c r="BS11" i="2"/>
  <c r="CT10" i="2"/>
  <c r="CR10" i="2"/>
  <c r="CQ10" i="2"/>
  <c r="CH10" i="2"/>
  <c r="CP10" i="2" s="1"/>
  <c r="CG10" i="2"/>
  <c r="CO10" i="2" s="1"/>
  <c r="CF10" i="2"/>
  <c r="CN10" i="2" s="1"/>
  <c r="CE10" i="2"/>
  <c r="CM10" i="2" s="1"/>
  <c r="CD10" i="2"/>
  <c r="CL10" i="2" s="1"/>
  <c r="CC10" i="2"/>
  <c r="CK10" i="2" s="1"/>
  <c r="CB10" i="2"/>
  <c r="CJ10" i="2" s="1"/>
  <c r="CA10" i="2"/>
  <c r="CI10" i="2" s="1"/>
  <c r="BV10" i="2"/>
  <c r="BZ10" i="2" s="1"/>
  <c r="BU10" i="2"/>
  <c r="BY10" i="2" s="1"/>
  <c r="BT10" i="2"/>
  <c r="BX10" i="2" s="1"/>
  <c r="BS10" i="2"/>
  <c r="BW10" i="2" s="1"/>
  <c r="CR9" i="2"/>
  <c r="CQ9" i="2"/>
  <c r="CH9" i="2"/>
  <c r="CG9" i="2"/>
  <c r="CO8" i="2" s="1"/>
  <c r="CF9" i="2"/>
  <c r="CE9" i="2"/>
  <c r="CD9" i="2"/>
  <c r="CC9" i="2"/>
  <c r="CK8" i="2" s="1"/>
  <c r="CB9" i="2"/>
  <c r="CA9" i="2"/>
  <c r="BV9" i="2"/>
  <c r="BU9" i="2"/>
  <c r="BT9" i="2"/>
  <c r="BS9" i="2"/>
  <c r="CS8" i="2"/>
  <c r="CR8" i="2"/>
  <c r="CT8" i="2" s="1"/>
  <c r="CQ8" i="2"/>
  <c r="CH8" i="2"/>
  <c r="CP8" i="2" s="1"/>
  <c r="CG8" i="2"/>
  <c r="CF8" i="2"/>
  <c r="CN8" i="2" s="1"/>
  <c r="CE8" i="2"/>
  <c r="CM8" i="2" s="1"/>
  <c r="CD8" i="2"/>
  <c r="CL8" i="2" s="1"/>
  <c r="CC8" i="2"/>
  <c r="CB8" i="2"/>
  <c r="CJ8" i="2" s="1"/>
  <c r="CA8" i="2"/>
  <c r="CI8" i="2" s="1"/>
  <c r="BY8" i="2"/>
  <c r="BV8" i="2"/>
  <c r="BZ8" i="2" s="1"/>
  <c r="BU8" i="2"/>
  <c r="BT8" i="2"/>
  <c r="BX8" i="2" s="1"/>
  <c r="BS8" i="2"/>
  <c r="BW8" i="2" s="1"/>
  <c r="CR7" i="2"/>
  <c r="CQ7" i="2"/>
  <c r="CH7" i="2"/>
  <c r="CG7" i="2"/>
  <c r="CF7" i="2"/>
  <c r="CE7" i="2"/>
  <c r="CD7" i="2"/>
  <c r="CC7" i="2"/>
  <c r="CB7" i="2"/>
  <c r="CA7" i="2"/>
  <c r="BV7" i="2"/>
  <c r="BU7" i="2"/>
  <c r="BT7" i="2"/>
  <c r="BS7" i="2"/>
  <c r="CT6" i="2"/>
  <c r="CR6" i="2"/>
  <c r="CQ6" i="2"/>
  <c r="CH6" i="2"/>
  <c r="CP6" i="2" s="1"/>
  <c r="CG6" i="2"/>
  <c r="CO6" i="2" s="1"/>
  <c r="CF6" i="2"/>
  <c r="CN6" i="2" s="1"/>
  <c r="CE6" i="2"/>
  <c r="CM6" i="2" s="1"/>
  <c r="CD6" i="2"/>
  <c r="CL6" i="2" s="1"/>
  <c r="CC6" i="2"/>
  <c r="CK6" i="2" s="1"/>
  <c r="CB6" i="2"/>
  <c r="CJ6" i="2" s="1"/>
  <c r="CA6" i="2"/>
  <c r="CI6" i="2" s="1"/>
  <c r="BV6" i="2"/>
  <c r="BZ6" i="2" s="1"/>
  <c r="BU6" i="2"/>
  <c r="BY6" i="2" s="1"/>
  <c r="BT6" i="2"/>
  <c r="BX6" i="2" s="1"/>
  <c r="BS6" i="2"/>
  <c r="BW6" i="2" s="1"/>
  <c r="CR5" i="2"/>
  <c r="CQ5" i="2"/>
  <c r="CH5" i="2"/>
  <c r="CG5" i="2"/>
  <c r="CO4" i="2" s="1"/>
  <c r="CF5" i="2"/>
  <c r="CE5" i="2"/>
  <c r="CD5" i="2"/>
  <c r="CC5" i="2"/>
  <c r="CK4" i="2" s="1"/>
  <c r="CB5" i="2"/>
  <c r="CA5" i="2"/>
  <c r="BV5" i="2"/>
  <c r="BU5" i="2"/>
  <c r="BT5" i="2"/>
  <c r="BS5" i="2"/>
  <c r="CS4" i="2"/>
  <c r="CR4" i="2"/>
  <c r="CT4" i="2" s="1"/>
  <c r="CQ4" i="2"/>
  <c r="CH4" i="2"/>
  <c r="CP4" i="2" s="1"/>
  <c r="CG4" i="2"/>
  <c r="CF4" i="2"/>
  <c r="CN4" i="2" s="1"/>
  <c r="CE4" i="2"/>
  <c r="CM4" i="2" s="1"/>
  <c r="CD4" i="2"/>
  <c r="CL4" i="2" s="1"/>
  <c r="CC4" i="2"/>
  <c r="CB4" i="2"/>
  <c r="CJ4" i="2" s="1"/>
  <c r="CA4" i="2"/>
  <c r="CI4" i="2" s="1"/>
  <c r="BY4" i="2"/>
  <c r="BV4" i="2"/>
  <c r="BZ4" i="2" s="1"/>
  <c r="BU4" i="2"/>
  <c r="BT4" i="2"/>
  <c r="BX4" i="2" s="1"/>
  <c r="BS4" i="2"/>
  <c r="BW4" i="2" s="1"/>
  <c r="CH3" i="2"/>
  <c r="CG3" i="2"/>
  <c r="CF3" i="2"/>
  <c r="CE3" i="2"/>
  <c r="CD3" i="2"/>
  <c r="CC3" i="2"/>
  <c r="CB3" i="2"/>
  <c r="CA3" i="2"/>
  <c r="CH2" i="2"/>
  <c r="CG2" i="2"/>
  <c r="CF2" i="2"/>
  <c r="CN2" i="2" s="1"/>
  <c r="CE2" i="2"/>
  <c r="CD2" i="2"/>
  <c r="CC2" i="2"/>
  <c r="CB2" i="2"/>
  <c r="CJ2" i="2" s="1"/>
  <c r="CA2" i="2"/>
  <c r="BR41" i="2"/>
  <c r="BR40" i="2"/>
  <c r="BR39" i="2"/>
  <c r="BR38" i="2"/>
  <c r="BR37" i="2"/>
  <c r="BR36" i="2"/>
  <c r="BR35" i="2"/>
  <c r="BR34" i="2"/>
  <c r="BR33" i="2"/>
  <c r="BR32" i="2"/>
  <c r="BR31" i="2"/>
  <c r="BR30" i="2"/>
  <c r="BR29" i="2"/>
  <c r="BR28" i="2"/>
  <c r="BR27" i="2"/>
  <c r="BR26" i="2"/>
  <c r="BR25" i="2"/>
  <c r="BR24" i="2"/>
  <c r="BR23" i="2"/>
  <c r="BR22" i="2"/>
  <c r="BR21" i="2"/>
  <c r="BR20" i="2"/>
  <c r="BR19" i="2"/>
  <c r="BR18" i="2"/>
  <c r="BR17" i="2"/>
  <c r="BR16" i="2"/>
  <c r="BR15" i="2"/>
  <c r="BR14" i="2"/>
  <c r="BR13" i="2"/>
  <c r="BR12" i="2"/>
  <c r="BR11" i="2"/>
  <c r="BR10" i="2"/>
  <c r="BR9" i="2"/>
  <c r="BR8" i="2"/>
  <c r="BR7" i="2"/>
  <c r="BR6" i="2"/>
  <c r="BR5" i="2"/>
  <c r="BR4" i="2"/>
  <c r="BR3" i="2"/>
  <c r="CR3" i="2" s="1"/>
  <c r="AO28" i="2"/>
  <c r="AM28" i="2"/>
  <c r="AO26" i="2"/>
  <c r="AQ26" i="2" s="1"/>
  <c r="AU26" i="2" s="1"/>
  <c r="AM26" i="2"/>
  <c r="AO24" i="2"/>
  <c r="AM24" i="2"/>
  <c r="AO22" i="2"/>
  <c r="AQ22" i="2" s="1"/>
  <c r="AU22" i="2" s="1"/>
  <c r="AM22" i="2"/>
  <c r="AO20" i="2"/>
  <c r="AM20" i="2"/>
  <c r="AO2" i="2"/>
  <c r="AS2" i="2" s="1"/>
  <c r="BE39" i="2"/>
  <c r="BD39" i="2"/>
  <c r="BC39" i="2"/>
  <c r="BB39" i="2"/>
  <c r="BA39" i="2"/>
  <c r="AZ39" i="2"/>
  <c r="AY39" i="2"/>
  <c r="AX39" i="2"/>
  <c r="AO39" i="2"/>
  <c r="AL39" i="2"/>
  <c r="AK39" i="2"/>
  <c r="AB39" i="2"/>
  <c r="AA39" i="2"/>
  <c r="Z39" i="2"/>
  <c r="Y39" i="2"/>
  <c r="X39" i="2"/>
  <c r="W39" i="2"/>
  <c r="V39" i="2"/>
  <c r="U39" i="2"/>
  <c r="P39" i="2"/>
  <c r="O39" i="2"/>
  <c r="N39" i="2"/>
  <c r="M39" i="2"/>
  <c r="BE38" i="2"/>
  <c r="BM38" i="2" s="1"/>
  <c r="BD38" i="2"/>
  <c r="BC38" i="2"/>
  <c r="BK38" i="2" s="1"/>
  <c r="BB38" i="2"/>
  <c r="BJ38" i="2" s="1"/>
  <c r="BA38" i="2"/>
  <c r="AZ38" i="2"/>
  <c r="AY38" i="2"/>
  <c r="AX38" i="2"/>
  <c r="BF38" i="2" s="1"/>
  <c r="AO38" i="2"/>
  <c r="BN38" i="2" s="1"/>
  <c r="BP38" i="2" s="1"/>
  <c r="AL38" i="2"/>
  <c r="AN38" i="2" s="1"/>
  <c r="AK38" i="2"/>
  <c r="AB38" i="2"/>
  <c r="AJ38" i="2" s="1"/>
  <c r="AA38" i="2"/>
  <c r="Z38" i="2"/>
  <c r="Y38" i="2"/>
  <c r="X38" i="2"/>
  <c r="AF38" i="2" s="1"/>
  <c r="W38" i="2"/>
  <c r="V38" i="2"/>
  <c r="U38" i="2"/>
  <c r="P38" i="2"/>
  <c r="T38" i="2" s="1"/>
  <c r="O38" i="2"/>
  <c r="N38" i="2"/>
  <c r="M38" i="2"/>
  <c r="Q38" i="2" s="1"/>
  <c r="BE37" i="2"/>
  <c r="BM36" i="2" s="1"/>
  <c r="BD37" i="2"/>
  <c r="BC37" i="2"/>
  <c r="BK36" i="2" s="1"/>
  <c r="BB37" i="2"/>
  <c r="BJ36" i="2" s="1"/>
  <c r="BA37" i="2"/>
  <c r="AZ37" i="2"/>
  <c r="AY37" i="2"/>
  <c r="AX37" i="2"/>
  <c r="AO37" i="2"/>
  <c r="AR37" i="2" s="1"/>
  <c r="AL37" i="2"/>
  <c r="AK37" i="2"/>
  <c r="AB37" i="2"/>
  <c r="AA37" i="2"/>
  <c r="Z37" i="2"/>
  <c r="Y37" i="2"/>
  <c r="X37" i="2"/>
  <c r="W37" i="2"/>
  <c r="V37" i="2"/>
  <c r="U37" i="2"/>
  <c r="P37" i="2"/>
  <c r="O37" i="2"/>
  <c r="N37" i="2"/>
  <c r="M37" i="2"/>
  <c r="BE36" i="2"/>
  <c r="BD36" i="2"/>
  <c r="BC36" i="2"/>
  <c r="BB36" i="2"/>
  <c r="BA36" i="2"/>
  <c r="AZ36" i="2"/>
  <c r="BH36" i="2" s="1"/>
  <c r="AY36" i="2"/>
  <c r="AX36" i="2"/>
  <c r="BF36" i="2" s="1"/>
  <c r="AO36" i="2"/>
  <c r="AP36" i="2" s="1"/>
  <c r="AN36" i="2"/>
  <c r="AL36" i="2"/>
  <c r="AK36" i="2"/>
  <c r="AM36" i="2" s="1"/>
  <c r="AB36" i="2"/>
  <c r="AJ36" i="2" s="1"/>
  <c r="AA36" i="2"/>
  <c r="AI36" i="2" s="1"/>
  <c r="Z36" i="2"/>
  <c r="Y36" i="2"/>
  <c r="X36" i="2"/>
  <c r="W36" i="2"/>
  <c r="AE36" i="2" s="1"/>
  <c r="V36" i="2"/>
  <c r="U36" i="2"/>
  <c r="P36" i="2"/>
  <c r="T36" i="2" s="1"/>
  <c r="O36" i="2"/>
  <c r="N36" i="2"/>
  <c r="M36" i="2"/>
  <c r="BE35" i="2"/>
  <c r="BD35" i="2"/>
  <c r="BC35" i="2"/>
  <c r="BB35" i="2"/>
  <c r="BA35" i="2"/>
  <c r="AZ35" i="2"/>
  <c r="AY35" i="2"/>
  <c r="AX35" i="2"/>
  <c r="AO35" i="2"/>
  <c r="AR35" i="2" s="1"/>
  <c r="AL35" i="2"/>
  <c r="AK35" i="2"/>
  <c r="AB35" i="2"/>
  <c r="AA35" i="2"/>
  <c r="Z35" i="2"/>
  <c r="Y35" i="2"/>
  <c r="X35" i="2"/>
  <c r="W35" i="2"/>
  <c r="V35" i="2"/>
  <c r="U35" i="2"/>
  <c r="P35" i="2"/>
  <c r="O35" i="2"/>
  <c r="N35" i="2"/>
  <c r="M35" i="2"/>
  <c r="BE34" i="2"/>
  <c r="BD34" i="2"/>
  <c r="BL34" i="2" s="1"/>
  <c r="BC34" i="2"/>
  <c r="BK34" i="2" s="1"/>
  <c r="BB34" i="2"/>
  <c r="BA34" i="2"/>
  <c r="BI34" i="2" s="1"/>
  <c r="AZ34" i="2"/>
  <c r="BH34" i="2" s="1"/>
  <c r="AY34" i="2"/>
  <c r="AX34" i="2"/>
  <c r="AO34" i="2"/>
  <c r="BO34" i="2" s="1"/>
  <c r="AL34" i="2"/>
  <c r="AN34" i="2" s="1"/>
  <c r="AK34" i="2"/>
  <c r="AB34" i="2"/>
  <c r="AA34" i="2"/>
  <c r="Z34" i="2"/>
  <c r="AH34" i="2" s="1"/>
  <c r="Y34" i="2"/>
  <c r="X34" i="2"/>
  <c r="W34" i="2"/>
  <c r="V34" i="2"/>
  <c r="AD34" i="2" s="1"/>
  <c r="U34" i="2"/>
  <c r="P34" i="2"/>
  <c r="T34" i="2" s="1"/>
  <c r="O34" i="2"/>
  <c r="S34" i="2" s="1"/>
  <c r="N34" i="2"/>
  <c r="R34" i="2" s="1"/>
  <c r="M34" i="2"/>
  <c r="BE33" i="2"/>
  <c r="BD33" i="2"/>
  <c r="BC33" i="2"/>
  <c r="BB33" i="2"/>
  <c r="BA33" i="2"/>
  <c r="AZ33" i="2"/>
  <c r="AY33" i="2"/>
  <c r="AX33" i="2"/>
  <c r="AO33" i="2"/>
  <c r="AS33" i="2" s="1"/>
  <c r="AL33" i="2"/>
  <c r="AK33" i="2"/>
  <c r="AB33" i="2"/>
  <c r="AA33" i="2"/>
  <c r="Z33" i="2"/>
  <c r="Y33" i="2"/>
  <c r="X33" i="2"/>
  <c r="W33" i="2"/>
  <c r="V33" i="2"/>
  <c r="U33" i="2"/>
  <c r="P33" i="2"/>
  <c r="O33" i="2"/>
  <c r="N33" i="2"/>
  <c r="M33" i="2"/>
  <c r="BE32" i="2"/>
  <c r="BD32" i="2"/>
  <c r="BC32" i="2"/>
  <c r="BB32" i="2"/>
  <c r="BJ32" i="2" s="1"/>
  <c r="BA32" i="2"/>
  <c r="AZ32" i="2"/>
  <c r="AY32" i="2"/>
  <c r="BG32" i="2" s="1"/>
  <c r="AX32" i="2"/>
  <c r="AO32" i="2"/>
  <c r="AL32" i="2"/>
  <c r="AN32" i="2" s="1"/>
  <c r="AK32" i="2"/>
  <c r="AM32" i="2" s="1"/>
  <c r="AB32" i="2"/>
  <c r="AA32" i="2"/>
  <c r="Z32" i="2"/>
  <c r="Y32" i="2"/>
  <c r="AG32" i="2" s="1"/>
  <c r="X32" i="2"/>
  <c r="W32" i="2"/>
  <c r="AE32" i="2" s="1"/>
  <c r="V32" i="2"/>
  <c r="AD32" i="2" s="1"/>
  <c r="U32" i="2"/>
  <c r="P32" i="2"/>
  <c r="O32" i="2"/>
  <c r="S32" i="2" s="1"/>
  <c r="N32" i="2"/>
  <c r="R32" i="2" s="1"/>
  <c r="M32" i="2"/>
  <c r="Q32" i="2" s="1"/>
  <c r="BE31" i="2"/>
  <c r="BD31" i="2"/>
  <c r="BC31" i="2"/>
  <c r="BB31" i="2"/>
  <c r="BA31" i="2"/>
  <c r="AZ31" i="2"/>
  <c r="AY31" i="2"/>
  <c r="AX31" i="2"/>
  <c r="BF30" i="2" s="1"/>
  <c r="AO31" i="2"/>
  <c r="AL31" i="2"/>
  <c r="AK31" i="2"/>
  <c r="AB31" i="2"/>
  <c r="AA31" i="2"/>
  <c r="Z31" i="2"/>
  <c r="Y31" i="2"/>
  <c r="X31" i="2"/>
  <c r="W31" i="2"/>
  <c r="V31" i="2"/>
  <c r="U31" i="2"/>
  <c r="P31" i="2"/>
  <c r="O31" i="2"/>
  <c r="N31" i="2"/>
  <c r="M31" i="2"/>
  <c r="BE30" i="2"/>
  <c r="BD30" i="2"/>
  <c r="BC30" i="2"/>
  <c r="BK30" i="2" s="1"/>
  <c r="BB30" i="2"/>
  <c r="BJ30" i="2" s="1"/>
  <c r="BA30" i="2"/>
  <c r="BI30" i="2" s="1"/>
  <c r="AZ30" i="2"/>
  <c r="AY30" i="2"/>
  <c r="AX30" i="2"/>
  <c r="AO30" i="2"/>
  <c r="BN30" i="2" s="1"/>
  <c r="BP30" i="2" s="1"/>
  <c r="AL30" i="2"/>
  <c r="AN30" i="2" s="1"/>
  <c r="AK30" i="2"/>
  <c r="AB30" i="2"/>
  <c r="AJ30" i="2" s="1"/>
  <c r="AA30" i="2"/>
  <c r="Z30" i="2"/>
  <c r="AH30" i="2" s="1"/>
  <c r="Y30" i="2"/>
  <c r="AG30" i="2" s="1"/>
  <c r="X30" i="2"/>
  <c r="AF30" i="2" s="1"/>
  <c r="W30" i="2"/>
  <c r="V30" i="2"/>
  <c r="AD30" i="2" s="1"/>
  <c r="U30" i="2"/>
  <c r="AC30" i="2" s="1"/>
  <c r="P30" i="2"/>
  <c r="T30" i="2" s="1"/>
  <c r="O30" i="2"/>
  <c r="N30" i="2"/>
  <c r="R30" i="2" s="1"/>
  <c r="M30" i="2"/>
  <c r="Q30" i="2" s="1"/>
  <c r="BE3" i="2"/>
  <c r="BD3" i="2"/>
  <c r="BC3" i="2"/>
  <c r="BB3" i="2"/>
  <c r="BA3" i="2"/>
  <c r="AZ3" i="2"/>
  <c r="AY3" i="2"/>
  <c r="AX3" i="2"/>
  <c r="AO3" i="2"/>
  <c r="AS3" i="2" s="1"/>
  <c r="AL3" i="2"/>
  <c r="AK3" i="2"/>
  <c r="AB3" i="2"/>
  <c r="AA3" i="2"/>
  <c r="Z3" i="2"/>
  <c r="Y3" i="2"/>
  <c r="X3" i="2"/>
  <c r="W3" i="2"/>
  <c r="V3" i="2"/>
  <c r="U3" i="2"/>
  <c r="BI38" i="2"/>
  <c r="BI36" i="2"/>
  <c r="S36" i="2"/>
  <c r="BG34" i="2"/>
  <c r="BK32" i="2"/>
  <c r="AC32" i="2"/>
  <c r="BM30" i="2"/>
  <c r="BN22" i="2"/>
  <c r="AO8" i="2"/>
  <c r="BR2" i="2"/>
  <c r="CQ2" i="2" s="1"/>
  <c r="BO41" i="2"/>
  <c r="BN41" i="2"/>
  <c r="BE41" i="2"/>
  <c r="BD41" i="2"/>
  <c r="BC41" i="2"/>
  <c r="BB41" i="2"/>
  <c r="BA41" i="2"/>
  <c r="AZ41" i="2"/>
  <c r="AY41" i="2"/>
  <c r="AX41" i="2"/>
  <c r="AS41" i="2"/>
  <c r="AR41" i="2"/>
  <c r="AQ41" i="2"/>
  <c r="AP41" i="2"/>
  <c r="BP40" i="2"/>
  <c r="BO40" i="2"/>
  <c r="BQ40" i="2" s="1"/>
  <c r="BN40" i="2"/>
  <c r="BE40" i="2"/>
  <c r="BM40" i="2" s="1"/>
  <c r="BD40" i="2"/>
  <c r="BL40" i="2" s="1"/>
  <c r="BC40" i="2"/>
  <c r="BK40" i="2" s="1"/>
  <c r="BB40" i="2"/>
  <c r="BJ40" i="2" s="1"/>
  <c r="BA40" i="2"/>
  <c r="BI40" i="2" s="1"/>
  <c r="AZ40" i="2"/>
  <c r="BH40" i="2" s="1"/>
  <c r="AY40" i="2"/>
  <c r="BG40" i="2" s="1"/>
  <c r="AX40" i="2"/>
  <c r="BF40" i="2" s="1"/>
  <c r="AS40" i="2"/>
  <c r="AW40" i="2" s="1"/>
  <c r="AR40" i="2"/>
  <c r="AV40" i="2" s="1"/>
  <c r="AQ40" i="2"/>
  <c r="AU40" i="2" s="1"/>
  <c r="AP40" i="2"/>
  <c r="AT40" i="2" s="1"/>
  <c r="BO39" i="2"/>
  <c r="BN39" i="2"/>
  <c r="AS39" i="2"/>
  <c r="AR39" i="2"/>
  <c r="AQ39" i="2"/>
  <c r="AP39" i="2"/>
  <c r="BL38" i="2"/>
  <c r="BH38" i="2"/>
  <c r="BG38" i="2"/>
  <c r="AQ38" i="2"/>
  <c r="AU38" i="2" s="1"/>
  <c r="BN36" i="2"/>
  <c r="BL36" i="2"/>
  <c r="BG36" i="2"/>
  <c r="AR36" i="2"/>
  <c r="AQ36" i="2"/>
  <c r="BN35" i="2"/>
  <c r="AS35" i="2"/>
  <c r="AP35" i="2"/>
  <c r="BN34" i="2"/>
  <c r="BM34" i="2"/>
  <c r="BJ34" i="2"/>
  <c r="BF34" i="2"/>
  <c r="AS34" i="2"/>
  <c r="AR34" i="2"/>
  <c r="AP34" i="2"/>
  <c r="BO33" i="2"/>
  <c r="BN33" i="2"/>
  <c r="AR33" i="2"/>
  <c r="AQ33" i="2"/>
  <c r="AP33" i="2"/>
  <c r="BO32" i="2"/>
  <c r="BN32" i="2"/>
  <c r="BM32" i="2"/>
  <c r="BL32" i="2"/>
  <c r="BI32" i="2"/>
  <c r="BH32" i="2"/>
  <c r="BF32" i="2"/>
  <c r="AS32" i="2"/>
  <c r="AR32" i="2"/>
  <c r="AQ32" i="2"/>
  <c r="AP32" i="2"/>
  <c r="AT32" i="2" s="1"/>
  <c r="BO31" i="2"/>
  <c r="BN31" i="2"/>
  <c r="AS31" i="2"/>
  <c r="AR31" i="2"/>
  <c r="AQ31" i="2"/>
  <c r="AP31" i="2"/>
  <c r="BL30" i="2"/>
  <c r="BH30" i="2"/>
  <c r="BG30" i="2"/>
  <c r="AQ30" i="2"/>
  <c r="AU30" i="2" s="1"/>
  <c r="BO29" i="2"/>
  <c r="BN29" i="2"/>
  <c r="BE29" i="2"/>
  <c r="BD29" i="2"/>
  <c r="BC29" i="2"/>
  <c r="BB29" i="2"/>
  <c r="BA29" i="2"/>
  <c r="AZ29" i="2"/>
  <c r="AY29" i="2"/>
  <c r="AX29" i="2"/>
  <c r="AS29" i="2"/>
  <c r="AR29" i="2"/>
  <c r="AQ29" i="2"/>
  <c r="AP29" i="2"/>
  <c r="BO28" i="2"/>
  <c r="BQ28" i="2" s="1"/>
  <c r="BN28" i="2"/>
  <c r="BP28" i="2" s="1"/>
  <c r="BE28" i="2"/>
  <c r="BM28" i="2" s="1"/>
  <c r="BD28" i="2"/>
  <c r="BL28" i="2" s="1"/>
  <c r="BC28" i="2"/>
  <c r="BK28" i="2" s="1"/>
  <c r="BB28" i="2"/>
  <c r="BJ28" i="2" s="1"/>
  <c r="BA28" i="2"/>
  <c r="BI28" i="2" s="1"/>
  <c r="AZ28" i="2"/>
  <c r="BH28" i="2" s="1"/>
  <c r="AY28" i="2"/>
  <c r="BG28" i="2" s="1"/>
  <c r="AX28" i="2"/>
  <c r="BF28" i="2" s="1"/>
  <c r="AS28" i="2"/>
  <c r="AW28" i="2" s="1"/>
  <c r="AR28" i="2"/>
  <c r="AV28" i="2" s="1"/>
  <c r="AQ28" i="2"/>
  <c r="AU28" i="2" s="1"/>
  <c r="AP28" i="2"/>
  <c r="AT28" i="2" s="1"/>
  <c r="BO27" i="2"/>
  <c r="BN27" i="2"/>
  <c r="BE27" i="2"/>
  <c r="BD27" i="2"/>
  <c r="BC27" i="2"/>
  <c r="BB27" i="2"/>
  <c r="BA27" i="2"/>
  <c r="AZ27" i="2"/>
  <c r="AY27" i="2"/>
  <c r="AX27" i="2"/>
  <c r="AS27" i="2"/>
  <c r="AR27" i="2"/>
  <c r="AQ27" i="2"/>
  <c r="AP27" i="2"/>
  <c r="BE26" i="2"/>
  <c r="BM26" i="2" s="1"/>
  <c r="BD26" i="2"/>
  <c r="BL26" i="2" s="1"/>
  <c r="BC26" i="2"/>
  <c r="BK26" i="2" s="1"/>
  <c r="BB26" i="2"/>
  <c r="BJ26" i="2" s="1"/>
  <c r="BA26" i="2"/>
  <c r="BI26" i="2" s="1"/>
  <c r="AZ26" i="2"/>
  <c r="BH26" i="2" s="1"/>
  <c r="AY26" i="2"/>
  <c r="BG26" i="2" s="1"/>
  <c r="AX26" i="2"/>
  <c r="BF26" i="2" s="1"/>
  <c r="BO25" i="2"/>
  <c r="BN25" i="2"/>
  <c r="BE25" i="2"/>
  <c r="BD25" i="2"/>
  <c r="BC25" i="2"/>
  <c r="BB25" i="2"/>
  <c r="BA25" i="2"/>
  <c r="AZ25" i="2"/>
  <c r="AY25" i="2"/>
  <c r="AX25" i="2"/>
  <c r="AS25" i="2"/>
  <c r="AR25" i="2"/>
  <c r="AQ25" i="2"/>
  <c r="AP25" i="2"/>
  <c r="BO24" i="2"/>
  <c r="BQ24" i="2" s="1"/>
  <c r="BN24" i="2"/>
  <c r="BP24" i="2" s="1"/>
  <c r="BE24" i="2"/>
  <c r="BM24" i="2" s="1"/>
  <c r="BD24" i="2"/>
  <c r="BL24" i="2" s="1"/>
  <c r="BC24" i="2"/>
  <c r="BK24" i="2" s="1"/>
  <c r="BB24" i="2"/>
  <c r="BJ24" i="2" s="1"/>
  <c r="BA24" i="2"/>
  <c r="BI24" i="2" s="1"/>
  <c r="AZ24" i="2"/>
  <c r="BH24" i="2" s="1"/>
  <c r="AY24" i="2"/>
  <c r="BG24" i="2" s="1"/>
  <c r="AX24" i="2"/>
  <c r="BF24" i="2" s="1"/>
  <c r="AS24" i="2"/>
  <c r="AW24" i="2" s="1"/>
  <c r="AR24" i="2"/>
  <c r="AV24" i="2" s="1"/>
  <c r="AQ24" i="2"/>
  <c r="AU24" i="2" s="1"/>
  <c r="AP24" i="2"/>
  <c r="AT24" i="2" s="1"/>
  <c r="BO23" i="2"/>
  <c r="BN23" i="2"/>
  <c r="BE23" i="2"/>
  <c r="BD23" i="2"/>
  <c r="BC23" i="2"/>
  <c r="BB23" i="2"/>
  <c r="BA23" i="2"/>
  <c r="AZ23" i="2"/>
  <c r="AY23" i="2"/>
  <c r="AX23" i="2"/>
  <c r="AS23" i="2"/>
  <c r="AR23" i="2"/>
  <c r="AQ23" i="2"/>
  <c r="AP23" i="2"/>
  <c r="BE22" i="2"/>
  <c r="BM22" i="2" s="1"/>
  <c r="BD22" i="2"/>
  <c r="BL22" i="2" s="1"/>
  <c r="BC22" i="2"/>
  <c r="BK22" i="2" s="1"/>
  <c r="BB22" i="2"/>
  <c r="BJ22" i="2" s="1"/>
  <c r="BA22" i="2"/>
  <c r="BI22" i="2" s="1"/>
  <c r="AZ22" i="2"/>
  <c r="BH22" i="2" s="1"/>
  <c r="AY22" i="2"/>
  <c r="BG22" i="2" s="1"/>
  <c r="AX22" i="2"/>
  <c r="BF22" i="2" s="1"/>
  <c r="BO21" i="2"/>
  <c r="BN21" i="2"/>
  <c r="BE21" i="2"/>
  <c r="BD21" i="2"/>
  <c r="BC21" i="2"/>
  <c r="BB21" i="2"/>
  <c r="BA21" i="2"/>
  <c r="AZ21" i="2"/>
  <c r="AY21" i="2"/>
  <c r="AX21" i="2"/>
  <c r="AS21" i="2"/>
  <c r="AR21" i="2"/>
  <c r="AQ21" i="2"/>
  <c r="AP21" i="2"/>
  <c r="BO20" i="2"/>
  <c r="BQ20" i="2" s="1"/>
  <c r="BN20" i="2"/>
  <c r="BP20" i="2" s="1"/>
  <c r="BL20" i="2"/>
  <c r="BH20" i="2"/>
  <c r="BE20" i="2"/>
  <c r="BM20" i="2" s="1"/>
  <c r="BD20" i="2"/>
  <c r="BC20" i="2"/>
  <c r="BK20" i="2" s="1"/>
  <c r="BB20" i="2"/>
  <c r="BJ20" i="2" s="1"/>
  <c r="BA20" i="2"/>
  <c r="BI20" i="2" s="1"/>
  <c r="AZ20" i="2"/>
  <c r="AY20" i="2"/>
  <c r="BG20" i="2" s="1"/>
  <c r="AX20" i="2"/>
  <c r="BF20" i="2" s="1"/>
  <c r="AS20" i="2"/>
  <c r="AW20" i="2" s="1"/>
  <c r="AR20" i="2"/>
  <c r="AV20" i="2" s="1"/>
  <c r="AQ20" i="2"/>
  <c r="AU20" i="2" s="1"/>
  <c r="AP20" i="2"/>
  <c r="AT20" i="2" s="1"/>
  <c r="BO19" i="2"/>
  <c r="BN19" i="2"/>
  <c r="BE19" i="2"/>
  <c r="BD19" i="2"/>
  <c r="BC19" i="2"/>
  <c r="BB19" i="2"/>
  <c r="BA19" i="2"/>
  <c r="AZ19" i="2"/>
  <c r="AY19" i="2"/>
  <c r="AX19" i="2"/>
  <c r="AS19" i="2"/>
  <c r="AR19" i="2"/>
  <c r="AQ19" i="2"/>
  <c r="AP19" i="2"/>
  <c r="BQ18" i="2"/>
  <c r="BO18" i="2"/>
  <c r="BN18" i="2"/>
  <c r="BE18" i="2"/>
  <c r="BM18" i="2" s="1"/>
  <c r="BD18" i="2"/>
  <c r="BL18" i="2" s="1"/>
  <c r="BC18" i="2"/>
  <c r="BK18" i="2" s="1"/>
  <c r="BB18" i="2"/>
  <c r="BJ18" i="2" s="1"/>
  <c r="BA18" i="2"/>
  <c r="BI18" i="2" s="1"/>
  <c r="AZ18" i="2"/>
  <c r="BH18" i="2" s="1"/>
  <c r="AY18" i="2"/>
  <c r="BG18" i="2" s="1"/>
  <c r="AX18" i="2"/>
  <c r="BF18" i="2" s="1"/>
  <c r="AS18" i="2"/>
  <c r="AW18" i="2" s="1"/>
  <c r="AR18" i="2"/>
  <c r="AV18" i="2" s="1"/>
  <c r="AQ18" i="2"/>
  <c r="AU18" i="2" s="1"/>
  <c r="AP18" i="2"/>
  <c r="AT18" i="2" s="1"/>
  <c r="BO17" i="2"/>
  <c r="BN17" i="2"/>
  <c r="BE17" i="2"/>
  <c r="BD17" i="2"/>
  <c r="BC17" i="2"/>
  <c r="BB17" i="2"/>
  <c r="BA17" i="2"/>
  <c r="AZ17" i="2"/>
  <c r="AY17" i="2"/>
  <c r="AX17" i="2"/>
  <c r="AS17" i="2"/>
  <c r="AR17" i="2"/>
  <c r="AQ17" i="2"/>
  <c r="AP17" i="2"/>
  <c r="BP16" i="2"/>
  <c r="BO16" i="2"/>
  <c r="BQ16" i="2" s="1"/>
  <c r="BN16" i="2"/>
  <c r="BL16" i="2"/>
  <c r="BH16" i="2"/>
  <c r="BE16" i="2"/>
  <c r="BM16" i="2" s="1"/>
  <c r="BD16" i="2"/>
  <c r="BC16" i="2"/>
  <c r="BK16" i="2" s="1"/>
  <c r="BB16" i="2"/>
  <c r="BJ16" i="2" s="1"/>
  <c r="BA16" i="2"/>
  <c r="BI16" i="2" s="1"/>
  <c r="AZ16" i="2"/>
  <c r="AY16" i="2"/>
  <c r="BG16" i="2" s="1"/>
  <c r="AX16" i="2"/>
  <c r="BF16" i="2" s="1"/>
  <c r="AS16" i="2"/>
  <c r="AW16" i="2" s="1"/>
  <c r="AR16" i="2"/>
  <c r="AV16" i="2" s="1"/>
  <c r="AQ16" i="2"/>
  <c r="AU16" i="2" s="1"/>
  <c r="AP16" i="2"/>
  <c r="AT16" i="2" s="1"/>
  <c r="BO15" i="2"/>
  <c r="BN15" i="2"/>
  <c r="BE15" i="2"/>
  <c r="BD15" i="2"/>
  <c r="BC15" i="2"/>
  <c r="BB15" i="2"/>
  <c r="BA15" i="2"/>
  <c r="AZ15" i="2"/>
  <c r="AY15" i="2"/>
  <c r="AX15" i="2"/>
  <c r="AS15" i="2"/>
  <c r="AR15" i="2"/>
  <c r="AQ15" i="2"/>
  <c r="AP15" i="2"/>
  <c r="BQ14" i="2"/>
  <c r="BO14" i="2"/>
  <c r="BN14" i="2"/>
  <c r="BE14" i="2"/>
  <c r="BM14" i="2" s="1"/>
  <c r="BD14" i="2"/>
  <c r="BL14" i="2" s="1"/>
  <c r="BC14" i="2"/>
  <c r="BK14" i="2" s="1"/>
  <c r="BB14" i="2"/>
  <c r="BJ14" i="2" s="1"/>
  <c r="BA14" i="2"/>
  <c r="BI14" i="2" s="1"/>
  <c r="AZ14" i="2"/>
  <c r="BH14" i="2" s="1"/>
  <c r="AY14" i="2"/>
  <c r="BG14" i="2" s="1"/>
  <c r="AX14" i="2"/>
  <c r="BF14" i="2" s="1"/>
  <c r="AS14" i="2"/>
  <c r="AW14" i="2" s="1"/>
  <c r="AR14" i="2"/>
  <c r="AV14" i="2" s="1"/>
  <c r="AQ14" i="2"/>
  <c r="AU14" i="2" s="1"/>
  <c r="AP14" i="2"/>
  <c r="AT14" i="2" s="1"/>
  <c r="BO13" i="2"/>
  <c r="BN13" i="2"/>
  <c r="BE13" i="2"/>
  <c r="BD13" i="2"/>
  <c r="BC13" i="2"/>
  <c r="BB13" i="2"/>
  <c r="BA13" i="2"/>
  <c r="AZ13" i="2"/>
  <c r="AY13" i="2"/>
  <c r="AX13" i="2"/>
  <c r="AS13" i="2"/>
  <c r="AR13" i="2"/>
  <c r="AQ13" i="2"/>
  <c r="AP13" i="2"/>
  <c r="BP12" i="2"/>
  <c r="BO12" i="2"/>
  <c r="BQ12" i="2" s="1"/>
  <c r="BN12" i="2"/>
  <c r="BL12" i="2"/>
  <c r="BH12" i="2"/>
  <c r="BE12" i="2"/>
  <c r="BM12" i="2" s="1"/>
  <c r="BD12" i="2"/>
  <c r="BC12" i="2"/>
  <c r="BK12" i="2" s="1"/>
  <c r="BB12" i="2"/>
  <c r="BJ12" i="2" s="1"/>
  <c r="BA12" i="2"/>
  <c r="BI12" i="2" s="1"/>
  <c r="AZ12" i="2"/>
  <c r="AY12" i="2"/>
  <c r="BG12" i="2" s="1"/>
  <c r="AX12" i="2"/>
  <c r="BF12" i="2" s="1"/>
  <c r="AS12" i="2"/>
  <c r="AW12" i="2" s="1"/>
  <c r="AR12" i="2"/>
  <c r="AV12" i="2" s="1"/>
  <c r="AQ12" i="2"/>
  <c r="AU12" i="2" s="1"/>
  <c r="AP12" i="2"/>
  <c r="AT12" i="2" s="1"/>
  <c r="BO11" i="2"/>
  <c r="BN11" i="2"/>
  <c r="BE11" i="2"/>
  <c r="BD11" i="2"/>
  <c r="BC11" i="2"/>
  <c r="BB11" i="2"/>
  <c r="BA11" i="2"/>
  <c r="AZ11" i="2"/>
  <c r="AY11" i="2"/>
  <c r="AX11" i="2"/>
  <c r="AS11" i="2"/>
  <c r="AW10" i="2" s="1"/>
  <c r="AR11" i="2"/>
  <c r="AQ11" i="2"/>
  <c r="AP11" i="2"/>
  <c r="BQ10" i="2"/>
  <c r="BO10" i="2"/>
  <c r="BN10" i="2"/>
  <c r="BJ10" i="2"/>
  <c r="BE10" i="2"/>
  <c r="BM10" i="2" s="1"/>
  <c r="BD10" i="2"/>
  <c r="BL10" i="2" s="1"/>
  <c r="BC10" i="2"/>
  <c r="BK10" i="2" s="1"/>
  <c r="BB10" i="2"/>
  <c r="BA10" i="2"/>
  <c r="BI10" i="2" s="1"/>
  <c r="AZ10" i="2"/>
  <c r="BH10" i="2" s="1"/>
  <c r="AY10" i="2"/>
  <c r="BG10" i="2" s="1"/>
  <c r="AX10" i="2"/>
  <c r="BF10" i="2" s="1"/>
  <c r="AS10" i="2"/>
  <c r="AR10" i="2"/>
  <c r="AV10" i="2" s="1"/>
  <c r="AQ10" i="2"/>
  <c r="AU10" i="2" s="1"/>
  <c r="AP10" i="2"/>
  <c r="AT10" i="2" s="1"/>
  <c r="BO9" i="2"/>
  <c r="BN9" i="2"/>
  <c r="BE9" i="2"/>
  <c r="BD9" i="2"/>
  <c r="BC9" i="2"/>
  <c r="BB9" i="2"/>
  <c r="BA9" i="2"/>
  <c r="AZ9" i="2"/>
  <c r="AY9" i="2"/>
  <c r="AX9" i="2"/>
  <c r="AS9" i="2"/>
  <c r="AR9" i="2"/>
  <c r="AV8" i="2" s="1"/>
  <c r="AQ9" i="2"/>
  <c r="AP9" i="2"/>
  <c r="BP8" i="2"/>
  <c r="BO8" i="2"/>
  <c r="BQ8" i="2" s="1"/>
  <c r="BN8" i="2"/>
  <c r="BH8" i="2"/>
  <c r="BE8" i="2"/>
  <c r="BM8" i="2" s="1"/>
  <c r="BD8" i="2"/>
  <c r="BL8" i="2" s="1"/>
  <c r="BC8" i="2"/>
  <c r="BK8" i="2" s="1"/>
  <c r="BB8" i="2"/>
  <c r="BJ8" i="2" s="1"/>
  <c r="BA8" i="2"/>
  <c r="BI8" i="2" s="1"/>
  <c r="AZ8" i="2"/>
  <c r="AY8" i="2"/>
  <c r="BG8" i="2" s="1"/>
  <c r="AX8" i="2"/>
  <c r="BF8" i="2" s="1"/>
  <c r="AU8" i="2"/>
  <c r="AS8" i="2"/>
  <c r="AW8" i="2" s="1"/>
  <c r="AR8" i="2"/>
  <c r="AQ8" i="2"/>
  <c r="AP8" i="2"/>
  <c r="AT8" i="2" s="1"/>
  <c r="BO7" i="2"/>
  <c r="BN7" i="2"/>
  <c r="BE7" i="2"/>
  <c r="BD7" i="2"/>
  <c r="BC7" i="2"/>
  <c r="BB7" i="2"/>
  <c r="BA7" i="2"/>
  <c r="AZ7" i="2"/>
  <c r="AY7" i="2"/>
  <c r="AX7" i="2"/>
  <c r="AS7" i="2"/>
  <c r="AR7" i="2"/>
  <c r="AQ7" i="2"/>
  <c r="AP7" i="2"/>
  <c r="BQ6" i="2"/>
  <c r="BO6" i="2"/>
  <c r="BN6" i="2"/>
  <c r="BP6" i="2" s="1"/>
  <c r="BI6" i="2"/>
  <c r="BE6" i="2"/>
  <c r="BM6" i="2" s="1"/>
  <c r="BD6" i="2"/>
  <c r="BL6" i="2" s="1"/>
  <c r="BC6" i="2"/>
  <c r="BK6" i="2" s="1"/>
  <c r="BB6" i="2"/>
  <c r="BJ6" i="2" s="1"/>
  <c r="BA6" i="2"/>
  <c r="AZ6" i="2"/>
  <c r="BH6" i="2" s="1"/>
  <c r="AY6" i="2"/>
  <c r="BG6" i="2" s="1"/>
  <c r="AX6" i="2"/>
  <c r="BF6" i="2" s="1"/>
  <c r="AS6" i="2"/>
  <c r="AW6" i="2" s="1"/>
  <c r="AR6" i="2"/>
  <c r="AV6" i="2" s="1"/>
  <c r="AQ6" i="2"/>
  <c r="AU6" i="2" s="1"/>
  <c r="AP6" i="2"/>
  <c r="AT6" i="2" s="1"/>
  <c r="BO5" i="2"/>
  <c r="BN5" i="2"/>
  <c r="BE5" i="2"/>
  <c r="BD5" i="2"/>
  <c r="BC5" i="2"/>
  <c r="BB5" i="2"/>
  <c r="BA5" i="2"/>
  <c r="AZ5" i="2"/>
  <c r="AY5" i="2"/>
  <c r="AX5" i="2"/>
  <c r="AS5" i="2"/>
  <c r="AR5" i="2"/>
  <c r="AQ5" i="2"/>
  <c r="AP5" i="2"/>
  <c r="BP4" i="2"/>
  <c r="BO4" i="2"/>
  <c r="BN4" i="2"/>
  <c r="BL4" i="2"/>
  <c r="BH4" i="2"/>
  <c r="BG4" i="2"/>
  <c r="BE4" i="2"/>
  <c r="BM4" i="2" s="1"/>
  <c r="BD4" i="2"/>
  <c r="BC4" i="2"/>
  <c r="BK4" i="2" s="1"/>
  <c r="BB4" i="2"/>
  <c r="BJ4" i="2" s="1"/>
  <c r="BA4" i="2"/>
  <c r="BI4" i="2" s="1"/>
  <c r="AZ4" i="2"/>
  <c r="AY4" i="2"/>
  <c r="AX4" i="2"/>
  <c r="BF4" i="2" s="1"/>
  <c r="AV4" i="2"/>
  <c r="AS4" i="2"/>
  <c r="AW4" i="2" s="1"/>
  <c r="AR4" i="2"/>
  <c r="AQ4" i="2"/>
  <c r="AU4" i="2" s="1"/>
  <c r="AP4" i="2"/>
  <c r="AT4" i="2" s="1"/>
  <c r="AP3" i="2"/>
  <c r="BE2" i="2"/>
  <c r="BD2" i="2"/>
  <c r="BC2" i="2"/>
  <c r="BB2" i="2"/>
  <c r="BA2" i="2"/>
  <c r="AZ2" i="2"/>
  <c r="AY2" i="2"/>
  <c r="AX2" i="2"/>
  <c r="AO4" i="2"/>
  <c r="AO5" i="2"/>
  <c r="AO6" i="2"/>
  <c r="AO7" i="2"/>
  <c r="AO9" i="2"/>
  <c r="AO10" i="2"/>
  <c r="AO11" i="2"/>
  <c r="AO12" i="2"/>
  <c r="AO13" i="2"/>
  <c r="AO14" i="2"/>
  <c r="AO15" i="2"/>
  <c r="AO16" i="2"/>
  <c r="AO17" i="2"/>
  <c r="AO18" i="2"/>
  <c r="AO19" i="2"/>
  <c r="AO21" i="2"/>
  <c r="AO23" i="2"/>
  <c r="AO25" i="2"/>
  <c r="AO27" i="2"/>
  <c r="AO29" i="2"/>
  <c r="AO40" i="2"/>
  <c r="AO41" i="2"/>
  <c r="AN40" i="2"/>
  <c r="AM40" i="2"/>
  <c r="AM38" i="2"/>
  <c r="AM34" i="2"/>
  <c r="AM30" i="2"/>
  <c r="AN28" i="2"/>
  <c r="AN26" i="2"/>
  <c r="AN24" i="2"/>
  <c r="AN22" i="2"/>
  <c r="AN20" i="2"/>
  <c r="AN18" i="2"/>
  <c r="AM18" i="2"/>
  <c r="AN16" i="2"/>
  <c r="AM16" i="2"/>
  <c r="AN14" i="2"/>
  <c r="AM14" i="2"/>
  <c r="AN12" i="2"/>
  <c r="AM12" i="2"/>
  <c r="AN10" i="2"/>
  <c r="AM10" i="2"/>
  <c r="AN8" i="2"/>
  <c r="AM8" i="2"/>
  <c r="AN6" i="2"/>
  <c r="AM6" i="2"/>
  <c r="AN4" i="2"/>
  <c r="AM4" i="2"/>
  <c r="AJ40" i="2"/>
  <c r="AI40" i="2"/>
  <c r="AH40" i="2"/>
  <c r="AG40" i="2"/>
  <c r="AF40" i="2"/>
  <c r="AE40" i="2"/>
  <c r="AD40" i="2"/>
  <c r="AC40" i="2"/>
  <c r="AI38" i="2"/>
  <c r="AH38" i="2"/>
  <c r="AG38" i="2"/>
  <c r="AE38" i="2"/>
  <c r="AD38" i="2"/>
  <c r="AC38" i="2"/>
  <c r="AH36" i="2"/>
  <c r="AG36" i="2"/>
  <c r="AF36" i="2"/>
  <c r="AD36" i="2"/>
  <c r="AC36" i="2"/>
  <c r="AJ34" i="2"/>
  <c r="AI34" i="2"/>
  <c r="AG34" i="2"/>
  <c r="AF34" i="2"/>
  <c r="AE34" i="2"/>
  <c r="AC34" i="2"/>
  <c r="AJ32" i="2"/>
  <c r="AI32" i="2"/>
  <c r="AH32" i="2"/>
  <c r="AF32" i="2"/>
  <c r="AI30" i="2"/>
  <c r="AE30" i="2"/>
  <c r="AJ28" i="2"/>
  <c r="AI28" i="2"/>
  <c r="AH28" i="2"/>
  <c r="AG28" i="2"/>
  <c r="AF28" i="2"/>
  <c r="AE28" i="2"/>
  <c r="AD28" i="2"/>
  <c r="AC28" i="2"/>
  <c r="AJ26" i="2"/>
  <c r="AI26" i="2"/>
  <c r="AH26" i="2"/>
  <c r="AG26" i="2"/>
  <c r="AF26" i="2"/>
  <c r="AE26" i="2"/>
  <c r="AD26" i="2"/>
  <c r="AC26" i="2"/>
  <c r="AJ24" i="2"/>
  <c r="AI24" i="2"/>
  <c r="AH24" i="2"/>
  <c r="AG24" i="2"/>
  <c r="AF24" i="2"/>
  <c r="AE24" i="2"/>
  <c r="AD24" i="2"/>
  <c r="AC24" i="2"/>
  <c r="AJ22" i="2"/>
  <c r="AI22" i="2"/>
  <c r="AH22" i="2"/>
  <c r="AG22" i="2"/>
  <c r="AF22" i="2"/>
  <c r="AE22" i="2"/>
  <c r="AD22" i="2"/>
  <c r="AC22" i="2"/>
  <c r="AJ20" i="2"/>
  <c r="AI20" i="2"/>
  <c r="AH20" i="2"/>
  <c r="AG20" i="2"/>
  <c r="AF20" i="2"/>
  <c r="AE20" i="2"/>
  <c r="AD20" i="2"/>
  <c r="AC20" i="2"/>
  <c r="AJ18" i="2"/>
  <c r="AI18" i="2"/>
  <c r="AH18" i="2"/>
  <c r="AG18" i="2"/>
  <c r="AF18" i="2"/>
  <c r="AE18" i="2"/>
  <c r="AD18" i="2"/>
  <c r="AC18" i="2"/>
  <c r="AJ16" i="2"/>
  <c r="AI16" i="2"/>
  <c r="AH16" i="2"/>
  <c r="AG16" i="2"/>
  <c r="AF16" i="2"/>
  <c r="AE16" i="2"/>
  <c r="AD16" i="2"/>
  <c r="AC16" i="2"/>
  <c r="AJ14" i="2"/>
  <c r="AI14" i="2"/>
  <c r="AH14" i="2"/>
  <c r="AG14" i="2"/>
  <c r="AF14" i="2"/>
  <c r="AE14" i="2"/>
  <c r="AD14" i="2"/>
  <c r="AC14" i="2"/>
  <c r="AJ12" i="2"/>
  <c r="AI12" i="2"/>
  <c r="AH12" i="2"/>
  <c r="AG12" i="2"/>
  <c r="AF12" i="2"/>
  <c r="AE12" i="2"/>
  <c r="AD12" i="2"/>
  <c r="AC12" i="2"/>
  <c r="AJ10" i="2"/>
  <c r="AI10" i="2"/>
  <c r="AH10" i="2"/>
  <c r="AG10" i="2"/>
  <c r="AF10" i="2"/>
  <c r="AE10" i="2"/>
  <c r="AD10" i="2"/>
  <c r="AC10" i="2"/>
  <c r="AJ8" i="2"/>
  <c r="AI8" i="2"/>
  <c r="AH8" i="2"/>
  <c r="AG8" i="2"/>
  <c r="AF8" i="2"/>
  <c r="AE8" i="2"/>
  <c r="AD8" i="2"/>
  <c r="AC8" i="2"/>
  <c r="AJ6" i="2"/>
  <c r="AI6" i="2"/>
  <c r="AH6" i="2"/>
  <c r="AG6" i="2"/>
  <c r="AF6" i="2"/>
  <c r="AE6" i="2"/>
  <c r="AD6" i="2"/>
  <c r="AC6" i="2"/>
  <c r="AJ4" i="2"/>
  <c r="AI4" i="2"/>
  <c r="AH4" i="2"/>
  <c r="AG4" i="2"/>
  <c r="AF4" i="2"/>
  <c r="AE4" i="2"/>
  <c r="AD4" i="2"/>
  <c r="AC4" i="2"/>
  <c r="AI2" i="2"/>
  <c r="S38" i="2"/>
  <c r="T40" i="2"/>
  <c r="S40" i="2"/>
  <c r="R40" i="2"/>
  <c r="Q40" i="2"/>
  <c r="R38" i="2"/>
  <c r="R36" i="2"/>
  <c r="Q36" i="2"/>
  <c r="Q34" i="2"/>
  <c r="T32" i="2"/>
  <c r="S30" i="2"/>
  <c r="T28" i="2"/>
  <c r="S28" i="2"/>
  <c r="R28" i="2"/>
  <c r="Q28" i="2"/>
  <c r="T26" i="2"/>
  <c r="S26" i="2"/>
  <c r="R26" i="2"/>
  <c r="Q26" i="2"/>
  <c r="T24" i="2"/>
  <c r="S24" i="2"/>
  <c r="R24" i="2"/>
  <c r="Q24" i="2"/>
  <c r="T22" i="2"/>
  <c r="S22" i="2"/>
  <c r="R22" i="2"/>
  <c r="Q22" i="2"/>
  <c r="T20" i="2"/>
  <c r="S20" i="2"/>
  <c r="R20" i="2"/>
  <c r="Q20" i="2"/>
  <c r="T18" i="2"/>
  <c r="S18" i="2"/>
  <c r="R18" i="2"/>
  <c r="Q18" i="2"/>
  <c r="T16" i="2"/>
  <c r="S16" i="2"/>
  <c r="R16" i="2"/>
  <c r="Q16" i="2"/>
  <c r="T14" i="2"/>
  <c r="S14" i="2"/>
  <c r="R14" i="2"/>
  <c r="Q14" i="2"/>
  <c r="T12" i="2"/>
  <c r="S12" i="2"/>
  <c r="R12" i="2"/>
  <c r="Q12" i="2"/>
  <c r="T10" i="2"/>
  <c r="S10" i="2"/>
  <c r="R10" i="2"/>
  <c r="Q10" i="2"/>
  <c r="T8" i="2"/>
  <c r="S8" i="2"/>
  <c r="R8" i="2"/>
  <c r="Q8" i="2"/>
  <c r="T6" i="2"/>
  <c r="S6" i="2"/>
  <c r="R6" i="2"/>
  <c r="Q6" i="2"/>
  <c r="T4" i="2"/>
  <c r="S4" i="2"/>
  <c r="R4" i="2"/>
  <c r="Q4" i="2"/>
  <c r="AL41" i="2"/>
  <c r="AK41" i="2"/>
  <c r="AL40" i="2"/>
  <c r="AK40" i="2"/>
  <c r="AL29" i="2"/>
  <c r="AK29" i="2"/>
  <c r="AL28" i="2"/>
  <c r="AK28" i="2"/>
  <c r="AL27" i="2"/>
  <c r="AK27" i="2"/>
  <c r="AL26" i="2"/>
  <c r="AK26" i="2"/>
  <c r="AL25" i="2"/>
  <c r="AK25" i="2"/>
  <c r="AL24" i="2"/>
  <c r="AK24" i="2"/>
  <c r="AL23" i="2"/>
  <c r="AK23" i="2"/>
  <c r="AL22" i="2"/>
  <c r="AK22" i="2"/>
  <c r="AL21" i="2"/>
  <c r="AK21" i="2"/>
  <c r="AL20" i="2"/>
  <c r="AK20" i="2"/>
  <c r="AL19" i="2"/>
  <c r="AK19" i="2"/>
  <c r="AL18" i="2"/>
  <c r="AK18" i="2"/>
  <c r="AL17" i="2"/>
  <c r="AK17" i="2"/>
  <c r="AL16" i="2"/>
  <c r="AK16" i="2"/>
  <c r="AL15" i="2"/>
  <c r="AK15" i="2"/>
  <c r="AL14" i="2"/>
  <c r="AK14" i="2"/>
  <c r="AL13" i="2"/>
  <c r="AK13" i="2"/>
  <c r="AL12" i="2"/>
  <c r="AK12" i="2"/>
  <c r="AL11" i="2"/>
  <c r="AK11" i="2"/>
  <c r="AL10" i="2"/>
  <c r="AK10" i="2"/>
  <c r="AL9" i="2"/>
  <c r="AK9" i="2"/>
  <c r="AL8" i="2"/>
  <c r="AK8" i="2"/>
  <c r="AL7" i="2"/>
  <c r="AK7" i="2"/>
  <c r="AL6" i="2"/>
  <c r="AK6" i="2"/>
  <c r="AK4" i="2"/>
  <c r="AL5" i="2"/>
  <c r="AK5" i="2"/>
  <c r="AL4" i="2"/>
  <c r="AL2" i="2"/>
  <c r="AK2" i="2"/>
  <c r="AB2" i="2"/>
  <c r="AA2" i="2"/>
  <c r="Z2" i="2"/>
  <c r="Y2" i="2"/>
  <c r="X2" i="2"/>
  <c r="W2" i="2"/>
  <c r="V2" i="2"/>
  <c r="U2" i="2"/>
  <c r="L18" i="2"/>
  <c r="U18" i="2" s="1"/>
  <c r="L39" i="2"/>
  <c r="H21" i="2"/>
  <c r="I21" i="2" s="1"/>
  <c r="K20" i="2"/>
  <c r="H20" i="2"/>
  <c r="I20" i="2" s="1"/>
  <c r="H19" i="2"/>
  <c r="I19" i="2" s="1"/>
  <c r="K18" i="2"/>
  <c r="H18" i="2"/>
  <c r="I18" i="2" s="1"/>
  <c r="H17" i="2"/>
  <c r="I17" i="2" s="1"/>
  <c r="K16" i="2"/>
  <c r="H16" i="2"/>
  <c r="I16" i="2" s="1"/>
  <c r="H23" i="2"/>
  <c r="I23" i="2" s="1"/>
  <c r="K22" i="2"/>
  <c r="H22" i="2"/>
  <c r="I22" i="2" s="1"/>
  <c r="H41" i="2"/>
  <c r="I41" i="2" s="1"/>
  <c r="K40" i="2"/>
  <c r="H40" i="2"/>
  <c r="I40" i="2" s="1"/>
  <c r="H27" i="2"/>
  <c r="I27" i="2" s="1"/>
  <c r="K26" i="2"/>
  <c r="H26" i="2"/>
  <c r="I26" i="2" s="1"/>
  <c r="H25" i="2"/>
  <c r="I25" i="2" s="1"/>
  <c r="K24" i="2"/>
  <c r="H24" i="2"/>
  <c r="I24" i="2" s="1"/>
  <c r="H29" i="2"/>
  <c r="I29" i="2" s="1"/>
  <c r="K28" i="2"/>
  <c r="H28" i="2"/>
  <c r="I28" i="2" s="1"/>
  <c r="H39" i="2"/>
  <c r="I39" i="2" s="1"/>
  <c r="K38" i="2"/>
  <c r="H38" i="2"/>
  <c r="I38" i="2" s="1"/>
  <c r="H33" i="2"/>
  <c r="I33" i="2" s="1"/>
  <c r="K32" i="2"/>
  <c r="H32" i="2"/>
  <c r="I32" i="2" s="1"/>
  <c r="H31" i="2"/>
  <c r="I31" i="2" s="1"/>
  <c r="K30" i="2"/>
  <c r="H30" i="2"/>
  <c r="I30" i="2" s="1"/>
  <c r="H37" i="2"/>
  <c r="I37" i="2" s="1"/>
  <c r="K36" i="2"/>
  <c r="H36" i="2"/>
  <c r="I36" i="2" s="1"/>
  <c r="H35" i="2"/>
  <c r="I35" i="2" s="1"/>
  <c r="K34" i="2"/>
  <c r="H34" i="2"/>
  <c r="I34" i="2" s="1"/>
  <c r="H15" i="2"/>
  <c r="I15" i="2" s="1"/>
  <c r="K14" i="2"/>
  <c r="H14" i="2"/>
  <c r="I14" i="2" s="1"/>
  <c r="H13" i="2"/>
  <c r="I13" i="2" s="1"/>
  <c r="K12" i="2"/>
  <c r="H12" i="2"/>
  <c r="I12" i="2" s="1"/>
  <c r="H11" i="2"/>
  <c r="I11" i="2" s="1"/>
  <c r="K10" i="2"/>
  <c r="H10" i="2"/>
  <c r="I10" i="2" s="1"/>
  <c r="H6" i="2"/>
  <c r="L6" i="2" s="1"/>
  <c r="H120" i="1"/>
  <c r="A339" i="1"/>
  <c r="A355" i="1" s="1"/>
  <c r="A371" i="1" s="1"/>
  <c r="A387" i="1" s="1"/>
  <c r="A275" i="1"/>
  <c r="A291" i="1" s="1"/>
  <c r="A307" i="1" s="1"/>
  <c r="A323" i="1" s="1"/>
  <c r="A211" i="1"/>
  <c r="A227" i="1" s="1"/>
  <c r="A243" i="1" s="1"/>
  <c r="A259" i="1" s="1"/>
  <c r="A147" i="1"/>
  <c r="A163" i="1" s="1"/>
  <c r="A179" i="1" s="1"/>
  <c r="A195" i="1" s="1"/>
  <c r="A83" i="1"/>
  <c r="A99" i="1" s="1"/>
  <c r="A115" i="1" s="1"/>
  <c r="A131" i="1" s="1"/>
  <c r="A51" i="1"/>
  <c r="A67" i="1" s="1"/>
  <c r="A35" i="1"/>
  <c r="A19" i="1"/>
  <c r="DZ3" i="2" l="1"/>
  <c r="FE3" i="2"/>
  <c r="AD2" i="2"/>
  <c r="AH2" i="2"/>
  <c r="EW2" i="2"/>
  <c r="EX3" i="2"/>
  <c r="FF3" i="2"/>
  <c r="EB3" i="2"/>
  <c r="EC3" i="2"/>
  <c r="ES2" i="2"/>
  <c r="EP2" i="2"/>
  <c r="ET2" i="2"/>
  <c r="EA3" i="2"/>
  <c r="FC3" i="2"/>
  <c r="AC2" i="2"/>
  <c r="AM2" i="2"/>
  <c r="EQ2" i="2"/>
  <c r="AN2" i="2"/>
  <c r="CY2" i="2"/>
  <c r="DC2" i="2" s="1"/>
  <c r="ER2" i="2"/>
  <c r="EV2" i="2"/>
  <c r="AG2" i="2"/>
  <c r="EU2" i="2"/>
  <c r="AE2" i="2"/>
  <c r="BN3" i="2"/>
  <c r="BU2" i="2"/>
  <c r="CZ2" i="2"/>
  <c r="GE3" i="2"/>
  <c r="BU3" i="2"/>
  <c r="AQ3" i="2"/>
  <c r="BO3" i="2"/>
  <c r="CO2" i="2"/>
  <c r="BV3" i="2"/>
  <c r="DP2" i="2"/>
  <c r="AR3" i="2"/>
  <c r="AF2" i="2"/>
  <c r="AJ2" i="2"/>
  <c r="BJ2" i="2"/>
  <c r="BV2" i="2"/>
  <c r="CL2" i="2"/>
  <c r="CP2" i="2"/>
  <c r="BS3" i="2"/>
  <c r="CQ3" i="2"/>
  <c r="CW2" i="2"/>
  <c r="DA2" i="2" s="1"/>
  <c r="DM2" i="2"/>
  <c r="DT2" i="2"/>
  <c r="DV2" i="2" s="1"/>
  <c r="BT2" i="2"/>
  <c r="CR2" i="2"/>
  <c r="CT2" i="2" s="1"/>
  <c r="CK2" i="2"/>
  <c r="DL2" i="2"/>
  <c r="BI2" i="2"/>
  <c r="BM2" i="2"/>
  <c r="BS2" i="2"/>
  <c r="CI2" i="2"/>
  <c r="CM2" i="2"/>
  <c r="BT3" i="2"/>
  <c r="CX2" i="2"/>
  <c r="DB2" i="2" s="1"/>
  <c r="FU2" i="2"/>
  <c r="FY2" i="2"/>
  <c r="R26" i="5"/>
  <c r="JS16" i="4"/>
  <c r="KP12" i="4"/>
  <c r="KP32" i="4"/>
  <c r="KP16" i="4"/>
  <c r="JS18" i="4"/>
  <c r="KO6" i="4"/>
  <c r="KV8" i="4"/>
  <c r="LR20" i="4"/>
  <c r="JS12" i="4"/>
  <c r="MV8" i="4"/>
  <c r="JT16" i="4"/>
  <c r="JV2" i="4"/>
  <c r="KP14" i="4"/>
  <c r="ED12" i="4"/>
  <c r="JT18" i="4"/>
  <c r="IR10" i="4"/>
  <c r="JK16" i="4"/>
  <c r="JM16" i="4" s="1"/>
  <c r="IP10" i="4"/>
  <c r="IR14" i="4"/>
  <c r="IO16" i="4"/>
  <c r="IS16" i="4" s="1"/>
  <c r="JS10" i="4"/>
  <c r="KO18" i="4"/>
  <c r="JT12" i="4"/>
  <c r="JV10" i="4"/>
  <c r="LS20" i="4"/>
  <c r="JQ15" i="4"/>
  <c r="JU14" i="4" s="1"/>
  <c r="LZ8" i="4"/>
  <c r="IP14" i="4"/>
  <c r="KR7" i="4"/>
  <c r="KV6" i="4" s="1"/>
  <c r="KU7" i="4"/>
  <c r="KY6" i="4" s="1"/>
  <c r="KT7" i="4"/>
  <c r="KU15" i="4"/>
  <c r="KR15" i="4"/>
  <c r="LP15" i="4"/>
  <c r="JV34" i="4"/>
  <c r="JM40" i="4"/>
  <c r="JM30" i="4"/>
  <c r="KP20" i="4"/>
  <c r="KM15" i="4"/>
  <c r="KO14" i="4" s="1"/>
  <c r="IP18" i="4"/>
  <c r="IQ40" i="4"/>
  <c r="IR36" i="4"/>
  <c r="JM26" i="4"/>
  <c r="JO15" i="4"/>
  <c r="JS14" i="4" s="1"/>
  <c r="LW15" i="4"/>
  <c r="JS32" i="4"/>
  <c r="JV32" i="4"/>
  <c r="LY20" i="4"/>
  <c r="JP15" i="4"/>
  <c r="JT14" i="4" s="1"/>
  <c r="KS15" i="4"/>
  <c r="LP7" i="4"/>
  <c r="LR6" i="4" s="1"/>
  <c r="KX6" i="4"/>
  <c r="LY8" i="4"/>
  <c r="JU8" i="4"/>
  <c r="KN7" i="4"/>
  <c r="KP6" i="4" s="1"/>
  <c r="JQ7" i="4"/>
  <c r="JU6" i="4" s="1"/>
  <c r="JR7" i="4"/>
  <c r="JV6" i="4" s="1"/>
  <c r="JQ19" i="4"/>
  <c r="JU18" i="4" s="1"/>
  <c r="KU11" i="4"/>
  <c r="LP11" i="4"/>
  <c r="IQ36" i="4"/>
  <c r="MS33" i="4"/>
  <c r="MU32" i="4" s="1"/>
  <c r="LU33" i="4"/>
  <c r="LY32" i="4" s="1"/>
  <c r="LX33" i="4"/>
  <c r="MB32" i="4" s="1"/>
  <c r="MT33" i="4"/>
  <c r="MV32" i="4" s="1"/>
  <c r="LW33" i="4"/>
  <c r="MA32" i="4" s="1"/>
  <c r="LV33" i="4"/>
  <c r="LZ32" i="4" s="1"/>
  <c r="JQ23" i="4"/>
  <c r="JU22" i="4" s="1"/>
  <c r="KM23" i="4"/>
  <c r="KO22" i="4" s="1"/>
  <c r="KN23" i="4"/>
  <c r="KP22" i="4" s="1"/>
  <c r="JR23" i="4"/>
  <c r="JV22" i="4" s="1"/>
  <c r="JP23" i="4"/>
  <c r="JT22" i="4" s="1"/>
  <c r="JO23" i="4"/>
  <c r="JS22" i="4" s="1"/>
  <c r="IQ32" i="4"/>
  <c r="JR27" i="4"/>
  <c r="JV26" i="4" s="1"/>
  <c r="JQ27" i="4"/>
  <c r="JU26" i="4" s="1"/>
  <c r="KM27" i="4"/>
  <c r="KO26" i="4" s="1"/>
  <c r="JP27" i="4"/>
  <c r="KN27" i="4"/>
  <c r="JO27" i="4"/>
  <c r="KO4" i="4"/>
  <c r="KW6" i="4"/>
  <c r="KW8" i="4"/>
  <c r="LS38" i="4"/>
  <c r="JL34" i="4"/>
  <c r="LP39" i="4"/>
  <c r="KR39" i="4"/>
  <c r="KV38" i="4" s="1"/>
  <c r="KU39" i="4"/>
  <c r="KY38" i="4" s="1"/>
  <c r="KS39" i="4"/>
  <c r="KW38" i="4" s="1"/>
  <c r="LQ39" i="4"/>
  <c r="KT39" i="4"/>
  <c r="KX38" i="4" s="1"/>
  <c r="JR41" i="4"/>
  <c r="JQ41" i="4"/>
  <c r="JU40" i="4" s="1"/>
  <c r="JP41" i="4"/>
  <c r="JT40" i="4" s="1"/>
  <c r="JO41" i="4"/>
  <c r="JS40" i="4" s="1"/>
  <c r="KN41" i="4"/>
  <c r="KM41" i="4"/>
  <c r="IR40" i="4"/>
  <c r="JT32" i="4"/>
  <c r="LP37" i="4"/>
  <c r="LR36" i="4" s="1"/>
  <c r="KR37" i="4"/>
  <c r="KU37" i="4"/>
  <c r="KY36" i="4" s="1"/>
  <c r="KT37" i="4"/>
  <c r="KX36" i="4" s="1"/>
  <c r="KS37" i="4"/>
  <c r="KW36" i="4" s="1"/>
  <c r="LQ37" i="4"/>
  <c r="LS36" i="4" s="1"/>
  <c r="IS36" i="4"/>
  <c r="JV40" i="4"/>
  <c r="KP40" i="4"/>
  <c r="JM36" i="4"/>
  <c r="IR34" i="4"/>
  <c r="IQ34" i="4"/>
  <c r="IQ28" i="4"/>
  <c r="JT26" i="4"/>
  <c r="JR31" i="4"/>
  <c r="JV30" i="4" s="1"/>
  <c r="JQ31" i="4"/>
  <c r="JU30" i="4" s="1"/>
  <c r="KN31" i="4"/>
  <c r="JP31" i="4"/>
  <c r="JT30" i="4" s="1"/>
  <c r="JO31" i="4"/>
  <c r="JS30" i="4" s="1"/>
  <c r="KM31" i="4"/>
  <c r="KO30" i="4" s="1"/>
  <c r="LP29" i="4"/>
  <c r="LR28" i="4" s="1"/>
  <c r="KR29" i="4"/>
  <c r="KV28" i="4" s="1"/>
  <c r="KU29" i="4"/>
  <c r="KY28" i="4" s="1"/>
  <c r="LQ29" i="4"/>
  <c r="LS28" i="4" s="1"/>
  <c r="KT29" i="4"/>
  <c r="KX28" i="4" s="1"/>
  <c r="KS29" i="4"/>
  <c r="KW28" i="4" s="1"/>
  <c r="IQ26" i="4"/>
  <c r="MU20" i="4"/>
  <c r="JT20" i="4"/>
  <c r="LP25" i="4"/>
  <c r="LR24" i="4" s="1"/>
  <c r="KR25" i="4"/>
  <c r="KV24" i="4" s="1"/>
  <c r="KU25" i="4"/>
  <c r="KY24" i="4" s="1"/>
  <c r="KT25" i="4"/>
  <c r="KX24" i="4" s="1"/>
  <c r="LQ25" i="4"/>
  <c r="LS24" i="4" s="1"/>
  <c r="KS25" i="4"/>
  <c r="KW24" i="4" s="1"/>
  <c r="KV20" i="4"/>
  <c r="KX20" i="4"/>
  <c r="LX15" i="4"/>
  <c r="MS15" i="4"/>
  <c r="LV15" i="4"/>
  <c r="LU15" i="4"/>
  <c r="JM32" i="4"/>
  <c r="IQ4" i="4"/>
  <c r="JT10" i="4"/>
  <c r="KO10" i="4"/>
  <c r="LS6" i="4"/>
  <c r="MU8" i="4"/>
  <c r="LS8" i="4"/>
  <c r="LR38" i="4"/>
  <c r="KU33" i="4"/>
  <c r="KY32" i="4" s="1"/>
  <c r="KT33" i="4"/>
  <c r="KX32" i="4" s="1"/>
  <c r="LP33" i="4"/>
  <c r="LR32" i="4" s="1"/>
  <c r="KS33" i="4"/>
  <c r="KW32" i="4" s="1"/>
  <c r="KR33" i="4"/>
  <c r="KV32" i="4" s="1"/>
  <c r="LQ33" i="4"/>
  <c r="LS32" i="4" s="1"/>
  <c r="JR37" i="4"/>
  <c r="JV36" i="4" s="1"/>
  <c r="KN37" i="4"/>
  <c r="KP36" i="4" s="1"/>
  <c r="JO37" i="4"/>
  <c r="JS36" i="4" s="1"/>
  <c r="KM37" i="4"/>
  <c r="KO36" i="4" s="1"/>
  <c r="JQ37" i="4"/>
  <c r="JU36" i="4" s="1"/>
  <c r="JP37" i="4"/>
  <c r="JT36" i="4" s="1"/>
  <c r="IP36" i="4"/>
  <c r="JM34" i="4"/>
  <c r="JM28" i="4"/>
  <c r="KP30" i="4"/>
  <c r="KP26" i="4"/>
  <c r="LX13" i="4"/>
  <c r="LW13" i="4"/>
  <c r="LV13" i="4"/>
  <c r="LU13" i="4"/>
  <c r="MT13" i="4"/>
  <c r="MS13" i="4"/>
  <c r="IP32" i="4"/>
  <c r="LP27" i="4"/>
  <c r="LR26" i="4" s="1"/>
  <c r="KR27" i="4"/>
  <c r="KV26" i="4" s="1"/>
  <c r="KU27" i="4"/>
  <c r="KY26" i="4" s="1"/>
  <c r="LQ27" i="4"/>
  <c r="LS26" i="4" s="1"/>
  <c r="KT27" i="4"/>
  <c r="KX26" i="4" s="1"/>
  <c r="KS27" i="4"/>
  <c r="KW26" i="4" s="1"/>
  <c r="LW5" i="4"/>
  <c r="MA4" i="4" s="1"/>
  <c r="MT5" i="4"/>
  <c r="MV4" i="4" s="1"/>
  <c r="LU5" i="4"/>
  <c r="LY4" i="4" s="1"/>
  <c r="MS5" i="4"/>
  <c r="MU4" i="4" s="1"/>
  <c r="LX5" i="4"/>
  <c r="MB4" i="4" s="1"/>
  <c r="LV5" i="4"/>
  <c r="LZ4" i="4" s="1"/>
  <c r="LW7" i="4"/>
  <c r="MA6" i="4" s="1"/>
  <c r="LX7" i="4"/>
  <c r="LU7" i="4"/>
  <c r="LY6" i="4" s="1"/>
  <c r="MT7" i="4"/>
  <c r="MV6" i="4" s="1"/>
  <c r="MS7" i="4"/>
  <c r="MU6" i="4" s="1"/>
  <c r="LV7" i="4"/>
  <c r="LZ6" i="4" s="1"/>
  <c r="JM4" i="4"/>
  <c r="KP10" i="4"/>
  <c r="JU10" i="4"/>
  <c r="JS8" i="4"/>
  <c r="MS3" i="4"/>
  <c r="MU2" i="4" s="1"/>
  <c r="LU3" i="4"/>
  <c r="LY2" i="4" s="1"/>
  <c r="LW3" i="4"/>
  <c r="MA2" i="4" s="1"/>
  <c r="LV3" i="4"/>
  <c r="LZ2" i="4" s="1"/>
  <c r="MT3" i="4"/>
  <c r="MV2" i="4" s="1"/>
  <c r="LX3" i="4"/>
  <c r="MB2" i="4" s="1"/>
  <c r="JR39" i="4"/>
  <c r="JV38" i="4" s="1"/>
  <c r="JQ39" i="4"/>
  <c r="JU38" i="4" s="1"/>
  <c r="JO39" i="4"/>
  <c r="JS38" i="4" s="1"/>
  <c r="KN39" i="4"/>
  <c r="KP38" i="4" s="1"/>
  <c r="KM39" i="4"/>
  <c r="KO38" i="4" s="1"/>
  <c r="JP39" i="4"/>
  <c r="JT38" i="4" s="1"/>
  <c r="LP41" i="4"/>
  <c r="LR40" i="4" s="1"/>
  <c r="KR41" i="4"/>
  <c r="KV40" i="4" s="1"/>
  <c r="KU41" i="4"/>
  <c r="KY40" i="4" s="1"/>
  <c r="KT41" i="4"/>
  <c r="KX40" i="4" s="1"/>
  <c r="KS41" i="4"/>
  <c r="KW40" i="4" s="1"/>
  <c r="LQ41" i="4"/>
  <c r="LS40" i="4" s="1"/>
  <c r="KO40" i="4"/>
  <c r="KV36" i="4"/>
  <c r="JL36" i="4"/>
  <c r="LP35" i="4"/>
  <c r="LR34" i="4" s="1"/>
  <c r="KR35" i="4"/>
  <c r="KV34" i="4" s="1"/>
  <c r="LQ35" i="4"/>
  <c r="LS34" i="4" s="1"/>
  <c r="KU35" i="4"/>
  <c r="KY34" i="4" s="1"/>
  <c r="KT35" i="4"/>
  <c r="KX34" i="4" s="1"/>
  <c r="KS35" i="4"/>
  <c r="KW34" i="4" s="1"/>
  <c r="MT35" i="4"/>
  <c r="MV34" i="4" s="1"/>
  <c r="LV35" i="4"/>
  <c r="LZ34" i="4" s="1"/>
  <c r="LX35" i="4"/>
  <c r="MB34" i="4" s="1"/>
  <c r="LW35" i="4"/>
  <c r="MA34" i="4" s="1"/>
  <c r="LU35" i="4"/>
  <c r="LY34" i="4" s="1"/>
  <c r="MS35" i="4"/>
  <c r="MU34" i="4" s="1"/>
  <c r="IP34" i="4"/>
  <c r="IR30" i="4"/>
  <c r="IR28" i="4"/>
  <c r="JS26" i="4"/>
  <c r="LP31" i="4"/>
  <c r="LR30" i="4" s="1"/>
  <c r="KR31" i="4"/>
  <c r="KV30" i="4" s="1"/>
  <c r="KU31" i="4"/>
  <c r="KY30" i="4" s="1"/>
  <c r="KT31" i="4"/>
  <c r="KX30" i="4" s="1"/>
  <c r="LQ31" i="4"/>
  <c r="LS30" i="4" s="1"/>
  <c r="KS31" i="4"/>
  <c r="KW30" i="4" s="1"/>
  <c r="JR29" i="4"/>
  <c r="JV28" i="4" s="1"/>
  <c r="JQ29" i="4"/>
  <c r="JU28" i="4" s="1"/>
  <c r="KN29" i="4"/>
  <c r="KP28" i="4" s="1"/>
  <c r="KM29" i="4"/>
  <c r="KO28" i="4" s="1"/>
  <c r="JP29" i="4"/>
  <c r="JT28" i="4" s="1"/>
  <c r="JO29" i="4"/>
  <c r="JS28" i="4" s="1"/>
  <c r="JR25" i="4"/>
  <c r="JV24" i="4" s="1"/>
  <c r="JQ25" i="4"/>
  <c r="JU24" i="4" s="1"/>
  <c r="JP25" i="4"/>
  <c r="JT24" i="4" s="1"/>
  <c r="JO25" i="4"/>
  <c r="JS24" i="4" s="1"/>
  <c r="KN25" i="4"/>
  <c r="KP24" i="4" s="1"/>
  <c r="KM25" i="4"/>
  <c r="KO24" i="4" s="1"/>
  <c r="KU23" i="4"/>
  <c r="KY22" i="4" s="1"/>
  <c r="KT23" i="4"/>
  <c r="KX22" i="4" s="1"/>
  <c r="LQ23" i="4"/>
  <c r="LS22" i="4" s="1"/>
  <c r="LP23" i="4"/>
  <c r="LR22" i="4" s="1"/>
  <c r="KS23" i="4"/>
  <c r="KW22" i="4" s="1"/>
  <c r="KR23" i="4"/>
  <c r="KV22" i="4" s="1"/>
  <c r="KW20" i="4"/>
  <c r="JL32" i="4"/>
  <c r="LX11" i="4"/>
  <c r="LW11" i="4"/>
  <c r="LU11" i="4"/>
  <c r="MS11" i="4"/>
  <c r="LV11" i="4"/>
  <c r="MT11" i="4"/>
  <c r="JT6" i="4"/>
  <c r="JS4" i="4"/>
  <c r="JL2" i="4"/>
  <c r="LR8" i="4"/>
  <c r="KO8" i="4"/>
  <c r="KU3" i="4"/>
  <c r="KY2" i="4" s="1"/>
  <c r="LP3" i="4"/>
  <c r="LR2" i="4" s="1"/>
  <c r="KT3" i="4"/>
  <c r="KX2" i="4" s="1"/>
  <c r="LQ3" i="4"/>
  <c r="LS2" i="4" s="1"/>
  <c r="KS3" i="4"/>
  <c r="KW2" i="4" s="1"/>
  <c r="KR3" i="4"/>
  <c r="KV2" i="4" s="1"/>
  <c r="KO2" i="4"/>
  <c r="MB6" i="4"/>
  <c r="EF12" i="4"/>
  <c r="GF37" i="4"/>
  <c r="FG4" i="4"/>
  <c r="FI4" i="4"/>
  <c r="GE23" i="4"/>
  <c r="EY23" i="4"/>
  <c r="EZ40" i="4"/>
  <c r="ED4" i="4"/>
  <c r="EG8" i="4"/>
  <c r="DO38" i="4"/>
  <c r="DQ30" i="4"/>
  <c r="IE40" i="4"/>
  <c r="CN40" i="4"/>
  <c r="CM40" i="4"/>
  <c r="GZ40" i="4"/>
  <c r="BL38" i="4"/>
  <c r="ET38" i="4"/>
  <c r="EP38" i="4"/>
  <c r="ID38" i="4"/>
  <c r="HC38" i="4"/>
  <c r="EP30" i="4"/>
  <c r="AM4" i="4"/>
  <c r="HY12" i="4"/>
  <c r="FU12" i="4"/>
  <c r="BL12" i="4"/>
  <c r="T12" i="4"/>
  <c r="AS23" i="4"/>
  <c r="AR23" i="4"/>
  <c r="HY38" i="4"/>
  <c r="IE30" i="4"/>
  <c r="AG40" i="4"/>
  <c r="GW40" i="4"/>
  <c r="S38" i="4"/>
  <c r="BI30" i="4"/>
  <c r="FU30" i="4"/>
  <c r="IB30" i="4"/>
  <c r="HZ30" i="4"/>
  <c r="HZ4" i="4"/>
  <c r="BO23" i="4"/>
  <c r="AP23" i="4"/>
  <c r="BG38" i="4"/>
  <c r="HC40" i="4"/>
  <c r="CP40" i="4"/>
  <c r="BH40" i="4"/>
  <c r="HB40" i="4"/>
  <c r="CN30" i="4"/>
  <c r="BM30" i="4"/>
  <c r="R30" i="4"/>
  <c r="BF30" i="4"/>
  <c r="DL30" i="4"/>
  <c r="GW30" i="4"/>
  <c r="AF30" i="4"/>
  <c r="CU23" i="4"/>
  <c r="CY23" i="4" s="1"/>
  <c r="FX12" i="4"/>
  <c r="AE12" i="4"/>
  <c r="GZ4" i="4"/>
  <c r="CU39" i="4"/>
  <c r="BO39" i="4"/>
  <c r="AQ39" i="4"/>
  <c r="AS39" i="4"/>
  <c r="BN39" i="4"/>
  <c r="AR39" i="4"/>
  <c r="AP39" i="4"/>
  <c r="EG40" i="4"/>
  <c r="AN38" i="4"/>
  <c r="EB35" i="4"/>
  <c r="GE35" i="4"/>
  <c r="EY35" i="4"/>
  <c r="EC35" i="4"/>
  <c r="EX35" i="4"/>
  <c r="EA35" i="4"/>
  <c r="DZ35" i="4"/>
  <c r="AI30" i="4"/>
  <c r="CR23" i="4"/>
  <c r="BT23" i="4"/>
  <c r="BV23" i="4"/>
  <c r="BU23" i="4"/>
  <c r="BS23" i="4"/>
  <c r="CQ23" i="4"/>
  <c r="BO16" i="4"/>
  <c r="AQ16" i="4"/>
  <c r="BN16" i="4"/>
  <c r="AP16" i="4"/>
  <c r="AS16" i="4"/>
  <c r="AR16" i="4"/>
  <c r="HW17" i="4"/>
  <c r="IE16" i="4" s="1"/>
  <c r="HS17" i="4"/>
  <c r="GS17" i="4"/>
  <c r="GO17" i="4"/>
  <c r="GW16" i="4" s="1"/>
  <c r="FO17" i="4"/>
  <c r="FW16" i="4" s="1"/>
  <c r="FK17" i="4"/>
  <c r="EO17" i="4"/>
  <c r="EW16" i="4" s="1"/>
  <c r="EK17" i="4"/>
  <c r="ES16" i="4" s="1"/>
  <c r="DK17" i="4"/>
  <c r="DG17" i="4"/>
  <c r="CG17" i="4"/>
  <c r="CC17" i="4"/>
  <c r="BC17" i="4"/>
  <c r="BK16" i="4" s="1"/>
  <c r="AY17" i="4"/>
  <c r="AK17" i="4"/>
  <c r="Y17" i="4"/>
  <c r="U17" i="4"/>
  <c r="HV17" i="4"/>
  <c r="HR17" i="4"/>
  <c r="GR17" i="4"/>
  <c r="GZ16" i="4" s="1"/>
  <c r="GN17" i="4"/>
  <c r="FR17" i="4"/>
  <c r="FZ16" i="4" s="1"/>
  <c r="FN17" i="4"/>
  <c r="EN17" i="4"/>
  <c r="EJ17" i="4"/>
  <c r="DJ17" i="4"/>
  <c r="DF17" i="4"/>
  <c r="CF17" i="4"/>
  <c r="CN16" i="4" s="1"/>
  <c r="CB17" i="4"/>
  <c r="BB17" i="4"/>
  <c r="AX17" i="4"/>
  <c r="AB17" i="4"/>
  <c r="AJ16" i="4" s="1"/>
  <c r="X17" i="4"/>
  <c r="HU17" i="4"/>
  <c r="HQ17" i="4"/>
  <c r="HY16" i="4" s="1"/>
  <c r="GU17" i="4"/>
  <c r="GQ17" i="4"/>
  <c r="FQ17" i="4"/>
  <c r="FM17" i="4"/>
  <c r="FU16" i="4" s="1"/>
  <c r="EM17" i="4"/>
  <c r="EI17" i="4"/>
  <c r="DI17" i="4"/>
  <c r="DE17" i="4"/>
  <c r="DM16" i="4" s="1"/>
  <c r="CE17" i="4"/>
  <c r="CA17" i="4"/>
  <c r="BE17" i="4"/>
  <c r="BA17" i="4"/>
  <c r="AA17" i="4"/>
  <c r="W17" i="4"/>
  <c r="S16" i="4"/>
  <c r="HT17" i="4"/>
  <c r="GP17" i="4"/>
  <c r="FL17" i="4"/>
  <c r="EH17" i="4"/>
  <c r="EP16" i="4" s="1"/>
  <c r="DD17" i="4"/>
  <c r="DL16" i="4" s="1"/>
  <c r="R16" i="4"/>
  <c r="BR17" i="4"/>
  <c r="AL17" i="4"/>
  <c r="AN16" i="4" s="1"/>
  <c r="CH17" i="4"/>
  <c r="BD17" i="4"/>
  <c r="Z17" i="4"/>
  <c r="EL17" i="4"/>
  <c r="ET16" i="4" s="1"/>
  <c r="V17" i="4"/>
  <c r="HX17" i="4"/>
  <c r="DH17" i="4"/>
  <c r="GT17" i="4"/>
  <c r="CD17" i="4"/>
  <c r="CL16" i="4" s="1"/>
  <c r="FP17" i="4"/>
  <c r="AZ17" i="4"/>
  <c r="ET20" i="4"/>
  <c r="CY2" i="4"/>
  <c r="DU2" i="4"/>
  <c r="CW2" i="4"/>
  <c r="CX2" i="4"/>
  <c r="DT2" i="4"/>
  <c r="CV2" i="4"/>
  <c r="BL16" i="4"/>
  <c r="DQ16" i="4"/>
  <c r="DS16" i="4"/>
  <c r="FY40" i="4"/>
  <c r="Q40" i="4"/>
  <c r="ER40" i="4"/>
  <c r="EC39" i="4"/>
  <c r="EG38" i="4" s="1"/>
  <c r="EX39" i="4"/>
  <c r="EA39" i="4"/>
  <c r="EE38" i="4" s="1"/>
  <c r="DZ39" i="4"/>
  <c r="ED38" i="4" s="1"/>
  <c r="EY39" i="4"/>
  <c r="FA38" i="4" s="1"/>
  <c r="EB39" i="4"/>
  <c r="GE39" i="4"/>
  <c r="ED40" i="4"/>
  <c r="AE38" i="4"/>
  <c r="IC38" i="4"/>
  <c r="CP38" i="4"/>
  <c r="GZ38" i="4"/>
  <c r="AR36" i="4"/>
  <c r="AS36" i="4"/>
  <c r="AQ36" i="4"/>
  <c r="BO36" i="4"/>
  <c r="AP36" i="4"/>
  <c r="BN36" i="4"/>
  <c r="EQ30" i="4"/>
  <c r="GY30" i="4"/>
  <c r="GZ30" i="4"/>
  <c r="DS30" i="4"/>
  <c r="FE24" i="4"/>
  <c r="FC24" i="4"/>
  <c r="GB24" i="4"/>
  <c r="GA24" i="4"/>
  <c r="FF24" i="4"/>
  <c r="FD24" i="4"/>
  <c r="EY22" i="4"/>
  <c r="EA22" i="4"/>
  <c r="EE22" i="4" s="1"/>
  <c r="EC22" i="4"/>
  <c r="EG22" i="4" s="1"/>
  <c r="EB22" i="4"/>
  <c r="EF22" i="4" s="1"/>
  <c r="EX22" i="4"/>
  <c r="EZ22" i="4" s="1"/>
  <c r="DZ22" i="4"/>
  <c r="ED22" i="4" s="1"/>
  <c r="HX21" i="4"/>
  <c r="HT21" i="4"/>
  <c r="IB20" i="4" s="1"/>
  <c r="GT21" i="4"/>
  <c r="HB20" i="4" s="1"/>
  <c r="GP21" i="4"/>
  <c r="FP21" i="4"/>
  <c r="FL21" i="4"/>
  <c r="EL21" i="4"/>
  <c r="EH21" i="4"/>
  <c r="DH21" i="4"/>
  <c r="DD21" i="4"/>
  <c r="HV21" i="4"/>
  <c r="HR21" i="4"/>
  <c r="GR21" i="4"/>
  <c r="GN21" i="4"/>
  <c r="GV20" i="4" s="1"/>
  <c r="FR21" i="4"/>
  <c r="FN21" i="4"/>
  <c r="EN21" i="4"/>
  <c r="EJ21" i="4"/>
  <c r="ER20" i="4" s="1"/>
  <c r="DJ21" i="4"/>
  <c r="DR20" i="4" s="1"/>
  <c r="DF21" i="4"/>
  <c r="CF21" i="4"/>
  <c r="CN20" i="4" s="1"/>
  <c r="CB21" i="4"/>
  <c r="CJ20" i="4" s="1"/>
  <c r="BB21" i="4"/>
  <c r="AX21" i="4"/>
  <c r="AB21" i="4"/>
  <c r="AJ20" i="4" s="1"/>
  <c r="X21" i="4"/>
  <c r="AF20" i="4" s="1"/>
  <c r="HU21" i="4"/>
  <c r="GQ21" i="4"/>
  <c r="GY20" i="4" s="1"/>
  <c r="FM21" i="4"/>
  <c r="FU20" i="4" s="1"/>
  <c r="EI21" i="4"/>
  <c r="DE21" i="4"/>
  <c r="CD21" i="4"/>
  <c r="BE21" i="4"/>
  <c r="BM20" i="4" s="1"/>
  <c r="AZ21" i="4"/>
  <c r="BH20" i="4" s="1"/>
  <c r="AA21" i="4"/>
  <c r="V21" i="4"/>
  <c r="HS21" i="4"/>
  <c r="GO21" i="4"/>
  <c r="FK21" i="4"/>
  <c r="EO21" i="4"/>
  <c r="EW20" i="4" s="1"/>
  <c r="DK21" i="4"/>
  <c r="CH21" i="4"/>
  <c r="CC21" i="4"/>
  <c r="BD21" i="4"/>
  <c r="BL20" i="4" s="1"/>
  <c r="AY21" i="4"/>
  <c r="Z21" i="4"/>
  <c r="U21" i="4"/>
  <c r="AC20" i="4" s="1"/>
  <c r="HQ21" i="4"/>
  <c r="GU21" i="4"/>
  <c r="FQ21" i="4"/>
  <c r="EM21" i="4"/>
  <c r="EU20" i="4" s="1"/>
  <c r="DI21" i="4"/>
  <c r="CG21" i="4"/>
  <c r="CA21" i="4"/>
  <c r="BR21" i="4"/>
  <c r="BC21" i="4"/>
  <c r="BK20" i="4" s="1"/>
  <c r="AL21" i="4"/>
  <c r="Y21" i="4"/>
  <c r="S20" i="4"/>
  <c r="HW21" i="4"/>
  <c r="FO21" i="4"/>
  <c r="DG21" i="4"/>
  <c r="W21" i="4"/>
  <c r="BA21" i="4"/>
  <c r="GS21" i="4"/>
  <c r="HA20" i="4" s="1"/>
  <c r="EK21" i="4"/>
  <c r="ES20" i="4" s="1"/>
  <c r="CE21" i="4"/>
  <c r="AK21" i="4"/>
  <c r="AM20" i="4" s="1"/>
  <c r="EC17" i="4"/>
  <c r="EG16" i="4" s="1"/>
  <c r="EB17" i="4"/>
  <c r="EF16" i="4" s="1"/>
  <c r="GE17" i="4"/>
  <c r="EY17" i="4"/>
  <c r="EA17" i="4"/>
  <c r="EE16" i="4" s="1"/>
  <c r="DZ17" i="4"/>
  <c r="ED16" i="4" s="1"/>
  <c r="EX17" i="4"/>
  <c r="EZ16" i="4" s="1"/>
  <c r="ES4" i="4"/>
  <c r="Q20" i="4"/>
  <c r="DM20" i="4"/>
  <c r="AN20" i="4"/>
  <c r="EQ20" i="4"/>
  <c r="AE20" i="4"/>
  <c r="HC20" i="4"/>
  <c r="GE15" i="4"/>
  <c r="EY15" i="4"/>
  <c r="EA15" i="4"/>
  <c r="EE14" i="4" s="1"/>
  <c r="EC15" i="4"/>
  <c r="EG14" i="4" s="1"/>
  <c r="EB15" i="4"/>
  <c r="EF14" i="4" s="1"/>
  <c r="DZ15" i="4"/>
  <c r="ED14" i="4" s="1"/>
  <c r="EX15" i="4"/>
  <c r="EZ14" i="4" s="1"/>
  <c r="DS12" i="4"/>
  <c r="BK12" i="4"/>
  <c r="BO6" i="4"/>
  <c r="AQ6" i="4"/>
  <c r="BN6" i="4"/>
  <c r="AP6" i="4"/>
  <c r="AS6" i="4"/>
  <c r="AR6" i="4"/>
  <c r="GV4" i="4"/>
  <c r="GH25" i="4"/>
  <c r="GF25" i="4"/>
  <c r="HE25" i="4"/>
  <c r="GI25" i="4"/>
  <c r="HD25" i="4"/>
  <c r="GG25" i="4"/>
  <c r="GI9" i="4"/>
  <c r="GH9" i="4"/>
  <c r="HE9" i="4"/>
  <c r="GG9" i="4"/>
  <c r="GF9" i="4"/>
  <c r="HD9" i="4"/>
  <c r="CU6" i="4"/>
  <c r="CQ6" i="4"/>
  <c r="BS6" i="4"/>
  <c r="BV6" i="4"/>
  <c r="BU6" i="4"/>
  <c r="BT6" i="4"/>
  <c r="CR6" i="4"/>
  <c r="GI5" i="4"/>
  <c r="GH5" i="4"/>
  <c r="HE5" i="4"/>
  <c r="GG5" i="4"/>
  <c r="HD5" i="4"/>
  <c r="GF5" i="4"/>
  <c r="FY16" i="4"/>
  <c r="AG16" i="4"/>
  <c r="CK16" i="4"/>
  <c r="GX16" i="4"/>
  <c r="BF16" i="4"/>
  <c r="CP16" i="4"/>
  <c r="EU16" i="4"/>
  <c r="HC16" i="4"/>
  <c r="AE16" i="4"/>
  <c r="CI16" i="4"/>
  <c r="ER16" i="4"/>
  <c r="GV16" i="4"/>
  <c r="FZ2" i="4"/>
  <c r="CY40" i="4"/>
  <c r="CV40" i="4"/>
  <c r="DU40" i="4"/>
  <c r="DT40" i="4"/>
  <c r="CX40" i="4"/>
  <c r="GE40" i="4"/>
  <c r="CW40" i="4"/>
  <c r="HW7" i="4"/>
  <c r="IE6" i="4" s="1"/>
  <c r="HS7" i="4"/>
  <c r="IA6" i="4" s="1"/>
  <c r="GS7" i="4"/>
  <c r="HA6" i="4" s="1"/>
  <c r="GO7" i="4"/>
  <c r="GW6" i="4" s="1"/>
  <c r="FO7" i="4"/>
  <c r="FW6" i="4" s="1"/>
  <c r="FK7" i="4"/>
  <c r="EO7" i="4"/>
  <c r="EW6" i="4" s="1"/>
  <c r="EK7" i="4"/>
  <c r="DK7" i="4"/>
  <c r="DS6" i="4" s="1"/>
  <c r="DG7" i="4"/>
  <c r="DO6" i="4" s="1"/>
  <c r="CG7" i="4"/>
  <c r="CC7" i="4"/>
  <c r="BC7" i="4"/>
  <c r="AY7" i="4"/>
  <c r="BG6" i="4" s="1"/>
  <c r="AK7" i="4"/>
  <c r="AM6" i="4" s="1"/>
  <c r="Y7" i="4"/>
  <c r="U7" i="4"/>
  <c r="AC6" i="4" s="1"/>
  <c r="HV7" i="4"/>
  <c r="HR7" i="4"/>
  <c r="HZ6" i="4" s="1"/>
  <c r="GR7" i="4"/>
  <c r="GZ6" i="4" s="1"/>
  <c r="GN7" i="4"/>
  <c r="FR7" i="4"/>
  <c r="FN7" i="4"/>
  <c r="FV6" i="4" s="1"/>
  <c r="EN7" i="4"/>
  <c r="EV6" i="4" s="1"/>
  <c r="EJ7" i="4"/>
  <c r="DJ7" i="4"/>
  <c r="DR6" i="4" s="1"/>
  <c r="DF7" i="4"/>
  <c r="CF7" i="4"/>
  <c r="CN6" i="4" s="1"/>
  <c r="CB7" i="4"/>
  <c r="CJ6" i="4" s="1"/>
  <c r="BB7" i="4"/>
  <c r="BJ6" i="4" s="1"/>
  <c r="AX7" i="4"/>
  <c r="AB7" i="4"/>
  <c r="X7" i="4"/>
  <c r="T6" i="4"/>
  <c r="HU7" i="4"/>
  <c r="IC6" i="4" s="1"/>
  <c r="HQ7" i="4"/>
  <c r="HY6" i="4" s="1"/>
  <c r="GU7" i="4"/>
  <c r="GQ7" i="4"/>
  <c r="FQ7" i="4"/>
  <c r="FY6" i="4" s="1"/>
  <c r="FM7" i="4"/>
  <c r="FU6" i="4" s="1"/>
  <c r="EM7" i="4"/>
  <c r="EI7" i="4"/>
  <c r="DI7" i="4"/>
  <c r="DE7" i="4"/>
  <c r="DM6" i="4" s="1"/>
  <c r="CE7" i="4"/>
  <c r="CA7" i="4"/>
  <c r="BE7" i="4"/>
  <c r="BA7" i="4"/>
  <c r="BI6" i="4" s="1"/>
  <c r="AA7" i="4"/>
  <c r="W7" i="4"/>
  <c r="S6" i="4"/>
  <c r="HX7" i="4"/>
  <c r="GT7" i="4"/>
  <c r="HB6" i="4" s="1"/>
  <c r="FP7" i="4"/>
  <c r="EL7" i="4"/>
  <c r="ET6" i="4" s="1"/>
  <c r="DH7" i="4"/>
  <c r="DP6" i="4" s="1"/>
  <c r="CD7" i="4"/>
  <c r="AZ7" i="4"/>
  <c r="BH6" i="4" s="1"/>
  <c r="V7" i="4"/>
  <c r="AD6" i="4" s="1"/>
  <c r="BD7" i="4"/>
  <c r="Z7" i="4"/>
  <c r="AH6" i="4" s="1"/>
  <c r="HT7" i="4"/>
  <c r="IB6" i="4" s="1"/>
  <c r="GP7" i="4"/>
  <c r="GX6" i="4" s="1"/>
  <c r="FL7" i="4"/>
  <c r="FT6" i="4" s="1"/>
  <c r="EH7" i="4"/>
  <c r="DD7" i="4"/>
  <c r="BR7" i="4"/>
  <c r="AL7" i="4"/>
  <c r="CH7" i="4"/>
  <c r="ED2" i="4"/>
  <c r="GI13" i="4"/>
  <c r="GF13" i="4"/>
  <c r="HE13" i="4"/>
  <c r="GH13" i="4"/>
  <c r="GG13" i="4"/>
  <c r="HD13" i="4"/>
  <c r="EC33" i="4"/>
  <c r="EG32" i="4" s="1"/>
  <c r="GE33" i="4"/>
  <c r="EY33" i="4"/>
  <c r="FA32" i="4" s="1"/>
  <c r="EB33" i="4"/>
  <c r="EX33" i="4"/>
  <c r="EZ32" i="4" s="1"/>
  <c r="EA33" i="4"/>
  <c r="EE32" i="4" s="1"/>
  <c r="DZ33" i="4"/>
  <c r="DR30" i="4"/>
  <c r="GV30" i="4"/>
  <c r="BV25" i="4"/>
  <c r="CR25" i="4"/>
  <c r="BU25" i="4"/>
  <c r="CQ25" i="4"/>
  <c r="BT25" i="4"/>
  <c r="BS25" i="4"/>
  <c r="AS18" i="4"/>
  <c r="AR18" i="4"/>
  <c r="BO18" i="4"/>
  <c r="AQ18" i="4"/>
  <c r="AP18" i="4"/>
  <c r="BN18" i="4"/>
  <c r="HV18" i="4"/>
  <c r="ID18" i="4" s="1"/>
  <c r="HR18" i="4"/>
  <c r="HZ18" i="4" s="1"/>
  <c r="GT18" i="4"/>
  <c r="HB18" i="4" s="1"/>
  <c r="GP18" i="4"/>
  <c r="GX18" i="4" s="1"/>
  <c r="FR18" i="4"/>
  <c r="FZ18" i="4" s="1"/>
  <c r="FN18" i="4"/>
  <c r="FV18" i="4" s="1"/>
  <c r="EL18" i="4"/>
  <c r="ET18" i="4" s="1"/>
  <c r="EH18" i="4"/>
  <c r="EP18" i="4" s="1"/>
  <c r="DI18" i="4"/>
  <c r="DQ18" i="4" s="1"/>
  <c r="DE18" i="4"/>
  <c r="DM18" i="4" s="1"/>
  <c r="CG18" i="4"/>
  <c r="CO18" i="4" s="1"/>
  <c r="CC18" i="4"/>
  <c r="CK18" i="4" s="1"/>
  <c r="BE18" i="4"/>
  <c r="BM18" i="4" s="1"/>
  <c r="BA18" i="4"/>
  <c r="BI18" i="4" s="1"/>
  <c r="AK18" i="4"/>
  <c r="AM18" i="4" s="1"/>
  <c r="Y18" i="4"/>
  <c r="AG18" i="4" s="1"/>
  <c r="U18" i="4"/>
  <c r="AC18" i="4" s="1"/>
  <c r="Q18" i="4"/>
  <c r="HU18" i="4"/>
  <c r="IC18" i="4" s="1"/>
  <c r="HQ18" i="4"/>
  <c r="HY18" i="4" s="1"/>
  <c r="GS18" i="4"/>
  <c r="HA18" i="4" s="1"/>
  <c r="GO18" i="4"/>
  <c r="GW18" i="4" s="1"/>
  <c r="FQ18" i="4"/>
  <c r="FY18" i="4" s="1"/>
  <c r="FM18" i="4"/>
  <c r="FU18" i="4" s="1"/>
  <c r="EO18" i="4"/>
  <c r="EW18" i="4" s="1"/>
  <c r="EK18" i="4"/>
  <c r="ES18" i="4" s="1"/>
  <c r="DH18" i="4"/>
  <c r="DP18" i="4" s="1"/>
  <c r="DD18" i="4"/>
  <c r="DL18" i="4" s="1"/>
  <c r="CF18" i="4"/>
  <c r="CN18" i="4" s="1"/>
  <c r="CB18" i="4"/>
  <c r="CJ18" i="4" s="1"/>
  <c r="BD18" i="4"/>
  <c r="BL18" i="4" s="1"/>
  <c r="AZ18" i="4"/>
  <c r="BH18" i="4" s="1"/>
  <c r="AB18" i="4"/>
  <c r="AJ18" i="4" s="1"/>
  <c r="X18" i="4"/>
  <c r="AF18" i="4" s="1"/>
  <c r="T18" i="4"/>
  <c r="HX18" i="4"/>
  <c r="IF18" i="4" s="1"/>
  <c r="HT18" i="4"/>
  <c r="IB18" i="4" s="1"/>
  <c r="GR18" i="4"/>
  <c r="GZ18" i="4" s="1"/>
  <c r="GN18" i="4"/>
  <c r="GV18" i="4" s="1"/>
  <c r="FP18" i="4"/>
  <c r="FX18" i="4" s="1"/>
  <c r="FL18" i="4"/>
  <c r="FT18" i="4" s="1"/>
  <c r="EN18" i="4"/>
  <c r="EV18" i="4" s="1"/>
  <c r="EJ18" i="4"/>
  <c r="ER18" i="4" s="1"/>
  <c r="DK18" i="4"/>
  <c r="DS18" i="4" s="1"/>
  <c r="DG18" i="4"/>
  <c r="DO18" i="4" s="1"/>
  <c r="CE18" i="4"/>
  <c r="CM18" i="4" s="1"/>
  <c r="CA18" i="4"/>
  <c r="CI18" i="4" s="1"/>
  <c r="BC18" i="4"/>
  <c r="BK18" i="4" s="1"/>
  <c r="AY18" i="4"/>
  <c r="BG18" i="4" s="1"/>
  <c r="AA18" i="4"/>
  <c r="AI18" i="4" s="1"/>
  <c r="W18" i="4"/>
  <c r="AE18" i="4" s="1"/>
  <c r="S18" i="4"/>
  <c r="GU18" i="4"/>
  <c r="HC18" i="4" s="1"/>
  <c r="FO18" i="4"/>
  <c r="FW18" i="4" s="1"/>
  <c r="EI18" i="4"/>
  <c r="EQ18" i="4" s="1"/>
  <c r="Z18" i="4"/>
  <c r="AH18" i="4" s="1"/>
  <c r="HW18" i="4"/>
  <c r="IE18" i="4" s="1"/>
  <c r="GQ18" i="4"/>
  <c r="GY18" i="4" s="1"/>
  <c r="FK18" i="4"/>
  <c r="FS18" i="4" s="1"/>
  <c r="CH18" i="4"/>
  <c r="CP18" i="4" s="1"/>
  <c r="BB18" i="4"/>
  <c r="BJ18" i="4" s="1"/>
  <c r="AL18" i="4"/>
  <c r="AN18" i="4" s="1"/>
  <c r="V18" i="4"/>
  <c r="AD18" i="4" s="1"/>
  <c r="HS18" i="4"/>
  <c r="IA18" i="4" s="1"/>
  <c r="DJ18" i="4"/>
  <c r="DR18" i="4" s="1"/>
  <c r="CD18" i="4"/>
  <c r="CL18" i="4" s="1"/>
  <c r="AX18" i="4"/>
  <c r="BF18" i="4" s="1"/>
  <c r="EM18" i="4"/>
  <c r="EU18" i="4" s="1"/>
  <c r="R18" i="4"/>
  <c r="DF18" i="4"/>
  <c r="DN18" i="4" s="1"/>
  <c r="AS4" i="4"/>
  <c r="AR4" i="4"/>
  <c r="BO4" i="4"/>
  <c r="AQ4" i="4"/>
  <c r="BN4" i="4"/>
  <c r="AP4" i="4"/>
  <c r="CO20" i="4"/>
  <c r="AH20" i="4"/>
  <c r="FW20" i="4"/>
  <c r="DS20" i="4"/>
  <c r="CQ13" i="4"/>
  <c r="BS13" i="4"/>
  <c r="CR13" i="4"/>
  <c r="BU13" i="4"/>
  <c r="BT13" i="4"/>
  <c r="BX12" i="4" s="1"/>
  <c r="BV13" i="4"/>
  <c r="BZ12" i="4" s="1"/>
  <c r="BO2" i="4"/>
  <c r="AQ2" i="4"/>
  <c r="AS2" i="4"/>
  <c r="BN2" i="4"/>
  <c r="AR2" i="4"/>
  <c r="AP2" i="4"/>
  <c r="DN6" i="4"/>
  <c r="CM6" i="4"/>
  <c r="DP16" i="4"/>
  <c r="AC16" i="4"/>
  <c r="GY16" i="4"/>
  <c r="IF16" i="4"/>
  <c r="DU8" i="4"/>
  <c r="CW8" i="4"/>
  <c r="DT8" i="4"/>
  <c r="CV8" i="4"/>
  <c r="CY8" i="4"/>
  <c r="CX8" i="4"/>
  <c r="GE8" i="4"/>
  <c r="EU38" i="4"/>
  <c r="EF32" i="4"/>
  <c r="BV26" i="4"/>
  <c r="BS26" i="4"/>
  <c r="CR26" i="4"/>
  <c r="CQ26" i="4"/>
  <c r="BU26" i="4"/>
  <c r="CU26" i="4"/>
  <c r="BT26" i="4"/>
  <c r="BN26" i="4"/>
  <c r="AP26" i="4"/>
  <c r="AR26" i="4"/>
  <c r="AQ26" i="4"/>
  <c r="BO26" i="4"/>
  <c r="AS26" i="4"/>
  <c r="T20" i="4"/>
  <c r="GI19" i="4"/>
  <c r="GH19" i="4"/>
  <c r="HE19" i="4"/>
  <c r="GG19" i="4"/>
  <c r="GF19" i="4"/>
  <c r="HD19" i="4"/>
  <c r="Q6" i="4"/>
  <c r="HY40" i="4"/>
  <c r="DR40" i="4"/>
  <c r="BF40" i="4"/>
  <c r="AC40" i="4"/>
  <c r="FV40" i="4"/>
  <c r="EV40" i="4"/>
  <c r="AR41" i="4"/>
  <c r="AV40" i="4" s="1"/>
  <c r="CU41" i="4"/>
  <c r="BO41" i="4"/>
  <c r="BQ40" i="4" s="1"/>
  <c r="AQ41" i="4"/>
  <c r="AU40" i="4" s="1"/>
  <c r="BN41" i="4"/>
  <c r="AS41" i="4"/>
  <c r="AW40" i="4" s="1"/>
  <c r="AP41" i="4"/>
  <c r="AT40" i="4" s="1"/>
  <c r="BN38" i="4"/>
  <c r="BP38" i="4" s="1"/>
  <c r="AP38" i="4"/>
  <c r="BO38" i="4"/>
  <c r="BQ38" i="4" s="1"/>
  <c r="AS38" i="4"/>
  <c r="AW38" i="4" s="1"/>
  <c r="AR38" i="4"/>
  <c r="AV38" i="4" s="1"/>
  <c r="AQ38" i="4"/>
  <c r="BU39" i="4"/>
  <c r="BS39" i="4"/>
  <c r="CQ39" i="4"/>
  <c r="BT39" i="4"/>
  <c r="CR39" i="4"/>
  <c r="BV39" i="4"/>
  <c r="EE40" i="4"/>
  <c r="ES38" i="4"/>
  <c r="Q38" i="4"/>
  <c r="CM38" i="4"/>
  <c r="FU38" i="4"/>
  <c r="CI38" i="4"/>
  <c r="EV38" i="4"/>
  <c r="AD38" i="4"/>
  <c r="BJ38" i="4"/>
  <c r="DN38" i="4"/>
  <c r="FS38" i="4"/>
  <c r="IA38" i="4"/>
  <c r="IB38" i="4"/>
  <c r="AR37" i="4"/>
  <c r="CU37" i="4"/>
  <c r="BO37" i="4"/>
  <c r="AS37" i="4"/>
  <c r="BN37" i="4"/>
  <c r="AP37" i="4"/>
  <c r="AQ37" i="4"/>
  <c r="HW34" i="4"/>
  <c r="HS34" i="4"/>
  <c r="GU34" i="4"/>
  <c r="GQ34" i="4"/>
  <c r="FO34" i="4"/>
  <c r="FK34" i="4"/>
  <c r="EM34" i="4"/>
  <c r="EI34" i="4"/>
  <c r="DJ34" i="4"/>
  <c r="DF34" i="4"/>
  <c r="CH34" i="4"/>
  <c r="CD34" i="4"/>
  <c r="BR34" i="4"/>
  <c r="BB34" i="4"/>
  <c r="AX34" i="4"/>
  <c r="AL34" i="4"/>
  <c r="Z34" i="4"/>
  <c r="V34" i="4"/>
  <c r="HT34" i="4"/>
  <c r="GS34" i="4"/>
  <c r="GN34" i="4"/>
  <c r="FR34" i="4"/>
  <c r="FM34" i="4"/>
  <c r="EL34" i="4"/>
  <c r="DK34" i="4"/>
  <c r="HX34" i="4"/>
  <c r="HR34" i="4"/>
  <c r="GR34" i="4"/>
  <c r="FQ34" i="4"/>
  <c r="FL34" i="4"/>
  <c r="EK34" i="4"/>
  <c r="DI34" i="4"/>
  <c r="DD34" i="4"/>
  <c r="CC34" i="4"/>
  <c r="BC34" i="4"/>
  <c r="AB34" i="4"/>
  <c r="W34" i="4"/>
  <c r="HQ34" i="4"/>
  <c r="FP34" i="4"/>
  <c r="EJ34" i="4"/>
  <c r="DE34" i="4"/>
  <c r="CB34" i="4"/>
  <c r="AZ34" i="4"/>
  <c r="AK34" i="4"/>
  <c r="X34" i="4"/>
  <c r="GT34" i="4"/>
  <c r="FN34" i="4"/>
  <c r="EH34" i="4"/>
  <c r="CG34" i="4"/>
  <c r="CA34" i="4"/>
  <c r="BE34" i="4"/>
  <c r="AY34" i="4"/>
  <c r="U34" i="4"/>
  <c r="HU34" i="4"/>
  <c r="EN34" i="4"/>
  <c r="GP34" i="4"/>
  <c r="DH34" i="4"/>
  <c r="CF34" i="4"/>
  <c r="BD34" i="4"/>
  <c r="AA34" i="4"/>
  <c r="GO34" i="4"/>
  <c r="DG34" i="4"/>
  <c r="CE34" i="4"/>
  <c r="BA34" i="4"/>
  <c r="Y34" i="4"/>
  <c r="HV34" i="4"/>
  <c r="EO34" i="4"/>
  <c r="EF38" i="4"/>
  <c r="EX36" i="4"/>
  <c r="EZ36" i="4" s="1"/>
  <c r="DZ36" i="4"/>
  <c r="ED36" i="4" s="1"/>
  <c r="EY36" i="4"/>
  <c r="FA36" i="4" s="1"/>
  <c r="EC36" i="4"/>
  <c r="EG36" i="4" s="1"/>
  <c r="EB36" i="4"/>
  <c r="EF36" i="4" s="1"/>
  <c r="EA36" i="4"/>
  <c r="EE36" i="4" s="1"/>
  <c r="BN30" i="4"/>
  <c r="AP30" i="4"/>
  <c r="AS30" i="4"/>
  <c r="AR30" i="4"/>
  <c r="BO30" i="4"/>
  <c r="AQ30" i="4"/>
  <c r="FY30" i="4"/>
  <c r="AJ30" i="4"/>
  <c r="AM30" i="4"/>
  <c r="CO30" i="4"/>
  <c r="GX30" i="4"/>
  <c r="AH30" i="4"/>
  <c r="BV30" i="4"/>
  <c r="CR30" i="4"/>
  <c r="BU30" i="4"/>
  <c r="CQ30" i="4"/>
  <c r="BT30" i="4"/>
  <c r="BS30" i="4"/>
  <c r="CU30" i="4"/>
  <c r="EW30" i="4"/>
  <c r="CP30" i="4"/>
  <c r="EU30" i="4"/>
  <c r="HC30" i="4"/>
  <c r="FT30" i="4"/>
  <c r="IC30" i="4"/>
  <c r="HU28" i="4"/>
  <c r="IC28" i="4" s="1"/>
  <c r="HQ28" i="4"/>
  <c r="HY28" i="4" s="1"/>
  <c r="GS28" i="4"/>
  <c r="HA28" i="4" s="1"/>
  <c r="GO28" i="4"/>
  <c r="GW28" i="4" s="1"/>
  <c r="FQ28" i="4"/>
  <c r="FY28" i="4" s="1"/>
  <c r="FM28" i="4"/>
  <c r="FU28" i="4" s="1"/>
  <c r="EO28" i="4"/>
  <c r="EW28" i="4" s="1"/>
  <c r="EK28" i="4"/>
  <c r="ES28" i="4" s="1"/>
  <c r="DH28" i="4"/>
  <c r="DP28" i="4" s="1"/>
  <c r="DD28" i="4"/>
  <c r="DL28" i="4" s="1"/>
  <c r="CF28" i="4"/>
  <c r="CN28" i="4" s="1"/>
  <c r="CB28" i="4"/>
  <c r="CJ28" i="4" s="1"/>
  <c r="BD28" i="4"/>
  <c r="BL28" i="4" s="1"/>
  <c r="AZ28" i="4"/>
  <c r="BH28" i="4" s="1"/>
  <c r="AB28" i="4"/>
  <c r="AJ28" i="4" s="1"/>
  <c r="X28" i="4"/>
  <c r="AF28" i="4" s="1"/>
  <c r="T28" i="4"/>
  <c r="HX28" i="4"/>
  <c r="IF28" i="4" s="1"/>
  <c r="HT28" i="4"/>
  <c r="IB28" i="4" s="1"/>
  <c r="GR28" i="4"/>
  <c r="GZ28" i="4" s="1"/>
  <c r="GN28" i="4"/>
  <c r="GV28" i="4" s="1"/>
  <c r="FP28" i="4"/>
  <c r="FX28" i="4" s="1"/>
  <c r="FL28" i="4"/>
  <c r="FT28" i="4" s="1"/>
  <c r="EN28" i="4"/>
  <c r="EV28" i="4" s="1"/>
  <c r="EJ28" i="4"/>
  <c r="ER28" i="4" s="1"/>
  <c r="DK28" i="4"/>
  <c r="DS28" i="4" s="1"/>
  <c r="DG28" i="4"/>
  <c r="DO28" i="4" s="1"/>
  <c r="CE28" i="4"/>
  <c r="CM28" i="4" s="1"/>
  <c r="CA28" i="4"/>
  <c r="CI28" i="4" s="1"/>
  <c r="BC28" i="4"/>
  <c r="BK28" i="4" s="1"/>
  <c r="AY28" i="4"/>
  <c r="BG28" i="4" s="1"/>
  <c r="AA28" i="4"/>
  <c r="AI28" i="4" s="1"/>
  <c r="W28" i="4"/>
  <c r="AE28" i="4" s="1"/>
  <c r="S28" i="4"/>
  <c r="HW28" i="4"/>
  <c r="IE28" i="4" s="1"/>
  <c r="GQ28" i="4"/>
  <c r="GY28" i="4" s="1"/>
  <c r="FK28" i="4"/>
  <c r="FS28" i="4" s="1"/>
  <c r="EM28" i="4"/>
  <c r="EU28" i="4" s="1"/>
  <c r="DF28" i="4"/>
  <c r="DN28" i="4" s="1"/>
  <c r="CH28" i="4"/>
  <c r="CP28" i="4" s="1"/>
  <c r="BR28" i="4"/>
  <c r="BB28" i="4"/>
  <c r="BJ28" i="4" s="1"/>
  <c r="AL28" i="4"/>
  <c r="AN28" i="4" s="1"/>
  <c r="V28" i="4"/>
  <c r="AD28" i="4" s="1"/>
  <c r="R28" i="4"/>
  <c r="HV28" i="4"/>
  <c r="ID28" i="4" s="1"/>
  <c r="GP28" i="4"/>
  <c r="GX28" i="4" s="1"/>
  <c r="FR28" i="4"/>
  <c r="FZ28" i="4" s="1"/>
  <c r="EL28" i="4"/>
  <c r="ET28" i="4" s="1"/>
  <c r="DE28" i="4"/>
  <c r="DM28" i="4" s="1"/>
  <c r="CG28" i="4"/>
  <c r="CO28" i="4" s="1"/>
  <c r="BA28" i="4"/>
  <c r="BI28" i="4" s="1"/>
  <c r="AK28" i="4"/>
  <c r="AM28" i="4" s="1"/>
  <c r="U28" i="4"/>
  <c r="AC28" i="4" s="1"/>
  <c r="Q28" i="4"/>
  <c r="HS28" i="4"/>
  <c r="IA28" i="4" s="1"/>
  <c r="GU28" i="4"/>
  <c r="HC28" i="4" s="1"/>
  <c r="FO28" i="4"/>
  <c r="FW28" i="4" s="1"/>
  <c r="EI28" i="4"/>
  <c r="EQ28" i="4" s="1"/>
  <c r="DJ28" i="4"/>
  <c r="DR28" i="4" s="1"/>
  <c r="CD28" i="4"/>
  <c r="CL28" i="4" s="1"/>
  <c r="AX28" i="4"/>
  <c r="BF28" i="4" s="1"/>
  <c r="Z28" i="4"/>
  <c r="AH28" i="4" s="1"/>
  <c r="GT28" i="4"/>
  <c r="HB28" i="4" s="1"/>
  <c r="FN28" i="4"/>
  <c r="FV28" i="4" s="1"/>
  <c r="EH28" i="4"/>
  <c r="EP28" i="4" s="1"/>
  <c r="HR28" i="4"/>
  <c r="HZ28" i="4" s="1"/>
  <c r="BE28" i="4"/>
  <c r="BM28" i="4" s="1"/>
  <c r="Y28" i="4"/>
  <c r="AG28" i="4" s="1"/>
  <c r="DI28" i="4"/>
  <c r="DQ28" i="4" s="1"/>
  <c r="CC28" i="4"/>
  <c r="CK28" i="4" s="1"/>
  <c r="CM30" i="4"/>
  <c r="HV27" i="4"/>
  <c r="ID26" i="4" s="1"/>
  <c r="HR27" i="4"/>
  <c r="HZ26" i="4" s="1"/>
  <c r="GR27" i="4"/>
  <c r="GZ26" i="4" s="1"/>
  <c r="GN27" i="4"/>
  <c r="GV26" i="4" s="1"/>
  <c r="FR27" i="4"/>
  <c r="FZ26" i="4" s="1"/>
  <c r="FN27" i="4"/>
  <c r="FV26" i="4" s="1"/>
  <c r="EN27" i="4"/>
  <c r="EJ27" i="4"/>
  <c r="DJ27" i="4"/>
  <c r="DR26" i="4" s="1"/>
  <c r="DF27" i="4"/>
  <c r="DN26" i="4" s="1"/>
  <c r="CF27" i="4"/>
  <c r="CN26" i="4" s="1"/>
  <c r="CB27" i="4"/>
  <c r="CJ26" i="4" s="1"/>
  <c r="BB27" i="4"/>
  <c r="BJ26" i="4" s="1"/>
  <c r="AX27" i="4"/>
  <c r="AB27" i="4"/>
  <c r="X27" i="4"/>
  <c r="AF26" i="4" s="1"/>
  <c r="T26" i="4"/>
  <c r="HU27" i="4"/>
  <c r="IC26" i="4" s="1"/>
  <c r="HQ27" i="4"/>
  <c r="HY26" i="4" s="1"/>
  <c r="GU27" i="4"/>
  <c r="GQ27" i="4"/>
  <c r="GY26" i="4" s="1"/>
  <c r="FQ27" i="4"/>
  <c r="FY26" i="4" s="1"/>
  <c r="FM27" i="4"/>
  <c r="FU26" i="4" s="1"/>
  <c r="EM27" i="4"/>
  <c r="EI27" i="4"/>
  <c r="EQ26" i="4" s="1"/>
  <c r="DI27" i="4"/>
  <c r="DQ26" i="4" s="1"/>
  <c r="DE27" i="4"/>
  <c r="DM26" i="4" s="1"/>
  <c r="CE27" i="4"/>
  <c r="CM26" i="4" s="1"/>
  <c r="CA27" i="4"/>
  <c r="CI26" i="4" s="1"/>
  <c r="BE27" i="4"/>
  <c r="BA27" i="4"/>
  <c r="AA27" i="4"/>
  <c r="AI26" i="4" s="1"/>
  <c r="W27" i="4"/>
  <c r="HS27" i="4"/>
  <c r="IA26" i="4" s="1"/>
  <c r="GO27" i="4"/>
  <c r="GW26" i="4" s="1"/>
  <c r="FK27" i="4"/>
  <c r="EO27" i="4"/>
  <c r="EW26" i="4" s="1"/>
  <c r="DK27" i="4"/>
  <c r="CG27" i="4"/>
  <c r="CO26" i="4" s="1"/>
  <c r="BC27" i="4"/>
  <c r="BK26" i="4" s="1"/>
  <c r="Y27" i="4"/>
  <c r="Q26" i="4"/>
  <c r="HX27" i="4"/>
  <c r="IF26" i="4" s="1"/>
  <c r="GT27" i="4"/>
  <c r="FP27" i="4"/>
  <c r="EL27" i="4"/>
  <c r="ET26" i="4" s="1"/>
  <c r="DH27" i="4"/>
  <c r="DP26" i="4" s="1"/>
  <c r="CD27" i="4"/>
  <c r="CL26" i="4" s="1"/>
  <c r="BR27" i="4"/>
  <c r="AZ27" i="4"/>
  <c r="BH26" i="4" s="1"/>
  <c r="AL27" i="4"/>
  <c r="AN26" i="4" s="1"/>
  <c r="V27" i="4"/>
  <c r="AD26" i="4" s="1"/>
  <c r="HW27" i="4"/>
  <c r="IE26" i="4" s="1"/>
  <c r="GS27" i="4"/>
  <c r="HA26" i="4" s="1"/>
  <c r="FO27" i="4"/>
  <c r="FW26" i="4" s="1"/>
  <c r="EK27" i="4"/>
  <c r="DG27" i="4"/>
  <c r="DO26" i="4" s="1"/>
  <c r="CC27" i="4"/>
  <c r="CK26" i="4" s="1"/>
  <c r="AY27" i="4"/>
  <c r="BG26" i="4" s="1"/>
  <c r="AK27" i="4"/>
  <c r="U27" i="4"/>
  <c r="AC26" i="4" s="1"/>
  <c r="CH27" i="4"/>
  <c r="Z27" i="4"/>
  <c r="AH26" i="4" s="1"/>
  <c r="GP27" i="4"/>
  <c r="EH27" i="4"/>
  <c r="BD27" i="4"/>
  <c r="BL26" i="4" s="1"/>
  <c r="HT27" i="4"/>
  <c r="IB26" i="4" s="1"/>
  <c r="FL27" i="4"/>
  <c r="FT26" i="4" s="1"/>
  <c r="DD27" i="4"/>
  <c r="ES26" i="4"/>
  <c r="BI26" i="4"/>
  <c r="GB37" i="4"/>
  <c r="FD37" i="4"/>
  <c r="GA37" i="4"/>
  <c r="FE37" i="4"/>
  <c r="FC37" i="4"/>
  <c r="FF37" i="4"/>
  <c r="DO30" i="4"/>
  <c r="T30" i="4"/>
  <c r="FX26" i="4"/>
  <c r="AG26" i="4"/>
  <c r="HU24" i="4"/>
  <c r="IC24" i="4" s="1"/>
  <c r="HQ24" i="4"/>
  <c r="HY24" i="4" s="1"/>
  <c r="GS24" i="4"/>
  <c r="HA24" i="4" s="1"/>
  <c r="GO24" i="4"/>
  <c r="GW24" i="4" s="1"/>
  <c r="FQ24" i="4"/>
  <c r="FY24" i="4" s="1"/>
  <c r="FM24" i="4"/>
  <c r="FU24" i="4" s="1"/>
  <c r="HT24" i="4"/>
  <c r="IB24" i="4" s="1"/>
  <c r="GT24" i="4"/>
  <c r="HB24" i="4" s="1"/>
  <c r="GN24" i="4"/>
  <c r="GV24" i="4" s="1"/>
  <c r="FN24" i="4"/>
  <c r="FV24" i="4" s="1"/>
  <c r="EO24" i="4"/>
  <c r="EW24" i="4" s="1"/>
  <c r="EK24" i="4"/>
  <c r="ES24" i="4" s="1"/>
  <c r="DH24" i="4"/>
  <c r="DP24" i="4" s="1"/>
  <c r="DD24" i="4"/>
  <c r="DL24" i="4" s="1"/>
  <c r="CF24" i="4"/>
  <c r="CN24" i="4" s="1"/>
  <c r="CB24" i="4"/>
  <c r="CJ24" i="4" s="1"/>
  <c r="BD24" i="4"/>
  <c r="BL24" i="4" s="1"/>
  <c r="AZ24" i="4"/>
  <c r="BH24" i="4" s="1"/>
  <c r="AB24" i="4"/>
  <c r="AJ24" i="4" s="1"/>
  <c r="X24" i="4"/>
  <c r="AF24" i="4" s="1"/>
  <c r="T24" i="4"/>
  <c r="HX24" i="4"/>
  <c r="IF24" i="4" s="1"/>
  <c r="HS24" i="4"/>
  <c r="IA24" i="4" s="1"/>
  <c r="GR24" i="4"/>
  <c r="GZ24" i="4" s="1"/>
  <c r="FR24" i="4"/>
  <c r="FZ24" i="4" s="1"/>
  <c r="FL24" i="4"/>
  <c r="FT24" i="4" s="1"/>
  <c r="EN24" i="4"/>
  <c r="EV24" i="4" s="1"/>
  <c r="EJ24" i="4"/>
  <c r="ER24" i="4" s="1"/>
  <c r="DK24" i="4"/>
  <c r="DS24" i="4" s="1"/>
  <c r="DG24" i="4"/>
  <c r="DO24" i="4" s="1"/>
  <c r="CE24" i="4"/>
  <c r="CM24" i="4" s="1"/>
  <c r="CA24" i="4"/>
  <c r="CI24" i="4" s="1"/>
  <c r="BC24" i="4"/>
  <c r="BK24" i="4" s="1"/>
  <c r="AY24" i="4"/>
  <c r="BG24" i="4" s="1"/>
  <c r="HW24" i="4"/>
  <c r="IE24" i="4" s="1"/>
  <c r="HR24" i="4"/>
  <c r="HZ24" i="4" s="1"/>
  <c r="GQ24" i="4"/>
  <c r="GY24" i="4" s="1"/>
  <c r="FP24" i="4"/>
  <c r="FX24" i="4" s="1"/>
  <c r="FK24" i="4"/>
  <c r="FS24" i="4" s="1"/>
  <c r="EM24" i="4"/>
  <c r="EU24" i="4" s="1"/>
  <c r="EI24" i="4"/>
  <c r="EQ24" i="4" s="1"/>
  <c r="DJ24" i="4"/>
  <c r="DR24" i="4" s="1"/>
  <c r="DF24" i="4"/>
  <c r="DN24" i="4" s="1"/>
  <c r="CH24" i="4"/>
  <c r="CP24" i="4" s="1"/>
  <c r="CD24" i="4"/>
  <c r="CL24" i="4" s="1"/>
  <c r="BR24" i="4"/>
  <c r="BB24" i="4"/>
  <c r="BJ24" i="4" s="1"/>
  <c r="AX24" i="4"/>
  <c r="BF24" i="4" s="1"/>
  <c r="AL24" i="4"/>
  <c r="AN24" i="4" s="1"/>
  <c r="Z24" i="4"/>
  <c r="AH24" i="4" s="1"/>
  <c r="V24" i="4"/>
  <c r="AD24" i="4" s="1"/>
  <c r="R24" i="4"/>
  <c r="FO24" i="4"/>
  <c r="FW24" i="4" s="1"/>
  <c r="CG24" i="4"/>
  <c r="CO24" i="4" s="1"/>
  <c r="BA24" i="4"/>
  <c r="BI24" i="4" s="1"/>
  <c r="Y24" i="4"/>
  <c r="AG24" i="4" s="1"/>
  <c r="HV24" i="4"/>
  <c r="ID24" i="4" s="1"/>
  <c r="DI24" i="4"/>
  <c r="DQ24" i="4" s="1"/>
  <c r="CC24" i="4"/>
  <c r="CK24" i="4" s="1"/>
  <c r="W24" i="4"/>
  <c r="AE24" i="4" s="1"/>
  <c r="S24" i="4"/>
  <c r="GU24" i="4"/>
  <c r="HC24" i="4" s="1"/>
  <c r="EL24" i="4"/>
  <c r="ET24" i="4" s="1"/>
  <c r="DE24" i="4"/>
  <c r="DM24" i="4" s="1"/>
  <c r="AK24" i="4"/>
  <c r="AM24" i="4" s="1"/>
  <c r="U24" i="4"/>
  <c r="AC24" i="4" s="1"/>
  <c r="Q24" i="4"/>
  <c r="EH24" i="4"/>
  <c r="EP24" i="4" s="1"/>
  <c r="AA24" i="4"/>
  <c r="AI24" i="4" s="1"/>
  <c r="GP24" i="4"/>
  <c r="GX24" i="4" s="1"/>
  <c r="BE24" i="4"/>
  <c r="BM24" i="4" s="1"/>
  <c r="EX21" i="4"/>
  <c r="DZ21" i="4"/>
  <c r="ED20" i="4" s="1"/>
  <c r="EB21" i="4"/>
  <c r="EF20" i="4" s="1"/>
  <c r="GE21" i="4"/>
  <c r="EY21" i="4"/>
  <c r="FA20" i="4" s="1"/>
  <c r="EC21" i="4"/>
  <c r="EG20" i="4" s="1"/>
  <c r="EA21" i="4"/>
  <c r="EE20" i="4" s="1"/>
  <c r="HU15" i="4"/>
  <c r="HQ15" i="4"/>
  <c r="HY14" i="4" s="1"/>
  <c r="GU15" i="4"/>
  <c r="GQ15" i="4"/>
  <c r="GY14" i="4" s="1"/>
  <c r="FQ15" i="4"/>
  <c r="FY14" i="4" s="1"/>
  <c r="FM15" i="4"/>
  <c r="FU14" i="4" s="1"/>
  <c r="EM15" i="4"/>
  <c r="EI15" i="4"/>
  <c r="DI15" i="4"/>
  <c r="DE15" i="4"/>
  <c r="DM14" i="4" s="1"/>
  <c r="CE15" i="4"/>
  <c r="CM14" i="4" s="1"/>
  <c r="CA15" i="4"/>
  <c r="BE15" i="4"/>
  <c r="BA15" i="4"/>
  <c r="BI14" i="4" s="1"/>
  <c r="AA15" i="4"/>
  <c r="AI14" i="4" s="1"/>
  <c r="W15" i="4"/>
  <c r="HX15" i="4"/>
  <c r="HT15" i="4"/>
  <c r="GT15" i="4"/>
  <c r="HB14" i="4" s="1"/>
  <c r="GP15" i="4"/>
  <c r="GX14" i="4" s="1"/>
  <c r="HW15" i="4"/>
  <c r="IE14" i="4" s="1"/>
  <c r="HS15" i="4"/>
  <c r="GS15" i="4"/>
  <c r="GO15" i="4"/>
  <c r="GW14" i="4" s="1"/>
  <c r="FO15" i="4"/>
  <c r="FK15" i="4"/>
  <c r="EO15" i="4"/>
  <c r="EW14" i="4" s="1"/>
  <c r="EK15" i="4"/>
  <c r="ES14" i="4" s="1"/>
  <c r="DK15" i="4"/>
  <c r="DG15" i="4"/>
  <c r="CG15" i="4"/>
  <c r="CC15" i="4"/>
  <c r="CK14" i="4" s="1"/>
  <c r="BC15" i="4"/>
  <c r="AY15" i="4"/>
  <c r="AK15" i="4"/>
  <c r="Y15" i="4"/>
  <c r="AG14" i="4" s="1"/>
  <c r="U15" i="4"/>
  <c r="AC14" i="4" s="1"/>
  <c r="HV15" i="4"/>
  <c r="ID14" i="4" s="1"/>
  <c r="GR15" i="4"/>
  <c r="GZ14" i="4" s="1"/>
  <c r="FR15" i="4"/>
  <c r="FZ14" i="4" s="1"/>
  <c r="EN15" i="4"/>
  <c r="EV14" i="4" s="1"/>
  <c r="DJ15" i="4"/>
  <c r="DR14" i="4" s="1"/>
  <c r="CF15" i="4"/>
  <c r="CN14" i="4" s="1"/>
  <c r="BB15" i="4"/>
  <c r="X15" i="4"/>
  <c r="AF14" i="4" s="1"/>
  <c r="HR15" i="4"/>
  <c r="GN15" i="4"/>
  <c r="GV14" i="4" s="1"/>
  <c r="FP15" i="4"/>
  <c r="EL15" i="4"/>
  <c r="DH15" i="4"/>
  <c r="CD15" i="4"/>
  <c r="CL14" i="4" s="1"/>
  <c r="BR15" i="4"/>
  <c r="AZ15" i="4"/>
  <c r="AL15" i="4"/>
  <c r="AN14" i="4" s="1"/>
  <c r="V15" i="4"/>
  <c r="AD14" i="4" s="1"/>
  <c r="FN15" i="4"/>
  <c r="EJ15" i="4"/>
  <c r="DF15" i="4"/>
  <c r="DN14" i="4" s="1"/>
  <c r="CB15" i="4"/>
  <c r="CJ14" i="4" s="1"/>
  <c r="AX15" i="4"/>
  <c r="AB15" i="4"/>
  <c r="AJ14" i="4" s="1"/>
  <c r="FL15" i="4"/>
  <c r="FT14" i="4" s="1"/>
  <c r="DD15" i="4"/>
  <c r="BD15" i="4"/>
  <c r="CH15" i="4"/>
  <c r="Z15" i="4"/>
  <c r="AH14" i="4" s="1"/>
  <c r="EH15" i="4"/>
  <c r="R14" i="4"/>
  <c r="AS12" i="4"/>
  <c r="AR12" i="4"/>
  <c r="BO12" i="4"/>
  <c r="AQ12" i="4"/>
  <c r="AP12" i="4"/>
  <c r="BN12" i="4"/>
  <c r="Q12" i="4"/>
  <c r="ED8" i="4"/>
  <c r="CK8" i="4"/>
  <c r="AM8" i="4"/>
  <c r="FV4" i="4"/>
  <c r="DQ4" i="4"/>
  <c r="BM4" i="4"/>
  <c r="AG4" i="4"/>
  <c r="HA12" i="4"/>
  <c r="BH12" i="4"/>
  <c r="HZ12" i="4"/>
  <c r="HA8" i="4"/>
  <c r="EW8" i="4"/>
  <c r="DL8" i="4"/>
  <c r="BH8" i="4"/>
  <c r="IC4" i="4"/>
  <c r="FY4" i="4"/>
  <c r="EG4" i="4"/>
  <c r="CJ4" i="4"/>
  <c r="AF4" i="4"/>
  <c r="DQ20" i="4"/>
  <c r="FZ20" i="4"/>
  <c r="R20" i="4"/>
  <c r="BF20" i="4"/>
  <c r="CP20" i="4"/>
  <c r="HY20" i="4"/>
  <c r="AI20" i="4"/>
  <c r="CM20" i="4"/>
  <c r="EV20" i="4"/>
  <c r="HZ20" i="4"/>
  <c r="IA20" i="4"/>
  <c r="FA16" i="4"/>
  <c r="GZ12" i="4"/>
  <c r="DO12" i="4"/>
  <c r="BG12" i="4"/>
  <c r="BO10" i="4"/>
  <c r="AQ10" i="4"/>
  <c r="BN10" i="4"/>
  <c r="AP10" i="4"/>
  <c r="AS10" i="4"/>
  <c r="AR10" i="4"/>
  <c r="GV8" i="4"/>
  <c r="ER8" i="4"/>
  <c r="AI8" i="4"/>
  <c r="EF4" i="4"/>
  <c r="CI4" i="4"/>
  <c r="AE4" i="4"/>
  <c r="DL14" i="4"/>
  <c r="ES6" i="4"/>
  <c r="BM6" i="4"/>
  <c r="DQ6" i="4"/>
  <c r="FZ6" i="4"/>
  <c r="ID6" i="4"/>
  <c r="AN6" i="4"/>
  <c r="CL6" i="4"/>
  <c r="EQ6" i="4"/>
  <c r="GY6" i="4"/>
  <c r="BK6" i="4"/>
  <c r="FX6" i="4"/>
  <c r="IF6" i="4"/>
  <c r="CQ5" i="4"/>
  <c r="CS4" i="4" s="1"/>
  <c r="BS5" i="4"/>
  <c r="BW4" i="4" s="1"/>
  <c r="BV5" i="4"/>
  <c r="BZ4" i="4" s="1"/>
  <c r="BU5" i="4"/>
  <c r="BY4" i="4" s="1"/>
  <c r="BT5" i="4"/>
  <c r="BX4" i="4" s="1"/>
  <c r="CR5" i="4"/>
  <c r="CT4" i="4" s="1"/>
  <c r="AS5" i="4"/>
  <c r="AR5" i="4"/>
  <c r="CU5" i="4"/>
  <c r="BO5" i="4"/>
  <c r="AQ5" i="4"/>
  <c r="AP5" i="4"/>
  <c r="BN5" i="4"/>
  <c r="CQ9" i="4"/>
  <c r="BS9" i="4"/>
  <c r="BV9" i="4"/>
  <c r="BZ8" i="4" s="1"/>
  <c r="BU9" i="4"/>
  <c r="CR9" i="4"/>
  <c r="BT9" i="4"/>
  <c r="BX8" i="4" s="1"/>
  <c r="AS9" i="4"/>
  <c r="AR9" i="4"/>
  <c r="CU9" i="4"/>
  <c r="BO9" i="4"/>
  <c r="AQ9" i="4"/>
  <c r="BN9" i="4"/>
  <c r="AP9" i="4"/>
  <c r="T16" i="4"/>
  <c r="IC16" i="4"/>
  <c r="HA16" i="4"/>
  <c r="AM16" i="4"/>
  <c r="CO16" i="4"/>
  <c r="HB16" i="4"/>
  <c r="AD16" i="4"/>
  <c r="BJ16" i="4"/>
  <c r="DN16" i="4"/>
  <c r="FS16" i="4"/>
  <c r="IA16" i="4"/>
  <c r="AI16" i="4"/>
  <c r="CM16" i="4"/>
  <c r="EV16" i="4"/>
  <c r="AM10" i="4"/>
  <c r="BW8" i="4"/>
  <c r="CT8" i="4"/>
  <c r="BL6" i="4"/>
  <c r="HW3" i="4"/>
  <c r="IE2" i="4" s="1"/>
  <c r="HS3" i="4"/>
  <c r="GS3" i="4"/>
  <c r="HA2" i="4" s="1"/>
  <c r="GO3" i="4"/>
  <c r="GW2" i="4" s="1"/>
  <c r="FO3" i="4"/>
  <c r="FW2" i="4" s="1"/>
  <c r="FK3" i="4"/>
  <c r="FS2" i="4" s="1"/>
  <c r="EO3" i="4"/>
  <c r="EW2" i="4" s="1"/>
  <c r="EK3" i="4"/>
  <c r="DK3" i="4"/>
  <c r="DS2" i="4" s="1"/>
  <c r="DG3" i="4"/>
  <c r="DO2" i="4" s="1"/>
  <c r="CG3" i="4"/>
  <c r="CC3" i="4"/>
  <c r="BC3" i="4"/>
  <c r="BK2" i="4" s="1"/>
  <c r="AY3" i="4"/>
  <c r="BG2" i="4" s="1"/>
  <c r="AK3" i="4"/>
  <c r="AM2" i="4" s="1"/>
  <c r="Y3" i="4"/>
  <c r="AG2" i="4" s="1"/>
  <c r="U3" i="4"/>
  <c r="AC2" i="4" s="1"/>
  <c r="Q2" i="4"/>
  <c r="HR3" i="4"/>
  <c r="HZ2" i="4" s="1"/>
  <c r="GR3" i="4"/>
  <c r="FN3" i="4"/>
  <c r="FV2" i="4" s="1"/>
  <c r="EJ3" i="4"/>
  <c r="ER2" i="4" s="1"/>
  <c r="CF3" i="4"/>
  <c r="CN2" i="4" s="1"/>
  <c r="BB3" i="4"/>
  <c r="BJ2" i="4" s="1"/>
  <c r="X3" i="4"/>
  <c r="AF2" i="4" s="1"/>
  <c r="HV3" i="4"/>
  <c r="ID2" i="4" s="1"/>
  <c r="GN3" i="4"/>
  <c r="GV2" i="4" s="1"/>
  <c r="FR3" i="4"/>
  <c r="EN3" i="4"/>
  <c r="EV2" i="4" s="1"/>
  <c r="DJ3" i="4"/>
  <c r="DR2" i="4" s="1"/>
  <c r="DF3" i="4"/>
  <c r="DN2" i="4" s="1"/>
  <c r="CB3" i="4"/>
  <c r="CJ2" i="4" s="1"/>
  <c r="AX3" i="4"/>
  <c r="BF2" i="4" s="1"/>
  <c r="AB3" i="4"/>
  <c r="AJ2" i="4" s="1"/>
  <c r="T2" i="4"/>
  <c r="HU3" i="4"/>
  <c r="IC2" i="4" s="1"/>
  <c r="HQ3" i="4"/>
  <c r="HY2" i="4" s="1"/>
  <c r="GU3" i="4"/>
  <c r="HC2" i="4" s="1"/>
  <c r="GQ3" i="4"/>
  <c r="GY2" i="4" s="1"/>
  <c r="FQ3" i="4"/>
  <c r="FY2" i="4" s="1"/>
  <c r="FM3" i="4"/>
  <c r="FU2" i="4" s="1"/>
  <c r="EM3" i="4"/>
  <c r="EU2" i="4" s="1"/>
  <c r="EI3" i="4"/>
  <c r="EQ2" i="4" s="1"/>
  <c r="DI3" i="4"/>
  <c r="DQ2" i="4" s="1"/>
  <c r="DE3" i="4"/>
  <c r="DM2" i="4" s="1"/>
  <c r="CE3" i="4"/>
  <c r="CM2" i="4" s="1"/>
  <c r="CA3" i="4"/>
  <c r="CI2" i="4" s="1"/>
  <c r="BE3" i="4"/>
  <c r="BM2" i="4" s="1"/>
  <c r="BA3" i="4"/>
  <c r="BI2" i="4" s="1"/>
  <c r="AA3" i="4"/>
  <c r="AI2" i="4" s="1"/>
  <c r="W3" i="4"/>
  <c r="AE2" i="4" s="1"/>
  <c r="S2" i="4"/>
  <c r="HT3" i="4"/>
  <c r="IB2" i="4" s="1"/>
  <c r="GP3" i="4"/>
  <c r="GX2" i="4" s="1"/>
  <c r="FL3" i="4"/>
  <c r="EH3" i="4"/>
  <c r="EP2" i="4" s="1"/>
  <c r="DD3" i="4"/>
  <c r="DL2" i="4" s="1"/>
  <c r="R2" i="4"/>
  <c r="BD3" i="4"/>
  <c r="BL2" i="4" s="1"/>
  <c r="Z3" i="4"/>
  <c r="AH2" i="4" s="1"/>
  <c r="AL3" i="4"/>
  <c r="AN2" i="4" s="1"/>
  <c r="CH3" i="4"/>
  <c r="CP2" i="4" s="1"/>
  <c r="HX3" i="4"/>
  <c r="GT3" i="4"/>
  <c r="HB2" i="4" s="1"/>
  <c r="FP3" i="4"/>
  <c r="FX2" i="4" s="1"/>
  <c r="EL3" i="4"/>
  <c r="DH3" i="4"/>
  <c r="DP2" i="4" s="1"/>
  <c r="CD3" i="4"/>
  <c r="CL2" i="4" s="1"/>
  <c r="AZ3" i="4"/>
  <c r="BH2" i="4" s="1"/>
  <c r="V3" i="4"/>
  <c r="AD2" i="4" s="1"/>
  <c r="ES2" i="4"/>
  <c r="CK2" i="4"/>
  <c r="GZ2" i="4"/>
  <c r="FS14" i="4"/>
  <c r="BW12" i="4"/>
  <c r="CT12" i="4"/>
  <c r="EC7" i="4"/>
  <c r="EG6" i="4" s="1"/>
  <c r="EB7" i="4"/>
  <c r="GE7" i="4"/>
  <c r="EY7" i="4"/>
  <c r="FA6" i="4" s="1"/>
  <c r="EA7" i="4"/>
  <c r="EE6" i="4" s="1"/>
  <c r="DZ7" i="4"/>
  <c r="EX7" i="4"/>
  <c r="EZ6" i="4" s="1"/>
  <c r="DQ14" i="4"/>
  <c r="BF14" i="4"/>
  <c r="HA14" i="4"/>
  <c r="BH14" i="4"/>
  <c r="EP14" i="4"/>
  <c r="CO14" i="4"/>
  <c r="FW14" i="4"/>
  <c r="BG14" i="4"/>
  <c r="DO14" i="4"/>
  <c r="IB14" i="4"/>
  <c r="HW11" i="4"/>
  <c r="HS11" i="4"/>
  <c r="IA10" i="4" s="1"/>
  <c r="GS11" i="4"/>
  <c r="HA10" i="4" s="1"/>
  <c r="GO11" i="4"/>
  <c r="GW10" i="4" s="1"/>
  <c r="FO11" i="4"/>
  <c r="FK11" i="4"/>
  <c r="FS10" i="4" s="1"/>
  <c r="EO11" i="4"/>
  <c r="EW10" i="4" s="1"/>
  <c r="EK11" i="4"/>
  <c r="DK11" i="4"/>
  <c r="DS10" i="4" s="1"/>
  <c r="DG11" i="4"/>
  <c r="DO10" i="4" s="1"/>
  <c r="CG11" i="4"/>
  <c r="CO10" i="4" s="1"/>
  <c r="CC11" i="4"/>
  <c r="CK10" i="4" s="1"/>
  <c r="BC11" i="4"/>
  <c r="AY11" i="4"/>
  <c r="BG10" i="4" s="1"/>
  <c r="AK11" i="4"/>
  <c r="Y11" i="4"/>
  <c r="AG10" i="4" s="1"/>
  <c r="U11" i="4"/>
  <c r="AC10" i="4" s="1"/>
  <c r="Q10" i="4"/>
  <c r="HV11" i="4"/>
  <c r="ID10" i="4" s="1"/>
  <c r="HR11" i="4"/>
  <c r="GR11" i="4"/>
  <c r="GZ10" i="4" s="1"/>
  <c r="GN11" i="4"/>
  <c r="GV10" i="4" s="1"/>
  <c r="FR11" i="4"/>
  <c r="FZ10" i="4" s="1"/>
  <c r="FN11" i="4"/>
  <c r="EN11" i="4"/>
  <c r="EV10" i="4" s="1"/>
  <c r="EJ11" i="4"/>
  <c r="ER10" i="4" s="1"/>
  <c r="DJ11" i="4"/>
  <c r="DF11" i="4"/>
  <c r="DN10" i="4" s="1"/>
  <c r="CF11" i="4"/>
  <c r="CN10" i="4" s="1"/>
  <c r="CB11" i="4"/>
  <c r="CJ10" i="4" s="1"/>
  <c r="BB11" i="4"/>
  <c r="BJ10" i="4" s="1"/>
  <c r="AX11" i="4"/>
  <c r="BF10" i="4" s="1"/>
  <c r="AB11" i="4"/>
  <c r="AJ10" i="4" s="1"/>
  <c r="X11" i="4"/>
  <c r="AF10" i="4" s="1"/>
  <c r="T10" i="4"/>
  <c r="HU11" i="4"/>
  <c r="IC10" i="4" s="1"/>
  <c r="HQ11" i="4"/>
  <c r="HY10" i="4" s="1"/>
  <c r="GU11" i="4"/>
  <c r="HC10" i="4" s="1"/>
  <c r="GQ11" i="4"/>
  <c r="GY10" i="4" s="1"/>
  <c r="FQ11" i="4"/>
  <c r="FM11" i="4"/>
  <c r="FU10" i="4" s="1"/>
  <c r="EM11" i="4"/>
  <c r="EU10" i="4" s="1"/>
  <c r="EI11" i="4"/>
  <c r="DI11" i="4"/>
  <c r="DQ10" i="4" s="1"/>
  <c r="DE11" i="4"/>
  <c r="CE11" i="4"/>
  <c r="CM10" i="4" s="1"/>
  <c r="CA11" i="4"/>
  <c r="CI10" i="4" s="1"/>
  <c r="BE11" i="4"/>
  <c r="BA11" i="4"/>
  <c r="AA11" i="4"/>
  <c r="AI10" i="4" s="1"/>
  <c r="W11" i="4"/>
  <c r="AE10" i="4" s="1"/>
  <c r="S10" i="4"/>
  <c r="CH11" i="4"/>
  <c r="CP10" i="4" s="1"/>
  <c r="BD11" i="4"/>
  <c r="BL10" i="4" s="1"/>
  <c r="Z11" i="4"/>
  <c r="HX11" i="4"/>
  <c r="IF10" i="4" s="1"/>
  <c r="GT11" i="4"/>
  <c r="HB10" i="4" s="1"/>
  <c r="FP11" i="4"/>
  <c r="FX10" i="4" s="1"/>
  <c r="EL11" i="4"/>
  <c r="ET10" i="4" s="1"/>
  <c r="DH11" i="4"/>
  <c r="DP10" i="4" s="1"/>
  <c r="CD11" i="4"/>
  <c r="CL10" i="4" s="1"/>
  <c r="AZ11" i="4"/>
  <c r="BH10" i="4" s="1"/>
  <c r="V11" i="4"/>
  <c r="AD10" i="4" s="1"/>
  <c r="HT11" i="4"/>
  <c r="GP11" i="4"/>
  <c r="GX10" i="4" s="1"/>
  <c r="FL11" i="4"/>
  <c r="EH11" i="4"/>
  <c r="EP10" i="4" s="1"/>
  <c r="DD11" i="4"/>
  <c r="DL10" i="4" s="1"/>
  <c r="R10" i="4"/>
  <c r="BR11" i="4"/>
  <c r="AL11" i="4"/>
  <c r="AN10" i="4" s="1"/>
  <c r="IG5" i="4"/>
  <c r="HI5" i="4"/>
  <c r="HL5" i="4"/>
  <c r="HK5" i="4"/>
  <c r="IH5" i="4"/>
  <c r="HJ5" i="4"/>
  <c r="FE13" i="4"/>
  <c r="FI12" i="4" s="1"/>
  <c r="GB13" i="4"/>
  <c r="GD12" i="4" s="1"/>
  <c r="FF13" i="4"/>
  <c r="GA13" i="4"/>
  <c r="GC12" i="4" s="1"/>
  <c r="FD13" i="4"/>
  <c r="FH12" i="4" s="1"/>
  <c r="FC13" i="4"/>
  <c r="FG12" i="4" s="1"/>
  <c r="BV41" i="4"/>
  <c r="BZ40" i="4" s="1"/>
  <c r="BU41" i="4"/>
  <c r="BY40" i="4" s="1"/>
  <c r="CR41" i="4"/>
  <c r="CT40" i="4" s="1"/>
  <c r="BS41" i="4"/>
  <c r="BW40" i="4" s="1"/>
  <c r="CQ41" i="4"/>
  <c r="BT41" i="4"/>
  <c r="EZ38" i="4"/>
  <c r="FF36" i="4"/>
  <c r="FJ36" i="4" s="1"/>
  <c r="FD36" i="4"/>
  <c r="FH36" i="4" s="1"/>
  <c r="FC36" i="4"/>
  <c r="GB36" i="4"/>
  <c r="GA36" i="4"/>
  <c r="GC36" i="4" s="1"/>
  <c r="FE36" i="4"/>
  <c r="CQ31" i="4"/>
  <c r="BS31" i="4"/>
  <c r="BV31" i="4"/>
  <c r="CR31" i="4"/>
  <c r="BU31" i="4"/>
  <c r="BT31" i="4"/>
  <c r="GB30" i="4"/>
  <c r="FD30" i="4"/>
  <c r="GA30" i="4"/>
  <c r="FC30" i="4"/>
  <c r="FE30" i="4"/>
  <c r="FF30" i="4"/>
  <c r="AE26" i="4"/>
  <c r="HB26" i="4"/>
  <c r="FS26" i="4"/>
  <c r="DS26" i="4"/>
  <c r="GA26" i="4"/>
  <c r="FC26" i="4"/>
  <c r="FF26" i="4"/>
  <c r="GB26" i="4"/>
  <c r="FD26" i="4"/>
  <c r="FE26" i="4"/>
  <c r="HW22" i="4"/>
  <c r="IE22" i="4" s="1"/>
  <c r="HS22" i="4"/>
  <c r="IA22" i="4" s="1"/>
  <c r="GU22" i="4"/>
  <c r="HC22" i="4" s="1"/>
  <c r="GQ22" i="4"/>
  <c r="GY22" i="4" s="1"/>
  <c r="FO22" i="4"/>
  <c r="FW22" i="4" s="1"/>
  <c r="FK22" i="4"/>
  <c r="FS22" i="4" s="1"/>
  <c r="EM22" i="4"/>
  <c r="EU22" i="4" s="1"/>
  <c r="EI22" i="4"/>
  <c r="EQ22" i="4" s="1"/>
  <c r="DJ22" i="4"/>
  <c r="DR22" i="4" s="1"/>
  <c r="DF22" i="4"/>
  <c r="DN22" i="4" s="1"/>
  <c r="CH22" i="4"/>
  <c r="CP22" i="4" s="1"/>
  <c r="CD22" i="4"/>
  <c r="CL22" i="4" s="1"/>
  <c r="BR22" i="4"/>
  <c r="BB22" i="4"/>
  <c r="BJ22" i="4" s="1"/>
  <c r="AX22" i="4"/>
  <c r="BF22" i="4" s="1"/>
  <c r="AL22" i="4"/>
  <c r="AN22" i="4" s="1"/>
  <c r="Z22" i="4"/>
  <c r="AH22" i="4" s="1"/>
  <c r="V22" i="4"/>
  <c r="AD22" i="4" s="1"/>
  <c r="R22" i="4"/>
  <c r="HU22" i="4"/>
  <c r="IC22" i="4" s="1"/>
  <c r="HQ22" i="4"/>
  <c r="HY22" i="4" s="1"/>
  <c r="GS22" i="4"/>
  <c r="HA22" i="4" s="1"/>
  <c r="GO22" i="4"/>
  <c r="GW22" i="4" s="1"/>
  <c r="FQ22" i="4"/>
  <c r="FY22" i="4" s="1"/>
  <c r="FM22" i="4"/>
  <c r="FU22" i="4" s="1"/>
  <c r="EO22" i="4"/>
  <c r="EW22" i="4" s="1"/>
  <c r="EK22" i="4"/>
  <c r="ES22" i="4" s="1"/>
  <c r="DH22" i="4"/>
  <c r="DP22" i="4" s="1"/>
  <c r="DD22" i="4"/>
  <c r="DL22" i="4" s="1"/>
  <c r="CF22" i="4"/>
  <c r="CN22" i="4" s="1"/>
  <c r="CB22" i="4"/>
  <c r="CJ22" i="4" s="1"/>
  <c r="BD22" i="4"/>
  <c r="BL22" i="4" s="1"/>
  <c r="AZ22" i="4"/>
  <c r="BH22" i="4" s="1"/>
  <c r="AB22" i="4"/>
  <c r="AJ22" i="4" s="1"/>
  <c r="X22" i="4"/>
  <c r="AF22" i="4" s="1"/>
  <c r="T22" i="4"/>
  <c r="HT22" i="4"/>
  <c r="IB22" i="4" s="1"/>
  <c r="GN22" i="4"/>
  <c r="GV22" i="4" s="1"/>
  <c r="FP22" i="4"/>
  <c r="FX22" i="4" s="1"/>
  <c r="EJ22" i="4"/>
  <c r="ER22" i="4" s="1"/>
  <c r="DK22" i="4"/>
  <c r="DS22" i="4" s="1"/>
  <c r="CE22" i="4"/>
  <c r="CM22" i="4" s="1"/>
  <c r="AY22" i="4"/>
  <c r="BG22" i="4" s="1"/>
  <c r="AA22" i="4"/>
  <c r="AI22" i="4" s="1"/>
  <c r="HR22" i="4"/>
  <c r="HZ22" i="4" s="1"/>
  <c r="GT22" i="4"/>
  <c r="HB22" i="4" s="1"/>
  <c r="FN22" i="4"/>
  <c r="FV22" i="4" s="1"/>
  <c r="EH22" i="4"/>
  <c r="EP22" i="4" s="1"/>
  <c r="DI22" i="4"/>
  <c r="DQ22" i="4" s="1"/>
  <c r="CC22" i="4"/>
  <c r="CK22" i="4" s="1"/>
  <c r="BE22" i="4"/>
  <c r="BM22" i="4" s="1"/>
  <c r="Y22" i="4"/>
  <c r="AG22" i="4" s="1"/>
  <c r="HX22" i="4"/>
  <c r="IF22" i="4" s="1"/>
  <c r="GR22" i="4"/>
  <c r="GZ22" i="4" s="1"/>
  <c r="FL22" i="4"/>
  <c r="FT22" i="4" s="1"/>
  <c r="EN22" i="4"/>
  <c r="EV22" i="4" s="1"/>
  <c r="DG22" i="4"/>
  <c r="DO22" i="4" s="1"/>
  <c r="CA22" i="4"/>
  <c r="CI22" i="4" s="1"/>
  <c r="BC22" i="4"/>
  <c r="BK22" i="4" s="1"/>
  <c r="W22" i="4"/>
  <c r="AE22" i="4" s="1"/>
  <c r="S22" i="4"/>
  <c r="CG22" i="4"/>
  <c r="CO22" i="4" s="1"/>
  <c r="BA22" i="4"/>
  <c r="BI22" i="4" s="1"/>
  <c r="U22" i="4"/>
  <c r="AC22" i="4" s="1"/>
  <c r="FR22" i="4"/>
  <c r="FZ22" i="4" s="1"/>
  <c r="EL22" i="4"/>
  <c r="ET22" i="4" s="1"/>
  <c r="DE22" i="4"/>
  <c r="DM22" i="4" s="1"/>
  <c r="Q22" i="4"/>
  <c r="HV22" i="4"/>
  <c r="ID22" i="4" s="1"/>
  <c r="GP22" i="4"/>
  <c r="GX22" i="4" s="1"/>
  <c r="AK22" i="4"/>
  <c r="AM22" i="4" s="1"/>
  <c r="CU20" i="4"/>
  <c r="CQ20" i="4"/>
  <c r="BS20" i="4"/>
  <c r="BV20" i="4"/>
  <c r="BU20" i="4"/>
  <c r="CR20" i="4"/>
  <c r="BT20" i="4"/>
  <c r="FX20" i="4"/>
  <c r="CI12" i="4"/>
  <c r="AJ6" i="4"/>
  <c r="CO6" i="4"/>
  <c r="FS6" i="4"/>
  <c r="AI6" i="4"/>
  <c r="BM16" i="4"/>
  <c r="ID16" i="4"/>
  <c r="EQ16" i="4"/>
  <c r="FX16" i="4"/>
  <c r="ES10" i="4"/>
  <c r="BM10" i="4"/>
  <c r="EQ10" i="4"/>
  <c r="BK10" i="4"/>
  <c r="IF2" i="4"/>
  <c r="CS40" i="4"/>
  <c r="BJ14" i="4"/>
  <c r="DU12" i="4"/>
  <c r="CW12" i="4"/>
  <c r="DT12" i="4"/>
  <c r="CV12" i="4"/>
  <c r="CY12" i="4"/>
  <c r="GE12" i="4"/>
  <c r="CX12" i="4"/>
  <c r="Q14" i="4"/>
  <c r="FV14" i="4"/>
  <c r="T14" i="4"/>
  <c r="EQ14" i="4"/>
  <c r="HC14" i="4"/>
  <c r="AE14" i="4"/>
  <c r="CI14" i="4"/>
  <c r="ER14" i="4"/>
  <c r="IC40" i="4"/>
  <c r="CI40" i="4"/>
  <c r="BM38" i="4"/>
  <c r="BF38" i="4"/>
  <c r="BV37" i="4"/>
  <c r="BS37" i="4"/>
  <c r="CR37" i="4"/>
  <c r="BU37" i="4"/>
  <c r="CQ37" i="4"/>
  <c r="BT37" i="4"/>
  <c r="EY34" i="4"/>
  <c r="FA34" i="4" s="1"/>
  <c r="EA34" i="4"/>
  <c r="EE34" i="4" s="1"/>
  <c r="EB34" i="4"/>
  <c r="DZ34" i="4"/>
  <c r="ED34" i="4" s="1"/>
  <c r="EX34" i="4"/>
  <c r="EZ34" i="4" s="1"/>
  <c r="EC34" i="4"/>
  <c r="EG34" i="4" s="1"/>
  <c r="AS31" i="4"/>
  <c r="CU31" i="4"/>
  <c r="BO31" i="4"/>
  <c r="AR31" i="4"/>
  <c r="AP31" i="4"/>
  <c r="BN31" i="4"/>
  <c r="AQ31" i="4"/>
  <c r="EY30" i="4"/>
  <c r="FA30" i="4" s="1"/>
  <c r="EA30" i="4"/>
  <c r="EE30" i="4" s="1"/>
  <c r="DZ30" i="4"/>
  <c r="ED30" i="4" s="1"/>
  <c r="EX30" i="4"/>
  <c r="EZ30" i="4" s="1"/>
  <c r="EC30" i="4"/>
  <c r="EG30" i="4" s="1"/>
  <c r="EB30" i="4"/>
  <c r="EF30" i="4" s="1"/>
  <c r="AG30" i="4"/>
  <c r="FZ30" i="4"/>
  <c r="BJ30" i="4"/>
  <c r="GB29" i="4"/>
  <c r="GD28" i="4" s="1"/>
  <c r="FD29" i="4"/>
  <c r="FH28" i="4" s="1"/>
  <c r="GA29" i="4"/>
  <c r="GC28" i="4" s="1"/>
  <c r="FC29" i="4"/>
  <c r="FG28" i="4" s="1"/>
  <c r="FE29" i="4"/>
  <c r="FI28" i="4" s="1"/>
  <c r="FF29" i="4"/>
  <c r="FJ28" i="4" s="1"/>
  <c r="AR25" i="4"/>
  <c r="BN25" i="4"/>
  <c r="AQ25" i="4"/>
  <c r="AP25" i="4"/>
  <c r="AS25" i="4"/>
  <c r="BO25" i="4"/>
  <c r="CU25" i="4"/>
  <c r="HB12" i="4"/>
  <c r="ET12" i="4"/>
  <c r="AS8" i="4"/>
  <c r="AR8" i="4"/>
  <c r="BO8" i="4"/>
  <c r="BQ8" i="4" s="1"/>
  <c r="AQ8" i="4"/>
  <c r="AP8" i="4"/>
  <c r="AT8" i="4" s="1"/>
  <c r="BN8" i="4"/>
  <c r="CK4" i="4"/>
  <c r="AS13" i="4"/>
  <c r="BN13" i="4"/>
  <c r="AQ13" i="4"/>
  <c r="AP13" i="4"/>
  <c r="BO13" i="4"/>
  <c r="CU13" i="4"/>
  <c r="AR13" i="4"/>
  <c r="DP12" i="4"/>
  <c r="GW4" i="4"/>
  <c r="FY20" i="4"/>
  <c r="BI20" i="4"/>
  <c r="FV20" i="4"/>
  <c r="IC20" i="4"/>
  <c r="CL20" i="4"/>
  <c r="GX20" i="4"/>
  <c r="CI20" i="4"/>
  <c r="GZ20" i="4"/>
  <c r="BP40" i="4"/>
  <c r="ID40" i="4"/>
  <c r="BG40" i="4"/>
  <c r="DO40" i="4"/>
  <c r="GB41" i="4"/>
  <c r="GD40" i="4" s="1"/>
  <c r="FD41" i="4"/>
  <c r="FH40" i="4" s="1"/>
  <c r="GA41" i="4"/>
  <c r="GC40" i="4" s="1"/>
  <c r="FC41" i="4"/>
  <c r="FG40" i="4" s="1"/>
  <c r="FF41" i="4"/>
  <c r="FJ40" i="4" s="1"/>
  <c r="FE41" i="4"/>
  <c r="FI40" i="4" s="1"/>
  <c r="GI41" i="4"/>
  <c r="GH41" i="4"/>
  <c r="HE41" i="4"/>
  <c r="GG41" i="4"/>
  <c r="GF41" i="4"/>
  <c r="HD41" i="4"/>
  <c r="GB38" i="4"/>
  <c r="GA38" i="4"/>
  <c r="FC38" i="4"/>
  <c r="FE38" i="4"/>
  <c r="FD38" i="4"/>
  <c r="FF38" i="4"/>
  <c r="AF38" i="4"/>
  <c r="DM38" i="4"/>
  <c r="AG38" i="4"/>
  <c r="CN38" i="4"/>
  <c r="FV38" i="4"/>
  <c r="HA38" i="4"/>
  <c r="AH38" i="4"/>
  <c r="BV38" i="4"/>
  <c r="BZ38" i="4" s="1"/>
  <c r="CQ38" i="4"/>
  <c r="CS38" i="4" s="1"/>
  <c r="BU38" i="4"/>
  <c r="BY38" i="4" s="1"/>
  <c r="CU38" i="4"/>
  <c r="BT38" i="4"/>
  <c r="BX38" i="4" s="1"/>
  <c r="BS38" i="4"/>
  <c r="BW38" i="4" s="1"/>
  <c r="CR38" i="4"/>
  <c r="CT38" i="4" s="1"/>
  <c r="GA34" i="4"/>
  <c r="FC34" i="4"/>
  <c r="GB34" i="4"/>
  <c r="FF34" i="4"/>
  <c r="FE34" i="4"/>
  <c r="FD34" i="4"/>
  <c r="HV35" i="4"/>
  <c r="HR35" i="4"/>
  <c r="GR35" i="4"/>
  <c r="GN35" i="4"/>
  <c r="FR35" i="4"/>
  <c r="FN35" i="4"/>
  <c r="EN35" i="4"/>
  <c r="EJ35" i="4"/>
  <c r="DJ35" i="4"/>
  <c r="DF35" i="4"/>
  <c r="CF35" i="4"/>
  <c r="CB35" i="4"/>
  <c r="BB35" i="4"/>
  <c r="AX35" i="4"/>
  <c r="AB35" i="4"/>
  <c r="X35" i="4"/>
  <c r="HT35" i="4"/>
  <c r="GU35" i="4"/>
  <c r="GP35" i="4"/>
  <c r="FQ35" i="4"/>
  <c r="FL35" i="4"/>
  <c r="EM35" i="4"/>
  <c r="EH35" i="4"/>
  <c r="DI35" i="4"/>
  <c r="DD35" i="4"/>
  <c r="CE35" i="4"/>
  <c r="BA35" i="4"/>
  <c r="AK35" i="4"/>
  <c r="W35" i="4"/>
  <c r="HX35" i="4"/>
  <c r="HS35" i="4"/>
  <c r="GT35" i="4"/>
  <c r="GO35" i="4"/>
  <c r="FP35" i="4"/>
  <c r="FK35" i="4"/>
  <c r="EL35" i="4"/>
  <c r="DH35" i="4"/>
  <c r="CD35" i="4"/>
  <c r="BE35" i="4"/>
  <c r="AZ35" i="4"/>
  <c r="AA35" i="4"/>
  <c r="V35" i="4"/>
  <c r="HW35" i="4"/>
  <c r="FO35" i="4"/>
  <c r="DG35" i="4"/>
  <c r="CH35" i="4"/>
  <c r="AY35" i="4"/>
  <c r="Z35" i="4"/>
  <c r="HU35" i="4"/>
  <c r="FM35" i="4"/>
  <c r="EO35" i="4"/>
  <c r="DE35" i="4"/>
  <c r="CG35" i="4"/>
  <c r="BR35" i="4"/>
  <c r="Y35" i="4"/>
  <c r="GS35" i="4"/>
  <c r="CC35" i="4"/>
  <c r="GQ35" i="4"/>
  <c r="DK35" i="4"/>
  <c r="CA35" i="4"/>
  <c r="AL35" i="4"/>
  <c r="HQ35" i="4"/>
  <c r="EK35" i="4"/>
  <c r="BD35" i="4"/>
  <c r="U35" i="4"/>
  <c r="EI35" i="4"/>
  <c r="BC35" i="4"/>
  <c r="CU32" i="4"/>
  <c r="CQ32" i="4"/>
  <c r="BS32" i="4"/>
  <c r="BT32" i="4"/>
  <c r="CR32" i="4"/>
  <c r="BV32" i="4"/>
  <c r="BU32" i="4"/>
  <c r="ED32" i="4"/>
  <c r="HU36" i="4"/>
  <c r="IC36" i="4" s="1"/>
  <c r="HQ36" i="4"/>
  <c r="HY36" i="4" s="1"/>
  <c r="GS36" i="4"/>
  <c r="HA36" i="4" s="1"/>
  <c r="GO36" i="4"/>
  <c r="GW36" i="4" s="1"/>
  <c r="HV36" i="4"/>
  <c r="ID36" i="4" s="1"/>
  <c r="GU36" i="4"/>
  <c r="HC36" i="4" s="1"/>
  <c r="GP36" i="4"/>
  <c r="GX36" i="4" s="1"/>
  <c r="FR36" i="4"/>
  <c r="FZ36" i="4" s="1"/>
  <c r="FN36" i="4"/>
  <c r="FV36" i="4" s="1"/>
  <c r="EL36" i="4"/>
  <c r="ET36" i="4" s="1"/>
  <c r="EH36" i="4"/>
  <c r="EP36" i="4" s="1"/>
  <c r="DI36" i="4"/>
  <c r="DQ36" i="4" s="1"/>
  <c r="DE36" i="4"/>
  <c r="DM36" i="4" s="1"/>
  <c r="HW36" i="4"/>
  <c r="IE36" i="4" s="1"/>
  <c r="GT36" i="4"/>
  <c r="HB36" i="4" s="1"/>
  <c r="FO36" i="4"/>
  <c r="FW36" i="4" s="1"/>
  <c r="EN36" i="4"/>
  <c r="EV36" i="4" s="1"/>
  <c r="EI36" i="4"/>
  <c r="EQ36" i="4" s="1"/>
  <c r="DG36" i="4"/>
  <c r="DO36" i="4" s="1"/>
  <c r="CG36" i="4"/>
  <c r="CO36" i="4" s="1"/>
  <c r="CC36" i="4"/>
  <c r="CK36" i="4" s="1"/>
  <c r="BE36" i="4"/>
  <c r="BM36" i="4" s="1"/>
  <c r="HT36" i="4"/>
  <c r="IB36" i="4" s="1"/>
  <c r="GR36" i="4"/>
  <c r="GZ36" i="4" s="1"/>
  <c r="FM36" i="4"/>
  <c r="FU36" i="4" s="1"/>
  <c r="EM36" i="4"/>
  <c r="EU36" i="4" s="1"/>
  <c r="DK36" i="4"/>
  <c r="DS36" i="4" s="1"/>
  <c r="DF36" i="4"/>
  <c r="DN36" i="4" s="1"/>
  <c r="CF36" i="4"/>
  <c r="CN36" i="4" s="1"/>
  <c r="CB36" i="4"/>
  <c r="CJ36" i="4" s="1"/>
  <c r="BD36" i="4"/>
  <c r="BL36" i="4" s="1"/>
  <c r="AZ36" i="4"/>
  <c r="BH36" i="4" s="1"/>
  <c r="AB36" i="4"/>
  <c r="AJ36" i="4" s="1"/>
  <c r="X36" i="4"/>
  <c r="AF36" i="4" s="1"/>
  <c r="T36" i="4"/>
  <c r="HS36" i="4"/>
  <c r="IA36" i="4" s="1"/>
  <c r="GQ36" i="4"/>
  <c r="GY36" i="4" s="1"/>
  <c r="FQ36" i="4"/>
  <c r="FY36" i="4" s="1"/>
  <c r="EK36" i="4"/>
  <c r="ES36" i="4" s="1"/>
  <c r="DD36" i="4"/>
  <c r="DL36" i="4" s="1"/>
  <c r="CA36" i="4"/>
  <c r="CI36" i="4" s="1"/>
  <c r="BC36" i="4"/>
  <c r="BK36" i="4" s="1"/>
  <c r="AX36" i="4"/>
  <c r="BF36" i="4" s="1"/>
  <c r="W36" i="4"/>
  <c r="AE36" i="4" s="1"/>
  <c r="Q36" i="4"/>
  <c r="HR36" i="4"/>
  <c r="HZ36" i="4" s="1"/>
  <c r="GN36" i="4"/>
  <c r="GV36" i="4" s="1"/>
  <c r="FP36" i="4"/>
  <c r="FX36" i="4" s="1"/>
  <c r="EJ36" i="4"/>
  <c r="ER36" i="4" s="1"/>
  <c r="CH36" i="4"/>
  <c r="CP36" i="4" s="1"/>
  <c r="BR36" i="4"/>
  <c r="BB36" i="4"/>
  <c r="BJ36" i="4" s="1"/>
  <c r="AL36" i="4"/>
  <c r="AN36" i="4" s="1"/>
  <c r="AA36" i="4"/>
  <c r="AI36" i="4" s="1"/>
  <c r="V36" i="4"/>
  <c r="AD36" i="4" s="1"/>
  <c r="HX36" i="4"/>
  <c r="IF36" i="4" s="1"/>
  <c r="DH36" i="4"/>
  <c r="DP36" i="4" s="1"/>
  <c r="Y36" i="4"/>
  <c r="AG36" i="4" s="1"/>
  <c r="R36" i="4"/>
  <c r="FL36" i="4"/>
  <c r="FT36" i="4" s="1"/>
  <c r="CE36" i="4"/>
  <c r="CM36" i="4" s="1"/>
  <c r="BA36" i="4"/>
  <c r="BI36" i="4" s="1"/>
  <c r="U36" i="4"/>
  <c r="AC36" i="4" s="1"/>
  <c r="DJ36" i="4"/>
  <c r="DR36" i="4" s="1"/>
  <c r="Z36" i="4"/>
  <c r="AH36" i="4" s="1"/>
  <c r="EO36" i="4"/>
  <c r="EW36" i="4" s="1"/>
  <c r="AK36" i="4"/>
  <c r="AM36" i="4" s="1"/>
  <c r="S36" i="4"/>
  <c r="FK36" i="4"/>
  <c r="FS36" i="4" s="1"/>
  <c r="CD36" i="4"/>
  <c r="CL36" i="4" s="1"/>
  <c r="AY36" i="4"/>
  <c r="BG36" i="4" s="1"/>
  <c r="HX33" i="4"/>
  <c r="IF32" i="4" s="1"/>
  <c r="HT33" i="4"/>
  <c r="IB32" i="4" s="1"/>
  <c r="HS33" i="4"/>
  <c r="IA32" i="4" s="1"/>
  <c r="GS33" i="4"/>
  <c r="HA32" i="4" s="1"/>
  <c r="GO33" i="4"/>
  <c r="GW32" i="4" s="1"/>
  <c r="FO33" i="4"/>
  <c r="FW32" i="4" s="1"/>
  <c r="FK33" i="4"/>
  <c r="FS32" i="4" s="1"/>
  <c r="EO33" i="4"/>
  <c r="EW32" i="4" s="1"/>
  <c r="EK33" i="4"/>
  <c r="ES32" i="4" s="1"/>
  <c r="DK33" i="4"/>
  <c r="DS32" i="4" s="1"/>
  <c r="DG33" i="4"/>
  <c r="DO32" i="4" s="1"/>
  <c r="CG33" i="4"/>
  <c r="CO32" i="4" s="1"/>
  <c r="CC33" i="4"/>
  <c r="CK32" i="4" s="1"/>
  <c r="BC33" i="4"/>
  <c r="BK32" i="4" s="1"/>
  <c r="AY33" i="4"/>
  <c r="BG32" i="4" s="1"/>
  <c r="AK33" i="4"/>
  <c r="AM32" i="4" s="1"/>
  <c r="Y33" i="4"/>
  <c r="AG32" i="4" s="1"/>
  <c r="U33" i="4"/>
  <c r="AC32" i="4" s="1"/>
  <c r="Q32" i="4"/>
  <c r="HU33" i="4"/>
  <c r="IC32" i="4" s="1"/>
  <c r="GU33" i="4"/>
  <c r="HC32" i="4" s="1"/>
  <c r="GP33" i="4"/>
  <c r="GX32" i="4" s="1"/>
  <c r="FQ33" i="4"/>
  <c r="FY32" i="4" s="1"/>
  <c r="FL33" i="4"/>
  <c r="FT32" i="4" s="1"/>
  <c r="EM33" i="4"/>
  <c r="EU32" i="4" s="1"/>
  <c r="EH33" i="4"/>
  <c r="EP32" i="4" s="1"/>
  <c r="DI33" i="4"/>
  <c r="DQ32" i="4" s="1"/>
  <c r="DD33" i="4"/>
  <c r="DL32" i="4" s="1"/>
  <c r="CE33" i="4"/>
  <c r="CM32" i="4" s="1"/>
  <c r="BA33" i="4"/>
  <c r="BI32" i="4" s="1"/>
  <c r="AB33" i="4"/>
  <c r="AJ32" i="4" s="1"/>
  <c r="W33" i="4"/>
  <c r="AE32" i="4" s="1"/>
  <c r="R32" i="4"/>
  <c r="HR33" i="4"/>
  <c r="HZ32" i="4" s="1"/>
  <c r="GT33" i="4"/>
  <c r="HB32" i="4" s="1"/>
  <c r="GN33" i="4"/>
  <c r="GV32" i="4" s="1"/>
  <c r="FP33" i="4"/>
  <c r="FX32" i="4" s="1"/>
  <c r="EL33" i="4"/>
  <c r="ET32" i="4" s="1"/>
  <c r="DH33" i="4"/>
  <c r="DP32" i="4" s="1"/>
  <c r="CD33" i="4"/>
  <c r="CL32" i="4" s="1"/>
  <c r="BE33" i="4"/>
  <c r="BM32" i="4" s="1"/>
  <c r="AZ33" i="4"/>
  <c r="BH32" i="4" s="1"/>
  <c r="AA33" i="4"/>
  <c r="AI32" i="4" s="1"/>
  <c r="V33" i="4"/>
  <c r="AD32" i="4" s="1"/>
  <c r="HW33" i="4"/>
  <c r="IE32" i="4" s="1"/>
  <c r="FN33" i="4"/>
  <c r="FV32" i="4" s="1"/>
  <c r="DF33" i="4"/>
  <c r="DN32" i="4" s="1"/>
  <c r="CH33" i="4"/>
  <c r="CP32" i="4" s="1"/>
  <c r="AX33" i="4"/>
  <c r="BF32" i="4" s="1"/>
  <c r="Z33" i="4"/>
  <c r="AH32" i="4" s="1"/>
  <c r="HV33" i="4"/>
  <c r="ID32" i="4" s="1"/>
  <c r="FM33" i="4"/>
  <c r="FU32" i="4" s="1"/>
  <c r="EN33" i="4"/>
  <c r="EV32" i="4" s="1"/>
  <c r="DE33" i="4"/>
  <c r="DM32" i="4" s="1"/>
  <c r="CF33" i="4"/>
  <c r="CN32" i="4" s="1"/>
  <c r="BR33" i="4"/>
  <c r="X33" i="4"/>
  <c r="AF32" i="4" s="1"/>
  <c r="HQ33" i="4"/>
  <c r="HY32" i="4" s="1"/>
  <c r="GR33" i="4"/>
  <c r="GZ32" i="4" s="1"/>
  <c r="EJ33" i="4"/>
  <c r="ER32" i="4" s="1"/>
  <c r="CB33" i="4"/>
  <c r="CJ32" i="4" s="1"/>
  <c r="BD33" i="4"/>
  <c r="BL32" i="4" s="1"/>
  <c r="T32" i="4"/>
  <c r="FR33" i="4"/>
  <c r="FZ32" i="4" s="1"/>
  <c r="S32" i="4"/>
  <c r="CA33" i="4"/>
  <c r="CI32" i="4" s="1"/>
  <c r="EI33" i="4"/>
  <c r="EQ32" i="4" s="1"/>
  <c r="BB33" i="4"/>
  <c r="BJ32" i="4" s="1"/>
  <c r="GQ33" i="4"/>
  <c r="GY32" i="4" s="1"/>
  <c r="DJ33" i="4"/>
  <c r="DR32" i="4" s="1"/>
  <c r="AL33" i="4"/>
  <c r="AN32" i="4" s="1"/>
  <c r="Q30" i="4"/>
  <c r="DP30" i="4"/>
  <c r="AN30" i="4"/>
  <c r="DN30" i="4"/>
  <c r="FX30" i="4"/>
  <c r="EC28" i="4"/>
  <c r="EG28" i="4" s="1"/>
  <c r="EB28" i="4"/>
  <c r="EF28" i="4" s="1"/>
  <c r="EY28" i="4"/>
  <c r="FA28" i="4" s="1"/>
  <c r="EA28" i="4"/>
  <c r="EE28" i="4" s="1"/>
  <c r="DZ28" i="4"/>
  <c r="ED28" i="4" s="1"/>
  <c r="EX28" i="4"/>
  <c r="EZ28" i="4" s="1"/>
  <c r="EV26" i="4"/>
  <c r="AJ26" i="4"/>
  <c r="EP26" i="4"/>
  <c r="GX26" i="4"/>
  <c r="R26" i="4"/>
  <c r="BF26" i="4"/>
  <c r="CP26" i="4"/>
  <c r="EU26" i="4"/>
  <c r="HC26" i="4"/>
  <c r="FV30" i="4"/>
  <c r="BG30" i="4"/>
  <c r="EB27" i="4"/>
  <c r="EF26" i="4" s="1"/>
  <c r="GE27" i="4"/>
  <c r="EY27" i="4"/>
  <c r="FA26" i="4" s="1"/>
  <c r="EA27" i="4"/>
  <c r="EC27" i="4"/>
  <c r="EG26" i="4" s="1"/>
  <c r="DZ27" i="4"/>
  <c r="ED26" i="4" s="1"/>
  <c r="EX27" i="4"/>
  <c r="EZ26" i="4" s="1"/>
  <c r="DL26" i="4"/>
  <c r="AM26" i="4"/>
  <c r="CJ30" i="4"/>
  <c r="ER26" i="4"/>
  <c r="BM26" i="4"/>
  <c r="S26" i="4"/>
  <c r="AR29" i="4"/>
  <c r="AV28" i="4" s="1"/>
  <c r="CU29" i="4"/>
  <c r="BO29" i="4"/>
  <c r="BQ28" i="4" s="1"/>
  <c r="AQ29" i="4"/>
  <c r="AU28" i="4" s="1"/>
  <c r="BN29" i="4"/>
  <c r="BP28" i="4" s="1"/>
  <c r="AS29" i="4"/>
  <c r="AW28" i="4" s="1"/>
  <c r="AP29" i="4"/>
  <c r="AT28" i="4" s="1"/>
  <c r="BV29" i="4"/>
  <c r="BU29" i="4"/>
  <c r="BS29" i="4"/>
  <c r="CR29" i="4"/>
  <c r="CQ29" i="4"/>
  <c r="BT29" i="4"/>
  <c r="AR24" i="4"/>
  <c r="AV24" i="4" s="1"/>
  <c r="BO24" i="4"/>
  <c r="BQ24" i="4" s="1"/>
  <c r="BN24" i="4"/>
  <c r="AP24" i="4"/>
  <c r="AT24" i="4" s="1"/>
  <c r="AS24" i="4"/>
  <c r="AW24" i="4" s="1"/>
  <c r="AQ24" i="4"/>
  <c r="AU24" i="4" s="1"/>
  <c r="EX24" i="4"/>
  <c r="EZ24" i="4" s="1"/>
  <c r="EC24" i="4"/>
  <c r="EG24" i="4" s="1"/>
  <c r="EB24" i="4"/>
  <c r="EF24" i="4" s="1"/>
  <c r="EA24" i="4"/>
  <c r="EE24" i="4" s="1"/>
  <c r="DZ24" i="4"/>
  <c r="ED24" i="4" s="1"/>
  <c r="EY24" i="4"/>
  <c r="FA24" i="4" s="1"/>
  <c r="FE31" i="4"/>
  <c r="GA31" i="4"/>
  <c r="FD31" i="4"/>
  <c r="FC31" i="4"/>
  <c r="FF31" i="4"/>
  <c r="GB31" i="4"/>
  <c r="GI31" i="4"/>
  <c r="HE31" i="4"/>
  <c r="GH31" i="4"/>
  <c r="HD31" i="4"/>
  <c r="GG31" i="4"/>
  <c r="GF31" i="4"/>
  <c r="EE26" i="4"/>
  <c r="BN22" i="4"/>
  <c r="BP22" i="4" s="1"/>
  <c r="AP22" i="4"/>
  <c r="AT22" i="4" s="1"/>
  <c r="AR22" i="4"/>
  <c r="AV22" i="4" s="1"/>
  <c r="BO22" i="4"/>
  <c r="BQ22" i="4" s="1"/>
  <c r="AQ22" i="4"/>
  <c r="AU22" i="4" s="1"/>
  <c r="AS22" i="4"/>
  <c r="AW22" i="4" s="1"/>
  <c r="EX18" i="4"/>
  <c r="EZ18" i="4" s="1"/>
  <c r="DZ18" i="4"/>
  <c r="ED18" i="4" s="1"/>
  <c r="EC18" i="4"/>
  <c r="EG18" i="4" s="1"/>
  <c r="EB18" i="4"/>
  <c r="EF18" i="4" s="1"/>
  <c r="EY18" i="4"/>
  <c r="FA18" i="4" s="1"/>
  <c r="EA18" i="4"/>
  <c r="EE18" i="4" s="1"/>
  <c r="BO20" i="4"/>
  <c r="AQ20" i="4"/>
  <c r="BN20" i="4"/>
  <c r="AP20" i="4"/>
  <c r="AS20" i="4"/>
  <c r="AR20" i="4"/>
  <c r="FF23" i="4"/>
  <c r="FJ22" i="4" s="1"/>
  <c r="GB23" i="4"/>
  <c r="GD22" i="4" s="1"/>
  <c r="FD23" i="4"/>
  <c r="FH22" i="4" s="1"/>
  <c r="GA23" i="4"/>
  <c r="GC22" i="4" s="1"/>
  <c r="FE23" i="4"/>
  <c r="FI22" i="4" s="1"/>
  <c r="FC23" i="4"/>
  <c r="FG22" i="4" s="1"/>
  <c r="CQ19" i="4"/>
  <c r="BS19" i="4"/>
  <c r="BV19" i="4"/>
  <c r="BU19" i="4"/>
  <c r="BT19" i="4"/>
  <c r="CR19" i="4"/>
  <c r="AS19" i="4"/>
  <c r="AR19" i="4"/>
  <c r="CU19" i="4"/>
  <c r="BO19" i="4"/>
  <c r="AQ19" i="4"/>
  <c r="AP19" i="4"/>
  <c r="BN19" i="4"/>
  <c r="FA14" i="4"/>
  <c r="CK12" i="4"/>
  <c r="HZ8" i="4"/>
  <c r="FV8" i="4"/>
  <c r="DQ8" i="4"/>
  <c r="BM8" i="4"/>
  <c r="AG8" i="4"/>
  <c r="HB4" i="4"/>
  <c r="ET4" i="4"/>
  <c r="EZ20" i="4"/>
  <c r="DP20" i="4"/>
  <c r="FE19" i="4"/>
  <c r="FI18" i="4" s="1"/>
  <c r="GB19" i="4"/>
  <c r="GD18" i="4" s="1"/>
  <c r="FD19" i="4"/>
  <c r="FH18" i="4" s="1"/>
  <c r="GA19" i="4"/>
  <c r="GC18" i="4" s="1"/>
  <c r="FC19" i="4"/>
  <c r="FG18" i="4" s="1"/>
  <c r="FF19" i="4"/>
  <c r="FJ18" i="4" s="1"/>
  <c r="GW12" i="4"/>
  <c r="AJ12" i="4"/>
  <c r="GW8" i="4"/>
  <c r="ES8" i="4"/>
  <c r="BL4" i="4"/>
  <c r="DL20" i="4"/>
  <c r="AG20" i="4"/>
  <c r="CK20" i="4"/>
  <c r="EP20" i="4"/>
  <c r="GW20" i="4"/>
  <c r="AD20" i="4"/>
  <c r="BJ20" i="4"/>
  <c r="DN20" i="4"/>
  <c r="FS20" i="4"/>
  <c r="ID20" i="4"/>
  <c r="BG20" i="4"/>
  <c r="DO20" i="4"/>
  <c r="FT20" i="4"/>
  <c r="IF20" i="4"/>
  <c r="IE20" i="4"/>
  <c r="GV12" i="4"/>
  <c r="ER12" i="4"/>
  <c r="CM12" i="4"/>
  <c r="AI12" i="4"/>
  <c r="CI8" i="4"/>
  <c r="AE8" i="4"/>
  <c r="IB4" i="4"/>
  <c r="FT4" i="4"/>
  <c r="GB25" i="4"/>
  <c r="FD25" i="4"/>
  <c r="FF25" i="4"/>
  <c r="GA25" i="4"/>
  <c r="FE25" i="4"/>
  <c r="FC25" i="4"/>
  <c r="CP14" i="4"/>
  <c r="FJ12" i="4"/>
  <c r="FE9" i="4"/>
  <c r="FI8" i="4" s="1"/>
  <c r="GB9" i="4"/>
  <c r="GD8" i="4" s="1"/>
  <c r="FD9" i="4"/>
  <c r="FH8" i="4" s="1"/>
  <c r="GA9" i="4"/>
  <c r="GC8" i="4" s="1"/>
  <c r="FC9" i="4"/>
  <c r="FG8" i="4" s="1"/>
  <c r="FF9" i="4"/>
  <c r="FJ8" i="4" s="1"/>
  <c r="DL6" i="4"/>
  <c r="AG6" i="4"/>
  <c r="CK6" i="4"/>
  <c r="EP6" i="4"/>
  <c r="R6" i="4"/>
  <c r="BF6" i="4"/>
  <c r="CP6" i="4"/>
  <c r="EU6" i="4"/>
  <c r="HC6" i="4"/>
  <c r="AE6" i="4"/>
  <c r="CI6" i="4"/>
  <c r="ER6" i="4"/>
  <c r="GV6" i="4"/>
  <c r="DU4" i="4"/>
  <c r="CW4" i="4"/>
  <c r="DT4" i="4"/>
  <c r="CV4" i="4"/>
  <c r="CY4" i="4"/>
  <c r="CX4" i="4"/>
  <c r="GE4" i="4"/>
  <c r="HZ14" i="4"/>
  <c r="ED6" i="4"/>
  <c r="EF6" i="4"/>
  <c r="CJ16" i="4"/>
  <c r="BH16" i="4"/>
  <c r="AF16" i="4"/>
  <c r="Q16" i="4"/>
  <c r="BI16" i="4"/>
  <c r="FV16" i="4"/>
  <c r="HZ16" i="4"/>
  <c r="AH16" i="4"/>
  <c r="CU16" i="4"/>
  <c r="CQ16" i="4"/>
  <c r="BS16" i="4"/>
  <c r="BV16" i="4"/>
  <c r="BU16" i="4"/>
  <c r="BT16" i="4"/>
  <c r="CR16" i="4"/>
  <c r="DR16" i="4"/>
  <c r="BG16" i="4"/>
  <c r="DO16" i="4"/>
  <c r="FT16" i="4"/>
  <c r="IB16" i="4"/>
  <c r="FY10" i="4"/>
  <c r="BI10" i="4"/>
  <c r="DM10" i="4"/>
  <c r="FV10" i="4"/>
  <c r="HZ10" i="4"/>
  <c r="AH10" i="4"/>
  <c r="CU10" i="4"/>
  <c r="CQ10" i="4"/>
  <c r="BS10" i="4"/>
  <c r="BV10" i="4"/>
  <c r="BU10" i="4"/>
  <c r="CR10" i="4"/>
  <c r="BT10" i="4"/>
  <c r="DR10" i="4"/>
  <c r="FW10" i="4"/>
  <c r="IE10" i="4"/>
  <c r="FT10" i="4"/>
  <c r="IB10" i="4"/>
  <c r="CS8" i="4"/>
  <c r="BY8" i="4"/>
  <c r="AF6" i="4"/>
  <c r="EC3" i="4"/>
  <c r="EB3" i="4"/>
  <c r="EF2" i="4" s="1"/>
  <c r="GE3" i="4"/>
  <c r="EY3" i="4"/>
  <c r="FA2" i="4" s="1"/>
  <c r="EA3" i="4"/>
  <c r="EE2" i="4" s="1"/>
  <c r="EX3" i="4"/>
  <c r="EZ2" i="4" s="1"/>
  <c r="DZ3" i="4"/>
  <c r="EG2" i="4"/>
  <c r="CO2" i="4"/>
  <c r="ET2" i="4"/>
  <c r="IA2" i="4"/>
  <c r="FT2" i="4"/>
  <c r="BX40" i="4"/>
  <c r="CS12" i="4"/>
  <c r="BY12" i="4"/>
  <c r="FJ4" i="4"/>
  <c r="CU14" i="4"/>
  <c r="CQ14" i="4"/>
  <c r="BS14" i="4"/>
  <c r="CR14" i="4"/>
  <c r="BV14" i="4"/>
  <c r="BU14" i="4"/>
  <c r="BT14" i="4"/>
  <c r="BL14" i="4"/>
  <c r="ET14" i="4"/>
  <c r="IA14" i="4"/>
  <c r="BM14" i="4"/>
  <c r="EU14" i="4"/>
  <c r="IC14" i="4"/>
  <c r="AM14" i="4"/>
  <c r="DP14" i="4"/>
  <c r="S14" i="4"/>
  <c r="BK14" i="4"/>
  <c r="DS14" i="4"/>
  <c r="FX14" i="4"/>
  <c r="IF14" i="4"/>
  <c r="EC11" i="4"/>
  <c r="EG10" i="4" s="1"/>
  <c r="EB11" i="4"/>
  <c r="EF10" i="4" s="1"/>
  <c r="GE11" i="4"/>
  <c r="EY11" i="4"/>
  <c r="FA10" i="4" s="1"/>
  <c r="EA11" i="4"/>
  <c r="EE10" i="4" s="1"/>
  <c r="EX11" i="4"/>
  <c r="EZ10" i="4" s="1"/>
  <c r="DZ11" i="4"/>
  <c r="ED10" i="4" s="1"/>
  <c r="FA4" i="3"/>
  <c r="FF26" i="2"/>
  <c r="FJ26" i="2" s="1"/>
  <c r="GA26" i="2"/>
  <c r="GC26" i="2" s="1"/>
  <c r="GB26" i="2"/>
  <c r="GD26" i="2" s="1"/>
  <c r="FC26" i="2"/>
  <c r="FG26" i="2" s="1"/>
  <c r="FE26" i="2"/>
  <c r="FI26" i="2" s="1"/>
  <c r="FD26" i="2"/>
  <c r="FH26" i="2" s="1"/>
  <c r="GA14" i="2"/>
  <c r="GC14" i="2" s="1"/>
  <c r="FC14" i="2"/>
  <c r="FG14" i="2" s="1"/>
  <c r="FE14" i="2"/>
  <c r="FI14" i="2" s="1"/>
  <c r="FF14" i="2"/>
  <c r="FJ14" i="2" s="1"/>
  <c r="FD14" i="2"/>
  <c r="FH14" i="2" s="1"/>
  <c r="GB14" i="2"/>
  <c r="GD14" i="2" s="1"/>
  <c r="GB6" i="2"/>
  <c r="GD6" i="2" s="1"/>
  <c r="FE6" i="2"/>
  <c r="FI6" i="2" s="1"/>
  <c r="FF6" i="2"/>
  <c r="FJ6" i="2" s="1"/>
  <c r="GA6" i="2"/>
  <c r="GC6" i="2" s="1"/>
  <c r="FD6" i="2"/>
  <c r="FH6" i="2" s="1"/>
  <c r="FC6" i="2"/>
  <c r="FG6" i="2" s="1"/>
  <c r="IH28" i="2"/>
  <c r="IJ28" i="2" s="1"/>
  <c r="HK28" i="2"/>
  <c r="HO28" i="2" s="1"/>
  <c r="HI28" i="2"/>
  <c r="HM28" i="2" s="1"/>
  <c r="HL28" i="2"/>
  <c r="HP28" i="2" s="1"/>
  <c r="IG28" i="2"/>
  <c r="II28" i="2" s="1"/>
  <c r="HL32" i="2"/>
  <c r="HP32" i="2" s="1"/>
  <c r="HI32" i="2"/>
  <c r="HM32" i="2" s="1"/>
  <c r="IH32" i="2"/>
  <c r="IJ32" i="2" s="1"/>
  <c r="HJ32" i="2"/>
  <c r="HN32" i="2" s="1"/>
  <c r="IG32" i="2"/>
  <c r="II32" i="2" s="1"/>
  <c r="GA30" i="2"/>
  <c r="GC30" i="2" s="1"/>
  <c r="FC30" i="2"/>
  <c r="FG30" i="2" s="1"/>
  <c r="GB30" i="2"/>
  <c r="GD30" i="2" s="1"/>
  <c r="FD30" i="2"/>
  <c r="FH30" i="2" s="1"/>
  <c r="FF30" i="2"/>
  <c r="FJ30" i="2" s="1"/>
  <c r="FE30" i="2"/>
  <c r="FI30" i="2" s="1"/>
  <c r="GB18" i="2"/>
  <c r="GD18" i="2" s="1"/>
  <c r="FD18" i="2"/>
  <c r="FH18" i="2" s="1"/>
  <c r="FF18" i="2"/>
  <c r="FJ18" i="2" s="1"/>
  <c r="GA18" i="2"/>
  <c r="GC18" i="2" s="1"/>
  <c r="FE18" i="2"/>
  <c r="FI18" i="2" s="1"/>
  <c r="FC18" i="2"/>
  <c r="FG18" i="2" s="1"/>
  <c r="GA10" i="2"/>
  <c r="FD10" i="2"/>
  <c r="FH10" i="2" s="1"/>
  <c r="FE10" i="2"/>
  <c r="FI10" i="2" s="1"/>
  <c r="GB10" i="2"/>
  <c r="GD10" i="2" s="1"/>
  <c r="FC10" i="2"/>
  <c r="FG10" i="2" s="1"/>
  <c r="FF10" i="2"/>
  <c r="FJ10" i="2" s="1"/>
  <c r="FE22" i="2"/>
  <c r="FI22" i="2" s="1"/>
  <c r="GA22" i="2"/>
  <c r="GC22" i="2" s="1"/>
  <c r="GB22" i="2"/>
  <c r="GD22" i="2" s="1"/>
  <c r="FC22" i="2"/>
  <c r="FG22" i="2" s="1"/>
  <c r="FF22" i="2"/>
  <c r="FJ22" i="2" s="1"/>
  <c r="FD22" i="2"/>
  <c r="FH22" i="2" s="1"/>
  <c r="HH38" i="2"/>
  <c r="HD38" i="2"/>
  <c r="HF38" i="2" s="1"/>
  <c r="GF38" i="2"/>
  <c r="GJ38" i="2" s="1"/>
  <c r="GI38" i="2"/>
  <c r="GM38" i="2" s="1"/>
  <c r="HE38" i="2"/>
  <c r="HG38" i="2" s="1"/>
  <c r="EA6" i="2"/>
  <c r="EE6" i="2" s="1"/>
  <c r="EX6" i="2"/>
  <c r="EZ6" i="2" s="1"/>
  <c r="EC18" i="2"/>
  <c r="EG18" i="2" s="1"/>
  <c r="GB24" i="2"/>
  <c r="GD24" i="2" s="1"/>
  <c r="FE24" i="2"/>
  <c r="FI24" i="2" s="1"/>
  <c r="FF8" i="2"/>
  <c r="FJ8" i="2" s="1"/>
  <c r="FD12" i="2"/>
  <c r="FH12" i="2" s="1"/>
  <c r="GA12" i="2"/>
  <c r="GC12" i="2" s="1"/>
  <c r="FE16" i="2"/>
  <c r="FI16" i="2" s="1"/>
  <c r="GB16" i="2"/>
  <c r="GD16" i="2" s="1"/>
  <c r="FF24" i="2"/>
  <c r="FJ24" i="2" s="1"/>
  <c r="FE28" i="2"/>
  <c r="FI28" i="2" s="1"/>
  <c r="FC36" i="2"/>
  <c r="FG36" i="2" s="1"/>
  <c r="GB36" i="2"/>
  <c r="GD36" i="2" s="1"/>
  <c r="FC40" i="2"/>
  <c r="FG40" i="2" s="1"/>
  <c r="GB40" i="2"/>
  <c r="GD40" i="2" s="1"/>
  <c r="GG8" i="2"/>
  <c r="GK8" i="2" s="1"/>
  <c r="HD8" i="2"/>
  <c r="HF8" i="2" s="1"/>
  <c r="GH28" i="2"/>
  <c r="GL28" i="2" s="1"/>
  <c r="GH38" i="2"/>
  <c r="GL38" i="2" s="1"/>
  <c r="HH40" i="2"/>
  <c r="HH16" i="2"/>
  <c r="EB6" i="2"/>
  <c r="EF6" i="2" s="1"/>
  <c r="EY6" i="2"/>
  <c r="FA6" i="2" s="1"/>
  <c r="EA8" i="2"/>
  <c r="EE8" i="2" s="1"/>
  <c r="EX8" i="2"/>
  <c r="EZ8" i="2" s="1"/>
  <c r="EB10" i="2"/>
  <c r="EF10" i="2" s="1"/>
  <c r="EY10" i="2"/>
  <c r="FA10" i="2" s="1"/>
  <c r="EA12" i="2"/>
  <c r="EE12" i="2" s="1"/>
  <c r="EX12" i="2"/>
  <c r="EZ12" i="2" s="1"/>
  <c r="EB14" i="2"/>
  <c r="EF14" i="2" s="1"/>
  <c r="EB16" i="2"/>
  <c r="EF16" i="2" s="1"/>
  <c r="DZ18" i="2"/>
  <c r="ED18" i="2" s="1"/>
  <c r="EX18" i="2"/>
  <c r="EZ18" i="2" s="1"/>
  <c r="DZ20" i="2"/>
  <c r="ED20" i="2" s="1"/>
  <c r="EX20" i="2"/>
  <c r="EZ20" i="2" s="1"/>
  <c r="EB22" i="2"/>
  <c r="EF22" i="2" s="1"/>
  <c r="EB24" i="2"/>
  <c r="EF24" i="2" s="1"/>
  <c r="DZ26" i="2"/>
  <c r="ED26" i="2" s="1"/>
  <c r="EC28" i="2"/>
  <c r="EG28" i="2" s="1"/>
  <c r="EA30" i="2"/>
  <c r="EE30" i="2" s="1"/>
  <c r="EY30" i="2"/>
  <c r="FA30" i="2" s="1"/>
  <c r="EA32" i="2"/>
  <c r="EE32" i="2" s="1"/>
  <c r="EY32" i="2"/>
  <c r="FA32" i="2" s="1"/>
  <c r="EC34" i="2"/>
  <c r="EG34" i="2" s="1"/>
  <c r="EC36" i="2"/>
  <c r="EG36" i="2" s="1"/>
  <c r="EA38" i="2"/>
  <c r="EE38" i="2" s="1"/>
  <c r="EX38" i="2"/>
  <c r="EZ38" i="2" s="1"/>
  <c r="DZ40" i="2"/>
  <c r="ED40" i="2" s="1"/>
  <c r="EX40" i="2"/>
  <c r="EZ40" i="2" s="1"/>
  <c r="FB38" i="2"/>
  <c r="FB34" i="2"/>
  <c r="FC8" i="2"/>
  <c r="FG8" i="2" s="1"/>
  <c r="FE12" i="2"/>
  <c r="FI12" i="2" s="1"/>
  <c r="GB12" i="2"/>
  <c r="GD12" i="2" s="1"/>
  <c r="FF16" i="2"/>
  <c r="FJ16" i="2" s="1"/>
  <c r="FD32" i="2"/>
  <c r="FH32" i="2" s="1"/>
  <c r="GA32" i="2"/>
  <c r="GC32" i="2" s="1"/>
  <c r="FD40" i="2"/>
  <c r="FH40" i="2" s="1"/>
  <c r="GE34" i="2"/>
  <c r="GE30" i="2"/>
  <c r="GE26" i="2"/>
  <c r="GE22" i="2"/>
  <c r="GE18" i="2"/>
  <c r="GE14" i="2"/>
  <c r="GE10" i="2"/>
  <c r="GE6" i="2"/>
  <c r="GH8" i="2"/>
  <c r="GL8" i="2" s="1"/>
  <c r="GG32" i="2"/>
  <c r="GK32" i="2" s="1"/>
  <c r="GA36" i="2"/>
  <c r="GC36" i="2" s="1"/>
  <c r="FD36" i="2"/>
  <c r="FH36" i="2" s="1"/>
  <c r="FI20" i="2"/>
  <c r="GA40" i="2"/>
  <c r="GC40" i="2" s="1"/>
  <c r="GH36" i="2"/>
  <c r="GL36" i="2" s="1"/>
  <c r="HE36" i="2"/>
  <c r="HG36" i="2" s="1"/>
  <c r="GG36" i="2"/>
  <c r="GK36" i="2" s="1"/>
  <c r="HH36" i="2"/>
  <c r="GF36" i="2"/>
  <c r="GJ36" i="2" s="1"/>
  <c r="HD32" i="2"/>
  <c r="HF32" i="2" s="1"/>
  <c r="GF32" i="2"/>
  <c r="GJ32" i="2" s="1"/>
  <c r="GI32" i="2"/>
  <c r="GM32" i="2" s="1"/>
  <c r="GF28" i="2"/>
  <c r="GJ28" i="2" s="1"/>
  <c r="HE28" i="2"/>
  <c r="HG28" i="2" s="1"/>
  <c r="GI28" i="2"/>
  <c r="GM28" i="2" s="1"/>
  <c r="HD28" i="2"/>
  <c r="HF28" i="2" s="1"/>
  <c r="GF24" i="2"/>
  <c r="GJ24" i="2" s="1"/>
  <c r="HE24" i="2"/>
  <c r="HG24" i="2" s="1"/>
  <c r="GI24" i="2"/>
  <c r="GM24" i="2" s="1"/>
  <c r="HD24" i="2"/>
  <c r="HF24" i="2" s="1"/>
  <c r="HE20" i="2"/>
  <c r="HG20" i="2" s="1"/>
  <c r="GI20" i="2"/>
  <c r="GM20" i="2" s="1"/>
  <c r="HH20" i="2"/>
  <c r="HD20" i="2"/>
  <c r="HF20" i="2" s="1"/>
  <c r="GG20" i="2"/>
  <c r="GK20" i="2" s="1"/>
  <c r="GF16" i="2"/>
  <c r="GJ16" i="2" s="1"/>
  <c r="HE16" i="2"/>
  <c r="HG16" i="2" s="1"/>
  <c r="GH16" i="2"/>
  <c r="GL16" i="2" s="1"/>
  <c r="GF12" i="2"/>
  <c r="GJ12" i="2" s="1"/>
  <c r="HH12" i="2"/>
  <c r="HD12" i="2"/>
  <c r="HF12" i="2" s="1"/>
  <c r="GG12" i="2"/>
  <c r="GK12" i="2" s="1"/>
  <c r="GF8" i="2"/>
  <c r="GJ8" i="2" s="1"/>
  <c r="HH8" i="2"/>
  <c r="GI12" i="2"/>
  <c r="GM12" i="2" s="1"/>
  <c r="GI16" i="2"/>
  <c r="GM16" i="2" s="1"/>
  <c r="GH20" i="2"/>
  <c r="GL20" i="2" s="1"/>
  <c r="GG28" i="2"/>
  <c r="GK28" i="2" s="1"/>
  <c r="HE32" i="2"/>
  <c r="HG32" i="2" s="1"/>
  <c r="HD36" i="2"/>
  <c r="HF36" i="2" s="1"/>
  <c r="HH24" i="2"/>
  <c r="EA10" i="2"/>
  <c r="EE10" i="2" s="1"/>
  <c r="EX10" i="2"/>
  <c r="EZ10" i="2" s="1"/>
  <c r="EA14" i="2"/>
  <c r="EE14" i="2" s="1"/>
  <c r="EY14" i="2"/>
  <c r="FA14" i="2" s="1"/>
  <c r="EA22" i="2"/>
  <c r="EE22" i="2" s="1"/>
  <c r="EY22" i="2"/>
  <c r="FA22" i="2" s="1"/>
  <c r="EC26" i="2"/>
  <c r="EG26" i="2" s="1"/>
  <c r="DZ30" i="2"/>
  <c r="ED30" i="2" s="1"/>
  <c r="EX30" i="2"/>
  <c r="EZ30" i="2" s="1"/>
  <c r="EB34" i="2"/>
  <c r="EF34" i="2" s="1"/>
  <c r="DZ38" i="2"/>
  <c r="ED38" i="2" s="1"/>
  <c r="GA20" i="2"/>
  <c r="GC20" i="2" s="1"/>
  <c r="FD20" i="2"/>
  <c r="FH20" i="2" s="1"/>
  <c r="GB8" i="2"/>
  <c r="GD8" i="2" s="1"/>
  <c r="GF40" i="2"/>
  <c r="GJ40" i="2" s="1"/>
  <c r="GI40" i="2"/>
  <c r="GM40" i="2" s="1"/>
  <c r="GH40" i="2"/>
  <c r="GL40" i="2" s="1"/>
  <c r="EC6" i="2"/>
  <c r="EG6" i="2" s="1"/>
  <c r="EB8" i="2"/>
  <c r="EF8" i="2" s="1"/>
  <c r="EC10" i="2"/>
  <c r="EG10" i="2" s="1"/>
  <c r="EB12" i="2"/>
  <c r="EF12" i="2" s="1"/>
  <c r="EC14" i="2"/>
  <c r="EG14" i="2" s="1"/>
  <c r="EA18" i="2"/>
  <c r="EE18" i="2" s="1"/>
  <c r="EY18" i="2"/>
  <c r="FA18" i="2" s="1"/>
  <c r="EA20" i="2"/>
  <c r="EE20" i="2" s="1"/>
  <c r="EC22" i="2"/>
  <c r="EG22" i="2" s="1"/>
  <c r="EA26" i="2"/>
  <c r="EE26" i="2" s="1"/>
  <c r="EX26" i="2"/>
  <c r="EZ26" i="2" s="1"/>
  <c r="DZ28" i="2"/>
  <c r="ED28" i="2" s="1"/>
  <c r="EB30" i="2"/>
  <c r="EF30" i="2" s="1"/>
  <c r="DZ34" i="2"/>
  <c r="ED34" i="2" s="1"/>
  <c r="DZ36" i="2"/>
  <c r="ED36" i="2" s="1"/>
  <c r="EB38" i="2"/>
  <c r="EF38" i="2" s="1"/>
  <c r="EY38" i="2"/>
  <c r="FA38" i="2" s="1"/>
  <c r="EA40" i="2"/>
  <c r="EE40" i="2" s="1"/>
  <c r="EY40" i="2"/>
  <c r="FA40" i="2" s="1"/>
  <c r="FF12" i="2"/>
  <c r="FJ12" i="2" s="1"/>
  <c r="FC20" i="2"/>
  <c r="FG20" i="2" s="1"/>
  <c r="GB20" i="2"/>
  <c r="GD20" i="2" s="1"/>
  <c r="FC24" i="2"/>
  <c r="FG24" i="2" s="1"/>
  <c r="GA24" i="2"/>
  <c r="GC24" i="2" s="1"/>
  <c r="FC28" i="2"/>
  <c r="FG28" i="2" s="1"/>
  <c r="GA28" i="2"/>
  <c r="GC28" i="2" s="1"/>
  <c r="FE32" i="2"/>
  <c r="FI32" i="2" s="1"/>
  <c r="GB32" i="2"/>
  <c r="GD32" i="2" s="1"/>
  <c r="FF36" i="2"/>
  <c r="FJ36" i="2" s="1"/>
  <c r="FF40" i="2"/>
  <c r="FJ40" i="2" s="1"/>
  <c r="GI8" i="2"/>
  <c r="GM8" i="2" s="1"/>
  <c r="GH12" i="2"/>
  <c r="GL12" i="2" s="1"/>
  <c r="GG16" i="2"/>
  <c r="GK16" i="2" s="1"/>
  <c r="GF20" i="2"/>
  <c r="GJ20" i="2" s="1"/>
  <c r="GH24" i="2"/>
  <c r="GL24" i="2" s="1"/>
  <c r="GH32" i="2"/>
  <c r="GL32" i="2" s="1"/>
  <c r="GI36" i="2"/>
  <c r="GM36" i="2" s="1"/>
  <c r="FF4" i="2"/>
  <c r="FJ4" i="2" s="1"/>
  <c r="GF4" i="2"/>
  <c r="GJ4" i="2" s="1"/>
  <c r="EA4" i="2"/>
  <c r="EE4" i="2" s="1"/>
  <c r="EX4" i="2"/>
  <c r="EZ4" i="2" s="1"/>
  <c r="FC4" i="2"/>
  <c r="FG4" i="2" s="1"/>
  <c r="GA4" i="2"/>
  <c r="GC4" i="2" s="1"/>
  <c r="GG4" i="2"/>
  <c r="GK4" i="2" s="1"/>
  <c r="HH4" i="2"/>
  <c r="EB4" i="2"/>
  <c r="EF4" i="2" s="1"/>
  <c r="FD4" i="2"/>
  <c r="FH4" i="2" s="1"/>
  <c r="GH4" i="2"/>
  <c r="GL4" i="2" s="1"/>
  <c r="HD2" i="2"/>
  <c r="GF2" i="2"/>
  <c r="GI2" i="2"/>
  <c r="GH2" i="2"/>
  <c r="HH2" i="2"/>
  <c r="HE2" i="2"/>
  <c r="GG2" i="2"/>
  <c r="FB2" i="2"/>
  <c r="EA2" i="2"/>
  <c r="EE2" i="2" s="1"/>
  <c r="EX2" i="2"/>
  <c r="EZ2" i="2" s="1"/>
  <c r="EB2" i="2"/>
  <c r="EY2" i="2"/>
  <c r="FA2" i="2" s="1"/>
  <c r="DZ2" i="2"/>
  <c r="ED2" i="2" s="1"/>
  <c r="EC2" i="2"/>
  <c r="EG2" i="2" s="1"/>
  <c r="CN34" i="3"/>
  <c r="EP14" i="3"/>
  <c r="AM14" i="3"/>
  <c r="DN24" i="3"/>
  <c r="DR34" i="3"/>
  <c r="BG34" i="3"/>
  <c r="GY34" i="3"/>
  <c r="EU24" i="3"/>
  <c r="BM24" i="3"/>
  <c r="FX24" i="3"/>
  <c r="DR24" i="3"/>
  <c r="ID24" i="3"/>
  <c r="FT16" i="3"/>
  <c r="AC16" i="3"/>
  <c r="BI16" i="3"/>
  <c r="DM16" i="3"/>
  <c r="FU16" i="3"/>
  <c r="HY16" i="3"/>
  <c r="CM16" i="3"/>
  <c r="S10" i="3"/>
  <c r="IA10" i="3"/>
  <c r="Q10" i="3"/>
  <c r="CO10" i="3"/>
  <c r="EW10" i="3"/>
  <c r="HA10" i="3"/>
  <c r="AF14" i="3"/>
  <c r="FV10" i="3"/>
  <c r="EU14" i="3"/>
  <c r="BH34" i="3"/>
  <c r="DS16" i="3"/>
  <c r="BG10" i="3"/>
  <c r="EV34" i="3"/>
  <c r="T34" i="3"/>
  <c r="DL34" i="3"/>
  <c r="FY34" i="3"/>
  <c r="CL34" i="3"/>
  <c r="EP34" i="3"/>
  <c r="GZ34" i="3"/>
  <c r="S34" i="3"/>
  <c r="BK34" i="3"/>
  <c r="DO34" i="3"/>
  <c r="IB34" i="3"/>
  <c r="HC34" i="3"/>
  <c r="DO24" i="3"/>
  <c r="BH24" i="3"/>
  <c r="IE24" i="3"/>
  <c r="FS24" i="3"/>
  <c r="DL24" i="3"/>
  <c r="EP24" i="3"/>
  <c r="IE10" i="3"/>
  <c r="FX14" i="3"/>
  <c r="AN14" i="3"/>
  <c r="DN14" i="3"/>
  <c r="ID14" i="3"/>
  <c r="BL14" i="3"/>
  <c r="EV14" i="3"/>
  <c r="DR14" i="3"/>
  <c r="AI14" i="3"/>
  <c r="CM14" i="3"/>
  <c r="EQ14" i="3"/>
  <c r="AG14" i="3"/>
  <c r="BM14" i="3"/>
  <c r="DQ14" i="3"/>
  <c r="IC14" i="3"/>
  <c r="EP2" i="3"/>
  <c r="GZ2" i="3"/>
  <c r="CM2" i="3"/>
  <c r="GY2" i="3"/>
  <c r="GV38" i="3"/>
  <c r="EC39" i="3"/>
  <c r="EY39" i="3"/>
  <c r="EA39" i="3"/>
  <c r="EX39" i="3"/>
  <c r="EB39" i="3"/>
  <c r="DZ39" i="3"/>
  <c r="AG34" i="3"/>
  <c r="GA29" i="3"/>
  <c r="FC29" i="3"/>
  <c r="FF29" i="3"/>
  <c r="GB29" i="3"/>
  <c r="FE29" i="3"/>
  <c r="FD29" i="3"/>
  <c r="HU21" i="3"/>
  <c r="HQ21" i="3"/>
  <c r="HY20" i="3" s="1"/>
  <c r="GU21" i="3"/>
  <c r="HC20" i="3" s="1"/>
  <c r="GQ21" i="3"/>
  <c r="GY20" i="3" s="1"/>
  <c r="FQ21" i="3"/>
  <c r="FM21" i="3"/>
  <c r="FU20" i="3" s="1"/>
  <c r="EM21" i="3"/>
  <c r="EI21" i="3"/>
  <c r="DH21" i="3"/>
  <c r="DD21" i="3"/>
  <c r="DL20" i="3" s="1"/>
  <c r="CH21" i="3"/>
  <c r="CD21" i="3"/>
  <c r="CL20" i="3" s="1"/>
  <c r="BD21" i="3"/>
  <c r="BL20" i="3" s="1"/>
  <c r="AZ21" i="3"/>
  <c r="BH20" i="3" s="1"/>
  <c r="AL21" i="3"/>
  <c r="AN20" i="3" s="1"/>
  <c r="Z21" i="3"/>
  <c r="V21" i="3"/>
  <c r="AD20" i="3" s="1"/>
  <c r="N21" i="3"/>
  <c r="R20" i="3" s="1"/>
  <c r="HW21" i="3"/>
  <c r="HS21" i="3"/>
  <c r="GS21" i="3"/>
  <c r="GO21" i="3"/>
  <c r="FO21" i="3"/>
  <c r="FK21" i="3"/>
  <c r="EO21" i="3"/>
  <c r="EK21" i="3"/>
  <c r="DJ21" i="3"/>
  <c r="DR20" i="3" s="1"/>
  <c r="DF21" i="3"/>
  <c r="DN20" i="3" s="1"/>
  <c r="CF21" i="3"/>
  <c r="CN20" i="3" s="1"/>
  <c r="CB21" i="3"/>
  <c r="BB21" i="3"/>
  <c r="AX21" i="3"/>
  <c r="BF20" i="3" s="1"/>
  <c r="AB21" i="3"/>
  <c r="AJ20" i="3" s="1"/>
  <c r="X21" i="3"/>
  <c r="P21" i="3"/>
  <c r="HT21" i="3"/>
  <c r="IB20" i="3" s="1"/>
  <c r="GP21" i="3"/>
  <c r="FL21" i="3"/>
  <c r="EH21" i="3"/>
  <c r="DK21" i="3"/>
  <c r="DS20" i="3" s="1"/>
  <c r="CG21" i="3"/>
  <c r="BC21" i="3"/>
  <c r="BK20" i="3" s="1"/>
  <c r="Y21" i="3"/>
  <c r="M21" i="3"/>
  <c r="Q20" i="3" s="1"/>
  <c r="HR21" i="3"/>
  <c r="HZ20" i="3" s="1"/>
  <c r="GN21" i="3"/>
  <c r="FR21" i="3"/>
  <c r="FZ20" i="3" s="1"/>
  <c r="EN21" i="3"/>
  <c r="DI21" i="3"/>
  <c r="DQ20" i="3" s="1"/>
  <c r="CE21" i="3"/>
  <c r="BA21" i="3"/>
  <c r="BI20" i="3" s="1"/>
  <c r="W21" i="3"/>
  <c r="AE20" i="3" s="1"/>
  <c r="HX21" i="3"/>
  <c r="IF20" i="3" s="1"/>
  <c r="GT21" i="3"/>
  <c r="FP21" i="3"/>
  <c r="FX20" i="3" s="1"/>
  <c r="EL21" i="3"/>
  <c r="ET20" i="3" s="1"/>
  <c r="DG21" i="3"/>
  <c r="DO20" i="3" s="1"/>
  <c r="CC21" i="3"/>
  <c r="CK20" i="3" s="1"/>
  <c r="AY21" i="3"/>
  <c r="BG20" i="3" s="1"/>
  <c r="AK21" i="3"/>
  <c r="U21" i="3"/>
  <c r="AA21" i="3"/>
  <c r="AI20" i="3" s="1"/>
  <c r="GR21" i="3"/>
  <c r="GZ20" i="3" s="1"/>
  <c r="EJ21" i="3"/>
  <c r="CA21" i="3"/>
  <c r="O21" i="3"/>
  <c r="BE21" i="3"/>
  <c r="BM20" i="3" s="1"/>
  <c r="HV21" i="3"/>
  <c r="DE21" i="3"/>
  <c r="FN21" i="3"/>
  <c r="CQ17" i="3"/>
  <c r="BS17" i="3"/>
  <c r="BV17" i="3"/>
  <c r="BU17" i="3"/>
  <c r="BT17" i="3"/>
  <c r="CR17" i="3"/>
  <c r="CO16" i="3"/>
  <c r="FZ16" i="3"/>
  <c r="AE16" i="3"/>
  <c r="DU10" i="3"/>
  <c r="CW10" i="3"/>
  <c r="CY10" i="3"/>
  <c r="CX10" i="3"/>
  <c r="DT10" i="3"/>
  <c r="CV10" i="3"/>
  <c r="BU15" i="3"/>
  <c r="CQ15" i="3"/>
  <c r="BS15" i="3"/>
  <c r="CR15" i="3"/>
  <c r="BV15" i="3"/>
  <c r="BT15" i="3"/>
  <c r="GW2" i="3"/>
  <c r="AG20" i="3"/>
  <c r="EY34" i="3"/>
  <c r="FA34" i="3" s="1"/>
  <c r="EA34" i="3"/>
  <c r="EE34" i="3" s="1"/>
  <c r="EX34" i="3"/>
  <c r="EZ34" i="3" s="1"/>
  <c r="DZ34" i="3"/>
  <c r="ED34" i="3" s="1"/>
  <c r="EC34" i="3"/>
  <c r="EG34" i="3" s="1"/>
  <c r="EB34" i="3"/>
  <c r="EF34" i="3" s="1"/>
  <c r="AM34" i="3"/>
  <c r="AE34" i="3"/>
  <c r="DS34" i="3"/>
  <c r="EC27" i="3"/>
  <c r="EY27" i="3"/>
  <c r="EA27" i="3"/>
  <c r="EX27" i="3"/>
  <c r="EB27" i="3"/>
  <c r="DZ27" i="3"/>
  <c r="IB24" i="3"/>
  <c r="S24" i="3"/>
  <c r="HB24" i="3"/>
  <c r="AS18" i="3"/>
  <c r="AR18" i="3"/>
  <c r="BO18" i="3"/>
  <c r="AQ18" i="3"/>
  <c r="BN18" i="3"/>
  <c r="AP18" i="3"/>
  <c r="GV18" i="3"/>
  <c r="HX26" i="3"/>
  <c r="HT26" i="3"/>
  <c r="GR26" i="3"/>
  <c r="GN26" i="3"/>
  <c r="FP26" i="3"/>
  <c r="FL26" i="3"/>
  <c r="EN26" i="3"/>
  <c r="EJ26" i="3"/>
  <c r="DH26" i="3"/>
  <c r="DD26" i="3"/>
  <c r="CF26" i="3"/>
  <c r="CB26" i="3"/>
  <c r="BD26" i="3"/>
  <c r="AZ26" i="3"/>
  <c r="AB26" i="3"/>
  <c r="X26" i="3"/>
  <c r="P26" i="3"/>
  <c r="HV26" i="3"/>
  <c r="HR26" i="3"/>
  <c r="GT26" i="3"/>
  <c r="GP26" i="3"/>
  <c r="FR26" i="3"/>
  <c r="FN26" i="3"/>
  <c r="EL26" i="3"/>
  <c r="EH26" i="3"/>
  <c r="DJ26" i="3"/>
  <c r="DF26" i="3"/>
  <c r="CH26" i="3"/>
  <c r="CD26" i="3"/>
  <c r="BB26" i="3"/>
  <c r="AX26" i="3"/>
  <c r="AL26" i="3"/>
  <c r="Z26" i="3"/>
  <c r="V26" i="3"/>
  <c r="N26" i="3"/>
  <c r="HW26" i="3"/>
  <c r="GQ26" i="3"/>
  <c r="FK26" i="3"/>
  <c r="EM26" i="3"/>
  <c r="DG26" i="3"/>
  <c r="CA26" i="3"/>
  <c r="BC26" i="3"/>
  <c r="W26" i="3"/>
  <c r="O26" i="3"/>
  <c r="HU26" i="3"/>
  <c r="GO26" i="3"/>
  <c r="FQ26" i="3"/>
  <c r="EK26" i="3"/>
  <c r="DE26" i="3"/>
  <c r="CG26" i="3"/>
  <c r="BA26" i="3"/>
  <c r="AK26" i="3"/>
  <c r="U26" i="3"/>
  <c r="M26" i="3"/>
  <c r="HS26" i="3"/>
  <c r="GU26" i="3"/>
  <c r="FO26" i="3"/>
  <c r="EI26" i="3"/>
  <c r="DK26" i="3"/>
  <c r="CE26" i="3"/>
  <c r="AY26" i="3"/>
  <c r="AA26" i="3"/>
  <c r="EO26" i="3"/>
  <c r="DI26" i="3"/>
  <c r="CC26" i="3"/>
  <c r="GS26" i="3"/>
  <c r="FM26" i="3"/>
  <c r="HQ26" i="3"/>
  <c r="Y26" i="3"/>
  <c r="BE26" i="3"/>
  <c r="CL16" i="3"/>
  <c r="GX16" i="3"/>
  <c r="GY16" i="3"/>
  <c r="FZ10" i="3"/>
  <c r="BU10" i="3"/>
  <c r="CQ10" i="3"/>
  <c r="BS10" i="3"/>
  <c r="BV10" i="3"/>
  <c r="BT10" i="3"/>
  <c r="CR10" i="3"/>
  <c r="R10" i="3"/>
  <c r="AS10" i="3"/>
  <c r="BO10" i="3"/>
  <c r="AQ10" i="3"/>
  <c r="AR10" i="3"/>
  <c r="BN10" i="3"/>
  <c r="AP10" i="3"/>
  <c r="EG16" i="3"/>
  <c r="CY12" i="3"/>
  <c r="DU12" i="3"/>
  <c r="CW12" i="3"/>
  <c r="CX12" i="3"/>
  <c r="DT12" i="3"/>
  <c r="CV12" i="3"/>
  <c r="AJ14" i="3"/>
  <c r="BU3" i="3"/>
  <c r="CQ3" i="3"/>
  <c r="BS3" i="3"/>
  <c r="BT3" i="3"/>
  <c r="CR3" i="3"/>
  <c r="BV3" i="3"/>
  <c r="CL2" i="3"/>
  <c r="EC2" i="3"/>
  <c r="EG2" i="3" s="1"/>
  <c r="EY2" i="3"/>
  <c r="FA2" i="3" s="1"/>
  <c r="EA2" i="3"/>
  <c r="EE2" i="3" s="1"/>
  <c r="EX2" i="3"/>
  <c r="EZ2" i="3" s="1"/>
  <c r="DZ2" i="3"/>
  <c r="ED2" i="3" s="1"/>
  <c r="EB2" i="3"/>
  <c r="EF2" i="3" s="1"/>
  <c r="FE10" i="3"/>
  <c r="GA10" i="3"/>
  <c r="FC10" i="3"/>
  <c r="FF10" i="3"/>
  <c r="FD10" i="3"/>
  <c r="GB10" i="3"/>
  <c r="EG10" i="3"/>
  <c r="GI4" i="3"/>
  <c r="HE4" i="3"/>
  <c r="GG4" i="3"/>
  <c r="HD4" i="3"/>
  <c r="GF4" i="3"/>
  <c r="GH4" i="3"/>
  <c r="IB2" i="3"/>
  <c r="BK2" i="3"/>
  <c r="DO2" i="3"/>
  <c r="FS2" i="3"/>
  <c r="AS2" i="3"/>
  <c r="BO2" i="3"/>
  <c r="AQ2" i="3"/>
  <c r="BN2" i="3"/>
  <c r="AP2" i="3"/>
  <c r="AR2" i="3"/>
  <c r="EU20" i="3"/>
  <c r="CO20" i="3"/>
  <c r="CP20" i="3"/>
  <c r="FW20" i="3"/>
  <c r="ES20" i="3"/>
  <c r="AR20" i="3"/>
  <c r="BO20" i="3"/>
  <c r="BN20" i="3"/>
  <c r="AS20" i="3"/>
  <c r="AQ20" i="3"/>
  <c r="AP20" i="3"/>
  <c r="DT20" i="3"/>
  <c r="CV20" i="3"/>
  <c r="DU20" i="3"/>
  <c r="CY20" i="3"/>
  <c r="CX20" i="3"/>
  <c r="CW20" i="3"/>
  <c r="FS20" i="3"/>
  <c r="EV20" i="3"/>
  <c r="HB20" i="3"/>
  <c r="DL14" i="3"/>
  <c r="ET14" i="3"/>
  <c r="FT14" i="3"/>
  <c r="BG14" i="3"/>
  <c r="DU14" i="3"/>
  <c r="CW14" i="3"/>
  <c r="CY14" i="3"/>
  <c r="CX14" i="3"/>
  <c r="DT14" i="3"/>
  <c r="CV14" i="3"/>
  <c r="HC14" i="3"/>
  <c r="ES14" i="3"/>
  <c r="GB7" i="3"/>
  <c r="FD7" i="3"/>
  <c r="GA7" i="3"/>
  <c r="FC7" i="3"/>
  <c r="FF7" i="3"/>
  <c r="FE7" i="3"/>
  <c r="R2" i="3"/>
  <c r="HV13" i="3"/>
  <c r="ID12" i="3" s="1"/>
  <c r="HR13" i="3"/>
  <c r="HZ12" i="3" s="1"/>
  <c r="GR13" i="3"/>
  <c r="GZ12" i="3" s="1"/>
  <c r="GN13" i="3"/>
  <c r="GV12" i="3" s="1"/>
  <c r="FR13" i="3"/>
  <c r="FZ12" i="3" s="1"/>
  <c r="FN13" i="3"/>
  <c r="FV12" i="3" s="1"/>
  <c r="EN13" i="3"/>
  <c r="EV12" i="3" s="1"/>
  <c r="EJ13" i="3"/>
  <c r="ER12" i="3" s="1"/>
  <c r="DI13" i="3"/>
  <c r="DE13" i="3"/>
  <c r="CE13" i="3"/>
  <c r="CM12" i="3" s="1"/>
  <c r="CA13" i="3"/>
  <c r="BE13" i="3"/>
  <c r="BA13" i="3"/>
  <c r="AA13" i="3"/>
  <c r="AI12" i="3" s="1"/>
  <c r="W13" i="3"/>
  <c r="O13" i="3"/>
  <c r="HX13" i="3"/>
  <c r="HT13" i="3"/>
  <c r="IB12" i="3" s="1"/>
  <c r="GT13" i="3"/>
  <c r="HB12" i="3" s="1"/>
  <c r="GP13" i="3"/>
  <c r="GX12" i="3" s="1"/>
  <c r="FP13" i="3"/>
  <c r="FL13" i="3"/>
  <c r="FT12" i="3" s="1"/>
  <c r="EL13" i="3"/>
  <c r="ET12" i="3" s="1"/>
  <c r="EH13" i="3"/>
  <c r="EP12" i="3" s="1"/>
  <c r="DK13" i="3"/>
  <c r="DG13" i="3"/>
  <c r="CG13" i="3"/>
  <c r="CO12" i="3" s="1"/>
  <c r="CC13" i="3"/>
  <c r="BC13" i="3"/>
  <c r="AY13" i="3"/>
  <c r="AK13" i="3"/>
  <c r="AM12" i="3" s="1"/>
  <c r="Y13" i="3"/>
  <c r="U13" i="3"/>
  <c r="M13" i="3"/>
  <c r="Q12" i="3" s="1"/>
  <c r="HW13" i="3"/>
  <c r="GS13" i="3"/>
  <c r="FO13" i="3"/>
  <c r="EK13" i="3"/>
  <c r="ES12" i="3" s="1"/>
  <c r="DF13" i="3"/>
  <c r="DN12" i="3" s="1"/>
  <c r="CB13" i="3"/>
  <c r="AX13" i="3"/>
  <c r="BF12" i="3" s="1"/>
  <c r="AB13" i="3"/>
  <c r="AJ12" i="3" s="1"/>
  <c r="P13" i="3"/>
  <c r="HU13" i="3"/>
  <c r="GQ13" i="3"/>
  <c r="GY12" i="3" s="1"/>
  <c r="FM13" i="3"/>
  <c r="EI13" i="3"/>
  <c r="EQ12" i="3" s="1"/>
  <c r="DD13" i="3"/>
  <c r="DL12" i="3" s="1"/>
  <c r="CH13" i="3"/>
  <c r="CP12" i="3" s="1"/>
  <c r="BD13" i="3"/>
  <c r="BL12" i="3" s="1"/>
  <c r="Z13" i="3"/>
  <c r="AH12" i="3" s="1"/>
  <c r="N13" i="3"/>
  <c r="R12" i="3" s="1"/>
  <c r="HS13" i="3"/>
  <c r="GO13" i="3"/>
  <c r="FK13" i="3"/>
  <c r="FS12" i="3" s="1"/>
  <c r="EO13" i="3"/>
  <c r="EW12" i="3" s="1"/>
  <c r="DJ13" i="3"/>
  <c r="DR12" i="3" s="1"/>
  <c r="CF13" i="3"/>
  <c r="BB13" i="3"/>
  <c r="BJ12" i="3" s="1"/>
  <c r="X13" i="3"/>
  <c r="AF12" i="3" s="1"/>
  <c r="FQ13" i="3"/>
  <c r="DH13" i="3"/>
  <c r="AZ13" i="3"/>
  <c r="BH12" i="3" s="1"/>
  <c r="GU13" i="3"/>
  <c r="HC12" i="3" s="1"/>
  <c r="EM13" i="3"/>
  <c r="CD13" i="3"/>
  <c r="CL12" i="3" s="1"/>
  <c r="V13" i="3"/>
  <c r="AD12" i="3" s="1"/>
  <c r="HQ13" i="3"/>
  <c r="AL13" i="3"/>
  <c r="AN12" i="3" s="1"/>
  <c r="FF13" i="3"/>
  <c r="GB13" i="3"/>
  <c r="FD13" i="3"/>
  <c r="FC13" i="3"/>
  <c r="GA13" i="3"/>
  <c r="FE13" i="3"/>
  <c r="EZ8" i="3"/>
  <c r="HE8" i="3"/>
  <c r="HD8" i="3"/>
  <c r="GI8" i="3"/>
  <c r="GH8" i="3"/>
  <c r="GG8" i="3"/>
  <c r="GF8" i="3"/>
  <c r="DQ38" i="3"/>
  <c r="FF37" i="3"/>
  <c r="GB37" i="3"/>
  <c r="FE37" i="3"/>
  <c r="GA37" i="3"/>
  <c r="FD37" i="3"/>
  <c r="FC37" i="3"/>
  <c r="BL36" i="3"/>
  <c r="BM34" i="3"/>
  <c r="HW29" i="3"/>
  <c r="HS29" i="3"/>
  <c r="GS29" i="3"/>
  <c r="GO29" i="3"/>
  <c r="FO29" i="3"/>
  <c r="FK29" i="3"/>
  <c r="EO29" i="3"/>
  <c r="EK29" i="3"/>
  <c r="DJ29" i="3"/>
  <c r="DF29" i="3"/>
  <c r="CF29" i="3"/>
  <c r="CB29" i="3"/>
  <c r="BB29" i="3"/>
  <c r="AX29" i="3"/>
  <c r="AB29" i="3"/>
  <c r="X29" i="3"/>
  <c r="P29" i="3"/>
  <c r="HT29" i="3"/>
  <c r="GU29" i="3"/>
  <c r="GP29" i="3"/>
  <c r="FQ29" i="3"/>
  <c r="FL29" i="3"/>
  <c r="EM29" i="3"/>
  <c r="EH29" i="3"/>
  <c r="DH29" i="3"/>
  <c r="CD29" i="3"/>
  <c r="BE29" i="3"/>
  <c r="AZ29" i="3"/>
  <c r="AA29" i="3"/>
  <c r="V29" i="3"/>
  <c r="M29" i="3"/>
  <c r="HX29" i="3"/>
  <c r="HR29" i="3"/>
  <c r="GT29" i="3"/>
  <c r="GN29" i="3"/>
  <c r="FP29" i="3"/>
  <c r="EL29" i="3"/>
  <c r="DG29" i="3"/>
  <c r="CH29" i="3"/>
  <c r="CC29" i="3"/>
  <c r="BD29" i="3"/>
  <c r="AY29" i="3"/>
  <c r="Z29" i="3"/>
  <c r="U29" i="3"/>
  <c r="HV29" i="3"/>
  <c r="HQ29" i="3"/>
  <c r="GR29" i="3"/>
  <c r="FN29" i="3"/>
  <c r="EJ29" i="3"/>
  <c r="DK29" i="3"/>
  <c r="DE29" i="3"/>
  <c r="CG29" i="3"/>
  <c r="CA29" i="3"/>
  <c r="BC29" i="3"/>
  <c r="AL29" i="3"/>
  <c r="Y29" i="3"/>
  <c r="O29" i="3"/>
  <c r="FM29" i="3"/>
  <c r="CE29" i="3"/>
  <c r="GQ29" i="3"/>
  <c r="DI29" i="3"/>
  <c r="AK29" i="3"/>
  <c r="HU29" i="3"/>
  <c r="EN29" i="3"/>
  <c r="DD29" i="3"/>
  <c r="W29" i="3"/>
  <c r="BA29" i="3"/>
  <c r="FR29" i="3"/>
  <c r="N29" i="3"/>
  <c r="EI29" i="3"/>
  <c r="BO16" i="3"/>
  <c r="AQ16" i="3"/>
  <c r="BN16" i="3"/>
  <c r="AP16" i="3"/>
  <c r="AS16" i="3"/>
  <c r="AR16" i="3"/>
  <c r="CQ16" i="3"/>
  <c r="BS16" i="3"/>
  <c r="BV16" i="3"/>
  <c r="BU16" i="3"/>
  <c r="BT16" i="3"/>
  <c r="CR16" i="3"/>
  <c r="CT16" i="3" s="1"/>
  <c r="ID16" i="3"/>
  <c r="CX24" i="3"/>
  <c r="CV24" i="3"/>
  <c r="DU24" i="3"/>
  <c r="DT24" i="3"/>
  <c r="CY24" i="3"/>
  <c r="CW24" i="3"/>
  <c r="GA16" i="3"/>
  <c r="GC16" i="3" s="1"/>
  <c r="FC16" i="3"/>
  <c r="FG16" i="3" s="1"/>
  <c r="FF16" i="3"/>
  <c r="FJ16" i="3" s="1"/>
  <c r="FE16" i="3"/>
  <c r="FI16" i="3" s="1"/>
  <c r="GB16" i="3"/>
  <c r="GD16" i="3" s="1"/>
  <c r="FD16" i="3"/>
  <c r="FH16" i="3" s="1"/>
  <c r="BU11" i="3"/>
  <c r="CQ11" i="3"/>
  <c r="BS11" i="3"/>
  <c r="BV11" i="3"/>
  <c r="BT11" i="3"/>
  <c r="CR11" i="3"/>
  <c r="CI6" i="3"/>
  <c r="AF20" i="3"/>
  <c r="EW20" i="3"/>
  <c r="GV20" i="3"/>
  <c r="GX20" i="3"/>
  <c r="HZ14" i="3"/>
  <c r="GY14" i="3"/>
  <c r="AD2" i="3"/>
  <c r="FA8" i="3"/>
  <c r="BU38" i="3"/>
  <c r="CQ38" i="3"/>
  <c r="BS38" i="3"/>
  <c r="BV38" i="3"/>
  <c r="BT38" i="3"/>
  <c r="CR38" i="3"/>
  <c r="EC36" i="3"/>
  <c r="EG36" i="3" s="1"/>
  <c r="EY36" i="3"/>
  <c r="FA36" i="3" s="1"/>
  <c r="EA36" i="3"/>
  <c r="EE36" i="3" s="1"/>
  <c r="EB36" i="3"/>
  <c r="EF36" i="3" s="1"/>
  <c r="EX36" i="3"/>
  <c r="EZ36" i="3" s="1"/>
  <c r="DZ36" i="3"/>
  <c r="ED36" i="3" s="1"/>
  <c r="GX34" i="3"/>
  <c r="CI34" i="3"/>
  <c r="HU32" i="3"/>
  <c r="HQ32" i="3"/>
  <c r="GS32" i="3"/>
  <c r="GO32" i="3"/>
  <c r="FQ32" i="3"/>
  <c r="FM32" i="3"/>
  <c r="EO32" i="3"/>
  <c r="EK32" i="3"/>
  <c r="HW32" i="3"/>
  <c r="HS32" i="3"/>
  <c r="HV32" i="3"/>
  <c r="GR32" i="3"/>
  <c r="FR32" i="3"/>
  <c r="FL32" i="3"/>
  <c r="EL32" i="3"/>
  <c r="DH32" i="3"/>
  <c r="DD32" i="3"/>
  <c r="CF32" i="3"/>
  <c r="CB32" i="3"/>
  <c r="BD32" i="3"/>
  <c r="AZ32" i="3"/>
  <c r="AB32" i="3"/>
  <c r="X32" i="3"/>
  <c r="P32" i="3"/>
  <c r="HT32" i="3"/>
  <c r="GQ32" i="3"/>
  <c r="FP32" i="3"/>
  <c r="FK32" i="3"/>
  <c r="EJ32" i="3"/>
  <c r="DK32" i="3"/>
  <c r="DG32" i="3"/>
  <c r="CE32" i="3"/>
  <c r="CA32" i="3"/>
  <c r="BC32" i="3"/>
  <c r="AY32" i="3"/>
  <c r="AA32" i="3"/>
  <c r="W32" i="3"/>
  <c r="O32" i="3"/>
  <c r="HR32" i="3"/>
  <c r="GU32" i="3"/>
  <c r="GP32" i="3"/>
  <c r="FO32" i="3"/>
  <c r="EN32" i="3"/>
  <c r="EI32" i="3"/>
  <c r="DJ32" i="3"/>
  <c r="DF32" i="3"/>
  <c r="CH32" i="3"/>
  <c r="CD32" i="3"/>
  <c r="BB32" i="3"/>
  <c r="AX32" i="3"/>
  <c r="AL32" i="3"/>
  <c r="Z32" i="3"/>
  <c r="V32" i="3"/>
  <c r="N32" i="3"/>
  <c r="EM32" i="3"/>
  <c r="DE32" i="3"/>
  <c r="M32" i="3"/>
  <c r="HX32" i="3"/>
  <c r="GT32" i="3"/>
  <c r="EH32" i="3"/>
  <c r="BE32" i="3"/>
  <c r="Y32" i="3"/>
  <c r="GN32" i="3"/>
  <c r="CG32" i="3"/>
  <c r="BA32" i="3"/>
  <c r="AK32" i="3"/>
  <c r="U32" i="3"/>
  <c r="DI32" i="3"/>
  <c r="DQ32" i="3" s="1"/>
  <c r="FN32" i="3"/>
  <c r="CC32" i="3"/>
  <c r="EC29" i="3"/>
  <c r="EY29" i="3"/>
  <c r="EB29" i="3"/>
  <c r="EX29" i="3"/>
  <c r="EA29" i="3"/>
  <c r="DZ29" i="3"/>
  <c r="CK24" i="3"/>
  <c r="DT25" i="3"/>
  <c r="CV25" i="3"/>
  <c r="CX25" i="3"/>
  <c r="CY25" i="3"/>
  <c r="CW25" i="3"/>
  <c r="DU25" i="3"/>
  <c r="CO18" i="3"/>
  <c r="DU17" i="3"/>
  <c r="CW17" i="3"/>
  <c r="DT17" i="3"/>
  <c r="CV17" i="3"/>
  <c r="CY17" i="3"/>
  <c r="CX17" i="3"/>
  <c r="AN16" i="3"/>
  <c r="EP16" i="3"/>
  <c r="AI16" i="3"/>
  <c r="EQ16" i="3"/>
  <c r="GB15" i="3"/>
  <c r="FD15" i="3"/>
  <c r="FF15" i="3"/>
  <c r="FE15" i="3"/>
  <c r="FC15" i="3"/>
  <c r="GA15" i="3"/>
  <c r="EC6" i="3"/>
  <c r="EB6" i="3"/>
  <c r="EY6" i="3"/>
  <c r="EA6" i="3"/>
  <c r="EX6" i="3"/>
  <c r="DZ6" i="3"/>
  <c r="IB10" i="3"/>
  <c r="DL10" i="3"/>
  <c r="BK10" i="3"/>
  <c r="DO10" i="3"/>
  <c r="FS10" i="3"/>
  <c r="EE16" i="3"/>
  <c r="BO12" i="3"/>
  <c r="AQ12" i="3"/>
  <c r="AS12" i="3"/>
  <c r="AR12" i="3"/>
  <c r="BN12" i="3"/>
  <c r="AP12" i="3"/>
  <c r="HA12" i="3"/>
  <c r="BG12" i="3"/>
  <c r="EU12" i="3"/>
  <c r="GB11" i="3"/>
  <c r="FD11" i="3"/>
  <c r="FF11" i="3"/>
  <c r="GA11" i="3"/>
  <c r="FE11" i="3"/>
  <c r="FC11" i="3"/>
  <c r="AH10" i="3"/>
  <c r="HU41" i="3"/>
  <c r="HQ41" i="3"/>
  <c r="GU41" i="3"/>
  <c r="GQ41" i="3"/>
  <c r="FQ41" i="3"/>
  <c r="FM41" i="3"/>
  <c r="EM41" i="3"/>
  <c r="EI41" i="3"/>
  <c r="DH41" i="3"/>
  <c r="DD41" i="3"/>
  <c r="CH41" i="3"/>
  <c r="CD41" i="3"/>
  <c r="BD41" i="3"/>
  <c r="AZ41" i="3"/>
  <c r="AL41" i="3"/>
  <c r="Z41" i="3"/>
  <c r="V41" i="3"/>
  <c r="N41" i="3"/>
  <c r="HX41" i="3"/>
  <c r="HT41" i="3"/>
  <c r="GT41" i="3"/>
  <c r="GP41" i="3"/>
  <c r="FP41" i="3"/>
  <c r="FL41" i="3"/>
  <c r="EL41" i="3"/>
  <c r="EH41" i="3"/>
  <c r="DK41" i="3"/>
  <c r="DG41" i="3"/>
  <c r="CG41" i="3"/>
  <c r="CC41" i="3"/>
  <c r="BC41" i="3"/>
  <c r="AY41" i="3"/>
  <c r="AK41" i="3"/>
  <c r="Y41" i="3"/>
  <c r="U41" i="3"/>
  <c r="M41" i="3"/>
  <c r="HW41" i="3"/>
  <c r="HS41" i="3"/>
  <c r="GS41" i="3"/>
  <c r="GO41" i="3"/>
  <c r="FO41" i="3"/>
  <c r="FK41" i="3"/>
  <c r="EO41" i="3"/>
  <c r="EK41" i="3"/>
  <c r="DJ41" i="3"/>
  <c r="DF41" i="3"/>
  <c r="CF41" i="3"/>
  <c r="CB41" i="3"/>
  <c r="BB41" i="3"/>
  <c r="AX41" i="3"/>
  <c r="AB41" i="3"/>
  <c r="X41" i="3"/>
  <c r="P41" i="3"/>
  <c r="HV41" i="3"/>
  <c r="GR41" i="3"/>
  <c r="FN41" i="3"/>
  <c r="EJ41" i="3"/>
  <c r="DE41" i="3"/>
  <c r="CA41" i="3"/>
  <c r="O41" i="3"/>
  <c r="HR41" i="3"/>
  <c r="GN41" i="3"/>
  <c r="BE41" i="3"/>
  <c r="AA41" i="3"/>
  <c r="EN41" i="3"/>
  <c r="W41" i="3"/>
  <c r="DI41" i="3"/>
  <c r="FR41" i="3"/>
  <c r="CE41" i="3"/>
  <c r="BA41" i="3"/>
  <c r="AS38" i="3"/>
  <c r="BO38" i="3"/>
  <c r="AQ38" i="3"/>
  <c r="AR38" i="3"/>
  <c r="BN38" i="3"/>
  <c r="AP38" i="3"/>
  <c r="EW38" i="3"/>
  <c r="HW39" i="3"/>
  <c r="IE38" i="3" s="1"/>
  <c r="HS39" i="3"/>
  <c r="IA38" i="3" s="1"/>
  <c r="GS39" i="3"/>
  <c r="HA38" i="3" s="1"/>
  <c r="GO39" i="3"/>
  <c r="GW38" i="3" s="1"/>
  <c r="FO39" i="3"/>
  <c r="FW38" i="3" s="1"/>
  <c r="FK39" i="3"/>
  <c r="EO39" i="3"/>
  <c r="EK39" i="3"/>
  <c r="ES38" i="3" s="1"/>
  <c r="DJ39" i="3"/>
  <c r="DR38" i="3" s="1"/>
  <c r="DF39" i="3"/>
  <c r="DN38" i="3" s="1"/>
  <c r="CF39" i="3"/>
  <c r="CN38" i="3" s="1"/>
  <c r="CB39" i="3"/>
  <c r="CJ38" i="3" s="1"/>
  <c r="BB39" i="3"/>
  <c r="BJ38" i="3" s="1"/>
  <c r="AX39" i="3"/>
  <c r="BF38" i="3" s="1"/>
  <c r="AB39" i="3"/>
  <c r="AJ38" i="3" s="1"/>
  <c r="X39" i="3"/>
  <c r="AF38" i="3" s="1"/>
  <c r="HU39" i="3"/>
  <c r="HQ39" i="3"/>
  <c r="HY38" i="3" s="1"/>
  <c r="GU39" i="3"/>
  <c r="HC38" i="3" s="1"/>
  <c r="GQ39" i="3"/>
  <c r="FQ39" i="3"/>
  <c r="FY38" i="3" s="1"/>
  <c r="FM39" i="3"/>
  <c r="FU38" i="3" s="1"/>
  <c r="EM39" i="3"/>
  <c r="EU38" i="3" s="1"/>
  <c r="EI39" i="3"/>
  <c r="EQ38" i="3" s="1"/>
  <c r="DH39" i="3"/>
  <c r="DP38" i="3" s="1"/>
  <c r="DD39" i="3"/>
  <c r="DL38" i="3" s="1"/>
  <c r="CH39" i="3"/>
  <c r="CP38" i="3" s="1"/>
  <c r="CD39" i="3"/>
  <c r="CL38" i="3" s="1"/>
  <c r="BD39" i="3"/>
  <c r="BL38" i="3" s="1"/>
  <c r="AZ39" i="3"/>
  <c r="AL39" i="3"/>
  <c r="AN38" i="3" s="1"/>
  <c r="Z39" i="3"/>
  <c r="AH38" i="3" s="1"/>
  <c r="HV39" i="3"/>
  <c r="ID38" i="3" s="1"/>
  <c r="GR39" i="3"/>
  <c r="GZ38" i="3" s="1"/>
  <c r="FN39" i="3"/>
  <c r="FV38" i="3" s="1"/>
  <c r="EJ39" i="3"/>
  <c r="ER38" i="3" s="1"/>
  <c r="DE39" i="3"/>
  <c r="DM38" i="3" s="1"/>
  <c r="CA39" i="3"/>
  <c r="CI38" i="3" s="1"/>
  <c r="BE39" i="3"/>
  <c r="AA39" i="3"/>
  <c r="U39" i="3"/>
  <c r="AC38" i="3" s="1"/>
  <c r="M39" i="3"/>
  <c r="Q38" i="3" s="1"/>
  <c r="HT39" i="3"/>
  <c r="IB38" i="3" s="1"/>
  <c r="GP39" i="3"/>
  <c r="GX38" i="3" s="1"/>
  <c r="FL39" i="3"/>
  <c r="FT38" i="3" s="1"/>
  <c r="EH39" i="3"/>
  <c r="DK39" i="3"/>
  <c r="DS38" i="3" s="1"/>
  <c r="CG39" i="3"/>
  <c r="CO38" i="3" s="1"/>
  <c r="BC39" i="3"/>
  <c r="Y39" i="3"/>
  <c r="AG38" i="3" s="1"/>
  <c r="P39" i="3"/>
  <c r="T38" i="3" s="1"/>
  <c r="HR39" i="3"/>
  <c r="HZ38" i="3" s="1"/>
  <c r="GN39" i="3"/>
  <c r="FR39" i="3"/>
  <c r="FZ38" i="3" s="1"/>
  <c r="EN39" i="3"/>
  <c r="EV38" i="3" s="1"/>
  <c r="DI39" i="3"/>
  <c r="CE39" i="3"/>
  <c r="BA39" i="3"/>
  <c r="W39" i="3"/>
  <c r="AE38" i="3" s="1"/>
  <c r="O39" i="3"/>
  <c r="S38" i="3" s="1"/>
  <c r="GT39" i="3"/>
  <c r="HB38" i="3" s="1"/>
  <c r="EL39" i="3"/>
  <c r="ET38" i="3" s="1"/>
  <c r="CC39" i="3"/>
  <c r="CK38" i="3" s="1"/>
  <c r="V39" i="3"/>
  <c r="AD38" i="3" s="1"/>
  <c r="N39" i="3"/>
  <c r="R38" i="3" s="1"/>
  <c r="HX39" i="3"/>
  <c r="IF38" i="3" s="1"/>
  <c r="FP39" i="3"/>
  <c r="DG39" i="3"/>
  <c r="DO38" i="3" s="1"/>
  <c r="AY39" i="3"/>
  <c r="BG38" i="3" s="1"/>
  <c r="AK39" i="3"/>
  <c r="CQ35" i="3"/>
  <c r="BS35" i="3"/>
  <c r="BU35" i="3"/>
  <c r="CR35" i="3"/>
  <c r="BV35" i="3"/>
  <c r="BT35" i="3"/>
  <c r="DU35" i="3"/>
  <c r="CW35" i="3"/>
  <c r="CY35" i="3"/>
  <c r="CV35" i="3"/>
  <c r="DT35" i="3"/>
  <c r="CX35" i="3"/>
  <c r="AS35" i="3"/>
  <c r="BO35" i="3"/>
  <c r="AQ35" i="3"/>
  <c r="BN35" i="3"/>
  <c r="AR35" i="3"/>
  <c r="AP35" i="3"/>
  <c r="DP34" i="3"/>
  <c r="HX33" i="3"/>
  <c r="HT33" i="3"/>
  <c r="GT33" i="3"/>
  <c r="GP33" i="3"/>
  <c r="FP33" i="3"/>
  <c r="FL33" i="3"/>
  <c r="EL33" i="3"/>
  <c r="EH33" i="3"/>
  <c r="DK33" i="3"/>
  <c r="DG33" i="3"/>
  <c r="CG33" i="3"/>
  <c r="CC33" i="3"/>
  <c r="BC33" i="3"/>
  <c r="AY33" i="3"/>
  <c r="AK33" i="3"/>
  <c r="Y33" i="3"/>
  <c r="U33" i="3"/>
  <c r="M33" i="3"/>
  <c r="HV33" i="3"/>
  <c r="HR33" i="3"/>
  <c r="GR33" i="3"/>
  <c r="GN33" i="3"/>
  <c r="FR33" i="3"/>
  <c r="FN33" i="3"/>
  <c r="EN33" i="3"/>
  <c r="EJ33" i="3"/>
  <c r="DI33" i="3"/>
  <c r="DE33" i="3"/>
  <c r="CE33" i="3"/>
  <c r="CA33" i="3"/>
  <c r="BE33" i="3"/>
  <c r="BA33" i="3"/>
  <c r="AA33" i="3"/>
  <c r="W33" i="3"/>
  <c r="O33" i="3"/>
  <c r="HU33" i="3"/>
  <c r="GQ33" i="3"/>
  <c r="FM33" i="3"/>
  <c r="EI33" i="3"/>
  <c r="DD33" i="3"/>
  <c r="CH33" i="3"/>
  <c r="BD33" i="3"/>
  <c r="Z33" i="3"/>
  <c r="N33" i="3"/>
  <c r="HS33" i="3"/>
  <c r="GO33" i="3"/>
  <c r="FK33" i="3"/>
  <c r="EO33" i="3"/>
  <c r="DJ33" i="3"/>
  <c r="CF33" i="3"/>
  <c r="BB33" i="3"/>
  <c r="X33" i="3"/>
  <c r="HQ33" i="3"/>
  <c r="GU33" i="3"/>
  <c r="FQ33" i="3"/>
  <c r="EM33" i="3"/>
  <c r="DH33" i="3"/>
  <c r="CD33" i="3"/>
  <c r="AZ33" i="3"/>
  <c r="AL33" i="3"/>
  <c r="V33" i="3"/>
  <c r="HW33" i="3"/>
  <c r="FO33" i="3"/>
  <c r="DF33" i="3"/>
  <c r="AX33" i="3"/>
  <c r="AB33" i="3"/>
  <c r="GS33" i="3"/>
  <c r="EK33" i="3"/>
  <c r="CB33" i="3"/>
  <c r="P33" i="3"/>
  <c r="FX34" i="3"/>
  <c r="Q34" i="3"/>
  <c r="BO34" i="3"/>
  <c r="AQ34" i="3"/>
  <c r="BN34" i="3"/>
  <c r="AP34" i="3"/>
  <c r="AS34" i="3"/>
  <c r="AR34" i="3"/>
  <c r="AV34" i="3" s="1"/>
  <c r="CO34" i="3"/>
  <c r="HY34" i="3"/>
  <c r="AD34" i="3"/>
  <c r="DN34" i="3"/>
  <c r="FV34" i="3"/>
  <c r="IF34" i="3"/>
  <c r="AI34" i="3"/>
  <c r="CM34" i="3"/>
  <c r="EQ34" i="3"/>
  <c r="GV34" i="3"/>
  <c r="IE34" i="3"/>
  <c r="GB33" i="3"/>
  <c r="FD33" i="3"/>
  <c r="FF33" i="3"/>
  <c r="GA33" i="3"/>
  <c r="FE33" i="3"/>
  <c r="FC33" i="3"/>
  <c r="HW27" i="3"/>
  <c r="HS27" i="3"/>
  <c r="GS27" i="3"/>
  <c r="GO27" i="3"/>
  <c r="FO27" i="3"/>
  <c r="FK27" i="3"/>
  <c r="EO27" i="3"/>
  <c r="EK27" i="3"/>
  <c r="DJ27" i="3"/>
  <c r="DF27" i="3"/>
  <c r="CF27" i="3"/>
  <c r="CB27" i="3"/>
  <c r="BB27" i="3"/>
  <c r="AX27" i="3"/>
  <c r="AB27" i="3"/>
  <c r="X27" i="3"/>
  <c r="P27" i="3"/>
  <c r="HU27" i="3"/>
  <c r="HQ27" i="3"/>
  <c r="GU27" i="3"/>
  <c r="GQ27" i="3"/>
  <c r="FQ27" i="3"/>
  <c r="FM27" i="3"/>
  <c r="EM27" i="3"/>
  <c r="EI27" i="3"/>
  <c r="DH27" i="3"/>
  <c r="DD27" i="3"/>
  <c r="CH27" i="3"/>
  <c r="CD27" i="3"/>
  <c r="BD27" i="3"/>
  <c r="AZ27" i="3"/>
  <c r="AL27" i="3"/>
  <c r="Z27" i="3"/>
  <c r="V27" i="3"/>
  <c r="N27" i="3"/>
  <c r="HT27" i="3"/>
  <c r="GP27" i="3"/>
  <c r="FL27" i="3"/>
  <c r="EH27" i="3"/>
  <c r="DK27" i="3"/>
  <c r="CG27" i="3"/>
  <c r="BC27" i="3"/>
  <c r="Y27" i="3"/>
  <c r="M27" i="3"/>
  <c r="HR27" i="3"/>
  <c r="GN27" i="3"/>
  <c r="FR27" i="3"/>
  <c r="EN27" i="3"/>
  <c r="DI27" i="3"/>
  <c r="CE27" i="3"/>
  <c r="BA27" i="3"/>
  <c r="W27" i="3"/>
  <c r="HX27" i="3"/>
  <c r="GT27" i="3"/>
  <c r="FP27" i="3"/>
  <c r="EL27" i="3"/>
  <c r="DG27" i="3"/>
  <c r="CC27" i="3"/>
  <c r="AY27" i="3"/>
  <c r="AK27" i="3"/>
  <c r="U27" i="3"/>
  <c r="AA27" i="3"/>
  <c r="GR27" i="3"/>
  <c r="EJ27" i="3"/>
  <c r="CA27" i="3"/>
  <c r="O27" i="3"/>
  <c r="BE27" i="3"/>
  <c r="DE27" i="3"/>
  <c r="HV27" i="3"/>
  <c r="FN27" i="3"/>
  <c r="HA24" i="3"/>
  <c r="HV30" i="3"/>
  <c r="ID30" i="3" s="1"/>
  <c r="HR30" i="3"/>
  <c r="HZ30" i="3" s="1"/>
  <c r="GT30" i="3"/>
  <c r="HB30" i="3" s="1"/>
  <c r="GP30" i="3"/>
  <c r="GX30" i="3" s="1"/>
  <c r="FR30" i="3"/>
  <c r="FZ30" i="3" s="1"/>
  <c r="FN30" i="3"/>
  <c r="FV30" i="3" s="1"/>
  <c r="EL30" i="3"/>
  <c r="ET30" i="3" s="1"/>
  <c r="EH30" i="3"/>
  <c r="EP30" i="3" s="1"/>
  <c r="DJ30" i="3"/>
  <c r="DR30" i="3" s="1"/>
  <c r="DF30" i="3"/>
  <c r="DN30" i="3" s="1"/>
  <c r="CH30" i="3"/>
  <c r="CP30" i="3" s="1"/>
  <c r="CD30" i="3"/>
  <c r="CL30" i="3" s="1"/>
  <c r="BB30" i="3"/>
  <c r="BJ30" i="3" s="1"/>
  <c r="AX30" i="3"/>
  <c r="BF30" i="3" s="1"/>
  <c r="AL30" i="3"/>
  <c r="AN30" i="3" s="1"/>
  <c r="Z30" i="3"/>
  <c r="AH30" i="3" s="1"/>
  <c r="V30" i="3"/>
  <c r="AD30" i="3" s="1"/>
  <c r="N30" i="3"/>
  <c r="R30" i="3" s="1"/>
  <c r="HU30" i="3"/>
  <c r="IC30" i="3" s="1"/>
  <c r="HQ30" i="3"/>
  <c r="HY30" i="3" s="1"/>
  <c r="GS30" i="3"/>
  <c r="HA30" i="3" s="1"/>
  <c r="GO30" i="3"/>
  <c r="GW30" i="3" s="1"/>
  <c r="FQ30" i="3"/>
  <c r="FY30" i="3" s="1"/>
  <c r="FM30" i="3"/>
  <c r="FU30" i="3" s="1"/>
  <c r="EO30" i="3"/>
  <c r="EW30" i="3" s="1"/>
  <c r="EK30" i="3"/>
  <c r="ES30" i="3" s="1"/>
  <c r="HX30" i="3"/>
  <c r="IF30" i="3" s="1"/>
  <c r="HT30" i="3"/>
  <c r="IB30" i="3" s="1"/>
  <c r="GR30" i="3"/>
  <c r="GZ30" i="3" s="1"/>
  <c r="GN30" i="3"/>
  <c r="GV30" i="3" s="1"/>
  <c r="FP30" i="3"/>
  <c r="FX30" i="3" s="1"/>
  <c r="FL30" i="3"/>
  <c r="FT30" i="3" s="1"/>
  <c r="EN30" i="3"/>
  <c r="EV30" i="3" s="1"/>
  <c r="EJ30" i="3"/>
  <c r="ER30" i="3" s="1"/>
  <c r="DH30" i="3"/>
  <c r="DP30" i="3" s="1"/>
  <c r="DD30" i="3"/>
  <c r="DL30" i="3" s="1"/>
  <c r="HS30" i="3"/>
  <c r="IA30" i="3" s="1"/>
  <c r="DI30" i="3"/>
  <c r="DQ30" i="3" s="1"/>
  <c r="CE30" i="3"/>
  <c r="CM30" i="3" s="1"/>
  <c r="BD30" i="3"/>
  <c r="BL30" i="3" s="1"/>
  <c r="AY30" i="3"/>
  <c r="BG30" i="3" s="1"/>
  <c r="X30" i="3"/>
  <c r="AF30" i="3" s="1"/>
  <c r="M30" i="3"/>
  <c r="Q30" i="3" s="1"/>
  <c r="EM30" i="3"/>
  <c r="EU30" i="3" s="1"/>
  <c r="DG30" i="3"/>
  <c r="DO30" i="3" s="1"/>
  <c r="CC30" i="3"/>
  <c r="CK30" i="3" s="1"/>
  <c r="BC30" i="3"/>
  <c r="BK30" i="3" s="1"/>
  <c r="AB30" i="3"/>
  <c r="AJ30" i="3" s="1"/>
  <c r="W30" i="3"/>
  <c r="AE30" i="3" s="1"/>
  <c r="GU30" i="3"/>
  <c r="HC30" i="3" s="1"/>
  <c r="FO30" i="3"/>
  <c r="FW30" i="3" s="1"/>
  <c r="EI30" i="3"/>
  <c r="EQ30" i="3" s="1"/>
  <c r="DE30" i="3"/>
  <c r="DM30" i="3" s="1"/>
  <c r="CG30" i="3"/>
  <c r="CO30" i="3" s="1"/>
  <c r="CB30" i="3"/>
  <c r="CJ30" i="3" s="1"/>
  <c r="BA30" i="3"/>
  <c r="BI30" i="3" s="1"/>
  <c r="AK30" i="3"/>
  <c r="AM30" i="3" s="1"/>
  <c r="AA30" i="3"/>
  <c r="AI30" i="3" s="1"/>
  <c r="U30" i="3"/>
  <c r="AC30" i="3" s="1"/>
  <c r="P30" i="3"/>
  <c r="T30" i="3" s="1"/>
  <c r="GQ30" i="3"/>
  <c r="GY30" i="3" s="1"/>
  <c r="CA30" i="3"/>
  <c r="CI30" i="3" s="1"/>
  <c r="BE30" i="3"/>
  <c r="BM30" i="3" s="1"/>
  <c r="O30" i="3"/>
  <c r="S30" i="3" s="1"/>
  <c r="AZ30" i="3"/>
  <c r="BH30" i="3" s="1"/>
  <c r="HW30" i="3"/>
  <c r="IE30" i="3" s="1"/>
  <c r="FK30" i="3"/>
  <c r="FS30" i="3" s="1"/>
  <c r="DK30" i="3"/>
  <c r="DS30" i="3" s="1"/>
  <c r="Y30" i="3"/>
  <c r="AG30" i="3" s="1"/>
  <c r="CF30" i="3"/>
  <c r="CN30" i="3" s="1"/>
  <c r="GY24" i="3"/>
  <c r="ER24" i="3"/>
  <c r="BK24" i="3"/>
  <c r="AD24" i="3"/>
  <c r="BJ24" i="3"/>
  <c r="FV24" i="3"/>
  <c r="HZ24" i="3"/>
  <c r="AR25" i="3"/>
  <c r="BN25" i="3"/>
  <c r="AP25" i="3"/>
  <c r="AQ25" i="3"/>
  <c r="BO25" i="3"/>
  <c r="AS25" i="3"/>
  <c r="EC18" i="3"/>
  <c r="EB18" i="3"/>
  <c r="EY18" i="3"/>
  <c r="EA18" i="3"/>
  <c r="DZ18" i="3"/>
  <c r="EX18" i="3"/>
  <c r="EU18" i="3"/>
  <c r="DU18" i="3"/>
  <c r="CW18" i="3"/>
  <c r="DT18" i="3"/>
  <c r="CV18" i="3"/>
  <c r="CY18" i="3"/>
  <c r="CX18" i="3"/>
  <c r="AS17" i="3"/>
  <c r="AR17" i="3"/>
  <c r="BO17" i="3"/>
  <c r="AQ17" i="3"/>
  <c r="AP17" i="3"/>
  <c r="BN17" i="3"/>
  <c r="BL16" i="3"/>
  <c r="AG16" i="3"/>
  <c r="BM16" i="3"/>
  <c r="DQ16" i="3"/>
  <c r="FY16" i="3"/>
  <c r="IC16" i="3"/>
  <c r="CP16" i="3"/>
  <c r="ET16" i="3"/>
  <c r="HB16" i="3"/>
  <c r="BG16" i="3"/>
  <c r="CY16" i="3"/>
  <c r="CX16" i="3"/>
  <c r="DU16" i="3"/>
  <c r="CW16" i="3"/>
  <c r="DA16" i="3" s="1"/>
  <c r="CV16" i="3"/>
  <c r="CZ16" i="3" s="1"/>
  <c r="DT16" i="3"/>
  <c r="EU16" i="3"/>
  <c r="HC16" i="3"/>
  <c r="CJ12" i="3"/>
  <c r="T12" i="3"/>
  <c r="ET10" i="3"/>
  <c r="BJ10" i="3"/>
  <c r="HY6" i="3"/>
  <c r="GB19" i="3"/>
  <c r="FD19" i="3"/>
  <c r="GA19" i="3"/>
  <c r="FC19" i="3"/>
  <c r="FF19" i="3"/>
  <c r="FE19" i="3"/>
  <c r="BO11" i="3"/>
  <c r="AQ11" i="3"/>
  <c r="AS11" i="3"/>
  <c r="AR11" i="3"/>
  <c r="AP11" i="3"/>
  <c r="BN11" i="3"/>
  <c r="GV10" i="3"/>
  <c r="CN10" i="3"/>
  <c r="AE10" i="3"/>
  <c r="CI10" i="3"/>
  <c r="DS10" i="3"/>
  <c r="AC10" i="3"/>
  <c r="BI10" i="3"/>
  <c r="DM10" i="3"/>
  <c r="FU10" i="3"/>
  <c r="ED16" i="3"/>
  <c r="FA16" i="3"/>
  <c r="CN12" i="3"/>
  <c r="AC12" i="3"/>
  <c r="BI12" i="3"/>
  <c r="DM12" i="3"/>
  <c r="FU12" i="3"/>
  <c r="HY12" i="3"/>
  <c r="S12" i="3"/>
  <c r="BK12" i="3"/>
  <c r="DO12" i="3"/>
  <c r="IA12" i="3"/>
  <c r="HZ10" i="3"/>
  <c r="DR10" i="3"/>
  <c r="DU6" i="3"/>
  <c r="CW6" i="3"/>
  <c r="DT6" i="3"/>
  <c r="CV6" i="3"/>
  <c r="CY6" i="3"/>
  <c r="CX6" i="3"/>
  <c r="BO8" i="3"/>
  <c r="AQ8" i="3"/>
  <c r="BN8" i="3"/>
  <c r="AP8" i="3"/>
  <c r="AS8" i="3"/>
  <c r="AR8" i="3"/>
  <c r="BF8" i="3"/>
  <c r="CY8" i="3"/>
  <c r="CX8" i="3"/>
  <c r="DU8" i="3"/>
  <c r="CW8" i="3"/>
  <c r="DT8" i="3"/>
  <c r="CV8" i="3"/>
  <c r="EF4" i="3"/>
  <c r="GB3" i="3"/>
  <c r="FD3" i="3"/>
  <c r="FF3" i="3"/>
  <c r="FE3" i="3"/>
  <c r="FC3" i="3"/>
  <c r="GA3" i="3"/>
  <c r="FV2" i="3"/>
  <c r="IF2" i="3"/>
  <c r="ER14" i="3"/>
  <c r="FZ2" i="3"/>
  <c r="BO3" i="3"/>
  <c r="AQ3" i="3"/>
  <c r="AS3" i="3"/>
  <c r="AP3" i="3"/>
  <c r="BN3" i="3"/>
  <c r="AR3" i="3"/>
  <c r="GV2" i="3"/>
  <c r="CN2" i="3"/>
  <c r="AE2" i="3"/>
  <c r="CI2" i="3"/>
  <c r="DS2" i="3"/>
  <c r="FW2" i="3"/>
  <c r="IE2" i="3"/>
  <c r="AC2" i="3"/>
  <c r="BI2" i="3"/>
  <c r="DM2" i="3"/>
  <c r="HY2" i="3"/>
  <c r="T20" i="3"/>
  <c r="BJ20" i="3"/>
  <c r="FY20" i="3"/>
  <c r="S20" i="3"/>
  <c r="DP20" i="3"/>
  <c r="FT20" i="3"/>
  <c r="FV20" i="3"/>
  <c r="BH14" i="3"/>
  <c r="DP2" i="3"/>
  <c r="R14" i="3"/>
  <c r="BU14" i="3"/>
  <c r="BY14" i="3" s="1"/>
  <c r="CQ14" i="3"/>
  <c r="BS14" i="3"/>
  <c r="BV14" i="3"/>
  <c r="CR14" i="3"/>
  <c r="CT14" i="3" s="1"/>
  <c r="BT14" i="3"/>
  <c r="FZ14" i="3"/>
  <c r="T14" i="3"/>
  <c r="DP14" i="3"/>
  <c r="GZ14" i="3"/>
  <c r="BF14" i="3"/>
  <c r="FV14" i="3"/>
  <c r="S14" i="3"/>
  <c r="BK14" i="3"/>
  <c r="DO14" i="3"/>
  <c r="Q14" i="3"/>
  <c r="AS14" i="3"/>
  <c r="BO14" i="3"/>
  <c r="AQ14" i="3"/>
  <c r="BN14" i="3"/>
  <c r="AP14" i="3"/>
  <c r="AR14" i="3"/>
  <c r="CO14" i="3"/>
  <c r="HA14" i="3"/>
  <c r="HX7" i="3"/>
  <c r="IF6" i="3" s="1"/>
  <c r="HT7" i="3"/>
  <c r="IB6" i="3" s="1"/>
  <c r="GT7" i="3"/>
  <c r="HB6" i="3" s="1"/>
  <c r="GP7" i="3"/>
  <c r="GX6" i="3" s="1"/>
  <c r="FP7" i="3"/>
  <c r="FX6" i="3" s="1"/>
  <c r="FL7" i="3"/>
  <c r="FT6" i="3" s="1"/>
  <c r="EL7" i="3"/>
  <c r="ET6" i="3" s="1"/>
  <c r="EH7" i="3"/>
  <c r="EP6" i="3" s="1"/>
  <c r="DK7" i="3"/>
  <c r="DS6" i="3" s="1"/>
  <c r="DG7" i="3"/>
  <c r="DO6" i="3" s="1"/>
  <c r="CG7" i="3"/>
  <c r="CC7" i="3"/>
  <c r="CK6" i="3" s="1"/>
  <c r="BC7" i="3"/>
  <c r="BK6" i="3" s="1"/>
  <c r="AY7" i="3"/>
  <c r="BG6" i="3" s="1"/>
  <c r="AK7" i="3"/>
  <c r="Y7" i="3"/>
  <c r="AG6" i="3" s="1"/>
  <c r="U7" i="3"/>
  <c r="AC6" i="3" s="1"/>
  <c r="M7" i="3"/>
  <c r="Q6" i="3" s="1"/>
  <c r="HW7" i="3"/>
  <c r="IE6" i="3" s="1"/>
  <c r="HS7" i="3"/>
  <c r="IA6" i="3" s="1"/>
  <c r="GS7" i="3"/>
  <c r="GO7" i="3"/>
  <c r="FO7" i="3"/>
  <c r="FW6" i="3" s="1"/>
  <c r="FK7" i="3"/>
  <c r="FS6" i="3" s="1"/>
  <c r="EO7" i="3"/>
  <c r="EK7" i="3"/>
  <c r="DJ7" i="3"/>
  <c r="DR6" i="3" s="1"/>
  <c r="DF7" i="3"/>
  <c r="DN6" i="3" s="1"/>
  <c r="CF7" i="3"/>
  <c r="CB7" i="3"/>
  <c r="CJ6" i="3" s="1"/>
  <c r="BB7" i="3"/>
  <c r="BJ6" i="3" s="1"/>
  <c r="AX7" i="3"/>
  <c r="BF6" i="3" s="1"/>
  <c r="AB7" i="3"/>
  <c r="X7" i="3"/>
  <c r="P7" i="3"/>
  <c r="T6" i="3" s="1"/>
  <c r="HV7" i="3"/>
  <c r="ID6" i="3" s="1"/>
  <c r="HR7" i="3"/>
  <c r="HZ6" i="3" s="1"/>
  <c r="GR7" i="3"/>
  <c r="GZ6" i="3" s="1"/>
  <c r="GN7" i="3"/>
  <c r="GV6" i="3" s="1"/>
  <c r="FR7" i="3"/>
  <c r="FZ6" i="3" s="1"/>
  <c r="FN7" i="3"/>
  <c r="FV6" i="3" s="1"/>
  <c r="EN7" i="3"/>
  <c r="EV6" i="3" s="1"/>
  <c r="EJ7" i="3"/>
  <c r="DI7" i="3"/>
  <c r="DQ6" i="3" s="1"/>
  <c r="DE7" i="3"/>
  <c r="DM6" i="3" s="1"/>
  <c r="CE7" i="3"/>
  <c r="CA7" i="3"/>
  <c r="BE7" i="3"/>
  <c r="BM6" i="3" s="1"/>
  <c r="BA7" i="3"/>
  <c r="BI6" i="3" s="1"/>
  <c r="AA7" i="3"/>
  <c r="W7" i="3"/>
  <c r="AE6" i="3" s="1"/>
  <c r="O7" i="3"/>
  <c r="S6" i="3" s="1"/>
  <c r="GU7" i="3"/>
  <c r="HC6" i="3" s="1"/>
  <c r="FQ7" i="3"/>
  <c r="FY6" i="3" s="1"/>
  <c r="EM7" i="3"/>
  <c r="EU6" i="3" s="1"/>
  <c r="DH7" i="3"/>
  <c r="DP6" i="3" s="1"/>
  <c r="CD7" i="3"/>
  <c r="CL6" i="3" s="1"/>
  <c r="AZ7" i="3"/>
  <c r="BH6" i="3" s="1"/>
  <c r="V7" i="3"/>
  <c r="AD6" i="3" s="1"/>
  <c r="CH7" i="3"/>
  <c r="CP6" i="3" s="1"/>
  <c r="BD7" i="3"/>
  <c r="BL6" i="3" s="1"/>
  <c r="Z7" i="3"/>
  <c r="AH6" i="3" s="1"/>
  <c r="HU7" i="3"/>
  <c r="IC6" i="3" s="1"/>
  <c r="GQ7" i="3"/>
  <c r="GY6" i="3" s="1"/>
  <c r="FM7" i="3"/>
  <c r="FU6" i="3" s="1"/>
  <c r="EI7" i="3"/>
  <c r="DD7" i="3"/>
  <c r="DL6" i="3" s="1"/>
  <c r="N7" i="3"/>
  <c r="R6" i="3" s="1"/>
  <c r="HQ7" i="3"/>
  <c r="AL7" i="3"/>
  <c r="AN6" i="3" s="1"/>
  <c r="BU2" i="3"/>
  <c r="BY2" i="3" s="1"/>
  <c r="CQ2" i="3"/>
  <c r="BS2" i="3"/>
  <c r="BV2" i="3"/>
  <c r="BT2" i="3"/>
  <c r="BX2" i="3" s="1"/>
  <c r="CR2" i="3"/>
  <c r="CT2" i="3" s="1"/>
  <c r="GA8" i="3"/>
  <c r="FC8" i="3"/>
  <c r="FF8" i="3"/>
  <c r="FE8" i="3"/>
  <c r="GB8" i="3"/>
  <c r="FD8" i="3"/>
  <c r="DU38" i="3"/>
  <c r="CW38" i="3"/>
  <c r="DT38" i="3"/>
  <c r="CV38" i="3"/>
  <c r="CY38" i="3"/>
  <c r="CX38" i="3"/>
  <c r="BM38" i="3"/>
  <c r="IC38" i="3"/>
  <c r="BI36" i="3"/>
  <c r="DQ34" i="3"/>
  <c r="AN34" i="3"/>
  <c r="HW23" i="3"/>
  <c r="HS23" i="3"/>
  <c r="GS23" i="3"/>
  <c r="GO23" i="3"/>
  <c r="FO23" i="3"/>
  <c r="FK23" i="3"/>
  <c r="EO23" i="3"/>
  <c r="EK23" i="3"/>
  <c r="DJ23" i="3"/>
  <c r="DF23" i="3"/>
  <c r="CF23" i="3"/>
  <c r="CB23" i="3"/>
  <c r="BB23" i="3"/>
  <c r="AX23" i="3"/>
  <c r="AB23" i="3"/>
  <c r="X23" i="3"/>
  <c r="P23" i="3"/>
  <c r="HV23" i="3"/>
  <c r="HR23" i="3"/>
  <c r="GR23" i="3"/>
  <c r="GN23" i="3"/>
  <c r="FR23" i="3"/>
  <c r="FN23" i="3"/>
  <c r="EN23" i="3"/>
  <c r="EJ23" i="3"/>
  <c r="DI23" i="3"/>
  <c r="DE23" i="3"/>
  <c r="CE23" i="3"/>
  <c r="CA23" i="3"/>
  <c r="BE23" i="3"/>
  <c r="BA23" i="3"/>
  <c r="AA23" i="3"/>
  <c r="W23" i="3"/>
  <c r="O23" i="3"/>
  <c r="HU23" i="3"/>
  <c r="HQ23" i="3"/>
  <c r="GU23" i="3"/>
  <c r="GQ23" i="3"/>
  <c r="FQ23" i="3"/>
  <c r="FM23" i="3"/>
  <c r="EM23" i="3"/>
  <c r="EI23" i="3"/>
  <c r="DH23" i="3"/>
  <c r="DD23" i="3"/>
  <c r="CH23" i="3"/>
  <c r="CD23" i="3"/>
  <c r="BD23" i="3"/>
  <c r="AZ23" i="3"/>
  <c r="AL23" i="3"/>
  <c r="Z23" i="3"/>
  <c r="V23" i="3"/>
  <c r="N23" i="3"/>
  <c r="HX23" i="3"/>
  <c r="GT23" i="3"/>
  <c r="FP23" i="3"/>
  <c r="DK23" i="3"/>
  <c r="CG23" i="3"/>
  <c r="BC23" i="3"/>
  <c r="Y23" i="3"/>
  <c r="HT23" i="3"/>
  <c r="GP23" i="3"/>
  <c r="FL23" i="3"/>
  <c r="EL23" i="3"/>
  <c r="DG23" i="3"/>
  <c r="CC23" i="3"/>
  <c r="AY23" i="3"/>
  <c r="U23" i="3"/>
  <c r="EH23" i="3"/>
  <c r="M23" i="3"/>
  <c r="AK23" i="3"/>
  <c r="BV25" i="3"/>
  <c r="CR25" i="3"/>
  <c r="BT25" i="3"/>
  <c r="BU25" i="3"/>
  <c r="BS25" i="3"/>
  <c r="CQ25" i="3"/>
  <c r="DP12" i="3"/>
  <c r="GW6" i="3"/>
  <c r="ES6" i="3"/>
  <c r="AM6" i="3"/>
  <c r="ER6" i="3"/>
  <c r="CN6" i="3"/>
  <c r="AF6" i="3"/>
  <c r="EX19" i="3"/>
  <c r="DZ19" i="3"/>
  <c r="EC19" i="3"/>
  <c r="EB19" i="3"/>
  <c r="EA19" i="3"/>
  <c r="EY19" i="3"/>
  <c r="GW10" i="3"/>
  <c r="CK12" i="3"/>
  <c r="GW12" i="3"/>
  <c r="CY15" i="3"/>
  <c r="DU15" i="3"/>
  <c r="CW15" i="3"/>
  <c r="CV15" i="3"/>
  <c r="DT15" i="3"/>
  <c r="CX15" i="3"/>
  <c r="CQ8" i="3"/>
  <c r="BS8" i="3"/>
  <c r="BV8" i="3"/>
  <c r="BU8" i="3"/>
  <c r="CR8" i="3"/>
  <c r="BT8" i="3"/>
  <c r="HV5" i="3"/>
  <c r="ID4" i="3" s="1"/>
  <c r="HR5" i="3"/>
  <c r="HZ4" i="3" s="1"/>
  <c r="GR5" i="3"/>
  <c r="GZ4" i="3" s="1"/>
  <c r="GN5" i="3"/>
  <c r="GV4" i="3" s="1"/>
  <c r="FR5" i="3"/>
  <c r="FZ4" i="3" s="1"/>
  <c r="FN5" i="3"/>
  <c r="FV4" i="3" s="1"/>
  <c r="EN5" i="3"/>
  <c r="EV4" i="3" s="1"/>
  <c r="EJ5" i="3"/>
  <c r="ER4" i="3" s="1"/>
  <c r="DI5" i="3"/>
  <c r="DQ4" i="3" s="1"/>
  <c r="DE5" i="3"/>
  <c r="DM4" i="3" s="1"/>
  <c r="CE5" i="3"/>
  <c r="CM4" i="3" s="1"/>
  <c r="CA5" i="3"/>
  <c r="CI4" i="3" s="1"/>
  <c r="BE5" i="3"/>
  <c r="BM4" i="3" s="1"/>
  <c r="BA5" i="3"/>
  <c r="BI4" i="3" s="1"/>
  <c r="AA5" i="3"/>
  <c r="AI4" i="3" s="1"/>
  <c r="W5" i="3"/>
  <c r="AE4" i="3" s="1"/>
  <c r="O5" i="3"/>
  <c r="S4" i="3" s="1"/>
  <c r="DH5" i="3"/>
  <c r="DP4" i="3" s="1"/>
  <c r="HU5" i="3"/>
  <c r="IC4" i="3" s="1"/>
  <c r="HQ5" i="3"/>
  <c r="HY4" i="3" s="1"/>
  <c r="GU5" i="3"/>
  <c r="GQ5" i="3"/>
  <c r="GY4" i="3" s="1"/>
  <c r="FQ5" i="3"/>
  <c r="FY4" i="3" s="1"/>
  <c r="FM5" i="3"/>
  <c r="FU4" i="3" s="1"/>
  <c r="EM5" i="3"/>
  <c r="EU4" i="3" s="1"/>
  <c r="EI5" i="3"/>
  <c r="EQ4" i="3" s="1"/>
  <c r="DD5" i="3"/>
  <c r="HX5" i="3"/>
  <c r="IF4" i="3" s="1"/>
  <c r="HT5" i="3"/>
  <c r="IB4" i="3" s="1"/>
  <c r="GT5" i="3"/>
  <c r="HB4" i="3" s="1"/>
  <c r="GP5" i="3"/>
  <c r="GX4" i="3" s="1"/>
  <c r="FP5" i="3"/>
  <c r="FX4" i="3" s="1"/>
  <c r="FL5" i="3"/>
  <c r="FT4" i="3" s="1"/>
  <c r="EL5" i="3"/>
  <c r="ET4" i="3" s="1"/>
  <c r="EH5" i="3"/>
  <c r="EP4" i="3" s="1"/>
  <c r="DK5" i="3"/>
  <c r="DS4" i="3" s="1"/>
  <c r="DG5" i="3"/>
  <c r="DO4" i="3" s="1"/>
  <c r="CG5" i="3"/>
  <c r="CC5" i="3"/>
  <c r="CK4" i="3" s="1"/>
  <c r="BC5" i="3"/>
  <c r="BK4" i="3" s="1"/>
  <c r="AY5" i="3"/>
  <c r="AK5" i="3"/>
  <c r="AM4" i="3" s="1"/>
  <c r="Y5" i="3"/>
  <c r="AG4" i="3" s="1"/>
  <c r="U5" i="3"/>
  <c r="AC4" i="3" s="1"/>
  <c r="M5" i="3"/>
  <c r="Q4" i="3" s="1"/>
  <c r="HW5" i="3"/>
  <c r="IE4" i="3" s="1"/>
  <c r="GS5" i="3"/>
  <c r="FO5" i="3"/>
  <c r="FW4" i="3" s="1"/>
  <c r="EK5" i="3"/>
  <c r="ES4" i="3" s="1"/>
  <c r="DF5" i="3"/>
  <c r="DN4" i="3" s="1"/>
  <c r="CF5" i="3"/>
  <c r="CN4" i="3" s="1"/>
  <c r="BB5" i="3"/>
  <c r="BJ4" i="3" s="1"/>
  <c r="X5" i="3"/>
  <c r="AF4" i="3" s="1"/>
  <c r="CB5" i="3"/>
  <c r="CJ4" i="3" s="1"/>
  <c r="AX5" i="3"/>
  <c r="BF4" i="3" s="1"/>
  <c r="AB5" i="3"/>
  <c r="AJ4" i="3" s="1"/>
  <c r="P5" i="3"/>
  <c r="T4" i="3" s="1"/>
  <c r="EO5" i="3"/>
  <c r="DJ5" i="3"/>
  <c r="DR4" i="3" s="1"/>
  <c r="CH5" i="3"/>
  <c r="CP4" i="3" s="1"/>
  <c r="BD5" i="3"/>
  <c r="BL4" i="3" s="1"/>
  <c r="Z5" i="3"/>
  <c r="AH4" i="3" s="1"/>
  <c r="N5" i="3"/>
  <c r="R4" i="3" s="1"/>
  <c r="HS5" i="3"/>
  <c r="IA4" i="3" s="1"/>
  <c r="GO5" i="3"/>
  <c r="GW4" i="3" s="1"/>
  <c r="FK5" i="3"/>
  <c r="FS4" i="3" s="1"/>
  <c r="CD5" i="3"/>
  <c r="CL4" i="3" s="1"/>
  <c r="AZ5" i="3"/>
  <c r="BH4" i="3" s="1"/>
  <c r="AL5" i="3"/>
  <c r="AN4" i="3" s="1"/>
  <c r="V5" i="3"/>
  <c r="AD4" i="3" s="1"/>
  <c r="HE10" i="3"/>
  <c r="GG10" i="3"/>
  <c r="GI10" i="3"/>
  <c r="GH10" i="3"/>
  <c r="HD10" i="3"/>
  <c r="GF10" i="3"/>
  <c r="DU2" i="3"/>
  <c r="CW2" i="3"/>
  <c r="CY2" i="3"/>
  <c r="CX2" i="3"/>
  <c r="DT2" i="3"/>
  <c r="CV2" i="3"/>
  <c r="EP20" i="3"/>
  <c r="CI20" i="3"/>
  <c r="IC20" i="3"/>
  <c r="CM20" i="3"/>
  <c r="ER20" i="3"/>
  <c r="FY14" i="3"/>
  <c r="EY41" i="3"/>
  <c r="EA41" i="3"/>
  <c r="EX41" i="3"/>
  <c r="DZ41" i="3"/>
  <c r="EC41" i="3"/>
  <c r="EB41" i="3"/>
  <c r="BK38" i="3"/>
  <c r="FS38" i="3"/>
  <c r="AM38" i="3"/>
  <c r="BV31" i="3"/>
  <c r="BU31" i="3"/>
  <c r="CR31" i="3"/>
  <c r="BT31" i="3"/>
  <c r="BS31" i="3"/>
  <c r="CQ31" i="3"/>
  <c r="CK34" i="3"/>
  <c r="HU40" i="3"/>
  <c r="HQ40" i="3"/>
  <c r="GS40" i="3"/>
  <c r="GO40" i="3"/>
  <c r="FQ40" i="3"/>
  <c r="FM40" i="3"/>
  <c r="EO40" i="3"/>
  <c r="EK40" i="3"/>
  <c r="HX40" i="3"/>
  <c r="HT40" i="3"/>
  <c r="IB40" i="3" s="1"/>
  <c r="GR40" i="3"/>
  <c r="GN40" i="3"/>
  <c r="FP40" i="3"/>
  <c r="FL40" i="3"/>
  <c r="FT40" i="3" s="1"/>
  <c r="EN40" i="3"/>
  <c r="EJ40" i="3"/>
  <c r="ER40" i="3" s="1"/>
  <c r="DH40" i="3"/>
  <c r="DD40" i="3"/>
  <c r="CF40" i="3"/>
  <c r="CB40" i="3"/>
  <c r="HV40" i="3"/>
  <c r="GP40" i="3"/>
  <c r="FR40" i="3"/>
  <c r="EL40" i="3"/>
  <c r="ET40" i="3" s="1"/>
  <c r="DI40" i="3"/>
  <c r="DQ40" i="3" s="1"/>
  <c r="CH40" i="3"/>
  <c r="CP40" i="3" s="1"/>
  <c r="CC40" i="3"/>
  <c r="BB40" i="3"/>
  <c r="BJ40" i="3" s="1"/>
  <c r="AX40" i="3"/>
  <c r="BF40" i="3" s="1"/>
  <c r="AL40" i="3"/>
  <c r="AN40" i="3" s="1"/>
  <c r="Z40" i="3"/>
  <c r="V40" i="3"/>
  <c r="N40" i="3"/>
  <c r="R40" i="3" s="1"/>
  <c r="HR40" i="3"/>
  <c r="GT40" i="3"/>
  <c r="HB40" i="3" s="1"/>
  <c r="FN40" i="3"/>
  <c r="FV40" i="3" s="1"/>
  <c r="EH40" i="3"/>
  <c r="DK40" i="3"/>
  <c r="DF40" i="3"/>
  <c r="DN40" i="3" s="1"/>
  <c r="CE40" i="3"/>
  <c r="BD40" i="3"/>
  <c r="AZ40" i="3"/>
  <c r="BH40" i="3" s="1"/>
  <c r="AB40" i="3"/>
  <c r="X40" i="3"/>
  <c r="P40" i="3"/>
  <c r="T40" i="3" s="1"/>
  <c r="GU40" i="3"/>
  <c r="HC40" i="3" s="1"/>
  <c r="FO40" i="3"/>
  <c r="FW40" i="3" s="1"/>
  <c r="EI40" i="3"/>
  <c r="EQ40" i="3" s="1"/>
  <c r="DG40" i="3"/>
  <c r="DO40" i="3" s="1"/>
  <c r="CA40" i="3"/>
  <c r="BA40" i="3"/>
  <c r="BI40" i="3" s="1"/>
  <c r="AK40" i="3"/>
  <c r="U40" i="3"/>
  <c r="AC40" i="3" s="1"/>
  <c r="M40" i="3"/>
  <c r="Q40" i="3" s="1"/>
  <c r="HW40" i="3"/>
  <c r="IE40" i="3" s="1"/>
  <c r="GQ40" i="3"/>
  <c r="GY40" i="3" s="1"/>
  <c r="FK40" i="3"/>
  <c r="FS40" i="3" s="1"/>
  <c r="DE40" i="3"/>
  <c r="AY40" i="3"/>
  <c r="BG40" i="3" s="1"/>
  <c r="AA40" i="3"/>
  <c r="HS40" i="3"/>
  <c r="IA40" i="3" s="1"/>
  <c r="CG40" i="3"/>
  <c r="BE40" i="3"/>
  <c r="BM40" i="3" s="1"/>
  <c r="Y40" i="3"/>
  <c r="EM40" i="3"/>
  <c r="EU40" i="3" s="1"/>
  <c r="BC40" i="3"/>
  <c r="BK40" i="3" s="1"/>
  <c r="W40" i="3"/>
  <c r="AE40" i="3" s="1"/>
  <c r="CD40" i="3"/>
  <c r="CL40" i="3" s="1"/>
  <c r="O40" i="3"/>
  <c r="S40" i="3" s="1"/>
  <c r="DJ40" i="3"/>
  <c r="DR40" i="3" s="1"/>
  <c r="EP38" i="3"/>
  <c r="HV37" i="3"/>
  <c r="ID36" i="3" s="1"/>
  <c r="HR37" i="3"/>
  <c r="HZ36" i="3" s="1"/>
  <c r="GR37" i="3"/>
  <c r="GZ36" i="3" s="1"/>
  <c r="GN37" i="3"/>
  <c r="GV36" i="3" s="1"/>
  <c r="FR37" i="3"/>
  <c r="FZ36" i="3" s="1"/>
  <c r="FN37" i="3"/>
  <c r="FV36" i="3" s="1"/>
  <c r="EN37" i="3"/>
  <c r="EV36" i="3" s="1"/>
  <c r="EJ37" i="3"/>
  <c r="ER36" i="3" s="1"/>
  <c r="DI37" i="3"/>
  <c r="DQ36" i="3" s="1"/>
  <c r="DE37" i="3"/>
  <c r="DM36" i="3" s="1"/>
  <c r="CE37" i="3"/>
  <c r="CM36" i="3" s="1"/>
  <c r="CA37" i="3"/>
  <c r="CI36" i="3" s="1"/>
  <c r="BE37" i="3"/>
  <c r="BM36" i="3" s="1"/>
  <c r="BA37" i="3"/>
  <c r="AA37" i="3"/>
  <c r="AI36" i="3" s="1"/>
  <c r="W37" i="3"/>
  <c r="AE36" i="3" s="1"/>
  <c r="O37" i="3"/>
  <c r="S36" i="3" s="1"/>
  <c r="HX37" i="3"/>
  <c r="IF36" i="3" s="1"/>
  <c r="HT37" i="3"/>
  <c r="IB36" i="3" s="1"/>
  <c r="GT37" i="3"/>
  <c r="HB36" i="3" s="1"/>
  <c r="GP37" i="3"/>
  <c r="GX36" i="3" s="1"/>
  <c r="HS37" i="3"/>
  <c r="IA36" i="3" s="1"/>
  <c r="GO37" i="3"/>
  <c r="GW36" i="3" s="1"/>
  <c r="FP37" i="3"/>
  <c r="FX36" i="3" s="1"/>
  <c r="FK37" i="3"/>
  <c r="FS36" i="3" s="1"/>
  <c r="EL37" i="3"/>
  <c r="ET36" i="3" s="1"/>
  <c r="DG37" i="3"/>
  <c r="DO36" i="3" s="1"/>
  <c r="CH37" i="3"/>
  <c r="CP36" i="3" s="1"/>
  <c r="CC37" i="3"/>
  <c r="CK36" i="3" s="1"/>
  <c r="BD37" i="3"/>
  <c r="AY37" i="3"/>
  <c r="Z37" i="3"/>
  <c r="AH36" i="3" s="1"/>
  <c r="U37" i="3"/>
  <c r="AC36" i="3" s="1"/>
  <c r="HQ37" i="3"/>
  <c r="GU37" i="3"/>
  <c r="HC36" i="3" s="1"/>
  <c r="FO37" i="3"/>
  <c r="FW36" i="3" s="1"/>
  <c r="EK37" i="3"/>
  <c r="ES36" i="3" s="1"/>
  <c r="DK37" i="3"/>
  <c r="DS36" i="3" s="1"/>
  <c r="DF37" i="3"/>
  <c r="DN36" i="3" s="1"/>
  <c r="CG37" i="3"/>
  <c r="CO36" i="3" s="1"/>
  <c r="CB37" i="3"/>
  <c r="BC37" i="3"/>
  <c r="BK36" i="3" s="1"/>
  <c r="AX37" i="3"/>
  <c r="BF36" i="3" s="1"/>
  <c r="AL37" i="3"/>
  <c r="AN36" i="3" s="1"/>
  <c r="Y37" i="3"/>
  <c r="AG36" i="3" s="1"/>
  <c r="P37" i="3"/>
  <c r="T36" i="3" s="1"/>
  <c r="HW37" i="3"/>
  <c r="IE36" i="3" s="1"/>
  <c r="GS37" i="3"/>
  <c r="FM37" i="3"/>
  <c r="FU36" i="3" s="1"/>
  <c r="EO37" i="3"/>
  <c r="EW36" i="3" s="1"/>
  <c r="EI37" i="3"/>
  <c r="EQ36" i="3" s="1"/>
  <c r="DJ37" i="3"/>
  <c r="DR36" i="3" s="1"/>
  <c r="DD37" i="3"/>
  <c r="DL36" i="3" s="1"/>
  <c r="CF37" i="3"/>
  <c r="CN36" i="3" s="1"/>
  <c r="BB37" i="3"/>
  <c r="BJ36" i="3" s="1"/>
  <c r="AK37" i="3"/>
  <c r="AM36" i="3" s="1"/>
  <c r="X37" i="3"/>
  <c r="AF36" i="3" s="1"/>
  <c r="N37" i="3"/>
  <c r="R36" i="3" s="1"/>
  <c r="FL37" i="3"/>
  <c r="CD37" i="3"/>
  <c r="CL36" i="3" s="1"/>
  <c r="GQ37" i="3"/>
  <c r="DH37" i="3"/>
  <c r="DP36" i="3" s="1"/>
  <c r="AB37" i="3"/>
  <c r="AJ36" i="3" s="1"/>
  <c r="EM37" i="3"/>
  <c r="EU36" i="3" s="1"/>
  <c r="V37" i="3"/>
  <c r="AD36" i="3" s="1"/>
  <c r="HU37" i="3"/>
  <c r="IC36" i="3" s="1"/>
  <c r="FQ37" i="3"/>
  <c r="FY36" i="3" s="1"/>
  <c r="AZ37" i="3"/>
  <c r="BH36" i="3" s="1"/>
  <c r="EH37" i="3"/>
  <c r="EP36" i="3" s="1"/>
  <c r="M37" i="3"/>
  <c r="BH38" i="3"/>
  <c r="AI38" i="3"/>
  <c r="CM38" i="3"/>
  <c r="GY38" i="3"/>
  <c r="EC38" i="3"/>
  <c r="EG38" i="3" s="1"/>
  <c r="EB38" i="3"/>
  <c r="EF38" i="3" s="1"/>
  <c r="EY38" i="3"/>
  <c r="FA38" i="3" s="1"/>
  <c r="EA38" i="3"/>
  <c r="EX38" i="3"/>
  <c r="DZ38" i="3"/>
  <c r="ED38" i="3" s="1"/>
  <c r="FX38" i="3"/>
  <c r="BI38" i="3"/>
  <c r="GA39" i="3"/>
  <c r="FC39" i="3"/>
  <c r="FE39" i="3"/>
  <c r="GB39" i="3"/>
  <c r="FF39" i="3"/>
  <c r="FD39" i="3"/>
  <c r="BG36" i="3"/>
  <c r="DU36" i="3"/>
  <c r="CW36" i="3"/>
  <c r="CY36" i="3"/>
  <c r="DT36" i="3"/>
  <c r="CV36" i="3"/>
  <c r="CX36" i="3"/>
  <c r="HY36" i="3"/>
  <c r="Q36" i="3"/>
  <c r="AS36" i="3"/>
  <c r="BO36" i="3"/>
  <c r="AQ36" i="3"/>
  <c r="AR36" i="3"/>
  <c r="BN36" i="3"/>
  <c r="AP36" i="3"/>
  <c r="HA36" i="3"/>
  <c r="GY36" i="3"/>
  <c r="FF35" i="3"/>
  <c r="GB35" i="3"/>
  <c r="FD35" i="3"/>
  <c r="FE35" i="3"/>
  <c r="FC35" i="3"/>
  <c r="GA35" i="3"/>
  <c r="FT36" i="3"/>
  <c r="CJ36" i="3"/>
  <c r="GW34" i="3"/>
  <c r="CJ34" i="3"/>
  <c r="DT31" i="3"/>
  <c r="CV31" i="3"/>
  <c r="CY31" i="3"/>
  <c r="CX31" i="3"/>
  <c r="CW31" i="3"/>
  <c r="DU31" i="3"/>
  <c r="ER34" i="3"/>
  <c r="AC34" i="3"/>
  <c r="BI34" i="3"/>
  <c r="DM34" i="3"/>
  <c r="FU34" i="3"/>
  <c r="ID34" i="3"/>
  <c r="AH34" i="3"/>
  <c r="CQ34" i="3"/>
  <c r="BS34" i="3"/>
  <c r="BW34" i="3" s="1"/>
  <c r="BV34" i="3"/>
  <c r="BZ34" i="3" s="1"/>
  <c r="BU34" i="3"/>
  <c r="CR34" i="3"/>
  <c r="CT34" i="3" s="1"/>
  <c r="BT34" i="3"/>
  <c r="FZ34" i="3"/>
  <c r="CY34" i="3"/>
  <c r="CX34" i="3"/>
  <c r="DU34" i="3"/>
  <c r="CW34" i="3"/>
  <c r="DA34" i="3" s="1"/>
  <c r="CV34" i="3"/>
  <c r="DT34" i="3"/>
  <c r="EU34" i="3"/>
  <c r="HA34" i="3"/>
  <c r="HX28" i="3"/>
  <c r="IF28" i="3" s="1"/>
  <c r="HT28" i="3"/>
  <c r="IB28" i="3" s="1"/>
  <c r="GR28" i="3"/>
  <c r="GN28" i="3"/>
  <c r="GV28" i="3" s="1"/>
  <c r="FP28" i="3"/>
  <c r="FX28" i="3" s="1"/>
  <c r="FL28" i="3"/>
  <c r="FT28" i="3" s="1"/>
  <c r="EN28" i="3"/>
  <c r="EV28" i="3" s="1"/>
  <c r="EJ28" i="3"/>
  <c r="ER28" i="3" s="1"/>
  <c r="DH28" i="3"/>
  <c r="DD28" i="3"/>
  <c r="HU28" i="3"/>
  <c r="GT28" i="3"/>
  <c r="GO28" i="3"/>
  <c r="FN28" i="3"/>
  <c r="FV28" i="3" s="1"/>
  <c r="EM28" i="3"/>
  <c r="EU28" i="3" s="1"/>
  <c r="EH28" i="3"/>
  <c r="DG28" i="3"/>
  <c r="CH28" i="3"/>
  <c r="CP28" i="3" s="1"/>
  <c r="CD28" i="3"/>
  <c r="CL28" i="3" s="1"/>
  <c r="BB28" i="3"/>
  <c r="BJ28" i="3" s="1"/>
  <c r="AX28" i="3"/>
  <c r="BF28" i="3" s="1"/>
  <c r="AL28" i="3"/>
  <c r="Z28" i="3"/>
  <c r="V28" i="3"/>
  <c r="AD28" i="3" s="1"/>
  <c r="N28" i="3"/>
  <c r="R28" i="3" s="1"/>
  <c r="HS28" i="3"/>
  <c r="IA28" i="3" s="1"/>
  <c r="GS28" i="3"/>
  <c r="HA28" i="3" s="1"/>
  <c r="FR28" i="3"/>
  <c r="FM28" i="3"/>
  <c r="EL28" i="3"/>
  <c r="ET28" i="3" s="1"/>
  <c r="DK28" i="3"/>
  <c r="DS28" i="3" s="1"/>
  <c r="DF28" i="3"/>
  <c r="CG28" i="3"/>
  <c r="CO28" i="3" s="1"/>
  <c r="CC28" i="3"/>
  <c r="CK28" i="3" s="1"/>
  <c r="BE28" i="3"/>
  <c r="BM28" i="3" s="1"/>
  <c r="BA28" i="3"/>
  <c r="AK28" i="3"/>
  <c r="AM28" i="3" s="1"/>
  <c r="Y28" i="3"/>
  <c r="U28" i="3"/>
  <c r="AC28" i="3" s="1"/>
  <c r="M28" i="3"/>
  <c r="HW28" i="3"/>
  <c r="HR28" i="3"/>
  <c r="HZ28" i="3" s="1"/>
  <c r="GQ28" i="3"/>
  <c r="GY28" i="3" s="1"/>
  <c r="FQ28" i="3"/>
  <c r="FY28" i="3" s="1"/>
  <c r="FK28" i="3"/>
  <c r="EK28" i="3"/>
  <c r="DJ28" i="3"/>
  <c r="DR28" i="3" s="1"/>
  <c r="DE28" i="3"/>
  <c r="CF28" i="3"/>
  <c r="CN28" i="3" s="1"/>
  <c r="CB28" i="3"/>
  <c r="BD28" i="3"/>
  <c r="BL28" i="3" s="1"/>
  <c r="AZ28" i="3"/>
  <c r="BH28" i="3" s="1"/>
  <c r="AB28" i="3"/>
  <c r="AJ28" i="3" s="1"/>
  <c r="X28" i="3"/>
  <c r="P28" i="3"/>
  <c r="T28" i="3" s="1"/>
  <c r="GP28" i="3"/>
  <c r="GX28" i="3" s="1"/>
  <c r="DI28" i="3"/>
  <c r="DQ28" i="3" s="1"/>
  <c r="AA28" i="3"/>
  <c r="FO28" i="3"/>
  <c r="FW28" i="3" s="1"/>
  <c r="BC28" i="3"/>
  <c r="BK28" i="3" s="1"/>
  <c r="W28" i="3"/>
  <c r="HV28" i="3"/>
  <c r="ID28" i="3" s="1"/>
  <c r="EO28" i="3"/>
  <c r="EW28" i="3" s="1"/>
  <c r="CE28" i="3"/>
  <c r="AY28" i="3"/>
  <c r="GU28" i="3"/>
  <c r="CA28" i="3"/>
  <c r="CI28" i="3" s="1"/>
  <c r="O28" i="3"/>
  <c r="S28" i="3" s="1"/>
  <c r="HQ28" i="3"/>
  <c r="HY28" i="3" s="1"/>
  <c r="EI28" i="3"/>
  <c r="EQ28" i="3" s="1"/>
  <c r="CN24" i="3"/>
  <c r="BN24" i="3"/>
  <c r="AP24" i="3"/>
  <c r="BO24" i="3"/>
  <c r="BQ24" i="3" s="1"/>
  <c r="AS24" i="3"/>
  <c r="AR24" i="3"/>
  <c r="AQ24" i="3"/>
  <c r="AU24" i="3" s="1"/>
  <c r="EC23" i="3"/>
  <c r="EB23" i="3"/>
  <c r="EY23" i="3"/>
  <c r="EA23" i="3"/>
  <c r="EX23" i="3"/>
  <c r="DZ23" i="3"/>
  <c r="DQ24" i="3"/>
  <c r="AJ24" i="3"/>
  <c r="AH24" i="3"/>
  <c r="BV24" i="3"/>
  <c r="CQ24" i="3"/>
  <c r="BU24" i="3"/>
  <c r="BY24" i="3" s="1"/>
  <c r="BT24" i="3"/>
  <c r="BX24" i="3" s="1"/>
  <c r="BS24" i="3"/>
  <c r="CR24" i="3"/>
  <c r="FZ24" i="3"/>
  <c r="EY21" i="3"/>
  <c r="EA21" i="3"/>
  <c r="EC21" i="3"/>
  <c r="EX21" i="3"/>
  <c r="EB21" i="3"/>
  <c r="DZ21" i="3"/>
  <c r="HX22" i="3"/>
  <c r="IF22" i="3" s="1"/>
  <c r="HT22" i="3"/>
  <c r="IB22" i="3" s="1"/>
  <c r="GR22" i="3"/>
  <c r="GZ22" i="3" s="1"/>
  <c r="GN22" i="3"/>
  <c r="GV22" i="3" s="1"/>
  <c r="FP22" i="3"/>
  <c r="FL22" i="3"/>
  <c r="EN22" i="3"/>
  <c r="EV22" i="3" s="1"/>
  <c r="EJ22" i="3"/>
  <c r="ER22" i="3" s="1"/>
  <c r="DH22" i="3"/>
  <c r="DD22" i="3"/>
  <c r="CF22" i="3"/>
  <c r="CB22" i="3"/>
  <c r="CJ22" i="3" s="1"/>
  <c r="BD22" i="3"/>
  <c r="AZ22" i="3"/>
  <c r="BH22" i="3" s="1"/>
  <c r="AB22" i="3"/>
  <c r="X22" i="3"/>
  <c r="AF22" i="3" s="1"/>
  <c r="P22" i="3"/>
  <c r="T22" i="3" s="1"/>
  <c r="HV22" i="3"/>
  <c r="HR22" i="3"/>
  <c r="HZ22" i="3" s="1"/>
  <c r="GT22" i="3"/>
  <c r="GP22" i="3"/>
  <c r="GX22" i="3" s="1"/>
  <c r="FR22" i="3"/>
  <c r="FN22" i="3"/>
  <c r="FV22" i="3" s="1"/>
  <c r="EL22" i="3"/>
  <c r="ET22" i="3" s="1"/>
  <c r="EH22" i="3"/>
  <c r="EP22" i="3" s="1"/>
  <c r="DJ22" i="3"/>
  <c r="DR22" i="3" s="1"/>
  <c r="DF22" i="3"/>
  <c r="CH22" i="3"/>
  <c r="CP22" i="3" s="1"/>
  <c r="CD22" i="3"/>
  <c r="CL22" i="3" s="1"/>
  <c r="BB22" i="3"/>
  <c r="BJ22" i="3" s="1"/>
  <c r="AX22" i="3"/>
  <c r="AL22" i="3"/>
  <c r="AN22" i="3" s="1"/>
  <c r="Z22" i="3"/>
  <c r="V22" i="3"/>
  <c r="N22" i="3"/>
  <c r="R22" i="3" s="1"/>
  <c r="HS22" i="3"/>
  <c r="GU22" i="3"/>
  <c r="HC22" i="3" s="1"/>
  <c r="FO22" i="3"/>
  <c r="FW22" i="3" s="1"/>
  <c r="EI22" i="3"/>
  <c r="EQ22" i="3" s="1"/>
  <c r="DK22" i="3"/>
  <c r="DS22" i="3" s="1"/>
  <c r="CE22" i="3"/>
  <c r="CM22" i="3" s="1"/>
  <c r="AY22" i="3"/>
  <c r="AA22" i="3"/>
  <c r="HQ22" i="3"/>
  <c r="GS22" i="3"/>
  <c r="FM22" i="3"/>
  <c r="EO22" i="3"/>
  <c r="DI22" i="3"/>
  <c r="CC22" i="3"/>
  <c r="CK22" i="3" s="1"/>
  <c r="BE22" i="3"/>
  <c r="Y22" i="3"/>
  <c r="HW22" i="3"/>
  <c r="IE22" i="3" s="1"/>
  <c r="GQ22" i="3"/>
  <c r="GY22" i="3" s="1"/>
  <c r="FK22" i="3"/>
  <c r="EM22" i="3"/>
  <c r="EU22" i="3" s="1"/>
  <c r="DG22" i="3"/>
  <c r="DO22" i="3" s="1"/>
  <c r="CA22" i="3"/>
  <c r="BC22" i="3"/>
  <c r="W22" i="3"/>
  <c r="O22" i="3"/>
  <c r="S22" i="3" s="1"/>
  <c r="CG22" i="3"/>
  <c r="CO22" i="3" s="1"/>
  <c r="BA22" i="3"/>
  <c r="BI22" i="3" s="1"/>
  <c r="U22" i="3"/>
  <c r="AC22" i="3" s="1"/>
  <c r="FQ22" i="3"/>
  <c r="EK22" i="3"/>
  <c r="ES22" i="3" s="1"/>
  <c r="DE22" i="3"/>
  <c r="DM22" i="3" s="1"/>
  <c r="M22" i="3"/>
  <c r="AK22" i="3"/>
  <c r="AM22" i="3" s="1"/>
  <c r="GO22" i="3"/>
  <c r="GW22" i="3" s="1"/>
  <c r="HU22" i="3"/>
  <c r="IC22" i="3" s="1"/>
  <c r="T18" i="3"/>
  <c r="IF16" i="3"/>
  <c r="AM16" i="3"/>
  <c r="CK16" i="3"/>
  <c r="FV16" i="3"/>
  <c r="HZ16" i="3"/>
  <c r="S16" i="3"/>
  <c r="FS16" i="3"/>
  <c r="IA16" i="3"/>
  <c r="IF12" i="3"/>
  <c r="EY12" i="3"/>
  <c r="EA12" i="3"/>
  <c r="EC12" i="3"/>
  <c r="EB12" i="3"/>
  <c r="EX12" i="3"/>
  <c r="DZ12" i="3"/>
  <c r="ID10" i="3"/>
  <c r="HV9" i="3"/>
  <c r="ID8" i="3" s="1"/>
  <c r="HR9" i="3"/>
  <c r="HZ8" i="3" s="1"/>
  <c r="GR9" i="3"/>
  <c r="GZ8" i="3" s="1"/>
  <c r="GN9" i="3"/>
  <c r="GV8" i="3" s="1"/>
  <c r="FR9" i="3"/>
  <c r="FZ8" i="3" s="1"/>
  <c r="FN9" i="3"/>
  <c r="FV8" i="3" s="1"/>
  <c r="EN9" i="3"/>
  <c r="EV8" i="3" s="1"/>
  <c r="EJ9" i="3"/>
  <c r="ER8" i="3" s="1"/>
  <c r="DI9" i="3"/>
  <c r="DQ8" i="3" s="1"/>
  <c r="DE9" i="3"/>
  <c r="DM8" i="3" s="1"/>
  <c r="CE9" i="3"/>
  <c r="CM8" i="3" s="1"/>
  <c r="CA9" i="3"/>
  <c r="CI8" i="3" s="1"/>
  <c r="BE9" i="3"/>
  <c r="BM8" i="3" s="1"/>
  <c r="BA9" i="3"/>
  <c r="BI8" i="3" s="1"/>
  <c r="AA9" i="3"/>
  <c r="AI8" i="3" s="1"/>
  <c r="W9" i="3"/>
  <c r="AE8" i="3" s="1"/>
  <c r="O9" i="3"/>
  <c r="S8" i="3" s="1"/>
  <c r="HX9" i="3"/>
  <c r="IF8" i="3" s="1"/>
  <c r="HT9" i="3"/>
  <c r="IB8" i="3" s="1"/>
  <c r="GT9" i="3"/>
  <c r="HB8" i="3" s="1"/>
  <c r="GP9" i="3"/>
  <c r="GX8" i="3" s="1"/>
  <c r="FP9" i="3"/>
  <c r="FX8" i="3" s="1"/>
  <c r="FL9" i="3"/>
  <c r="FT8" i="3" s="1"/>
  <c r="EL9" i="3"/>
  <c r="ET8" i="3" s="1"/>
  <c r="EH9" i="3"/>
  <c r="EP8" i="3" s="1"/>
  <c r="DK9" i="3"/>
  <c r="DS8" i="3" s="1"/>
  <c r="DG9" i="3"/>
  <c r="DO8" i="3" s="1"/>
  <c r="CG9" i="3"/>
  <c r="CO8" i="3" s="1"/>
  <c r="CC9" i="3"/>
  <c r="CK8" i="3" s="1"/>
  <c r="BC9" i="3"/>
  <c r="AY9" i="3"/>
  <c r="BG8" i="3" s="1"/>
  <c r="AK9" i="3"/>
  <c r="AM8" i="3" s="1"/>
  <c r="Y9" i="3"/>
  <c r="AG8" i="3" s="1"/>
  <c r="U9" i="3"/>
  <c r="AC8" i="3" s="1"/>
  <c r="M9" i="3"/>
  <c r="Q8" i="3" s="1"/>
  <c r="HS9" i="3"/>
  <c r="IA8" i="3" s="1"/>
  <c r="GO9" i="3"/>
  <c r="GW8" i="3" s="1"/>
  <c r="FK9" i="3"/>
  <c r="EO9" i="3"/>
  <c r="EW8" i="3" s="1"/>
  <c r="DJ9" i="3"/>
  <c r="DR8" i="3" s="1"/>
  <c r="CF9" i="3"/>
  <c r="CN8" i="3" s="1"/>
  <c r="BB9" i="3"/>
  <c r="BJ8" i="3" s="1"/>
  <c r="X9" i="3"/>
  <c r="AF8" i="3" s="1"/>
  <c r="HQ9" i="3"/>
  <c r="HY8" i="3" s="1"/>
  <c r="GU9" i="3"/>
  <c r="HC8" i="3" s="1"/>
  <c r="FQ9" i="3"/>
  <c r="FY8" i="3" s="1"/>
  <c r="EM9" i="3"/>
  <c r="EU8" i="3" s="1"/>
  <c r="DH9" i="3"/>
  <c r="DP8" i="3" s="1"/>
  <c r="CD9" i="3"/>
  <c r="CL8" i="3" s="1"/>
  <c r="AZ9" i="3"/>
  <c r="BH8" i="3" s="1"/>
  <c r="AL9" i="3"/>
  <c r="AN8" i="3" s="1"/>
  <c r="V9" i="3"/>
  <c r="AD8" i="3" s="1"/>
  <c r="HW9" i="3"/>
  <c r="IE8" i="3" s="1"/>
  <c r="GS9" i="3"/>
  <c r="HA8" i="3" s="1"/>
  <c r="FO9" i="3"/>
  <c r="FW8" i="3" s="1"/>
  <c r="EK9" i="3"/>
  <c r="ES8" i="3" s="1"/>
  <c r="DF9" i="3"/>
  <c r="CB9" i="3"/>
  <c r="CJ8" i="3" s="1"/>
  <c r="AX9" i="3"/>
  <c r="AB9" i="3"/>
  <c r="AJ8" i="3" s="1"/>
  <c r="P9" i="3"/>
  <c r="T8" i="3" s="1"/>
  <c r="CH9" i="3"/>
  <c r="CP8" i="3" s="1"/>
  <c r="Z9" i="3"/>
  <c r="AH8" i="3" s="1"/>
  <c r="GQ9" i="3"/>
  <c r="GY8" i="3" s="1"/>
  <c r="EI9" i="3"/>
  <c r="EQ8" i="3" s="1"/>
  <c r="N9" i="3"/>
  <c r="R8" i="3" s="1"/>
  <c r="BD9" i="3"/>
  <c r="BL8" i="3" s="1"/>
  <c r="HU9" i="3"/>
  <c r="IC8" i="3" s="1"/>
  <c r="FM9" i="3"/>
  <c r="DD9" i="3"/>
  <c r="DL8" i="3" s="1"/>
  <c r="HA6" i="3"/>
  <c r="EW6" i="3"/>
  <c r="CO6" i="3"/>
  <c r="AS6" i="3"/>
  <c r="AR6" i="3"/>
  <c r="BO6" i="3"/>
  <c r="AQ6" i="3"/>
  <c r="AP6" i="3"/>
  <c r="BN6" i="3"/>
  <c r="AJ6" i="3"/>
  <c r="EX24" i="3"/>
  <c r="EZ24" i="3" s="1"/>
  <c r="DZ24" i="3"/>
  <c r="ED24" i="3" s="1"/>
  <c r="EB24" i="3"/>
  <c r="EF24" i="3" s="1"/>
  <c r="EA24" i="3"/>
  <c r="EE24" i="3" s="1"/>
  <c r="EC24" i="3"/>
  <c r="EG24" i="3" s="1"/>
  <c r="EY24" i="3"/>
  <c r="FA24" i="3" s="1"/>
  <c r="HX19" i="3"/>
  <c r="IF18" i="3" s="1"/>
  <c r="HT19" i="3"/>
  <c r="IB18" i="3" s="1"/>
  <c r="GT19" i="3"/>
  <c r="HB18" i="3" s="1"/>
  <c r="GP19" i="3"/>
  <c r="GX18" i="3" s="1"/>
  <c r="FP19" i="3"/>
  <c r="FX18" i="3" s="1"/>
  <c r="FL19" i="3"/>
  <c r="FT18" i="3" s="1"/>
  <c r="EL19" i="3"/>
  <c r="ET18" i="3" s="1"/>
  <c r="EH19" i="3"/>
  <c r="EP18" i="3" s="1"/>
  <c r="DK19" i="3"/>
  <c r="DS18" i="3" s="1"/>
  <c r="DG19" i="3"/>
  <c r="DO18" i="3" s="1"/>
  <c r="CG19" i="3"/>
  <c r="CC19" i="3"/>
  <c r="CK18" i="3" s="1"/>
  <c r="BC19" i="3"/>
  <c r="BK18" i="3" s="1"/>
  <c r="AY19" i="3"/>
  <c r="BG18" i="3" s="1"/>
  <c r="AK19" i="3"/>
  <c r="AM18" i="3" s="1"/>
  <c r="Y19" i="3"/>
  <c r="AG18" i="3" s="1"/>
  <c r="U19" i="3"/>
  <c r="AC18" i="3" s="1"/>
  <c r="M19" i="3"/>
  <c r="Q18" i="3" s="1"/>
  <c r="HW19" i="3"/>
  <c r="IE18" i="3" s="1"/>
  <c r="HS19" i="3"/>
  <c r="IA18" i="3" s="1"/>
  <c r="GS19" i="3"/>
  <c r="HA18" i="3" s="1"/>
  <c r="GO19" i="3"/>
  <c r="GW18" i="3" s="1"/>
  <c r="FO19" i="3"/>
  <c r="FW18" i="3" s="1"/>
  <c r="FK19" i="3"/>
  <c r="FS18" i="3" s="1"/>
  <c r="EO19" i="3"/>
  <c r="EW18" i="3" s="1"/>
  <c r="EK19" i="3"/>
  <c r="ES18" i="3" s="1"/>
  <c r="DJ19" i="3"/>
  <c r="DR18" i="3" s="1"/>
  <c r="DF19" i="3"/>
  <c r="DN18" i="3" s="1"/>
  <c r="CF19" i="3"/>
  <c r="CN18" i="3" s="1"/>
  <c r="CB19" i="3"/>
  <c r="CJ18" i="3" s="1"/>
  <c r="BB19" i="3"/>
  <c r="BJ18" i="3" s="1"/>
  <c r="AX19" i="3"/>
  <c r="BF18" i="3" s="1"/>
  <c r="AB19" i="3"/>
  <c r="AJ18" i="3" s="1"/>
  <c r="X19" i="3"/>
  <c r="AF18" i="3" s="1"/>
  <c r="P19" i="3"/>
  <c r="HV19" i="3"/>
  <c r="ID18" i="3" s="1"/>
  <c r="HR19" i="3"/>
  <c r="HZ18" i="3" s="1"/>
  <c r="GR19" i="3"/>
  <c r="GZ18" i="3" s="1"/>
  <c r="GN19" i="3"/>
  <c r="FR19" i="3"/>
  <c r="FZ18" i="3" s="1"/>
  <c r="FN19" i="3"/>
  <c r="FV18" i="3" s="1"/>
  <c r="EN19" i="3"/>
  <c r="EV18" i="3" s="1"/>
  <c r="EJ19" i="3"/>
  <c r="ER18" i="3" s="1"/>
  <c r="DI19" i="3"/>
  <c r="DQ18" i="3" s="1"/>
  <c r="DE19" i="3"/>
  <c r="DM18" i="3" s="1"/>
  <c r="CE19" i="3"/>
  <c r="CM18" i="3" s="1"/>
  <c r="CA19" i="3"/>
  <c r="CI18" i="3" s="1"/>
  <c r="BE19" i="3"/>
  <c r="BM18" i="3" s="1"/>
  <c r="BA19" i="3"/>
  <c r="BI18" i="3" s="1"/>
  <c r="AA19" i="3"/>
  <c r="AI18" i="3" s="1"/>
  <c r="W19" i="3"/>
  <c r="AE18" i="3" s="1"/>
  <c r="O19" i="3"/>
  <c r="S18" i="3" s="1"/>
  <c r="HU19" i="3"/>
  <c r="IC18" i="3" s="1"/>
  <c r="GQ19" i="3"/>
  <c r="GY18" i="3" s="1"/>
  <c r="FM19" i="3"/>
  <c r="FU18" i="3" s="1"/>
  <c r="EI19" i="3"/>
  <c r="EQ18" i="3" s="1"/>
  <c r="DD19" i="3"/>
  <c r="DL18" i="3" s="1"/>
  <c r="N19" i="3"/>
  <c r="R18" i="3" s="1"/>
  <c r="HQ19" i="3"/>
  <c r="HY18" i="3" s="1"/>
  <c r="AL19" i="3"/>
  <c r="AN18" i="3" s="1"/>
  <c r="CH19" i="3"/>
  <c r="CP18" i="3" s="1"/>
  <c r="BD19" i="3"/>
  <c r="BL18" i="3" s="1"/>
  <c r="Z19" i="3"/>
  <c r="AH18" i="3" s="1"/>
  <c r="FQ19" i="3"/>
  <c r="FY18" i="3" s="1"/>
  <c r="AZ19" i="3"/>
  <c r="BH18" i="3" s="1"/>
  <c r="GU19" i="3"/>
  <c r="HC18" i="3" s="1"/>
  <c r="CD19" i="3"/>
  <c r="CL18" i="3" s="1"/>
  <c r="EM19" i="3"/>
  <c r="V19" i="3"/>
  <c r="AD18" i="3" s="1"/>
  <c r="DH19" i="3"/>
  <c r="DP18" i="3" s="1"/>
  <c r="CY11" i="3"/>
  <c r="DU11" i="3"/>
  <c r="CW11" i="3"/>
  <c r="DT11" i="3"/>
  <c r="CX11" i="3"/>
  <c r="CV11" i="3"/>
  <c r="FX10" i="3"/>
  <c r="BH10" i="3"/>
  <c r="AI10" i="3"/>
  <c r="EQ10" i="3"/>
  <c r="AG10" i="3"/>
  <c r="BM10" i="3"/>
  <c r="DQ10" i="3"/>
  <c r="FY10" i="3"/>
  <c r="IC10" i="3"/>
  <c r="FF9" i="3"/>
  <c r="GB9" i="3"/>
  <c r="FD9" i="3"/>
  <c r="GA9" i="3"/>
  <c r="FE9" i="3"/>
  <c r="FC9" i="3"/>
  <c r="EZ16" i="3"/>
  <c r="GI16" i="3"/>
  <c r="GH16" i="3"/>
  <c r="HE16" i="3"/>
  <c r="GG16" i="3"/>
  <c r="HD16" i="3"/>
  <c r="GF16" i="3"/>
  <c r="FX12" i="3"/>
  <c r="AG12" i="3"/>
  <c r="BM12" i="3"/>
  <c r="DQ12" i="3"/>
  <c r="FY12" i="3"/>
  <c r="IC12" i="3"/>
  <c r="AE12" i="3"/>
  <c r="CI12" i="3"/>
  <c r="DS12" i="3"/>
  <c r="FW12" i="3"/>
  <c r="IE12" i="3"/>
  <c r="HB10" i="3"/>
  <c r="CL10" i="3"/>
  <c r="EQ6" i="3"/>
  <c r="CM6" i="3"/>
  <c r="AI6" i="3"/>
  <c r="BO15" i="3"/>
  <c r="AQ15" i="3"/>
  <c r="AS15" i="3"/>
  <c r="BN15" i="3"/>
  <c r="AR15" i="3"/>
  <c r="AP15" i="3"/>
  <c r="FU8" i="3"/>
  <c r="DN8" i="3"/>
  <c r="BK8" i="3"/>
  <c r="FS8" i="3"/>
  <c r="DL4" i="3"/>
  <c r="BO4" i="3"/>
  <c r="AQ4" i="3"/>
  <c r="AS4" i="3"/>
  <c r="AR4" i="3"/>
  <c r="BN4" i="3"/>
  <c r="AP4" i="3"/>
  <c r="CO4" i="3"/>
  <c r="EW4" i="3"/>
  <c r="HA4" i="3"/>
  <c r="BG4" i="3"/>
  <c r="CY4" i="3"/>
  <c r="DU4" i="3"/>
  <c r="CW4" i="3"/>
  <c r="DT4" i="3"/>
  <c r="CV4" i="3"/>
  <c r="CX4" i="3"/>
  <c r="HC4" i="3"/>
  <c r="AH2" i="3"/>
  <c r="EZ10" i="3"/>
  <c r="FA10" i="3"/>
  <c r="EE4" i="3"/>
  <c r="DN2" i="3"/>
  <c r="CY3" i="3"/>
  <c r="DU3" i="3"/>
  <c r="CW3" i="3"/>
  <c r="CV3" i="3"/>
  <c r="CX3" i="3"/>
  <c r="DT3" i="3"/>
  <c r="FX2" i="3"/>
  <c r="BH2" i="3"/>
  <c r="AI2" i="3"/>
  <c r="EQ2" i="3"/>
  <c r="AG2" i="3"/>
  <c r="BM2" i="3"/>
  <c r="DQ2" i="3"/>
  <c r="FY2" i="3"/>
  <c r="IC2" i="3"/>
  <c r="AM20" i="3"/>
  <c r="HA20" i="3"/>
  <c r="AC20" i="3"/>
  <c r="CR20" i="3"/>
  <c r="BT20" i="3"/>
  <c r="BU20" i="3"/>
  <c r="BS20" i="3"/>
  <c r="CQ20" i="3"/>
  <c r="BV20" i="3"/>
  <c r="EQ20" i="3"/>
  <c r="IA20" i="3"/>
  <c r="AH20" i="3"/>
  <c r="DM20" i="3"/>
  <c r="GW20" i="3"/>
  <c r="IE20" i="3"/>
  <c r="CJ20" i="3"/>
  <c r="EB20" i="3"/>
  <c r="EA20" i="3"/>
  <c r="DZ20" i="3"/>
  <c r="EY20" i="3"/>
  <c r="EC20" i="3"/>
  <c r="EG20" i="3" s="1"/>
  <c r="EX20" i="3"/>
  <c r="EZ20" i="3" s="1"/>
  <c r="ID20" i="3"/>
  <c r="FF5" i="3"/>
  <c r="FJ4" i="3" s="1"/>
  <c r="FE5" i="3"/>
  <c r="FI4" i="3" s="1"/>
  <c r="GB5" i="3"/>
  <c r="GD4" i="3" s="1"/>
  <c r="FD5" i="3"/>
  <c r="FH4" i="3" s="1"/>
  <c r="FC5" i="3"/>
  <c r="FG4" i="3" s="1"/>
  <c r="GA5" i="3"/>
  <c r="GC4" i="3" s="1"/>
  <c r="T2" i="3"/>
  <c r="AD14" i="3"/>
  <c r="CP14" i="3"/>
  <c r="GX14" i="3"/>
  <c r="EC14" i="3"/>
  <c r="EG14" i="3" s="1"/>
  <c r="EY14" i="3"/>
  <c r="FA14" i="3" s="1"/>
  <c r="EA14" i="3"/>
  <c r="EE14" i="3" s="1"/>
  <c r="EX14" i="3"/>
  <c r="EZ14" i="3" s="1"/>
  <c r="DZ14" i="3"/>
  <c r="ED14" i="3" s="1"/>
  <c r="EB14" i="3"/>
  <c r="EF14" i="3" s="1"/>
  <c r="IF14" i="3"/>
  <c r="CL14" i="3"/>
  <c r="HB14" i="3"/>
  <c r="AE14" i="3"/>
  <c r="CI14" i="3"/>
  <c r="DS14" i="3"/>
  <c r="FW14" i="3"/>
  <c r="IE14" i="3"/>
  <c r="AC14" i="3"/>
  <c r="BI14" i="3"/>
  <c r="DM14" i="3"/>
  <c r="FU14" i="3"/>
  <c r="HY14" i="3"/>
  <c r="EF8" i="3"/>
  <c r="EX7" i="3"/>
  <c r="DZ7" i="3"/>
  <c r="EC7" i="3"/>
  <c r="EB7" i="3"/>
  <c r="EY7" i="3"/>
  <c r="EA7" i="3"/>
  <c r="ID2" i="3"/>
  <c r="BJ2" i="3"/>
  <c r="EB13" i="3"/>
  <c r="EX13" i="3"/>
  <c r="DZ13" i="3"/>
  <c r="EY13" i="3"/>
  <c r="EC13" i="3"/>
  <c r="EA13" i="3"/>
  <c r="EG8" i="3"/>
  <c r="EE8" i="3"/>
  <c r="HL11" i="2"/>
  <c r="HK19" i="2"/>
  <c r="HI23" i="2"/>
  <c r="IG23" i="2"/>
  <c r="HJ7" i="2"/>
  <c r="IH7" i="2"/>
  <c r="HI15" i="2"/>
  <c r="IG15" i="2"/>
  <c r="HK27" i="2"/>
  <c r="HI31" i="2"/>
  <c r="IG31" i="2"/>
  <c r="HK32" i="2"/>
  <c r="HO32" i="2" s="1"/>
  <c r="HL35" i="2"/>
  <c r="IH36" i="2"/>
  <c r="IJ36" i="2" s="1"/>
  <c r="HI38" i="2"/>
  <c r="IG38" i="2"/>
  <c r="II38" i="2" s="1"/>
  <c r="HK39" i="2"/>
  <c r="HI40" i="2"/>
  <c r="HM40" i="2" s="1"/>
  <c r="IG40" i="2"/>
  <c r="II40" i="2" s="1"/>
  <c r="HI11" i="2"/>
  <c r="HJ15" i="2"/>
  <c r="HJ20" i="2"/>
  <c r="HN20" i="2" s="1"/>
  <c r="HJ23" i="2"/>
  <c r="HL27" i="2"/>
  <c r="HJ28" i="2"/>
  <c r="HN28" i="2" s="1"/>
  <c r="HJ31" i="2"/>
  <c r="IH31" i="2"/>
  <c r="HI35" i="2"/>
  <c r="IG35" i="2"/>
  <c r="HJ38" i="2"/>
  <c r="HN38" i="2" s="1"/>
  <c r="HL39" i="2"/>
  <c r="HJ40" i="2"/>
  <c r="HN40" i="2" s="1"/>
  <c r="HI27" i="2"/>
  <c r="HJ35" i="2"/>
  <c r="HI39" i="2"/>
  <c r="GC10" i="2"/>
  <c r="DW2" i="2"/>
  <c r="DW10" i="2"/>
  <c r="DW18" i="2"/>
  <c r="DV6" i="2"/>
  <c r="DV14" i="2"/>
  <c r="DV22" i="2"/>
  <c r="DV26" i="2"/>
  <c r="DV30" i="2"/>
  <c r="DV34" i="2"/>
  <c r="DV38" i="2"/>
  <c r="CS2" i="2"/>
  <c r="CS6" i="2"/>
  <c r="CS10" i="2"/>
  <c r="CS14" i="2"/>
  <c r="CS18" i="2"/>
  <c r="CS22" i="2"/>
  <c r="CS26" i="2"/>
  <c r="BN26" i="2"/>
  <c r="BP26" i="2" s="1"/>
  <c r="BO22" i="2"/>
  <c r="BQ22" i="2" s="1"/>
  <c r="BO26" i="2"/>
  <c r="BQ26" i="2" s="1"/>
  <c r="AV34" i="2"/>
  <c r="BO30" i="2"/>
  <c r="BQ30" i="2" s="1"/>
  <c r="AW34" i="2"/>
  <c r="BO38" i="2"/>
  <c r="BQ38" i="2" s="1"/>
  <c r="BG2" i="2"/>
  <c r="BK2" i="2"/>
  <c r="BP32" i="2"/>
  <c r="AQ35" i="2"/>
  <c r="BO35" i="2"/>
  <c r="BQ34" i="2" s="1"/>
  <c r="AS36" i="2"/>
  <c r="BO36" i="2"/>
  <c r="BH2" i="2"/>
  <c r="BL2" i="2"/>
  <c r="AW32" i="2"/>
  <c r="AQ34" i="2"/>
  <c r="AU34" i="2" s="1"/>
  <c r="AS37" i="2"/>
  <c r="AR30" i="2"/>
  <c r="AV30" i="2" s="1"/>
  <c r="AU32" i="2"/>
  <c r="BQ32" i="2"/>
  <c r="AT34" i="2"/>
  <c r="BP34" i="2"/>
  <c r="AW36" i="2"/>
  <c r="AP37" i="2"/>
  <c r="AT36" i="2" s="1"/>
  <c r="BN37" i="2"/>
  <c r="BP36" i="2" s="1"/>
  <c r="AR38" i="2"/>
  <c r="AV38" i="2" s="1"/>
  <c r="AV36" i="2"/>
  <c r="AS30" i="2"/>
  <c r="AW30" i="2" s="1"/>
  <c r="AV32" i="2"/>
  <c r="AQ37" i="2"/>
  <c r="BO37" i="2"/>
  <c r="AS38" i="2"/>
  <c r="AW38" i="2" s="1"/>
  <c r="BF2" i="2"/>
  <c r="AP30" i="2"/>
  <c r="AT30" i="2" s="1"/>
  <c r="AU36" i="2"/>
  <c r="BQ36" i="2"/>
  <c r="AP38" i="2"/>
  <c r="AT38" i="2" s="1"/>
  <c r="BO2" i="2"/>
  <c r="AR22" i="2"/>
  <c r="AV22" i="2" s="1"/>
  <c r="AP26" i="2"/>
  <c r="AT26" i="2" s="1"/>
  <c r="AS26" i="2"/>
  <c r="AW26" i="2" s="1"/>
  <c r="AS22" i="2"/>
  <c r="AW22" i="2" s="1"/>
  <c r="AR26" i="2"/>
  <c r="AV26" i="2" s="1"/>
  <c r="AP22" i="2"/>
  <c r="AT22" i="2" s="1"/>
  <c r="AW2" i="2"/>
  <c r="AP2" i="2"/>
  <c r="AT2" i="2" s="1"/>
  <c r="AQ2" i="2"/>
  <c r="BN2" i="2"/>
  <c r="AR2" i="2"/>
  <c r="BQ4" i="2"/>
  <c r="BP10" i="2"/>
  <c r="BP14" i="2"/>
  <c r="BP18" i="2"/>
  <c r="BP22" i="2"/>
  <c r="L41" i="2"/>
  <c r="L40" i="2"/>
  <c r="L38" i="2"/>
  <c r="L37" i="2"/>
  <c r="L36" i="2"/>
  <c r="L35" i="2"/>
  <c r="L34" i="2"/>
  <c r="L33" i="2"/>
  <c r="L32" i="2"/>
  <c r="L30" i="2"/>
  <c r="L31" i="2"/>
  <c r="L29" i="2"/>
  <c r="L28" i="2"/>
  <c r="L27" i="2"/>
  <c r="L26" i="2"/>
  <c r="L25" i="2"/>
  <c r="L24" i="2"/>
  <c r="L23" i="2"/>
  <c r="L22" i="2"/>
  <c r="L21" i="2"/>
  <c r="L20" i="2"/>
  <c r="M18" i="2"/>
  <c r="AB18" i="2"/>
  <c r="X18" i="2"/>
  <c r="P18" i="2"/>
  <c r="AA18" i="2"/>
  <c r="W18" i="2"/>
  <c r="O18" i="2"/>
  <c r="Z18" i="2"/>
  <c r="V18" i="2"/>
  <c r="L19" i="2"/>
  <c r="N18" i="2"/>
  <c r="Y18" i="2"/>
  <c r="L17" i="2"/>
  <c r="L16" i="2"/>
  <c r="L15" i="2"/>
  <c r="L14" i="2"/>
  <c r="L13" i="2"/>
  <c r="L12" i="2"/>
  <c r="L11" i="2"/>
  <c r="L10" i="2"/>
  <c r="U6" i="2"/>
  <c r="Y6" i="2"/>
  <c r="N6" i="2"/>
  <c r="V6" i="2"/>
  <c r="Z6" i="2"/>
  <c r="O6" i="2"/>
  <c r="W6" i="2"/>
  <c r="AA6" i="2"/>
  <c r="P6" i="2"/>
  <c r="X6" i="2"/>
  <c r="AB6" i="2"/>
  <c r="M6" i="2"/>
  <c r="N151" i="1"/>
  <c r="H9" i="2"/>
  <c r="L9" i="2" s="1"/>
  <c r="K8" i="2"/>
  <c r="H8" i="2"/>
  <c r="H7" i="2"/>
  <c r="K6" i="2"/>
  <c r="I6" i="2"/>
  <c r="H5" i="2"/>
  <c r="L5" i="2" s="1"/>
  <c r="K4" i="2"/>
  <c r="H4" i="2"/>
  <c r="I3"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9" i="1"/>
  <c r="N70" i="1"/>
  <c r="N71" i="1"/>
  <c r="N72" i="1"/>
  <c r="N73" i="1"/>
  <c r="N74" i="1"/>
  <c r="N75" i="1"/>
  <c r="N76"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2" i="1"/>
  <c r="N153" i="1"/>
  <c r="N154" i="1"/>
  <c r="N155" i="1"/>
  <c r="N156" i="1"/>
  <c r="N157" i="1"/>
  <c r="N158" i="1"/>
  <c r="N159" i="1"/>
  <c r="N160" i="1"/>
  <c r="N161" i="1"/>
  <c r="N162" i="1"/>
  <c r="N163" i="1"/>
  <c r="N164" i="1"/>
  <c r="N165" i="1"/>
  <c r="N166" i="1"/>
  <c r="N167" i="1"/>
  <c r="N168" i="1"/>
  <c r="N169" i="1"/>
  <c r="N170" i="1"/>
  <c r="N171" i="1"/>
  <c r="N172" i="1"/>
  <c r="N173" i="1"/>
  <c r="N174" i="1"/>
  <c r="N177" i="1"/>
  <c r="N178" i="1"/>
  <c r="N179" i="1"/>
  <c r="N180"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17" i="1"/>
  <c r="N18" i="1"/>
  <c r="N19" i="1"/>
  <c r="N20" i="1"/>
  <c r="N21" i="1"/>
  <c r="N22" i="1"/>
  <c r="BQ2" i="2" l="1"/>
  <c r="AV2" i="2"/>
  <c r="EF2" i="2"/>
  <c r="BW2" i="2"/>
  <c r="BP2" i="2"/>
  <c r="AU2" i="2"/>
  <c r="HE3" i="2"/>
  <c r="HG2" i="2" s="1"/>
  <c r="GG3" i="2"/>
  <c r="GK2" i="2" s="1"/>
  <c r="HH3" i="2"/>
  <c r="HD3" i="2"/>
  <c r="GF3" i="2"/>
  <c r="GJ2" i="2" s="1"/>
  <c r="GH3" i="2"/>
  <c r="GL2" i="2" s="1"/>
  <c r="GI3" i="2"/>
  <c r="GM2" i="2"/>
  <c r="HF2" i="2"/>
  <c r="BX2" i="2"/>
  <c r="BZ2" i="2"/>
  <c r="BY2" i="2"/>
  <c r="MT15" i="4"/>
  <c r="MS19" i="4"/>
  <c r="LV19" i="4"/>
  <c r="MT19" i="4"/>
  <c r="LX19" i="4"/>
  <c r="LU19" i="4"/>
  <c r="LW19" i="4"/>
  <c r="MT29" i="4"/>
  <c r="MV28" i="4" s="1"/>
  <c r="LV29" i="4"/>
  <c r="LZ28" i="4" s="1"/>
  <c r="MS29" i="4"/>
  <c r="MU28" i="4" s="1"/>
  <c r="LU29" i="4"/>
  <c r="LY28" i="4" s="1"/>
  <c r="LX29" i="4"/>
  <c r="MB28" i="4" s="1"/>
  <c r="LW29" i="4"/>
  <c r="MA28" i="4" s="1"/>
  <c r="MT39" i="4"/>
  <c r="MV38" i="4" s="1"/>
  <c r="LV39" i="4"/>
  <c r="LZ38" i="4" s="1"/>
  <c r="MS39" i="4"/>
  <c r="MU38" i="4" s="1"/>
  <c r="LU39" i="4"/>
  <c r="LY38" i="4" s="1"/>
  <c r="LW39" i="4"/>
  <c r="MA38" i="4" s="1"/>
  <c r="LX39" i="4"/>
  <c r="MB38" i="4" s="1"/>
  <c r="MT41" i="4"/>
  <c r="MV40" i="4" s="1"/>
  <c r="LV41" i="4"/>
  <c r="LZ40" i="4" s="1"/>
  <c r="MS41" i="4"/>
  <c r="MU40" i="4" s="1"/>
  <c r="LU41" i="4"/>
  <c r="LY40" i="4" s="1"/>
  <c r="LX41" i="4"/>
  <c r="MB40" i="4" s="1"/>
  <c r="LW41" i="4"/>
  <c r="MA40" i="4" s="1"/>
  <c r="MT27" i="4"/>
  <c r="MV26" i="4" s="1"/>
  <c r="LV27" i="4"/>
  <c r="LZ26" i="4" s="1"/>
  <c r="MS27" i="4"/>
  <c r="MU26" i="4" s="1"/>
  <c r="LU27" i="4"/>
  <c r="LY26" i="4" s="1"/>
  <c r="LX27" i="4"/>
  <c r="MB26" i="4" s="1"/>
  <c r="LW27" i="4"/>
  <c r="MA26" i="4" s="1"/>
  <c r="MT25" i="4"/>
  <c r="MV24" i="4" s="1"/>
  <c r="LV25" i="4"/>
  <c r="LZ24" i="4" s="1"/>
  <c r="MS25" i="4"/>
  <c r="MU24" i="4" s="1"/>
  <c r="LU25" i="4"/>
  <c r="LY24" i="4" s="1"/>
  <c r="LX25" i="4"/>
  <c r="MB24" i="4" s="1"/>
  <c r="LW25" i="4"/>
  <c r="MA24" i="4" s="1"/>
  <c r="MT37" i="4"/>
  <c r="MV36" i="4" s="1"/>
  <c r="LV37" i="4"/>
  <c r="LZ36" i="4" s="1"/>
  <c r="LW37" i="4"/>
  <c r="MA36" i="4" s="1"/>
  <c r="LU37" i="4"/>
  <c r="LY36" i="4" s="1"/>
  <c r="MS37" i="4"/>
  <c r="MU36" i="4" s="1"/>
  <c r="LX37" i="4"/>
  <c r="MB36" i="4" s="1"/>
  <c r="MT31" i="4"/>
  <c r="MV30" i="4" s="1"/>
  <c r="LV31" i="4"/>
  <c r="LZ30" i="4" s="1"/>
  <c r="MS31" i="4"/>
  <c r="MU30" i="4" s="1"/>
  <c r="LU31" i="4"/>
  <c r="LY30" i="4" s="1"/>
  <c r="LX31" i="4"/>
  <c r="MB30" i="4" s="1"/>
  <c r="LW31" i="4"/>
  <c r="MA30" i="4" s="1"/>
  <c r="MS23" i="4"/>
  <c r="MU22" i="4" s="1"/>
  <c r="LU23" i="4"/>
  <c r="LY22" i="4" s="1"/>
  <c r="LV23" i="4"/>
  <c r="LZ22" i="4" s="1"/>
  <c r="MT23" i="4"/>
  <c r="MV22" i="4" s="1"/>
  <c r="LX23" i="4"/>
  <c r="MB22" i="4" s="1"/>
  <c r="LW23" i="4"/>
  <c r="MA22" i="4" s="1"/>
  <c r="FA22" i="4"/>
  <c r="FG30" i="4"/>
  <c r="HE23" i="4"/>
  <c r="HD23" i="4"/>
  <c r="GI23" i="4"/>
  <c r="GF23" i="4"/>
  <c r="GG23" i="4"/>
  <c r="GH23" i="4"/>
  <c r="FI36" i="4"/>
  <c r="BP8" i="4"/>
  <c r="AV8" i="4"/>
  <c r="AW8" i="4"/>
  <c r="CV23" i="4"/>
  <c r="AV12" i="4"/>
  <c r="AG34" i="4"/>
  <c r="GW34" i="4"/>
  <c r="CN34" i="4"/>
  <c r="IC34" i="4"/>
  <c r="FV34" i="4"/>
  <c r="ER34" i="4"/>
  <c r="AJ34" i="4"/>
  <c r="GZ34" i="4"/>
  <c r="ET34" i="4"/>
  <c r="HA34" i="4"/>
  <c r="AH34" i="4"/>
  <c r="FW34" i="4"/>
  <c r="IE34" i="4"/>
  <c r="AW18" i="4"/>
  <c r="DU23" i="4"/>
  <c r="DT23" i="4"/>
  <c r="BY30" i="4"/>
  <c r="AW30" i="4"/>
  <c r="BQ4" i="4"/>
  <c r="AU36" i="4"/>
  <c r="CW23" i="4"/>
  <c r="CX23" i="4"/>
  <c r="HE11" i="4"/>
  <c r="GG11" i="4"/>
  <c r="HD11" i="4"/>
  <c r="GF11" i="4"/>
  <c r="GI11" i="4"/>
  <c r="GH11" i="4"/>
  <c r="CY14" i="4"/>
  <c r="GE14" i="4"/>
  <c r="CW14" i="4"/>
  <c r="CV14" i="4"/>
  <c r="DU14" i="4"/>
  <c r="DT14" i="4"/>
  <c r="CX14" i="4"/>
  <c r="HD27" i="4"/>
  <c r="GF27" i="4"/>
  <c r="GI27" i="4"/>
  <c r="HE27" i="4"/>
  <c r="GH27" i="4"/>
  <c r="GG27" i="4"/>
  <c r="BN35" i="4"/>
  <c r="BP34" i="4" s="1"/>
  <c r="AP35" i="4"/>
  <c r="AT34" i="4" s="1"/>
  <c r="CU35" i="4"/>
  <c r="BO35" i="4"/>
  <c r="BQ34" i="4" s="1"/>
  <c r="AR35" i="4"/>
  <c r="AV34" i="4" s="1"/>
  <c r="AQ35" i="4"/>
  <c r="AU34" i="4" s="1"/>
  <c r="AS35" i="4"/>
  <c r="AW34" i="4" s="1"/>
  <c r="DU13" i="4"/>
  <c r="CW13" i="4"/>
  <c r="DA12" i="4" s="1"/>
  <c r="CY13" i="4"/>
  <c r="DC12" i="4" s="1"/>
  <c r="DT13" i="4"/>
  <c r="CX13" i="4"/>
  <c r="CV13" i="4"/>
  <c r="CZ12" i="4" s="1"/>
  <c r="CU11" i="4"/>
  <c r="BO11" i="4"/>
  <c r="BQ10" i="4" s="1"/>
  <c r="AQ11" i="4"/>
  <c r="AU10" i="4" s="1"/>
  <c r="BN11" i="4"/>
  <c r="BP10" i="4" s="1"/>
  <c r="AP11" i="4"/>
  <c r="AT10" i="4" s="1"/>
  <c r="AS11" i="4"/>
  <c r="AR11" i="4"/>
  <c r="BP12" i="4"/>
  <c r="BM34" i="4"/>
  <c r="AM34" i="4"/>
  <c r="DQ34" i="4"/>
  <c r="DR34" i="4"/>
  <c r="AT18" i="4"/>
  <c r="GA33" i="4"/>
  <c r="GC32" i="4" s="1"/>
  <c r="FC33" i="4"/>
  <c r="FG32" i="4" s="1"/>
  <c r="FF33" i="4"/>
  <c r="FJ32" i="4" s="1"/>
  <c r="GB33" i="4"/>
  <c r="GD32" i="4" s="1"/>
  <c r="FE33" i="4"/>
  <c r="FI32" i="4" s="1"/>
  <c r="FD33" i="4"/>
  <c r="FH32" i="4" s="1"/>
  <c r="GA17" i="4"/>
  <c r="GC16" i="4" s="1"/>
  <c r="FC17" i="4"/>
  <c r="FG16" i="4" s="1"/>
  <c r="FF17" i="4"/>
  <c r="FJ16" i="4" s="1"/>
  <c r="FE17" i="4"/>
  <c r="FI16" i="4" s="1"/>
  <c r="FD17" i="4"/>
  <c r="FH16" i="4" s="1"/>
  <c r="GB17" i="4"/>
  <c r="GD16" i="4" s="1"/>
  <c r="CR21" i="4"/>
  <c r="BT21" i="4"/>
  <c r="CQ21" i="4"/>
  <c r="CS20" i="4" s="1"/>
  <c r="BU21" i="4"/>
  <c r="BS21" i="4"/>
  <c r="BV21" i="4"/>
  <c r="GD24" i="4"/>
  <c r="HE3" i="4"/>
  <c r="GG3" i="4"/>
  <c r="GF3" i="4"/>
  <c r="HD3" i="4"/>
  <c r="GI3" i="4"/>
  <c r="GH3" i="4"/>
  <c r="CY10" i="4"/>
  <c r="GE10" i="4"/>
  <c r="CX10" i="4"/>
  <c r="DU10" i="4"/>
  <c r="CW10" i="4"/>
  <c r="CV10" i="4"/>
  <c r="DT10" i="4"/>
  <c r="GH4" i="4"/>
  <c r="GL4" i="4" s="1"/>
  <c r="HE4" i="4"/>
  <c r="HG4" i="4" s="1"/>
  <c r="GG4" i="4"/>
  <c r="GK4" i="4" s="1"/>
  <c r="HD4" i="4"/>
  <c r="HF4" i="4" s="1"/>
  <c r="GF4" i="4"/>
  <c r="GJ4" i="4" s="1"/>
  <c r="GI4" i="4"/>
  <c r="GM4" i="4" s="1"/>
  <c r="IH23" i="4"/>
  <c r="HJ23" i="4"/>
  <c r="HL23" i="4"/>
  <c r="IG23" i="4"/>
  <c r="HK23" i="4"/>
  <c r="HI23" i="4"/>
  <c r="DT29" i="4"/>
  <c r="CV29" i="4"/>
  <c r="CY29" i="4"/>
  <c r="CW29" i="4"/>
  <c r="DU29" i="4"/>
  <c r="CX29" i="4"/>
  <c r="AU8" i="4"/>
  <c r="DB12" i="4"/>
  <c r="DV12" i="4"/>
  <c r="CT20" i="4"/>
  <c r="GC30" i="4"/>
  <c r="GD36" i="4"/>
  <c r="HE7" i="4"/>
  <c r="GG7" i="4"/>
  <c r="HD7" i="4"/>
  <c r="GF7" i="4"/>
  <c r="GI7" i="4"/>
  <c r="GH7" i="4"/>
  <c r="AT12" i="4"/>
  <c r="AW12" i="4"/>
  <c r="GH21" i="4"/>
  <c r="HD21" i="4"/>
  <c r="GF21" i="4"/>
  <c r="HE21" i="4"/>
  <c r="GI21" i="4"/>
  <c r="GG21" i="4"/>
  <c r="HL37" i="4"/>
  <c r="IH37" i="4"/>
  <c r="HK37" i="4"/>
  <c r="IG37" i="4"/>
  <c r="HJ37" i="4"/>
  <c r="HI37" i="4"/>
  <c r="BN27" i="4"/>
  <c r="AP27" i="4"/>
  <c r="AT26" i="4" s="1"/>
  <c r="AS27" i="4"/>
  <c r="AW26" i="4" s="1"/>
  <c r="AQ27" i="4"/>
  <c r="AU26" i="4" s="1"/>
  <c r="CU27" i="4"/>
  <c r="BO27" i="4"/>
  <c r="BQ26" i="4" s="1"/>
  <c r="AR27" i="4"/>
  <c r="AV26" i="4" s="1"/>
  <c r="CR28" i="4"/>
  <c r="CT28" i="4" s="1"/>
  <c r="BT28" i="4"/>
  <c r="BX28" i="4" s="1"/>
  <c r="CU28" i="4"/>
  <c r="CQ28" i="4"/>
  <c r="CS28" i="4" s="1"/>
  <c r="BS28" i="4"/>
  <c r="BW28" i="4" s="1"/>
  <c r="BV28" i="4"/>
  <c r="BZ28" i="4" s="1"/>
  <c r="BU28" i="4"/>
  <c r="BY28" i="4" s="1"/>
  <c r="BW30" i="4"/>
  <c r="CT30" i="4"/>
  <c r="AU30" i="4"/>
  <c r="AT30" i="4"/>
  <c r="BI34" i="4"/>
  <c r="Q34" i="4"/>
  <c r="DP34" i="4"/>
  <c r="S34" i="4"/>
  <c r="CI34" i="4"/>
  <c r="HB34" i="4"/>
  <c r="BH34" i="4"/>
  <c r="FX34" i="4"/>
  <c r="BK34" i="4"/>
  <c r="ES34" i="4"/>
  <c r="HZ34" i="4"/>
  <c r="FU34" i="4"/>
  <c r="IB34" i="4"/>
  <c r="AN34" i="4"/>
  <c r="CL34" i="4"/>
  <c r="EQ34" i="4"/>
  <c r="GY34" i="4"/>
  <c r="BP26" i="4"/>
  <c r="AT4" i="4"/>
  <c r="AV4" i="4"/>
  <c r="BU18" i="4"/>
  <c r="BY18" i="4" s="1"/>
  <c r="CR18" i="4"/>
  <c r="CT18" i="4" s="1"/>
  <c r="BT18" i="4"/>
  <c r="BX18" i="4" s="1"/>
  <c r="CU18" i="4"/>
  <c r="CQ18" i="4"/>
  <c r="CS18" i="4" s="1"/>
  <c r="BS18" i="4"/>
  <c r="BW18" i="4" s="1"/>
  <c r="BV18" i="4"/>
  <c r="BZ18" i="4" s="1"/>
  <c r="AU18" i="4"/>
  <c r="CY6" i="4"/>
  <c r="GE6" i="4"/>
  <c r="CX6" i="4"/>
  <c r="DU6" i="4"/>
  <c r="CW6" i="4"/>
  <c r="DT6" i="4"/>
  <c r="CV6" i="4"/>
  <c r="FH24" i="4"/>
  <c r="FG24" i="4"/>
  <c r="BP36" i="4"/>
  <c r="AW36" i="4"/>
  <c r="BU17" i="4"/>
  <c r="CR17" i="4"/>
  <c r="CT16" i="4" s="1"/>
  <c r="BT17" i="4"/>
  <c r="BX16" i="4" s="1"/>
  <c r="CQ17" i="4"/>
  <c r="CS16" i="4" s="1"/>
  <c r="BS17" i="4"/>
  <c r="BW16" i="4" s="1"/>
  <c r="BV17" i="4"/>
  <c r="FF35" i="4"/>
  <c r="FJ34" i="4" s="1"/>
  <c r="FC35" i="4"/>
  <c r="FG34" i="4" s="1"/>
  <c r="FE35" i="4"/>
  <c r="FI34" i="4" s="1"/>
  <c r="FD35" i="4"/>
  <c r="FH34" i="4" s="1"/>
  <c r="GB35" i="4"/>
  <c r="GD34" i="4" s="1"/>
  <c r="GA35" i="4"/>
  <c r="CR35" i="4"/>
  <c r="BT35" i="4"/>
  <c r="BV35" i="4"/>
  <c r="CQ35" i="4"/>
  <c r="BU35" i="4"/>
  <c r="BS35" i="4"/>
  <c r="BX20" i="4"/>
  <c r="DU5" i="4"/>
  <c r="DW4" i="4" s="1"/>
  <c r="CW5" i="4"/>
  <c r="DT5" i="4"/>
  <c r="DV4" i="4" s="1"/>
  <c r="CV5" i="4"/>
  <c r="CZ4" i="4" s="1"/>
  <c r="CY5" i="4"/>
  <c r="DC4" i="4" s="1"/>
  <c r="CX5" i="4"/>
  <c r="DB4" i="4" s="1"/>
  <c r="AW10" i="4"/>
  <c r="GE30" i="4"/>
  <c r="CX30" i="4"/>
  <c r="DT30" i="4"/>
  <c r="CY30" i="4"/>
  <c r="CW30" i="4"/>
  <c r="DU30" i="4"/>
  <c r="CV30" i="4"/>
  <c r="BV34" i="4"/>
  <c r="BS34" i="4"/>
  <c r="CQ34" i="4"/>
  <c r="CS34" i="4" s="1"/>
  <c r="BU34" i="4"/>
  <c r="BY34" i="4" s="1"/>
  <c r="BT34" i="4"/>
  <c r="CU34" i="4"/>
  <c r="CR34" i="4"/>
  <c r="CT34" i="4" s="1"/>
  <c r="FE15" i="4"/>
  <c r="FI14" i="4" s="1"/>
  <c r="GA15" i="4"/>
  <c r="GC14" i="4" s="1"/>
  <c r="FC15" i="4"/>
  <c r="FG14" i="4" s="1"/>
  <c r="FF15" i="4"/>
  <c r="FJ14" i="4" s="1"/>
  <c r="FD15" i="4"/>
  <c r="FH14" i="4" s="1"/>
  <c r="GB15" i="4"/>
  <c r="GD14" i="4" s="1"/>
  <c r="HE39" i="4"/>
  <c r="GG39" i="4"/>
  <c r="GI39" i="4"/>
  <c r="HD39" i="4"/>
  <c r="GH39" i="4"/>
  <c r="GF39" i="4"/>
  <c r="GA11" i="4"/>
  <c r="GC10" i="4" s="1"/>
  <c r="FC11" i="4"/>
  <c r="FG10" i="4" s="1"/>
  <c r="FF11" i="4"/>
  <c r="FJ10" i="4" s="1"/>
  <c r="FE11" i="4"/>
  <c r="FI10" i="4" s="1"/>
  <c r="GB11" i="4"/>
  <c r="GD10" i="4" s="1"/>
  <c r="FD11" i="4"/>
  <c r="FH10" i="4" s="1"/>
  <c r="BY16" i="4"/>
  <c r="CY16" i="4"/>
  <c r="GE16" i="4"/>
  <c r="CX16" i="4"/>
  <c r="DU16" i="4"/>
  <c r="CW16" i="4"/>
  <c r="CV16" i="4"/>
  <c r="DT16" i="4"/>
  <c r="DA4" i="4"/>
  <c r="BP24" i="4"/>
  <c r="FF27" i="4"/>
  <c r="FJ26" i="4" s="1"/>
  <c r="FE27" i="4"/>
  <c r="GA27" i="4"/>
  <c r="GC26" i="4" s="1"/>
  <c r="FD27" i="4"/>
  <c r="FH26" i="4" s="1"/>
  <c r="FC27" i="4"/>
  <c r="FG26" i="4" s="1"/>
  <c r="GB27" i="4"/>
  <c r="GD26" i="4" s="1"/>
  <c r="BU33" i="4"/>
  <c r="BY32" i="4" s="1"/>
  <c r="CR33" i="4"/>
  <c r="CT32" i="4" s="1"/>
  <c r="BV33" i="4"/>
  <c r="BZ32" i="4" s="1"/>
  <c r="CQ33" i="4"/>
  <c r="CS32" i="4" s="1"/>
  <c r="BT33" i="4"/>
  <c r="BS33" i="4"/>
  <c r="BW32" i="4" s="1"/>
  <c r="CY32" i="4"/>
  <c r="DU32" i="4"/>
  <c r="DT32" i="4"/>
  <c r="CX32" i="4"/>
  <c r="GE32" i="4"/>
  <c r="CW32" i="4"/>
  <c r="CV32" i="4"/>
  <c r="GC34" i="4"/>
  <c r="GE38" i="4"/>
  <c r="CX38" i="4"/>
  <c r="CV38" i="4"/>
  <c r="DU38" i="4"/>
  <c r="CW38" i="4"/>
  <c r="DT38" i="4"/>
  <c r="CY38" i="4"/>
  <c r="DT25" i="4"/>
  <c r="CV25" i="4"/>
  <c r="CY25" i="4"/>
  <c r="DU25" i="4"/>
  <c r="CX25" i="4"/>
  <c r="CW25" i="4"/>
  <c r="DU31" i="4"/>
  <c r="CW31" i="4"/>
  <c r="CV31" i="4"/>
  <c r="DT31" i="4"/>
  <c r="CY31" i="4"/>
  <c r="CX31" i="4"/>
  <c r="EF34" i="4"/>
  <c r="GH12" i="4"/>
  <c r="GL12" i="4" s="1"/>
  <c r="GG12" i="4"/>
  <c r="GK12" i="4" s="1"/>
  <c r="HE12" i="4"/>
  <c r="HG12" i="4" s="1"/>
  <c r="GF12" i="4"/>
  <c r="GJ12" i="4" s="1"/>
  <c r="GI12" i="4"/>
  <c r="GM12" i="4" s="1"/>
  <c r="HD12" i="4"/>
  <c r="HF12" i="4" s="1"/>
  <c r="BY20" i="4"/>
  <c r="GE20" i="4"/>
  <c r="CY20" i="4"/>
  <c r="CX20" i="4"/>
  <c r="DU20" i="4"/>
  <c r="CW20" i="4"/>
  <c r="CV20" i="4"/>
  <c r="DT20" i="4"/>
  <c r="FI26" i="4"/>
  <c r="FJ30" i="4"/>
  <c r="FH30" i="4"/>
  <c r="FG36" i="4"/>
  <c r="IG13" i="4"/>
  <c r="HI13" i="4"/>
  <c r="HJ13" i="4"/>
  <c r="HL13" i="4"/>
  <c r="HK13" i="4"/>
  <c r="IH13" i="4"/>
  <c r="DU9" i="4"/>
  <c r="DW8" i="4" s="1"/>
  <c r="CW9" i="4"/>
  <c r="DA8" i="4" s="1"/>
  <c r="DT9" i="4"/>
  <c r="DV8" i="4" s="1"/>
  <c r="CV9" i="4"/>
  <c r="CZ8" i="4" s="1"/>
  <c r="CY9" i="4"/>
  <c r="DC8" i="4" s="1"/>
  <c r="CX9" i="4"/>
  <c r="DB8" i="4" s="1"/>
  <c r="AU12" i="4"/>
  <c r="CR24" i="4"/>
  <c r="CT24" i="4" s="1"/>
  <c r="BT24" i="4"/>
  <c r="BX24" i="4" s="1"/>
  <c r="CU24" i="4"/>
  <c r="CQ24" i="4"/>
  <c r="CS24" i="4" s="1"/>
  <c r="BS24" i="4"/>
  <c r="BW24" i="4" s="1"/>
  <c r="BV24" i="4"/>
  <c r="BZ24" i="4" s="1"/>
  <c r="BU24" i="4"/>
  <c r="BY24" i="4" s="1"/>
  <c r="CR27" i="4"/>
  <c r="CT26" i="4" s="1"/>
  <c r="BT27" i="4"/>
  <c r="BX26" i="4" s="1"/>
  <c r="CQ27" i="4"/>
  <c r="CS26" i="4" s="1"/>
  <c r="BS27" i="4"/>
  <c r="BU27" i="4"/>
  <c r="BV27" i="4"/>
  <c r="BZ26" i="4" s="1"/>
  <c r="BX30" i="4"/>
  <c r="BZ30" i="4"/>
  <c r="BQ30" i="4"/>
  <c r="BP30" i="4"/>
  <c r="EW34" i="4"/>
  <c r="CM34" i="4"/>
  <c r="AI34" i="4"/>
  <c r="GX34" i="4"/>
  <c r="AC34" i="4"/>
  <c r="CO34" i="4"/>
  <c r="T34" i="4"/>
  <c r="CJ34" i="4"/>
  <c r="HY34" i="4"/>
  <c r="CK34" i="4"/>
  <c r="FT34" i="4"/>
  <c r="IF34" i="4"/>
  <c r="FZ34" i="4"/>
  <c r="R34" i="4"/>
  <c r="BF34" i="4"/>
  <c r="CP34" i="4"/>
  <c r="EU34" i="4"/>
  <c r="HC34" i="4"/>
  <c r="DT37" i="4"/>
  <c r="CV37" i="4"/>
  <c r="CW37" i="4"/>
  <c r="CY37" i="4"/>
  <c r="CX37" i="4"/>
  <c r="DU37" i="4"/>
  <c r="DT41" i="4"/>
  <c r="DV40" i="4" s="1"/>
  <c r="CV41" i="4"/>
  <c r="CY41" i="4"/>
  <c r="DC40" i="4" s="1"/>
  <c r="DU41" i="4"/>
  <c r="DW40" i="4" s="1"/>
  <c r="CX41" i="4"/>
  <c r="DB40" i="4" s="1"/>
  <c r="CW41" i="4"/>
  <c r="DA40" i="4" s="1"/>
  <c r="GE26" i="4"/>
  <c r="CX26" i="4"/>
  <c r="DU26" i="4"/>
  <c r="CY26" i="4"/>
  <c r="DT26" i="4"/>
  <c r="CW26" i="4"/>
  <c r="CV26" i="4"/>
  <c r="BW26" i="4"/>
  <c r="GH8" i="4"/>
  <c r="GL8" i="4" s="1"/>
  <c r="HE8" i="4"/>
  <c r="HG8" i="4" s="1"/>
  <c r="GG8" i="4"/>
  <c r="GK8" i="4" s="1"/>
  <c r="HD8" i="4"/>
  <c r="HF8" i="4" s="1"/>
  <c r="GF8" i="4"/>
  <c r="GJ8" i="4" s="1"/>
  <c r="GI8" i="4"/>
  <c r="GM8" i="4" s="1"/>
  <c r="BP4" i="4"/>
  <c r="AW4" i="4"/>
  <c r="BQ18" i="4"/>
  <c r="GI15" i="4"/>
  <c r="GH15" i="4"/>
  <c r="HE15" i="4"/>
  <c r="GG15" i="4"/>
  <c r="GF15" i="4"/>
  <c r="HD15" i="4"/>
  <c r="HE17" i="4"/>
  <c r="GG17" i="4"/>
  <c r="HD17" i="4"/>
  <c r="GF17" i="4"/>
  <c r="GI17" i="4"/>
  <c r="GH17" i="4"/>
  <c r="BN21" i="4"/>
  <c r="BP20" i="4" s="1"/>
  <c r="AP21" i="4"/>
  <c r="AT20" i="4" s="1"/>
  <c r="AQ21" i="4"/>
  <c r="AU20" i="4" s="1"/>
  <c r="AS21" i="4"/>
  <c r="AW20" i="4" s="1"/>
  <c r="BO21" i="4"/>
  <c r="BQ20" i="4" s="1"/>
  <c r="CU21" i="4"/>
  <c r="AR21" i="4"/>
  <c r="AV20" i="4" s="1"/>
  <c r="FJ24" i="4"/>
  <c r="FI24" i="4"/>
  <c r="AT36" i="4"/>
  <c r="AV36" i="4"/>
  <c r="CY39" i="4"/>
  <c r="DT39" i="4"/>
  <c r="CW39" i="4"/>
  <c r="CV39" i="4"/>
  <c r="DU39" i="4"/>
  <c r="CX39" i="4"/>
  <c r="IG9" i="4"/>
  <c r="HI9" i="4"/>
  <c r="HL9" i="4"/>
  <c r="HK9" i="4"/>
  <c r="HJ9" i="4"/>
  <c r="IH9" i="4"/>
  <c r="HL25" i="4"/>
  <c r="IG25" i="4"/>
  <c r="HJ25" i="4"/>
  <c r="HI25" i="4"/>
  <c r="IH25" i="4"/>
  <c r="HK25" i="4"/>
  <c r="IG19" i="4"/>
  <c r="HI19" i="4"/>
  <c r="HL19" i="4"/>
  <c r="HK19" i="4"/>
  <c r="HJ19" i="4"/>
  <c r="IH19" i="4"/>
  <c r="IG31" i="4"/>
  <c r="HI31" i="4"/>
  <c r="HL31" i="4"/>
  <c r="IH31" i="4"/>
  <c r="HK31" i="4"/>
  <c r="HJ31" i="4"/>
  <c r="BW20" i="4"/>
  <c r="GA3" i="4"/>
  <c r="GC2" i="4" s="1"/>
  <c r="FC3" i="4"/>
  <c r="FG2" i="4" s="1"/>
  <c r="FF3" i="4"/>
  <c r="FJ2" i="4" s="1"/>
  <c r="FE3" i="4"/>
  <c r="FI2" i="4" s="1"/>
  <c r="GB3" i="4"/>
  <c r="GD2" i="4" s="1"/>
  <c r="FD3" i="4"/>
  <c r="FH2" i="4" s="1"/>
  <c r="BW10" i="4"/>
  <c r="BZ16" i="4"/>
  <c r="DU19" i="4"/>
  <c r="CW19" i="4"/>
  <c r="DT19" i="4"/>
  <c r="CV19" i="4"/>
  <c r="CY19" i="4"/>
  <c r="CX19" i="4"/>
  <c r="CU33" i="4"/>
  <c r="BO33" i="4"/>
  <c r="BQ32" i="4" s="1"/>
  <c r="AQ33" i="4"/>
  <c r="AU32" i="4" s="1"/>
  <c r="BN33" i="4"/>
  <c r="BP32" i="4" s="1"/>
  <c r="AR33" i="4"/>
  <c r="AV32" i="4" s="1"/>
  <c r="AP33" i="4"/>
  <c r="AT32" i="4" s="1"/>
  <c r="AS33" i="4"/>
  <c r="AW32" i="4" s="1"/>
  <c r="CQ36" i="4"/>
  <c r="CS36" i="4" s="1"/>
  <c r="BU36" i="4"/>
  <c r="BY36" i="4" s="1"/>
  <c r="CU36" i="4"/>
  <c r="BT36" i="4"/>
  <c r="BX36" i="4" s="1"/>
  <c r="BS36" i="4"/>
  <c r="BW36" i="4" s="1"/>
  <c r="CR36" i="4"/>
  <c r="CT36" i="4" s="1"/>
  <c r="BV36" i="4"/>
  <c r="BZ36" i="4" s="1"/>
  <c r="BX32" i="4"/>
  <c r="IG41" i="4"/>
  <c r="HI41" i="4"/>
  <c r="HL41" i="4"/>
  <c r="HK41" i="4"/>
  <c r="IH41" i="4"/>
  <c r="HJ41" i="4"/>
  <c r="HL29" i="4"/>
  <c r="HK29" i="4"/>
  <c r="IG29" i="4"/>
  <c r="HJ29" i="4"/>
  <c r="HI29" i="4"/>
  <c r="IH29" i="4"/>
  <c r="DW12" i="4"/>
  <c r="BZ20" i="4"/>
  <c r="BV22" i="4"/>
  <c r="BZ22" i="4" s="1"/>
  <c r="CR22" i="4"/>
  <c r="CT22" i="4" s="1"/>
  <c r="BT22" i="4"/>
  <c r="BX22" i="4" s="1"/>
  <c r="CU22" i="4"/>
  <c r="BU22" i="4"/>
  <c r="BY22" i="4" s="1"/>
  <c r="CQ22" i="4"/>
  <c r="CS22" i="4" s="1"/>
  <c r="BS22" i="4"/>
  <c r="BW22" i="4" s="1"/>
  <c r="FI30" i="4"/>
  <c r="GD30" i="4"/>
  <c r="BU11" i="4"/>
  <c r="BY10" i="4" s="1"/>
  <c r="CR11" i="4"/>
  <c r="CT10" i="4" s="1"/>
  <c r="BT11" i="4"/>
  <c r="BX10" i="4" s="1"/>
  <c r="CQ11" i="4"/>
  <c r="CS10" i="4" s="1"/>
  <c r="BS11" i="4"/>
  <c r="BV11" i="4"/>
  <c r="BZ10" i="4" s="1"/>
  <c r="GA7" i="4"/>
  <c r="GC6" i="4" s="1"/>
  <c r="FC7" i="4"/>
  <c r="FG6" i="4" s="1"/>
  <c r="FF7" i="4"/>
  <c r="FJ6" i="4" s="1"/>
  <c r="FE7" i="4"/>
  <c r="FI6" i="4" s="1"/>
  <c r="GB7" i="4"/>
  <c r="GD6" i="4" s="1"/>
  <c r="FD7" i="4"/>
  <c r="FH6" i="4" s="1"/>
  <c r="BU3" i="4"/>
  <c r="BY2" i="4" s="1"/>
  <c r="BT3" i="4"/>
  <c r="BX2" i="4" s="1"/>
  <c r="CR3" i="4"/>
  <c r="CT2" i="4" s="1"/>
  <c r="CQ3" i="4"/>
  <c r="CS2" i="4" s="1"/>
  <c r="BS3" i="4"/>
  <c r="BW2" i="4" s="1"/>
  <c r="BV3" i="4"/>
  <c r="BZ2" i="4" s="1"/>
  <c r="BO3" i="4"/>
  <c r="BQ2" i="4" s="1"/>
  <c r="AQ3" i="4"/>
  <c r="AU2" i="4" s="1"/>
  <c r="AP3" i="4"/>
  <c r="AT2" i="4" s="1"/>
  <c r="BN3" i="4"/>
  <c r="BP2" i="4" s="1"/>
  <c r="AS3" i="4"/>
  <c r="AW2" i="4" s="1"/>
  <c r="AR3" i="4"/>
  <c r="AV2" i="4" s="1"/>
  <c r="AV10" i="4"/>
  <c r="BQ12" i="4"/>
  <c r="CQ15" i="4"/>
  <c r="CS14" i="4" s="1"/>
  <c r="BS15" i="4"/>
  <c r="BW14" i="4" s="1"/>
  <c r="BU15" i="4"/>
  <c r="BY14" i="4" s="1"/>
  <c r="BT15" i="4"/>
  <c r="BX14" i="4" s="1"/>
  <c r="CR15" i="4"/>
  <c r="CT14" i="4" s="1"/>
  <c r="BV15" i="4"/>
  <c r="BZ14" i="4" s="1"/>
  <c r="AS15" i="4"/>
  <c r="AW14" i="4" s="1"/>
  <c r="CU15" i="4"/>
  <c r="BO15" i="4"/>
  <c r="BQ14" i="4" s="1"/>
  <c r="AQ15" i="4"/>
  <c r="AU14" i="4" s="1"/>
  <c r="AP15" i="4"/>
  <c r="AT14" i="4" s="1"/>
  <c r="BN15" i="4"/>
  <c r="BP14" i="4" s="1"/>
  <c r="AR15" i="4"/>
  <c r="AV14" i="4" s="1"/>
  <c r="GB21" i="4"/>
  <c r="GD20" i="4" s="1"/>
  <c r="FD21" i="4"/>
  <c r="FH20" i="4" s="1"/>
  <c r="FF21" i="4"/>
  <c r="FJ20" i="4" s="1"/>
  <c r="GA21" i="4"/>
  <c r="GC20" i="4" s="1"/>
  <c r="FE21" i="4"/>
  <c r="FI20" i="4" s="1"/>
  <c r="FC21" i="4"/>
  <c r="FG20" i="4" s="1"/>
  <c r="CS30" i="4"/>
  <c r="AV30" i="4"/>
  <c r="ID34" i="4"/>
  <c r="DO34" i="4"/>
  <c r="BL34" i="4"/>
  <c r="EV34" i="4"/>
  <c r="BG34" i="4"/>
  <c r="EP34" i="4"/>
  <c r="AF34" i="4"/>
  <c r="DM34" i="4"/>
  <c r="AE34" i="4"/>
  <c r="DL34" i="4"/>
  <c r="FY34" i="4"/>
  <c r="DS34" i="4"/>
  <c r="GV34" i="4"/>
  <c r="AD34" i="4"/>
  <c r="BJ34" i="4"/>
  <c r="DN34" i="4"/>
  <c r="FS34" i="4"/>
  <c r="IA34" i="4"/>
  <c r="AU38" i="4"/>
  <c r="AT38" i="4"/>
  <c r="BY26" i="4"/>
  <c r="AU4" i="4"/>
  <c r="BP18" i="4"/>
  <c r="AV18" i="4"/>
  <c r="HE33" i="4"/>
  <c r="GG33" i="4"/>
  <c r="GF33" i="4"/>
  <c r="GI33" i="4"/>
  <c r="HD33" i="4"/>
  <c r="GH33" i="4"/>
  <c r="BU7" i="4"/>
  <c r="BY6" i="4" s="1"/>
  <c r="CR7" i="4"/>
  <c r="BT7" i="4"/>
  <c r="BX6" i="4" s="1"/>
  <c r="CQ7" i="4"/>
  <c r="CS6" i="4" s="1"/>
  <c r="BS7" i="4"/>
  <c r="BW6" i="4" s="1"/>
  <c r="BV7" i="4"/>
  <c r="BZ6" i="4" s="1"/>
  <c r="CU7" i="4"/>
  <c r="BO7" i="4"/>
  <c r="BQ6" i="4" s="1"/>
  <c r="AQ7" i="4"/>
  <c r="AU6" i="4" s="1"/>
  <c r="BN7" i="4"/>
  <c r="BP6" i="4" s="1"/>
  <c r="AP7" i="4"/>
  <c r="AT6" i="4" s="1"/>
  <c r="AS7" i="4"/>
  <c r="AW6" i="4" s="1"/>
  <c r="AR7" i="4"/>
  <c r="AV6" i="4" s="1"/>
  <c r="HD40" i="4"/>
  <c r="HF40" i="4" s="1"/>
  <c r="GF40" i="4"/>
  <c r="GJ40" i="4" s="1"/>
  <c r="HE40" i="4"/>
  <c r="HG40" i="4" s="1"/>
  <c r="GI40" i="4"/>
  <c r="GM40" i="4" s="1"/>
  <c r="GH40" i="4"/>
  <c r="GL40" i="4" s="1"/>
  <c r="GG40" i="4"/>
  <c r="GK40" i="4" s="1"/>
  <c r="CZ40" i="4"/>
  <c r="CT6" i="4"/>
  <c r="GC24" i="4"/>
  <c r="BQ36" i="4"/>
  <c r="GA39" i="4"/>
  <c r="GC38" i="4" s="1"/>
  <c r="FC39" i="4"/>
  <c r="FG38" i="4" s="1"/>
  <c r="GB39" i="4"/>
  <c r="GD38" i="4" s="1"/>
  <c r="FE39" i="4"/>
  <c r="FI38" i="4" s="1"/>
  <c r="FD39" i="4"/>
  <c r="FH38" i="4" s="1"/>
  <c r="FF39" i="4"/>
  <c r="FJ38" i="4" s="1"/>
  <c r="HD2" i="4"/>
  <c r="HF2" i="4" s="1"/>
  <c r="GF2" i="4"/>
  <c r="GI2" i="4"/>
  <c r="GM2" i="4" s="1"/>
  <c r="GH2" i="4"/>
  <c r="GL2" i="4" s="1"/>
  <c r="HE2" i="4"/>
  <c r="HG2" i="4" s="1"/>
  <c r="GG2" i="4"/>
  <c r="CU17" i="4"/>
  <c r="BO17" i="4"/>
  <c r="BQ16" i="4" s="1"/>
  <c r="AQ17" i="4"/>
  <c r="AU16" i="4" s="1"/>
  <c r="BN17" i="4"/>
  <c r="BP16" i="4" s="1"/>
  <c r="AP17" i="4"/>
  <c r="AT16" i="4" s="1"/>
  <c r="AS17" i="4"/>
  <c r="AW16" i="4" s="1"/>
  <c r="AR17" i="4"/>
  <c r="AV16" i="4" s="1"/>
  <c r="HD35" i="4"/>
  <c r="GF35" i="4"/>
  <c r="GG35" i="4"/>
  <c r="GI35" i="4"/>
  <c r="HE35" i="4"/>
  <c r="GH35" i="4"/>
  <c r="GD8" i="3"/>
  <c r="GC8" i="3"/>
  <c r="FJ10" i="3"/>
  <c r="EF6" i="3"/>
  <c r="FA20" i="3"/>
  <c r="EF20" i="3"/>
  <c r="EG18" i="3"/>
  <c r="ED12" i="3"/>
  <c r="EZ38" i="3"/>
  <c r="DW34" i="3"/>
  <c r="DV34" i="3"/>
  <c r="AU34" i="3"/>
  <c r="CZ34" i="3"/>
  <c r="HK12" i="2"/>
  <c r="HO12" i="2" s="1"/>
  <c r="IG12" i="2"/>
  <c r="II12" i="2" s="1"/>
  <c r="HL12" i="2"/>
  <c r="HP12" i="2" s="1"/>
  <c r="HJ12" i="2"/>
  <c r="HN12" i="2" s="1"/>
  <c r="IH12" i="2"/>
  <c r="IJ12" i="2" s="1"/>
  <c r="HI12" i="2"/>
  <c r="HM12" i="2" s="1"/>
  <c r="HH18" i="2"/>
  <c r="GF18" i="2"/>
  <c r="GJ18" i="2" s="1"/>
  <c r="HE18" i="2"/>
  <c r="HG18" i="2" s="1"/>
  <c r="GG18" i="2"/>
  <c r="GK18" i="2" s="1"/>
  <c r="GI18" i="2"/>
  <c r="GM18" i="2" s="1"/>
  <c r="HD18" i="2"/>
  <c r="HF18" i="2" s="1"/>
  <c r="GH18" i="2"/>
  <c r="GL18" i="2" s="1"/>
  <c r="HL24" i="2"/>
  <c r="HP24" i="2" s="1"/>
  <c r="HK24" i="2"/>
  <c r="HO24" i="2" s="1"/>
  <c r="HJ24" i="2"/>
  <c r="HN24" i="2" s="1"/>
  <c r="IG24" i="2"/>
  <c r="II24" i="2" s="1"/>
  <c r="HI24" i="2"/>
  <c r="HM24" i="2" s="1"/>
  <c r="IH24" i="2"/>
  <c r="IJ24" i="2" s="1"/>
  <c r="HH6" i="2"/>
  <c r="HD6" i="2"/>
  <c r="HF6" i="2" s="1"/>
  <c r="GF6" i="2"/>
  <c r="GJ6" i="2" s="1"/>
  <c r="GH6" i="2"/>
  <c r="GL6" i="2" s="1"/>
  <c r="GG6" i="2"/>
  <c r="GK6" i="2" s="1"/>
  <c r="HE6" i="2"/>
  <c r="HG6" i="2" s="1"/>
  <c r="GI6" i="2"/>
  <c r="GM6" i="2" s="1"/>
  <c r="HH22" i="2"/>
  <c r="HD22" i="2"/>
  <c r="HF22" i="2" s="1"/>
  <c r="GF22" i="2"/>
  <c r="GJ22" i="2" s="1"/>
  <c r="GI22" i="2"/>
  <c r="GM22" i="2" s="1"/>
  <c r="GG22" i="2"/>
  <c r="GK22" i="2" s="1"/>
  <c r="HE22" i="2"/>
  <c r="HG22" i="2" s="1"/>
  <c r="GH22" i="2"/>
  <c r="GL22" i="2" s="1"/>
  <c r="FE38" i="2"/>
  <c r="FI38" i="2" s="1"/>
  <c r="FD38" i="2"/>
  <c r="FH38" i="2" s="1"/>
  <c r="FF38" i="2"/>
  <c r="FJ38" i="2" s="1"/>
  <c r="GB38" i="2"/>
  <c r="GD38" i="2" s="1"/>
  <c r="FC38" i="2"/>
  <c r="FG38" i="2" s="1"/>
  <c r="GA38" i="2"/>
  <c r="GC38" i="2" s="1"/>
  <c r="IH38" i="2"/>
  <c r="IJ38" i="2" s="1"/>
  <c r="HK38" i="2"/>
  <c r="HO38" i="2" s="1"/>
  <c r="HL38" i="2"/>
  <c r="HP38" i="2" s="1"/>
  <c r="IH8" i="2"/>
  <c r="IJ8" i="2" s="1"/>
  <c r="IG8" i="2"/>
  <c r="II8" i="2" s="1"/>
  <c r="HK8" i="2"/>
  <c r="HO8" i="2" s="1"/>
  <c r="HJ8" i="2"/>
  <c r="HN8" i="2" s="1"/>
  <c r="HL8" i="2"/>
  <c r="HP8" i="2" s="1"/>
  <c r="GB34" i="2"/>
  <c r="GD34" i="2" s="1"/>
  <c r="FD34" i="2"/>
  <c r="FH34" i="2" s="1"/>
  <c r="FC34" i="2"/>
  <c r="FG34" i="2" s="1"/>
  <c r="FE34" i="2"/>
  <c r="FI34" i="2" s="1"/>
  <c r="GA34" i="2"/>
  <c r="GC34" i="2" s="1"/>
  <c r="FF34" i="2"/>
  <c r="FJ34" i="2" s="1"/>
  <c r="HK36" i="2"/>
  <c r="HO36" i="2" s="1"/>
  <c r="HI36" i="2"/>
  <c r="HM36" i="2" s="1"/>
  <c r="HL36" i="2"/>
  <c r="HP36" i="2" s="1"/>
  <c r="IG36" i="2"/>
  <c r="II36" i="2" s="1"/>
  <c r="HH10" i="2"/>
  <c r="HD10" i="2"/>
  <c r="HF10" i="2" s="1"/>
  <c r="GF10" i="2"/>
  <c r="GJ10" i="2" s="1"/>
  <c r="GI10" i="2"/>
  <c r="GM10" i="2" s="1"/>
  <c r="GH10" i="2"/>
  <c r="GL10" i="2" s="1"/>
  <c r="HE10" i="2"/>
  <c r="HG10" i="2" s="1"/>
  <c r="GG10" i="2"/>
  <c r="GK10" i="2" s="1"/>
  <c r="HL16" i="2"/>
  <c r="HP16" i="2" s="1"/>
  <c r="IG16" i="2"/>
  <c r="II16" i="2" s="1"/>
  <c r="HK16" i="2"/>
  <c r="HO16" i="2" s="1"/>
  <c r="HI16" i="2"/>
  <c r="HM16" i="2" s="1"/>
  <c r="HJ16" i="2"/>
  <c r="HN16" i="2" s="1"/>
  <c r="IH16" i="2"/>
  <c r="IJ16" i="2" s="1"/>
  <c r="HH34" i="2"/>
  <c r="GH34" i="2"/>
  <c r="GL34" i="2" s="1"/>
  <c r="HE34" i="2"/>
  <c r="HG34" i="2" s="1"/>
  <c r="GG34" i="2"/>
  <c r="GK34" i="2" s="1"/>
  <c r="GI34" i="2"/>
  <c r="GM34" i="2" s="1"/>
  <c r="GF34" i="2"/>
  <c r="GJ34" i="2" s="1"/>
  <c r="HD34" i="2"/>
  <c r="HF34" i="2" s="1"/>
  <c r="HI8" i="2"/>
  <c r="HM8" i="2" s="1"/>
  <c r="HH26" i="2"/>
  <c r="HD26" i="2"/>
  <c r="HF26" i="2" s="1"/>
  <c r="GF26" i="2"/>
  <c r="GJ26" i="2" s="1"/>
  <c r="GI26" i="2"/>
  <c r="GM26" i="2" s="1"/>
  <c r="GG26" i="2"/>
  <c r="GK26" i="2" s="1"/>
  <c r="GH26" i="2"/>
  <c r="GL26" i="2" s="1"/>
  <c r="HE26" i="2"/>
  <c r="HG26" i="2" s="1"/>
  <c r="HJ36" i="2"/>
  <c r="HN36" i="2" s="1"/>
  <c r="IH20" i="2"/>
  <c r="IJ20" i="2" s="1"/>
  <c r="HI20" i="2"/>
  <c r="HM20" i="2" s="1"/>
  <c r="IG20" i="2"/>
  <c r="II20" i="2" s="1"/>
  <c r="HL20" i="2"/>
  <c r="HP20" i="2" s="1"/>
  <c r="HK20" i="2"/>
  <c r="HO20" i="2" s="1"/>
  <c r="HH14" i="2"/>
  <c r="HD14" i="2"/>
  <c r="HF14" i="2" s="1"/>
  <c r="GF14" i="2"/>
  <c r="GJ14" i="2" s="1"/>
  <c r="HE14" i="2"/>
  <c r="HG14" i="2" s="1"/>
  <c r="GH14" i="2"/>
  <c r="GL14" i="2" s="1"/>
  <c r="GI14" i="2"/>
  <c r="GM14" i="2" s="1"/>
  <c r="GG14" i="2"/>
  <c r="GK14" i="2" s="1"/>
  <c r="HH30" i="2"/>
  <c r="HD30" i="2"/>
  <c r="HF30" i="2" s="1"/>
  <c r="GF30" i="2"/>
  <c r="GJ30" i="2" s="1"/>
  <c r="GI30" i="2"/>
  <c r="GM30" i="2" s="1"/>
  <c r="GG30" i="2"/>
  <c r="GK30" i="2" s="1"/>
  <c r="HE30" i="2"/>
  <c r="HG30" i="2" s="1"/>
  <c r="GH30" i="2"/>
  <c r="GL30" i="2" s="1"/>
  <c r="IH40" i="2"/>
  <c r="IJ40" i="2" s="1"/>
  <c r="HK40" i="2"/>
  <c r="HO40" i="2" s="1"/>
  <c r="HL40" i="2"/>
  <c r="HP40" i="2" s="1"/>
  <c r="IH4" i="2"/>
  <c r="IJ4" i="2" s="1"/>
  <c r="HL4" i="2"/>
  <c r="HP4" i="2" s="1"/>
  <c r="IG4" i="2"/>
  <c r="II4" i="2" s="1"/>
  <c r="HK4" i="2"/>
  <c r="HO4" i="2" s="1"/>
  <c r="HJ4" i="2"/>
  <c r="HN4" i="2" s="1"/>
  <c r="HI4" i="2"/>
  <c r="HM4" i="2" s="1"/>
  <c r="FF2" i="2"/>
  <c r="FJ2" i="2" s="1"/>
  <c r="GB2" i="2"/>
  <c r="GD2" i="2" s="1"/>
  <c r="FE2" i="2"/>
  <c r="FI2" i="2" s="1"/>
  <c r="GA2" i="2"/>
  <c r="GC2" i="2" s="1"/>
  <c r="FD2" i="2"/>
  <c r="FH2" i="2" s="1"/>
  <c r="FC2" i="2"/>
  <c r="FG2" i="2" s="1"/>
  <c r="HK2" i="2"/>
  <c r="IH2" i="2"/>
  <c r="HJ2" i="2"/>
  <c r="IG2" i="2"/>
  <c r="HI2" i="2"/>
  <c r="HL2" i="2"/>
  <c r="DV16" i="3"/>
  <c r="DB16" i="3"/>
  <c r="BY34" i="3"/>
  <c r="CT24" i="3"/>
  <c r="CS24" i="3"/>
  <c r="BX14" i="3"/>
  <c r="BZ16" i="3"/>
  <c r="BZ2" i="3"/>
  <c r="AT24" i="3"/>
  <c r="AW16" i="3"/>
  <c r="BK22" i="3"/>
  <c r="FS22" i="3"/>
  <c r="BF22" i="3"/>
  <c r="HB22" i="3"/>
  <c r="AG40" i="3"/>
  <c r="DM40" i="3"/>
  <c r="CI40" i="3"/>
  <c r="AD40" i="3"/>
  <c r="ID40" i="3"/>
  <c r="DL40" i="3"/>
  <c r="EV40" i="3"/>
  <c r="GZ40" i="3"/>
  <c r="FY40" i="3"/>
  <c r="IC40" i="3"/>
  <c r="BP34" i="3"/>
  <c r="BY16" i="3"/>
  <c r="BL40" i="3"/>
  <c r="DS40" i="3"/>
  <c r="ES40" i="3"/>
  <c r="GW40" i="3"/>
  <c r="AT14" i="3"/>
  <c r="AW14" i="3"/>
  <c r="CI22" i="3"/>
  <c r="DN22" i="3"/>
  <c r="DP22" i="3"/>
  <c r="AE28" i="3"/>
  <c r="AI28" i="3"/>
  <c r="FU28" i="3"/>
  <c r="AH28" i="3"/>
  <c r="EP28" i="3"/>
  <c r="DB34" i="3"/>
  <c r="CS34" i="3"/>
  <c r="AF40" i="3"/>
  <c r="CM40" i="3"/>
  <c r="CK40" i="3"/>
  <c r="CJ40" i="3"/>
  <c r="FX40" i="3"/>
  <c r="IF40" i="3"/>
  <c r="AW34" i="3"/>
  <c r="AM32" i="3"/>
  <c r="EP32" i="3"/>
  <c r="DM32" i="3"/>
  <c r="AH32" i="3"/>
  <c r="DR32" i="3"/>
  <c r="GX32" i="3"/>
  <c r="S32" i="3"/>
  <c r="BK32" i="3"/>
  <c r="DO32" i="3"/>
  <c r="T32" i="3"/>
  <c r="BL32" i="3"/>
  <c r="DP32" i="3"/>
  <c r="FZ32" i="3"/>
  <c r="IA32" i="3"/>
  <c r="GW32" i="3"/>
  <c r="DW24" i="3"/>
  <c r="AV10" i="3"/>
  <c r="BZ10" i="3"/>
  <c r="DB10" i="3"/>
  <c r="FY22" i="3"/>
  <c r="BM22" i="3"/>
  <c r="FU22" i="3"/>
  <c r="AI22" i="3"/>
  <c r="IA22" i="3"/>
  <c r="AH22" i="3"/>
  <c r="FZ22" i="3"/>
  <c r="ID22" i="3"/>
  <c r="FX22" i="3"/>
  <c r="BW24" i="3"/>
  <c r="BZ24" i="3"/>
  <c r="AV24" i="3"/>
  <c r="BP24" i="3"/>
  <c r="CM28" i="3"/>
  <c r="FS28" i="3"/>
  <c r="IE28" i="3"/>
  <c r="AG28" i="3"/>
  <c r="DN28" i="3"/>
  <c r="FZ28" i="3"/>
  <c r="AN28" i="3"/>
  <c r="IC28" i="3"/>
  <c r="DP28" i="3"/>
  <c r="DC34" i="3"/>
  <c r="GV40" i="3"/>
  <c r="FU40" i="3"/>
  <c r="HY40" i="3"/>
  <c r="BW14" i="3"/>
  <c r="AE32" i="3"/>
  <c r="GY32" i="3"/>
  <c r="AF32" i="3"/>
  <c r="CS16" i="3"/>
  <c r="CZ14" i="3"/>
  <c r="DA14" i="3"/>
  <c r="BM26" i="3"/>
  <c r="DQ26" i="3"/>
  <c r="CM26" i="3"/>
  <c r="Q26" i="3"/>
  <c r="GW26" i="3"/>
  <c r="AE26" i="3"/>
  <c r="EU26" i="3"/>
  <c r="AN26" i="3"/>
  <c r="CL26" i="3"/>
  <c r="EP26" i="3"/>
  <c r="AJ26" i="3"/>
  <c r="CN26" i="3"/>
  <c r="GV26" i="3"/>
  <c r="DB2" i="3"/>
  <c r="BP2" i="3"/>
  <c r="BW2" i="3"/>
  <c r="CS2" i="3"/>
  <c r="CY19" i="3"/>
  <c r="DC18" i="3" s="1"/>
  <c r="CX19" i="3"/>
  <c r="DB18" i="3" s="1"/>
  <c r="DU19" i="3"/>
  <c r="CW19" i="3"/>
  <c r="CV19" i="3"/>
  <c r="CZ18" i="3" s="1"/>
  <c r="DT19" i="3"/>
  <c r="EB22" i="3"/>
  <c r="EF22" i="3" s="1"/>
  <c r="EX22" i="3"/>
  <c r="EZ22" i="3" s="1"/>
  <c r="DZ22" i="3"/>
  <c r="ED22" i="3" s="1"/>
  <c r="EY22" i="3"/>
  <c r="FA22" i="3" s="1"/>
  <c r="EA22" i="3"/>
  <c r="EE22" i="3" s="1"/>
  <c r="EC22" i="3"/>
  <c r="EG22" i="3" s="1"/>
  <c r="FE38" i="3"/>
  <c r="FI38" i="3" s="1"/>
  <c r="GB38" i="3"/>
  <c r="GD38" i="3" s="1"/>
  <c r="FD38" i="3"/>
  <c r="FH38" i="3" s="1"/>
  <c r="GA38" i="3"/>
  <c r="GC38" i="3" s="1"/>
  <c r="FC38" i="3"/>
  <c r="FG38" i="3" s="1"/>
  <c r="FF38" i="3"/>
  <c r="FJ38" i="3" s="1"/>
  <c r="DU5" i="3"/>
  <c r="DW4" i="3" s="1"/>
  <c r="CW5" i="3"/>
  <c r="DT5" i="3"/>
  <c r="DV4" i="3" s="1"/>
  <c r="CV5" i="3"/>
  <c r="CY5" i="3"/>
  <c r="DC4" i="3" s="1"/>
  <c r="CX5" i="3"/>
  <c r="AS5" i="3"/>
  <c r="AW4" i="3" s="1"/>
  <c r="BO5" i="3"/>
  <c r="AQ5" i="3"/>
  <c r="AU4" i="3" s="1"/>
  <c r="AP5" i="3"/>
  <c r="BN5" i="3"/>
  <c r="BP4" i="3" s="1"/>
  <c r="AR5" i="3"/>
  <c r="AV4" i="3" s="1"/>
  <c r="BU7" i="3"/>
  <c r="BY6" i="3" s="1"/>
  <c r="CR7" i="3"/>
  <c r="CT6" i="3" s="1"/>
  <c r="BT7" i="3"/>
  <c r="BX6" i="3" s="1"/>
  <c r="CQ7" i="3"/>
  <c r="CS6" i="3" s="1"/>
  <c r="BS7" i="3"/>
  <c r="BW6" i="3" s="1"/>
  <c r="BV7" i="3"/>
  <c r="BZ6" i="3" s="1"/>
  <c r="GX26" i="3"/>
  <c r="ER26" i="3"/>
  <c r="HE14" i="3"/>
  <c r="GG14" i="3"/>
  <c r="GI14" i="3"/>
  <c r="GH14" i="3"/>
  <c r="GF14" i="3"/>
  <c r="HD14" i="3"/>
  <c r="GH20" i="3"/>
  <c r="HD20" i="3"/>
  <c r="GF20" i="3"/>
  <c r="GI20" i="3"/>
  <c r="HE20" i="3"/>
  <c r="GG20" i="3"/>
  <c r="FF20" i="3"/>
  <c r="FJ20" i="3" s="1"/>
  <c r="GB20" i="3"/>
  <c r="GD20" i="3" s="1"/>
  <c r="FD20" i="3"/>
  <c r="FH20" i="3" s="1"/>
  <c r="GA20" i="3"/>
  <c r="GC20" i="3" s="1"/>
  <c r="FC20" i="3"/>
  <c r="FG20" i="3" s="1"/>
  <c r="FE20" i="3"/>
  <c r="FI20" i="3" s="1"/>
  <c r="DA4" i="3"/>
  <c r="AT4" i="3"/>
  <c r="DU9" i="3"/>
  <c r="CW9" i="3"/>
  <c r="DA8" i="3" s="1"/>
  <c r="CY9" i="3"/>
  <c r="DC8" i="3" s="1"/>
  <c r="CX9" i="3"/>
  <c r="CV9" i="3"/>
  <c r="DT9" i="3"/>
  <c r="DV8" i="3" s="1"/>
  <c r="AS9" i="3"/>
  <c r="AW8" i="3" s="1"/>
  <c r="BO9" i="3"/>
  <c r="AQ9" i="3"/>
  <c r="AP9" i="3"/>
  <c r="AT8" i="3" s="1"/>
  <c r="BN9" i="3"/>
  <c r="BP8" i="3" s="1"/>
  <c r="AR9" i="3"/>
  <c r="EZ12" i="3"/>
  <c r="EE12" i="3"/>
  <c r="Q22" i="3"/>
  <c r="AE22" i="3"/>
  <c r="HA22" i="3"/>
  <c r="BG22" i="3"/>
  <c r="AJ22" i="3"/>
  <c r="CN22" i="3"/>
  <c r="AW24" i="3"/>
  <c r="DM28" i="3"/>
  <c r="EB28" i="3"/>
  <c r="EF28" i="3" s="1"/>
  <c r="EX28" i="3"/>
  <c r="EZ28" i="3" s="1"/>
  <c r="EC28" i="3"/>
  <c r="EG28" i="3" s="1"/>
  <c r="EA28" i="3"/>
  <c r="EE28" i="3" s="1"/>
  <c r="DZ28" i="3"/>
  <c r="ED28" i="3" s="1"/>
  <c r="EY28" i="3"/>
  <c r="FA28" i="3" s="1"/>
  <c r="HE38" i="3"/>
  <c r="GG38" i="3"/>
  <c r="HD38" i="3"/>
  <c r="GF38" i="3"/>
  <c r="GI38" i="3"/>
  <c r="GH38" i="3"/>
  <c r="BN40" i="3"/>
  <c r="AP40" i="3"/>
  <c r="AR40" i="3"/>
  <c r="AS40" i="3"/>
  <c r="BO40" i="3"/>
  <c r="AQ40" i="3"/>
  <c r="HZ40" i="3"/>
  <c r="AH40" i="3"/>
  <c r="CR40" i="3"/>
  <c r="BT40" i="3"/>
  <c r="BU40" i="3"/>
  <c r="CQ40" i="3"/>
  <c r="BV40" i="3"/>
  <c r="BS40" i="3"/>
  <c r="DP40" i="3"/>
  <c r="DC2" i="3"/>
  <c r="GI25" i="3"/>
  <c r="HE25" i="3"/>
  <c r="GG25" i="3"/>
  <c r="HD25" i="3"/>
  <c r="GH25" i="3"/>
  <c r="GF25" i="3"/>
  <c r="CR23" i="3"/>
  <c r="BT23" i="3"/>
  <c r="CQ23" i="3"/>
  <c r="BS23" i="3"/>
  <c r="BV23" i="3"/>
  <c r="BU23" i="3"/>
  <c r="FI8" i="3"/>
  <c r="BP14" i="3"/>
  <c r="BZ14" i="3"/>
  <c r="DC16" i="3"/>
  <c r="DV18" i="3"/>
  <c r="EZ18" i="3"/>
  <c r="FA18" i="3"/>
  <c r="EX30" i="3"/>
  <c r="EZ30" i="3" s="1"/>
  <c r="DZ30" i="3"/>
  <c r="ED30" i="3" s="1"/>
  <c r="EC30" i="3"/>
  <c r="EG30" i="3" s="1"/>
  <c r="EB30" i="3"/>
  <c r="EF30" i="3" s="1"/>
  <c r="EA30" i="3"/>
  <c r="EE30" i="3" s="1"/>
  <c r="EY30" i="3"/>
  <c r="FA30" i="3" s="1"/>
  <c r="CR27" i="3"/>
  <c r="BT27" i="3"/>
  <c r="BV27" i="3"/>
  <c r="BU27" i="3"/>
  <c r="BS27" i="3"/>
  <c r="CQ27" i="3"/>
  <c r="BO33" i="3"/>
  <c r="AQ33" i="3"/>
  <c r="AS33" i="3"/>
  <c r="AR33" i="3"/>
  <c r="AP33" i="3"/>
  <c r="BN33" i="3"/>
  <c r="CR39" i="3"/>
  <c r="CT38" i="3" s="1"/>
  <c r="BT39" i="3"/>
  <c r="BV39" i="3"/>
  <c r="BZ38" i="3" s="1"/>
  <c r="CQ39" i="3"/>
  <c r="CS38" i="3" s="1"/>
  <c r="BU39" i="3"/>
  <c r="BY38" i="3" s="1"/>
  <c r="BS39" i="3"/>
  <c r="DT41" i="3"/>
  <c r="CV41" i="3"/>
  <c r="CY41" i="3"/>
  <c r="CX41" i="3"/>
  <c r="CW41" i="3"/>
  <c r="DU41" i="3"/>
  <c r="EE6" i="3"/>
  <c r="EG6" i="3"/>
  <c r="FV32" i="3"/>
  <c r="BI32" i="3"/>
  <c r="AG32" i="3"/>
  <c r="HB32" i="3"/>
  <c r="EU32" i="3"/>
  <c r="AN32" i="3"/>
  <c r="CL32" i="3"/>
  <c r="EQ32" i="3"/>
  <c r="HC32" i="3"/>
  <c r="CI32" i="3"/>
  <c r="DS32" i="3"/>
  <c r="CJ32" i="3"/>
  <c r="EB32" i="3"/>
  <c r="EF32" i="3" s="1"/>
  <c r="EA32" i="3"/>
  <c r="EE32" i="3" s="1"/>
  <c r="EY32" i="3"/>
  <c r="FA32" i="3" s="1"/>
  <c r="DZ32" i="3"/>
  <c r="ED32" i="3" s="1"/>
  <c r="EX32" i="3"/>
  <c r="EZ32" i="3" s="1"/>
  <c r="EC32" i="3"/>
  <c r="EG32" i="3" s="1"/>
  <c r="GZ32" i="3"/>
  <c r="IE32" i="3"/>
  <c r="EW32" i="3"/>
  <c r="HA32" i="3"/>
  <c r="GI36" i="3"/>
  <c r="HD36" i="3"/>
  <c r="GH36" i="3"/>
  <c r="GF36" i="3"/>
  <c r="GG36" i="3"/>
  <c r="HE36" i="3"/>
  <c r="BX38" i="3"/>
  <c r="BW16" i="3"/>
  <c r="AT16" i="3"/>
  <c r="CX29" i="3"/>
  <c r="DU29" i="3"/>
  <c r="CY29" i="3"/>
  <c r="DT29" i="3"/>
  <c r="CW29" i="3"/>
  <c r="CV29" i="3"/>
  <c r="CR29" i="3"/>
  <c r="BT29" i="3"/>
  <c r="CQ29" i="3"/>
  <c r="BU29" i="3"/>
  <c r="BS29" i="3"/>
  <c r="BV29" i="3"/>
  <c r="IG8" i="3"/>
  <c r="HI8" i="3"/>
  <c r="HJ8" i="3"/>
  <c r="IH8" i="3"/>
  <c r="HL8" i="3"/>
  <c r="HK8" i="3"/>
  <c r="DU13" i="3"/>
  <c r="DW12" i="3" s="1"/>
  <c r="CW13" i="3"/>
  <c r="DA12" i="3" s="1"/>
  <c r="CY13" i="3"/>
  <c r="DC12" i="3" s="1"/>
  <c r="DT13" i="3"/>
  <c r="DV12" i="3" s="1"/>
  <c r="CX13" i="3"/>
  <c r="DB12" i="3" s="1"/>
  <c r="CV13" i="3"/>
  <c r="AS13" i="3"/>
  <c r="BO13" i="3"/>
  <c r="BQ12" i="3" s="1"/>
  <c r="AQ13" i="3"/>
  <c r="AU12" i="3" s="1"/>
  <c r="BN13" i="3"/>
  <c r="BP12" i="3" s="1"/>
  <c r="AR13" i="3"/>
  <c r="AP13" i="3"/>
  <c r="DV14" i="3"/>
  <c r="DW14" i="3"/>
  <c r="AU2" i="3"/>
  <c r="FG10" i="3"/>
  <c r="FE2" i="3"/>
  <c r="FI2" i="3" s="1"/>
  <c r="GA2" i="3"/>
  <c r="GC2" i="3" s="1"/>
  <c r="FC2" i="3"/>
  <c r="FG2" i="3" s="1"/>
  <c r="FF2" i="3"/>
  <c r="FJ2" i="3" s="1"/>
  <c r="GB2" i="3"/>
  <c r="GD2" i="3" s="1"/>
  <c r="FD2" i="3"/>
  <c r="FH2" i="3" s="1"/>
  <c r="AU10" i="3"/>
  <c r="BW10" i="3"/>
  <c r="AG26" i="3"/>
  <c r="FU26" i="3"/>
  <c r="EW26" i="3"/>
  <c r="DT26" i="3"/>
  <c r="CV26" i="3"/>
  <c r="CX26" i="3"/>
  <c r="CY26" i="3"/>
  <c r="DU26" i="3"/>
  <c r="CW26" i="3"/>
  <c r="HC26" i="3"/>
  <c r="AC26" i="3"/>
  <c r="DM26" i="3"/>
  <c r="IC26" i="3"/>
  <c r="BK26" i="3"/>
  <c r="FS26" i="3"/>
  <c r="R26" i="3"/>
  <c r="BF26" i="3"/>
  <c r="CP26" i="3"/>
  <c r="ET26" i="3"/>
  <c r="HB26" i="3"/>
  <c r="BH26" i="3"/>
  <c r="DL26" i="3"/>
  <c r="EV26" i="3"/>
  <c r="GZ26" i="3"/>
  <c r="HD34" i="3"/>
  <c r="GI34" i="3"/>
  <c r="GH34" i="3"/>
  <c r="GG34" i="3"/>
  <c r="HE34" i="3"/>
  <c r="GF34" i="3"/>
  <c r="GH15" i="3"/>
  <c r="HD15" i="3"/>
  <c r="GF15" i="3"/>
  <c r="GI15" i="3"/>
  <c r="GG15" i="3"/>
  <c r="HE15" i="3"/>
  <c r="DC10" i="3"/>
  <c r="DT21" i="3"/>
  <c r="DV20" i="3" s="1"/>
  <c r="CV21" i="3"/>
  <c r="CZ20" i="3" s="1"/>
  <c r="CX21" i="3"/>
  <c r="DB20" i="3" s="1"/>
  <c r="CY21" i="3"/>
  <c r="CW21" i="3"/>
  <c r="DA20" i="3" s="1"/>
  <c r="DU21" i="3"/>
  <c r="DW20" i="3" s="1"/>
  <c r="AR21" i="3"/>
  <c r="BN21" i="3"/>
  <c r="BP20" i="3" s="1"/>
  <c r="AP21" i="3"/>
  <c r="AT20" i="3" s="1"/>
  <c r="AQ21" i="3"/>
  <c r="BO21" i="3"/>
  <c r="AS21" i="3"/>
  <c r="AW20" i="3" s="1"/>
  <c r="BV21" i="3"/>
  <c r="BZ20" i="3" s="1"/>
  <c r="CR21" i="3"/>
  <c r="CT20" i="3" s="1"/>
  <c r="BT21" i="3"/>
  <c r="BX20" i="3" s="1"/>
  <c r="BU21" i="3"/>
  <c r="BY20" i="3" s="1"/>
  <c r="BS21" i="3"/>
  <c r="CQ21" i="3"/>
  <c r="CS20" i="3" s="1"/>
  <c r="FF24" i="3"/>
  <c r="FJ24" i="3" s="1"/>
  <c r="FC24" i="3"/>
  <c r="FG24" i="3" s="1"/>
  <c r="GB24" i="3"/>
  <c r="GD24" i="3" s="1"/>
  <c r="GA24" i="3"/>
  <c r="GC24" i="3" s="1"/>
  <c r="FE24" i="3"/>
  <c r="FI24" i="3" s="1"/>
  <c r="FD24" i="3"/>
  <c r="FH24" i="3" s="1"/>
  <c r="CR22" i="3"/>
  <c r="CT22" i="3" s="1"/>
  <c r="BT22" i="3"/>
  <c r="BX22" i="3" s="1"/>
  <c r="BV22" i="3"/>
  <c r="BU22" i="3"/>
  <c r="CQ22" i="3"/>
  <c r="BS22" i="3"/>
  <c r="IG10" i="3"/>
  <c r="HI10" i="3"/>
  <c r="HK10" i="3"/>
  <c r="HL10" i="3"/>
  <c r="IH10" i="3"/>
  <c r="HJ10" i="3"/>
  <c r="BV30" i="3"/>
  <c r="BZ30" i="3" s="1"/>
  <c r="BT30" i="3"/>
  <c r="BX30" i="3" s="1"/>
  <c r="BS30" i="3"/>
  <c r="BW30" i="3" s="1"/>
  <c r="CR30" i="3"/>
  <c r="CT30" i="3" s="1"/>
  <c r="CQ30" i="3"/>
  <c r="CS30" i="3" s="1"/>
  <c r="BU30" i="3"/>
  <c r="BY30" i="3" s="1"/>
  <c r="BV41" i="3"/>
  <c r="BU41" i="3"/>
  <c r="CR41" i="3"/>
  <c r="BT41" i="3"/>
  <c r="BS41" i="3"/>
  <c r="CQ41" i="3"/>
  <c r="DV24" i="3"/>
  <c r="BQ16" i="3"/>
  <c r="AR26" i="3"/>
  <c r="BN26" i="3"/>
  <c r="AP26" i="3"/>
  <c r="AS26" i="3"/>
  <c r="BO26" i="3"/>
  <c r="AQ26" i="3"/>
  <c r="FW26" i="3"/>
  <c r="CO26" i="3"/>
  <c r="ED20" i="3"/>
  <c r="BW20" i="3"/>
  <c r="DB4" i="3"/>
  <c r="BQ4" i="3"/>
  <c r="GH24" i="3"/>
  <c r="HD24" i="3"/>
  <c r="HF24" i="3" s="1"/>
  <c r="GI24" i="3"/>
  <c r="GG24" i="3"/>
  <c r="GF24" i="3"/>
  <c r="GJ24" i="3" s="1"/>
  <c r="HE24" i="3"/>
  <c r="HG24" i="3" s="1"/>
  <c r="EF12" i="3"/>
  <c r="FA12" i="3"/>
  <c r="AG22" i="3"/>
  <c r="DQ22" i="3"/>
  <c r="HY22" i="3"/>
  <c r="DL22" i="3"/>
  <c r="HC28" i="3"/>
  <c r="Q28" i="3"/>
  <c r="BN28" i="3"/>
  <c r="AP28" i="3"/>
  <c r="AS28" i="3"/>
  <c r="AR28" i="3"/>
  <c r="AQ28" i="3"/>
  <c r="BO28" i="3"/>
  <c r="DO28" i="3"/>
  <c r="GW28" i="3"/>
  <c r="BX34" i="3"/>
  <c r="CQ37" i="3"/>
  <c r="CS36" i="3" s="1"/>
  <c r="BS37" i="3"/>
  <c r="BW36" i="3" s="1"/>
  <c r="BT37" i="3"/>
  <c r="BX36" i="3" s="1"/>
  <c r="BV37" i="3"/>
  <c r="BZ36" i="3" s="1"/>
  <c r="BU37" i="3"/>
  <c r="BY36" i="3" s="1"/>
  <c r="CR37" i="3"/>
  <c r="CT36" i="3" s="1"/>
  <c r="AS37" i="3"/>
  <c r="AW36" i="3" s="1"/>
  <c r="AP37" i="3"/>
  <c r="BO37" i="3"/>
  <c r="BQ36" i="3" s="1"/>
  <c r="AR37" i="3"/>
  <c r="AV36" i="3" s="1"/>
  <c r="AQ37" i="3"/>
  <c r="AU36" i="3" s="1"/>
  <c r="BN37" i="3"/>
  <c r="BP36" i="3" s="1"/>
  <c r="AI40" i="3"/>
  <c r="AM40" i="3"/>
  <c r="EP40" i="3"/>
  <c r="FZ40" i="3"/>
  <c r="EC40" i="3"/>
  <c r="EG40" i="3" s="1"/>
  <c r="EB40" i="3"/>
  <c r="EF40" i="3" s="1"/>
  <c r="EX40" i="3"/>
  <c r="EZ40" i="3" s="1"/>
  <c r="DZ40" i="3"/>
  <c r="ED40" i="3" s="1"/>
  <c r="EY40" i="3"/>
  <c r="FA40" i="3" s="1"/>
  <c r="EA40" i="3"/>
  <c r="EE40" i="3" s="1"/>
  <c r="EW40" i="3"/>
  <c r="HA40" i="3"/>
  <c r="GI31" i="3"/>
  <c r="GH31" i="3"/>
  <c r="HE31" i="3"/>
  <c r="GG31" i="3"/>
  <c r="GF31" i="3"/>
  <c r="HD31" i="3"/>
  <c r="CZ2" i="3"/>
  <c r="DA2" i="3"/>
  <c r="BN23" i="3"/>
  <c r="AP23" i="3"/>
  <c r="AS23" i="3"/>
  <c r="AR23" i="3"/>
  <c r="AQ23" i="3"/>
  <c r="BO23" i="3"/>
  <c r="FJ8" i="3"/>
  <c r="AU14" i="3"/>
  <c r="DW8" i="3"/>
  <c r="AV8" i="3"/>
  <c r="AU8" i="3"/>
  <c r="DA18" i="3"/>
  <c r="FE18" i="3"/>
  <c r="FI18" i="3" s="1"/>
  <c r="GB18" i="3"/>
  <c r="GD18" i="3" s="1"/>
  <c r="FD18" i="3"/>
  <c r="FH18" i="3" s="1"/>
  <c r="GA18" i="3"/>
  <c r="GC18" i="3" s="1"/>
  <c r="FC18" i="3"/>
  <c r="FG18" i="3" s="1"/>
  <c r="FF18" i="3"/>
  <c r="FJ18" i="3" s="1"/>
  <c r="HE18" i="3"/>
  <c r="GG18" i="3"/>
  <c r="HD18" i="3"/>
  <c r="GF18" i="3"/>
  <c r="GI18" i="3"/>
  <c r="GH18" i="3"/>
  <c r="BN30" i="3"/>
  <c r="BP30" i="3" s="1"/>
  <c r="AP30" i="3"/>
  <c r="AT30" i="3" s="1"/>
  <c r="BO30" i="3"/>
  <c r="BQ30" i="3" s="1"/>
  <c r="AS30" i="3"/>
  <c r="AW30" i="3" s="1"/>
  <c r="AR30" i="3"/>
  <c r="AV30" i="3" s="1"/>
  <c r="AQ30" i="3"/>
  <c r="AU30" i="3" s="1"/>
  <c r="BQ34" i="3"/>
  <c r="CY33" i="3"/>
  <c r="DU33" i="3"/>
  <c r="CW33" i="3"/>
  <c r="DT33" i="3"/>
  <c r="CX33" i="3"/>
  <c r="CV33" i="3"/>
  <c r="HD35" i="3"/>
  <c r="GF35" i="3"/>
  <c r="GH35" i="3"/>
  <c r="GI35" i="3"/>
  <c r="GG35" i="3"/>
  <c r="HE35" i="3"/>
  <c r="CX39" i="3"/>
  <c r="DB38" i="3" s="1"/>
  <c r="DT39" i="3"/>
  <c r="DV38" i="3" s="1"/>
  <c r="CV39" i="3"/>
  <c r="CZ38" i="3" s="1"/>
  <c r="DU39" i="3"/>
  <c r="DW38" i="3" s="1"/>
  <c r="CY39" i="3"/>
  <c r="DC38" i="3" s="1"/>
  <c r="CW39" i="3"/>
  <c r="DA38" i="3" s="1"/>
  <c r="AR41" i="3"/>
  <c r="BO41" i="3"/>
  <c r="AQ41" i="3"/>
  <c r="BN41" i="3"/>
  <c r="AP41" i="3"/>
  <c r="AS41" i="3"/>
  <c r="AV12" i="3"/>
  <c r="ED6" i="3"/>
  <c r="FA6" i="3"/>
  <c r="CO32" i="3"/>
  <c r="AR32" i="3"/>
  <c r="AV32" i="3" s="1"/>
  <c r="BO32" i="3"/>
  <c r="BQ32" i="3" s="1"/>
  <c r="AQ32" i="3"/>
  <c r="AU32" i="3" s="1"/>
  <c r="BN32" i="3"/>
  <c r="AP32" i="3"/>
  <c r="AT32" i="3" s="1"/>
  <c r="AS32" i="3"/>
  <c r="IF32" i="3"/>
  <c r="R32" i="3"/>
  <c r="BF32" i="3"/>
  <c r="CP32" i="3"/>
  <c r="EV32" i="3"/>
  <c r="HZ32" i="3"/>
  <c r="AI32" i="3"/>
  <c r="CM32" i="3"/>
  <c r="ER32" i="3"/>
  <c r="IB32" i="3"/>
  <c r="AJ32" i="3"/>
  <c r="CN32" i="3"/>
  <c r="ET32" i="3"/>
  <c r="ID32" i="3"/>
  <c r="FU32" i="3"/>
  <c r="HY32" i="3"/>
  <c r="FE36" i="3"/>
  <c r="FI36" i="3" s="1"/>
  <c r="GA36" i="3"/>
  <c r="GC36" i="3" s="1"/>
  <c r="FC36" i="3"/>
  <c r="FG36" i="3" s="1"/>
  <c r="FF36" i="3"/>
  <c r="FJ36" i="3" s="1"/>
  <c r="GB36" i="3"/>
  <c r="GD36" i="3" s="1"/>
  <c r="FD36" i="3"/>
  <c r="FH36" i="3" s="1"/>
  <c r="DA24" i="3"/>
  <c r="CZ24" i="3"/>
  <c r="BX16" i="3"/>
  <c r="BP16" i="3"/>
  <c r="DB14" i="3"/>
  <c r="DC20" i="3"/>
  <c r="BQ20" i="3"/>
  <c r="AV2" i="3"/>
  <c r="BQ2" i="3"/>
  <c r="HK4" i="3"/>
  <c r="IG4" i="3"/>
  <c r="HI4" i="3"/>
  <c r="HL4" i="3"/>
  <c r="IH4" i="3"/>
  <c r="HJ4" i="3"/>
  <c r="GD10" i="3"/>
  <c r="GC10" i="3"/>
  <c r="HE2" i="3"/>
  <c r="GG2" i="3"/>
  <c r="GI2" i="3"/>
  <c r="HD2" i="3"/>
  <c r="GF2" i="3"/>
  <c r="GH2" i="3"/>
  <c r="GH3" i="3"/>
  <c r="HD3" i="3"/>
  <c r="GF3" i="3"/>
  <c r="GI3" i="3"/>
  <c r="GG3" i="3"/>
  <c r="HE3" i="3"/>
  <c r="AT10" i="3"/>
  <c r="BQ10" i="3"/>
  <c r="CT10" i="3"/>
  <c r="CS10" i="3"/>
  <c r="HY26" i="3"/>
  <c r="HA26" i="3"/>
  <c r="AI26" i="3"/>
  <c r="DS26" i="3"/>
  <c r="IA26" i="3"/>
  <c r="AM26" i="3"/>
  <c r="ES26" i="3"/>
  <c r="CI26" i="3"/>
  <c r="GY26" i="3"/>
  <c r="AD26" i="3"/>
  <c r="BJ26" i="3"/>
  <c r="DN26" i="3"/>
  <c r="FV26" i="3"/>
  <c r="HZ26" i="3"/>
  <c r="T26" i="3"/>
  <c r="BL26" i="3"/>
  <c r="DP26" i="3"/>
  <c r="FT26" i="3"/>
  <c r="IB26" i="3"/>
  <c r="GA34" i="3"/>
  <c r="GC34" i="3" s="1"/>
  <c r="FC34" i="3"/>
  <c r="FG34" i="3" s="1"/>
  <c r="FF34" i="3"/>
  <c r="FJ34" i="3" s="1"/>
  <c r="FE34" i="3"/>
  <c r="FI34" i="3" s="1"/>
  <c r="FD34" i="3"/>
  <c r="FH34" i="3" s="1"/>
  <c r="GB34" i="3"/>
  <c r="GD34" i="3" s="1"/>
  <c r="CZ10" i="3"/>
  <c r="DA10" i="3"/>
  <c r="FE14" i="3"/>
  <c r="FI14" i="3" s="1"/>
  <c r="GA14" i="3"/>
  <c r="GC14" i="3" s="1"/>
  <c r="FC14" i="3"/>
  <c r="FG14" i="3" s="1"/>
  <c r="FF14" i="3"/>
  <c r="FJ14" i="3" s="1"/>
  <c r="GB14" i="3"/>
  <c r="GD14" i="3" s="1"/>
  <c r="FD14" i="3"/>
  <c r="FH14" i="3" s="1"/>
  <c r="BO19" i="3"/>
  <c r="BQ18" i="3" s="1"/>
  <c r="AQ19" i="3"/>
  <c r="AU18" i="3" s="1"/>
  <c r="BN19" i="3"/>
  <c r="BP18" i="3" s="1"/>
  <c r="AP19" i="3"/>
  <c r="AT18" i="3" s="1"/>
  <c r="AS19" i="3"/>
  <c r="AW18" i="3" s="1"/>
  <c r="AR19" i="3"/>
  <c r="AV18" i="3" s="1"/>
  <c r="CQ9" i="3"/>
  <c r="CS8" i="3" s="1"/>
  <c r="BS9" i="3"/>
  <c r="BW8" i="3" s="1"/>
  <c r="BU9" i="3"/>
  <c r="BY8" i="3" s="1"/>
  <c r="BT9" i="3"/>
  <c r="CR9" i="3"/>
  <c r="CT8" i="3" s="1"/>
  <c r="BV9" i="3"/>
  <c r="BZ8" i="3" s="1"/>
  <c r="EG12" i="3"/>
  <c r="DU37" i="3"/>
  <c r="DW36" i="3" s="1"/>
  <c r="CW37" i="3"/>
  <c r="DA36" i="3" s="1"/>
  <c r="DT37" i="3"/>
  <c r="DV36" i="3" s="1"/>
  <c r="CX37" i="3"/>
  <c r="DB36" i="3" s="1"/>
  <c r="CV37" i="3"/>
  <c r="CZ36" i="3" s="1"/>
  <c r="CY37" i="3"/>
  <c r="DC36" i="3" s="1"/>
  <c r="EE18" i="3"/>
  <c r="CX27" i="3"/>
  <c r="DT27" i="3"/>
  <c r="CV27" i="3"/>
  <c r="CY27" i="3"/>
  <c r="CW27" i="3"/>
  <c r="DU27" i="3"/>
  <c r="BN27" i="3"/>
  <c r="AP27" i="3"/>
  <c r="AR27" i="3"/>
  <c r="AQ27" i="3"/>
  <c r="BO27" i="3"/>
  <c r="AS27" i="3"/>
  <c r="AT12" i="3"/>
  <c r="EZ6" i="3"/>
  <c r="CK32" i="3"/>
  <c r="CR32" i="3"/>
  <c r="BT32" i="3"/>
  <c r="CQ32" i="3"/>
  <c r="BS32" i="3"/>
  <c r="BV32" i="3"/>
  <c r="BU32" i="3"/>
  <c r="FX32" i="3"/>
  <c r="ES32" i="3"/>
  <c r="EE20" i="3"/>
  <c r="CZ4" i="3"/>
  <c r="HK16" i="3"/>
  <c r="IH16" i="3"/>
  <c r="HJ16" i="3"/>
  <c r="IG16" i="3"/>
  <c r="HI16" i="3"/>
  <c r="HL16" i="3"/>
  <c r="BU19" i="3"/>
  <c r="BY18" i="3" s="1"/>
  <c r="CR19" i="3"/>
  <c r="CT18" i="3" s="1"/>
  <c r="BT19" i="3"/>
  <c r="BX18" i="3" s="1"/>
  <c r="CQ19" i="3"/>
  <c r="CS18" i="3" s="1"/>
  <c r="BS19" i="3"/>
  <c r="BW18" i="3" s="1"/>
  <c r="BV19" i="3"/>
  <c r="BZ18" i="3" s="1"/>
  <c r="GA12" i="3"/>
  <c r="GC12" i="3" s="1"/>
  <c r="FC12" i="3"/>
  <c r="FG12" i="3" s="1"/>
  <c r="FE12" i="3"/>
  <c r="FI12" i="3" s="1"/>
  <c r="GB12" i="3"/>
  <c r="GD12" i="3" s="1"/>
  <c r="FD12" i="3"/>
  <c r="FH12" i="3" s="1"/>
  <c r="FF12" i="3"/>
  <c r="FJ12" i="3" s="1"/>
  <c r="GI12" i="3"/>
  <c r="HE12" i="3"/>
  <c r="GG12" i="3"/>
  <c r="GH12" i="3"/>
  <c r="HD12" i="3"/>
  <c r="GF12" i="3"/>
  <c r="AR22" i="3"/>
  <c r="BN22" i="3"/>
  <c r="AP22" i="3"/>
  <c r="BO22" i="3"/>
  <c r="AQ22" i="3"/>
  <c r="AS22" i="3"/>
  <c r="AW22" i="3" s="1"/>
  <c r="EW22" i="3"/>
  <c r="DT22" i="3"/>
  <c r="CV22" i="3"/>
  <c r="CX22" i="3"/>
  <c r="CY22" i="3"/>
  <c r="DU22" i="3"/>
  <c r="CW22" i="3"/>
  <c r="AD22" i="3"/>
  <c r="BL22" i="3"/>
  <c r="FT22" i="3"/>
  <c r="BG28" i="3"/>
  <c r="AF28" i="3"/>
  <c r="CJ28" i="3"/>
  <c r="ES28" i="3"/>
  <c r="BI28" i="3"/>
  <c r="DT28" i="3"/>
  <c r="CV28" i="3"/>
  <c r="CZ28" i="3" s="1"/>
  <c r="CW28" i="3"/>
  <c r="DU28" i="3"/>
  <c r="DW28" i="3" s="1"/>
  <c r="CY28" i="3"/>
  <c r="CX28" i="3"/>
  <c r="DB28" i="3" s="1"/>
  <c r="CR28" i="3"/>
  <c r="CT28" i="3" s="1"/>
  <c r="CQ28" i="3"/>
  <c r="BV28" i="3"/>
  <c r="BU28" i="3"/>
  <c r="BY28" i="3" s="1"/>
  <c r="BT28" i="3"/>
  <c r="BX28" i="3" s="1"/>
  <c r="BS28" i="3"/>
  <c r="BW28" i="3" s="1"/>
  <c r="HB28" i="3"/>
  <c r="DL28" i="3"/>
  <c r="GZ28" i="3"/>
  <c r="AT36" i="3"/>
  <c r="EE38" i="3"/>
  <c r="CO40" i="3"/>
  <c r="AJ40" i="3"/>
  <c r="DU40" i="3"/>
  <c r="DT40" i="3"/>
  <c r="CV40" i="3"/>
  <c r="CZ40" i="3" s="1"/>
  <c r="CX40" i="3"/>
  <c r="DB40" i="3" s="1"/>
  <c r="CW40" i="3"/>
  <c r="CY40" i="3"/>
  <c r="GX40" i="3"/>
  <c r="CN40" i="3"/>
  <c r="DV2" i="3"/>
  <c r="DW2" i="3"/>
  <c r="CQ5" i="3"/>
  <c r="CS4" i="3" s="1"/>
  <c r="BS5" i="3"/>
  <c r="BW4" i="3" s="1"/>
  <c r="BU5" i="3"/>
  <c r="BY4" i="3" s="1"/>
  <c r="BT5" i="3"/>
  <c r="BX4" i="3" s="1"/>
  <c r="CR5" i="3"/>
  <c r="CT4" i="3" s="1"/>
  <c r="BV5" i="3"/>
  <c r="BZ4" i="3" s="1"/>
  <c r="BX8" i="3"/>
  <c r="CX23" i="3"/>
  <c r="DU23" i="3"/>
  <c r="CW23" i="3"/>
  <c r="DT23" i="3"/>
  <c r="CV23" i="3"/>
  <c r="CY23" i="3"/>
  <c r="FH8" i="3"/>
  <c r="FG8" i="3"/>
  <c r="BO7" i="3"/>
  <c r="BQ6" i="3" s="1"/>
  <c r="AQ7" i="3"/>
  <c r="AU6" i="3" s="1"/>
  <c r="BN7" i="3"/>
  <c r="BP6" i="3" s="1"/>
  <c r="AP7" i="3"/>
  <c r="AT6" i="3" s="1"/>
  <c r="AS7" i="3"/>
  <c r="AW6" i="3" s="1"/>
  <c r="AR7" i="3"/>
  <c r="AV6" i="3" s="1"/>
  <c r="CY7" i="3"/>
  <c r="DC6" i="3" s="1"/>
  <c r="CX7" i="3"/>
  <c r="DB6" i="3" s="1"/>
  <c r="DU7" i="3"/>
  <c r="DW6" i="3" s="1"/>
  <c r="CW7" i="3"/>
  <c r="DA6" i="3" s="1"/>
  <c r="DT7" i="3"/>
  <c r="CV7" i="3"/>
  <c r="CZ6" i="3" s="1"/>
  <c r="AV14" i="3"/>
  <c r="BQ14" i="3"/>
  <c r="CS14" i="3"/>
  <c r="CZ8" i="3"/>
  <c r="DB8" i="3"/>
  <c r="BQ8" i="3"/>
  <c r="DV6" i="3"/>
  <c r="DW16" i="3"/>
  <c r="DW18" i="3"/>
  <c r="ED18" i="3"/>
  <c r="EF18" i="3"/>
  <c r="CX30" i="3"/>
  <c r="DB30" i="3" s="1"/>
  <c r="DT30" i="3"/>
  <c r="DV30" i="3" s="1"/>
  <c r="CY30" i="3"/>
  <c r="DC30" i="3" s="1"/>
  <c r="DU30" i="3"/>
  <c r="DW30" i="3" s="1"/>
  <c r="CW30" i="3"/>
  <c r="DA30" i="3" s="1"/>
  <c r="CV30" i="3"/>
  <c r="CZ30" i="3" s="1"/>
  <c r="AT34" i="3"/>
  <c r="BU33" i="3"/>
  <c r="CQ33" i="3"/>
  <c r="BS33" i="3"/>
  <c r="BV33" i="3"/>
  <c r="BT33" i="3"/>
  <c r="CR33" i="3"/>
  <c r="BN39" i="3"/>
  <c r="BP38" i="3" s="1"/>
  <c r="AP39" i="3"/>
  <c r="AT38" i="3" s="1"/>
  <c r="AR39" i="3"/>
  <c r="AV38" i="3" s="1"/>
  <c r="AS39" i="3"/>
  <c r="AW38" i="3" s="1"/>
  <c r="AQ39" i="3"/>
  <c r="AU38" i="3" s="1"/>
  <c r="BO39" i="3"/>
  <c r="BQ38" i="3" s="1"/>
  <c r="AW12" i="3"/>
  <c r="FE6" i="3"/>
  <c r="FI6" i="3" s="1"/>
  <c r="GB6" i="3"/>
  <c r="GD6" i="3" s="1"/>
  <c r="FD6" i="3"/>
  <c r="FH6" i="3" s="1"/>
  <c r="GA6" i="3"/>
  <c r="GC6" i="3" s="1"/>
  <c r="FC6" i="3"/>
  <c r="FG6" i="3" s="1"/>
  <c r="FF6" i="3"/>
  <c r="FJ6" i="3" s="1"/>
  <c r="HE6" i="3"/>
  <c r="GG6" i="3"/>
  <c r="HD6" i="3"/>
  <c r="GF6" i="3"/>
  <c r="GI6" i="3"/>
  <c r="GH6" i="3"/>
  <c r="AC32" i="3"/>
  <c r="GV32" i="3"/>
  <c r="BM32" i="3"/>
  <c r="Q32" i="3"/>
  <c r="AD32" i="3"/>
  <c r="BJ32" i="3"/>
  <c r="DN32" i="3"/>
  <c r="FW32" i="3"/>
  <c r="BG32" i="3"/>
  <c r="DT32" i="3"/>
  <c r="CV32" i="3"/>
  <c r="CZ32" i="3" s="1"/>
  <c r="CY32" i="3"/>
  <c r="CX32" i="3"/>
  <c r="DB32" i="3" s="1"/>
  <c r="DU32" i="3"/>
  <c r="DW32" i="3" s="1"/>
  <c r="CW32" i="3"/>
  <c r="FS32" i="3"/>
  <c r="BH32" i="3"/>
  <c r="DL32" i="3"/>
  <c r="FT32" i="3"/>
  <c r="FY32" i="3"/>
  <c r="IC32" i="3"/>
  <c r="BW38" i="3"/>
  <c r="GH11" i="3"/>
  <c r="GL10" i="3" s="1"/>
  <c r="HD11" i="3"/>
  <c r="HF10" i="3" s="1"/>
  <c r="GF11" i="3"/>
  <c r="GJ10" i="3" s="1"/>
  <c r="HE11" i="3"/>
  <c r="HG10" i="3" s="1"/>
  <c r="GI11" i="3"/>
  <c r="GM10" i="3" s="1"/>
  <c r="GG11" i="3"/>
  <c r="GK10" i="3" s="1"/>
  <c r="DC24" i="3"/>
  <c r="DB24" i="3"/>
  <c r="AV16" i="3"/>
  <c r="AU16" i="3"/>
  <c r="BN29" i="3"/>
  <c r="AP29" i="3"/>
  <c r="AQ29" i="3"/>
  <c r="AS29" i="3"/>
  <c r="AR29" i="3"/>
  <c r="BO29" i="3"/>
  <c r="CQ13" i="3"/>
  <c r="CS12" i="3" s="1"/>
  <c r="BS13" i="3"/>
  <c r="BW12" i="3" s="1"/>
  <c r="BU13" i="3"/>
  <c r="BY12" i="3" s="1"/>
  <c r="CR13" i="3"/>
  <c r="CT12" i="3" s="1"/>
  <c r="BV13" i="3"/>
  <c r="BZ12" i="3" s="1"/>
  <c r="BT13" i="3"/>
  <c r="BX12" i="3" s="1"/>
  <c r="DC14" i="3"/>
  <c r="AU20" i="3"/>
  <c r="AV20" i="3"/>
  <c r="AT2" i="3"/>
  <c r="AW2" i="3"/>
  <c r="FH10" i="3"/>
  <c r="FI10" i="3"/>
  <c r="CZ12" i="3"/>
  <c r="BP10" i="3"/>
  <c r="AW10" i="3"/>
  <c r="BX10" i="3"/>
  <c r="BY10" i="3"/>
  <c r="CK26" i="3"/>
  <c r="BG26" i="3"/>
  <c r="EQ26" i="3"/>
  <c r="BI26" i="3"/>
  <c r="FY26" i="3"/>
  <c r="S26" i="3"/>
  <c r="DO26" i="3"/>
  <c r="IE26" i="3"/>
  <c r="AH26" i="3"/>
  <c r="CR26" i="3"/>
  <c r="BT26" i="3"/>
  <c r="BV26" i="3"/>
  <c r="BZ26" i="3" s="1"/>
  <c r="CQ26" i="3"/>
  <c r="CS26" i="3" s="1"/>
  <c r="BS26" i="3"/>
  <c r="BU26" i="3"/>
  <c r="BY26" i="3" s="1"/>
  <c r="DR26" i="3"/>
  <c r="FZ26" i="3"/>
  <c r="ID26" i="3"/>
  <c r="AF26" i="3"/>
  <c r="CJ26" i="3"/>
  <c r="EB26" i="3"/>
  <c r="EF26" i="3" s="1"/>
  <c r="EX26" i="3"/>
  <c r="EZ26" i="3" s="1"/>
  <c r="DZ26" i="3"/>
  <c r="ED26" i="3" s="1"/>
  <c r="EC26" i="3"/>
  <c r="EG26" i="3" s="1"/>
  <c r="EY26" i="3"/>
  <c r="FA26" i="3" s="1"/>
  <c r="EA26" i="3"/>
  <c r="EE26" i="3" s="1"/>
  <c r="FX26" i="3"/>
  <c r="IF26" i="3"/>
  <c r="DV10" i="3"/>
  <c r="DW10" i="3"/>
  <c r="HD17" i="3"/>
  <c r="HF16" i="3" s="1"/>
  <c r="GF17" i="3"/>
  <c r="GJ16" i="3" s="1"/>
  <c r="GI17" i="3"/>
  <c r="GM16" i="3" s="1"/>
  <c r="GH17" i="3"/>
  <c r="GL16" i="3" s="1"/>
  <c r="GG17" i="3"/>
  <c r="GK16" i="3" s="1"/>
  <c r="HE17" i="3"/>
  <c r="HG16" i="3" s="1"/>
  <c r="HM38" i="2"/>
  <c r="U41" i="2"/>
  <c r="Y41" i="2"/>
  <c r="O41" i="2"/>
  <c r="V41" i="2"/>
  <c r="Z41" i="2"/>
  <c r="P41" i="2"/>
  <c r="X41" i="2"/>
  <c r="AB41" i="2"/>
  <c r="N41" i="2"/>
  <c r="W41" i="2"/>
  <c r="AA41" i="2"/>
  <c r="M41" i="2"/>
  <c r="U40" i="2"/>
  <c r="Y40" i="2"/>
  <c r="O40" i="2"/>
  <c r="V40" i="2"/>
  <c r="Z40" i="2"/>
  <c r="P40" i="2"/>
  <c r="X40" i="2"/>
  <c r="AB40" i="2"/>
  <c r="N40" i="2"/>
  <c r="W40" i="2"/>
  <c r="AA40" i="2"/>
  <c r="M40" i="2"/>
  <c r="AA28" i="2"/>
  <c r="X28" i="2"/>
  <c r="M28" i="2"/>
  <c r="U28" i="2"/>
  <c r="Y28" i="2"/>
  <c r="N28" i="2"/>
  <c r="W28" i="2"/>
  <c r="AB28" i="2"/>
  <c r="P28" i="2"/>
  <c r="V28" i="2"/>
  <c r="Z28" i="2"/>
  <c r="O28" i="2"/>
  <c r="U29" i="2"/>
  <c r="Y29" i="2"/>
  <c r="M29" i="2"/>
  <c r="V29" i="2"/>
  <c r="Z29" i="2"/>
  <c r="N29" i="2"/>
  <c r="X29" i="2"/>
  <c r="AB29" i="2"/>
  <c r="P29" i="2"/>
  <c r="W29" i="2"/>
  <c r="AA29" i="2"/>
  <c r="O29" i="2"/>
  <c r="X26" i="2"/>
  <c r="AB26" i="2"/>
  <c r="M26" i="2"/>
  <c r="U26" i="2"/>
  <c r="Y26" i="2"/>
  <c r="N26" i="2"/>
  <c r="V26" i="2"/>
  <c r="Z26" i="2"/>
  <c r="O26" i="2"/>
  <c r="W26" i="2"/>
  <c r="AA26" i="2"/>
  <c r="P26" i="2"/>
  <c r="X27" i="2"/>
  <c r="AB27" i="2"/>
  <c r="M27" i="2"/>
  <c r="U27" i="2"/>
  <c r="Y27" i="2"/>
  <c r="N27" i="2"/>
  <c r="V27" i="2"/>
  <c r="Z27" i="2"/>
  <c r="O27" i="2"/>
  <c r="W27" i="2"/>
  <c r="AA27" i="2"/>
  <c r="P27" i="2"/>
  <c r="X24" i="2"/>
  <c r="AB24" i="2"/>
  <c r="M24" i="2"/>
  <c r="W24" i="2"/>
  <c r="AA24" i="2"/>
  <c r="P24" i="2"/>
  <c r="U24" i="2"/>
  <c r="Y24" i="2"/>
  <c r="N24" i="2"/>
  <c r="V24" i="2"/>
  <c r="Z24" i="2"/>
  <c r="O24" i="2"/>
  <c r="X25" i="2"/>
  <c r="AB25" i="2"/>
  <c r="M25" i="2"/>
  <c r="W25" i="2"/>
  <c r="AA25" i="2"/>
  <c r="P25" i="2"/>
  <c r="U25" i="2"/>
  <c r="Y25" i="2"/>
  <c r="N25" i="2"/>
  <c r="V25" i="2"/>
  <c r="Z25" i="2"/>
  <c r="O25" i="2"/>
  <c r="X22" i="2"/>
  <c r="AB22" i="2"/>
  <c r="M22" i="2"/>
  <c r="U22" i="2"/>
  <c r="Y22" i="2"/>
  <c r="N22" i="2"/>
  <c r="V22" i="2"/>
  <c r="Z22" i="2"/>
  <c r="O22" i="2"/>
  <c r="W22" i="2"/>
  <c r="AA22" i="2"/>
  <c r="P22" i="2"/>
  <c r="X23" i="2"/>
  <c r="AB23" i="2"/>
  <c r="M23" i="2"/>
  <c r="U23" i="2"/>
  <c r="Y23" i="2"/>
  <c r="N23" i="2"/>
  <c r="V23" i="2"/>
  <c r="Z23" i="2"/>
  <c r="O23" i="2"/>
  <c r="W23" i="2"/>
  <c r="AA23" i="2"/>
  <c r="P23" i="2"/>
  <c r="X20" i="2"/>
  <c r="AB20" i="2"/>
  <c r="M20" i="2"/>
  <c r="U20" i="2"/>
  <c r="Y20" i="2"/>
  <c r="N20" i="2"/>
  <c r="V20" i="2"/>
  <c r="Z20" i="2"/>
  <c r="O20" i="2"/>
  <c r="W20" i="2"/>
  <c r="AA20" i="2"/>
  <c r="P20" i="2"/>
  <c r="X21" i="2"/>
  <c r="AB21" i="2"/>
  <c r="M21" i="2"/>
  <c r="U21" i="2"/>
  <c r="Y21" i="2"/>
  <c r="N21" i="2"/>
  <c r="V21" i="2"/>
  <c r="Z21" i="2"/>
  <c r="O21" i="2"/>
  <c r="W21" i="2"/>
  <c r="AA21" i="2"/>
  <c r="P21" i="2"/>
  <c r="U19" i="2"/>
  <c r="Y19" i="2"/>
  <c r="N19" i="2"/>
  <c r="V19" i="2"/>
  <c r="Z19" i="2"/>
  <c r="O19" i="2"/>
  <c r="W19" i="2"/>
  <c r="AA19" i="2"/>
  <c r="P19" i="2"/>
  <c r="X19" i="2"/>
  <c r="AB19" i="2"/>
  <c r="M19" i="2"/>
  <c r="X16" i="2"/>
  <c r="AB16" i="2"/>
  <c r="M16" i="2"/>
  <c r="U16" i="2"/>
  <c r="Y16" i="2"/>
  <c r="N16" i="2"/>
  <c r="W16" i="2"/>
  <c r="AA16" i="2"/>
  <c r="P16" i="2"/>
  <c r="V16" i="2"/>
  <c r="Z16" i="2"/>
  <c r="O16" i="2"/>
  <c r="X17" i="2"/>
  <c r="AB17" i="2"/>
  <c r="M17" i="2"/>
  <c r="U17" i="2"/>
  <c r="Y17" i="2"/>
  <c r="N17" i="2"/>
  <c r="W17" i="2"/>
  <c r="AA17" i="2"/>
  <c r="P17" i="2"/>
  <c r="V17" i="2"/>
  <c r="Z17" i="2"/>
  <c r="O17" i="2"/>
  <c r="X14" i="2"/>
  <c r="AB14" i="2"/>
  <c r="M14" i="2"/>
  <c r="U14" i="2"/>
  <c r="Y14" i="2"/>
  <c r="N14" i="2"/>
  <c r="V14" i="2"/>
  <c r="Z14" i="2"/>
  <c r="O14" i="2"/>
  <c r="W14" i="2"/>
  <c r="AA14" i="2"/>
  <c r="P14" i="2"/>
  <c r="X15" i="2"/>
  <c r="AB15" i="2"/>
  <c r="M15" i="2"/>
  <c r="U15" i="2"/>
  <c r="Y15" i="2"/>
  <c r="N15" i="2"/>
  <c r="V15" i="2"/>
  <c r="Z15" i="2"/>
  <c r="O15" i="2"/>
  <c r="W15" i="2"/>
  <c r="AA15" i="2"/>
  <c r="P15" i="2"/>
  <c r="X12" i="2"/>
  <c r="AB12" i="2"/>
  <c r="M12" i="2"/>
  <c r="W12" i="2"/>
  <c r="AA12" i="2"/>
  <c r="P12" i="2"/>
  <c r="U12" i="2"/>
  <c r="Y12" i="2"/>
  <c r="N12" i="2"/>
  <c r="V12" i="2"/>
  <c r="Z12" i="2"/>
  <c r="O12" i="2"/>
  <c r="X13" i="2"/>
  <c r="AB13" i="2"/>
  <c r="M13" i="2"/>
  <c r="W13" i="2"/>
  <c r="AA13" i="2"/>
  <c r="P13" i="2"/>
  <c r="U13" i="2"/>
  <c r="Y13" i="2"/>
  <c r="N13" i="2"/>
  <c r="V13" i="2"/>
  <c r="Z13" i="2"/>
  <c r="O13" i="2"/>
  <c r="X10" i="2"/>
  <c r="AB10" i="2"/>
  <c r="M10" i="2"/>
  <c r="W10" i="2"/>
  <c r="AA10" i="2"/>
  <c r="P10" i="2"/>
  <c r="U10" i="2"/>
  <c r="Y10" i="2"/>
  <c r="N10" i="2"/>
  <c r="V10" i="2"/>
  <c r="Z10" i="2"/>
  <c r="O10" i="2"/>
  <c r="X11" i="2"/>
  <c r="AB11" i="2"/>
  <c r="M11" i="2"/>
  <c r="W11" i="2"/>
  <c r="AA11" i="2"/>
  <c r="P11" i="2"/>
  <c r="U11" i="2"/>
  <c r="Y11" i="2"/>
  <c r="N11" i="2"/>
  <c r="V11" i="2"/>
  <c r="Z11" i="2"/>
  <c r="O11" i="2"/>
  <c r="X9" i="2"/>
  <c r="AB9" i="2"/>
  <c r="M9" i="2"/>
  <c r="U9" i="2"/>
  <c r="Y9" i="2"/>
  <c r="N9" i="2"/>
  <c r="V9" i="2"/>
  <c r="Z9" i="2"/>
  <c r="O9" i="2"/>
  <c r="W9" i="2"/>
  <c r="AA9" i="2"/>
  <c r="P9" i="2"/>
  <c r="I9" i="2"/>
  <c r="I8" i="2"/>
  <c r="L8" i="2"/>
  <c r="I7" i="2"/>
  <c r="L7" i="2"/>
  <c r="I4" i="2"/>
  <c r="L4" i="2"/>
  <c r="X5" i="2"/>
  <c r="AB5" i="2"/>
  <c r="M5" i="2"/>
  <c r="W5" i="2"/>
  <c r="P5" i="2"/>
  <c r="U5" i="2"/>
  <c r="Y5" i="2"/>
  <c r="N5" i="2"/>
  <c r="V5" i="2"/>
  <c r="Z5" i="2"/>
  <c r="O5" i="2"/>
  <c r="AA5" i="2"/>
  <c r="I5" i="2"/>
  <c r="C679" i="1"/>
  <c r="C680" i="1"/>
  <c r="C681" i="1"/>
  <c r="C682" i="1"/>
  <c r="C683" i="1"/>
  <c r="C684" i="1"/>
  <c r="C685" i="1"/>
  <c r="C686" i="1"/>
  <c r="C687" i="1"/>
  <c r="C688" i="1"/>
  <c r="C689" i="1"/>
  <c r="C690" i="1"/>
  <c r="C691" i="1"/>
  <c r="C692" i="1"/>
  <c r="C678" i="1"/>
  <c r="IG3" i="2" l="1"/>
  <c r="II2" i="2" s="1"/>
  <c r="HI3" i="2"/>
  <c r="HM2" i="2" s="1"/>
  <c r="HL3" i="2"/>
  <c r="HP2" i="2" s="1"/>
  <c r="IH3" i="2"/>
  <c r="IJ2" i="2" s="1"/>
  <c r="HJ3" i="2"/>
  <c r="HN2" i="2" s="1"/>
  <c r="HK3" i="2"/>
  <c r="HO2" i="2" s="1"/>
  <c r="KU12" i="4"/>
  <c r="KY12" i="4" s="1"/>
  <c r="KS12" i="4"/>
  <c r="KW12" i="4" s="1"/>
  <c r="KR12" i="4"/>
  <c r="KV12" i="4" s="1"/>
  <c r="KT12" i="4"/>
  <c r="KX12" i="4" s="1"/>
  <c r="LP12" i="4"/>
  <c r="LR12" i="4" s="1"/>
  <c r="LQ12" i="4"/>
  <c r="LS12" i="4" s="1"/>
  <c r="GK2" i="4"/>
  <c r="GJ2" i="4"/>
  <c r="BZ34" i="4"/>
  <c r="DV38" i="4"/>
  <c r="DB38" i="4"/>
  <c r="DW30" i="4"/>
  <c r="DB30" i="4"/>
  <c r="HL21" i="4"/>
  <c r="IH21" i="4"/>
  <c r="HJ21" i="4"/>
  <c r="HI21" i="4"/>
  <c r="IG21" i="4"/>
  <c r="HK21" i="4"/>
  <c r="HK7" i="4"/>
  <c r="IH7" i="4"/>
  <c r="HJ7" i="4"/>
  <c r="IG7" i="4"/>
  <c r="HI7" i="4"/>
  <c r="HL7" i="4"/>
  <c r="HD6" i="4"/>
  <c r="HF6" i="4" s="1"/>
  <c r="GF6" i="4"/>
  <c r="GJ6" i="4" s="1"/>
  <c r="GI6" i="4"/>
  <c r="GM6" i="4" s="1"/>
  <c r="GH6" i="4"/>
  <c r="GL6" i="4" s="1"/>
  <c r="GG6" i="4"/>
  <c r="GK6" i="4" s="1"/>
  <c r="HE6" i="4"/>
  <c r="HG6" i="4" s="1"/>
  <c r="DU18" i="4"/>
  <c r="DW18" i="4" s="1"/>
  <c r="CW18" i="4"/>
  <c r="DA18" i="4" s="1"/>
  <c r="DT18" i="4"/>
  <c r="DV18" i="4" s="1"/>
  <c r="CV18" i="4"/>
  <c r="CZ18" i="4" s="1"/>
  <c r="CY18" i="4"/>
  <c r="DC18" i="4" s="1"/>
  <c r="GE18" i="4"/>
  <c r="CX18" i="4"/>
  <c r="DB18" i="4" s="1"/>
  <c r="HK17" i="4"/>
  <c r="IH17" i="4"/>
  <c r="HJ17" i="4"/>
  <c r="IG17" i="4"/>
  <c r="HI17" i="4"/>
  <c r="HL17" i="4"/>
  <c r="HL2" i="4"/>
  <c r="HP2" i="4" s="1"/>
  <c r="HK2" i="4"/>
  <c r="IH2" i="4"/>
  <c r="HJ2" i="4"/>
  <c r="HN2" i="4" s="1"/>
  <c r="HI2" i="4"/>
  <c r="IG2" i="4"/>
  <c r="CY33" i="4"/>
  <c r="DC32" i="4" s="1"/>
  <c r="DU33" i="4"/>
  <c r="DW32" i="4" s="1"/>
  <c r="CX33" i="4"/>
  <c r="DT33" i="4"/>
  <c r="DV32" i="4" s="1"/>
  <c r="CW33" i="4"/>
  <c r="DA32" i="4" s="1"/>
  <c r="CV33" i="4"/>
  <c r="CZ32" i="4" s="1"/>
  <c r="HK3" i="4"/>
  <c r="IH3" i="4"/>
  <c r="HJ3" i="4"/>
  <c r="IG3" i="4"/>
  <c r="HI3" i="4"/>
  <c r="HL3" i="4"/>
  <c r="IH8" i="4"/>
  <c r="IJ8" i="4" s="1"/>
  <c r="HJ8" i="4"/>
  <c r="HN8" i="4" s="1"/>
  <c r="IG8" i="4"/>
  <c r="II8" i="4" s="1"/>
  <c r="HI8" i="4"/>
  <c r="HM8" i="4" s="1"/>
  <c r="HL8" i="4"/>
  <c r="HP8" i="4" s="1"/>
  <c r="HK8" i="4"/>
  <c r="HO8" i="4" s="1"/>
  <c r="DA38" i="4"/>
  <c r="HD38" i="4"/>
  <c r="HF38" i="4" s="1"/>
  <c r="GF38" i="4"/>
  <c r="GJ38" i="4" s="1"/>
  <c r="GI38" i="4"/>
  <c r="GM38" i="4" s="1"/>
  <c r="GH38" i="4"/>
  <c r="GL38" i="4" s="1"/>
  <c r="HE38" i="4"/>
  <c r="HG38" i="4" s="1"/>
  <c r="GG38" i="4"/>
  <c r="GK38" i="4" s="1"/>
  <c r="GE34" i="4"/>
  <c r="CX34" i="4"/>
  <c r="DU34" i="4"/>
  <c r="DT34" i="4"/>
  <c r="CY34" i="4"/>
  <c r="CW34" i="4"/>
  <c r="CV34" i="4"/>
  <c r="BW34" i="4"/>
  <c r="DA30" i="4"/>
  <c r="HE30" i="4"/>
  <c r="HG30" i="4" s="1"/>
  <c r="GF30" i="4"/>
  <c r="GJ30" i="4" s="1"/>
  <c r="HD30" i="4"/>
  <c r="HF30" i="4" s="1"/>
  <c r="GI30" i="4"/>
  <c r="GM30" i="4" s="1"/>
  <c r="GH30" i="4"/>
  <c r="GL30" i="4" s="1"/>
  <c r="GG30" i="4"/>
  <c r="GK30" i="4" s="1"/>
  <c r="IG33" i="4"/>
  <c r="HK33" i="4"/>
  <c r="HJ33" i="4"/>
  <c r="IH33" i="4"/>
  <c r="HI33" i="4"/>
  <c r="HL33" i="4"/>
  <c r="IH4" i="4"/>
  <c r="IJ4" i="4" s="1"/>
  <c r="HJ4" i="4"/>
  <c r="HN4" i="4" s="1"/>
  <c r="IG4" i="4"/>
  <c r="II4" i="4" s="1"/>
  <c r="HI4" i="4"/>
  <c r="HM4" i="4" s="1"/>
  <c r="HL4" i="4"/>
  <c r="HP4" i="4" s="1"/>
  <c r="HK4" i="4"/>
  <c r="HO4" i="4" s="1"/>
  <c r="CY17" i="4"/>
  <c r="CX17" i="4"/>
  <c r="DB16" i="4" s="1"/>
  <c r="DU17" i="4"/>
  <c r="DW16" i="4" s="1"/>
  <c r="CW17" i="4"/>
  <c r="DA16" i="4" s="1"/>
  <c r="CV17" i="4"/>
  <c r="CZ16" i="4" s="1"/>
  <c r="DT17" i="4"/>
  <c r="DV16" i="4" s="1"/>
  <c r="CY7" i="4"/>
  <c r="DC6" i="4" s="1"/>
  <c r="CX7" i="4"/>
  <c r="DU7" i="4"/>
  <c r="CW7" i="4"/>
  <c r="DA6" i="4" s="1"/>
  <c r="DT7" i="4"/>
  <c r="DV6" i="4" s="1"/>
  <c r="CV7" i="4"/>
  <c r="DU15" i="4"/>
  <c r="DW14" i="4" s="1"/>
  <c r="CW15" i="4"/>
  <c r="DA14" i="4" s="1"/>
  <c r="CY15" i="4"/>
  <c r="DC14" i="4" s="1"/>
  <c r="CX15" i="4"/>
  <c r="DB14" i="4" s="1"/>
  <c r="CV15" i="4"/>
  <c r="CZ14" i="4" s="1"/>
  <c r="DT15" i="4"/>
  <c r="DV14" i="4" s="1"/>
  <c r="GE22" i="4"/>
  <c r="CX22" i="4"/>
  <c r="DB22" i="4" s="1"/>
  <c r="DT22" i="4"/>
  <c r="DV22" i="4" s="1"/>
  <c r="CV22" i="4"/>
  <c r="CZ22" i="4" s="1"/>
  <c r="CY22" i="4"/>
  <c r="DC22" i="4" s="1"/>
  <c r="CW22" i="4"/>
  <c r="DA22" i="4" s="1"/>
  <c r="DU22" i="4"/>
  <c r="DW22" i="4" s="1"/>
  <c r="DT21" i="4"/>
  <c r="DV20" i="4" s="1"/>
  <c r="CV21" i="4"/>
  <c r="CZ20" i="4" s="1"/>
  <c r="CX21" i="4"/>
  <c r="DB20" i="4" s="1"/>
  <c r="DU21" i="4"/>
  <c r="DW20" i="4" s="1"/>
  <c r="CY21" i="4"/>
  <c r="DC20" i="4" s="1"/>
  <c r="CW21" i="4"/>
  <c r="DT24" i="4"/>
  <c r="DV24" i="4" s="1"/>
  <c r="CV24" i="4"/>
  <c r="CZ24" i="4" s="1"/>
  <c r="CY24" i="4"/>
  <c r="DC24" i="4" s="1"/>
  <c r="CX24" i="4"/>
  <c r="DB24" i="4" s="1"/>
  <c r="CW24" i="4"/>
  <c r="DA24" i="4" s="1"/>
  <c r="GE24" i="4"/>
  <c r="DU24" i="4"/>
  <c r="DW24" i="4" s="1"/>
  <c r="DA20" i="4"/>
  <c r="GI20" i="4"/>
  <c r="GM20" i="4" s="1"/>
  <c r="GG20" i="4"/>
  <c r="GK20" i="4" s="1"/>
  <c r="GF20" i="4"/>
  <c r="GJ20" i="4" s="1"/>
  <c r="HE20" i="4"/>
  <c r="HG20" i="4" s="1"/>
  <c r="HD20" i="4"/>
  <c r="HF20" i="4" s="1"/>
  <c r="GH20" i="4"/>
  <c r="GL20" i="4" s="1"/>
  <c r="DW38" i="4"/>
  <c r="HD32" i="4"/>
  <c r="HF32" i="4" s="1"/>
  <c r="GF32" i="4"/>
  <c r="GJ32" i="4" s="1"/>
  <c r="GH32" i="4"/>
  <c r="GL32" i="4" s="1"/>
  <c r="GG32" i="4"/>
  <c r="GK32" i="4" s="1"/>
  <c r="HE32" i="4"/>
  <c r="HG32" i="4" s="1"/>
  <c r="GI32" i="4"/>
  <c r="GM32" i="4" s="1"/>
  <c r="HD16" i="4"/>
  <c r="HF16" i="4" s="1"/>
  <c r="GF16" i="4"/>
  <c r="GJ16" i="4" s="1"/>
  <c r="GI16" i="4"/>
  <c r="GM16" i="4" s="1"/>
  <c r="GH16" i="4"/>
  <c r="GL16" i="4" s="1"/>
  <c r="HE16" i="4"/>
  <c r="HG16" i="4" s="1"/>
  <c r="GG16" i="4"/>
  <c r="GK16" i="4" s="1"/>
  <c r="HK11" i="4"/>
  <c r="IH11" i="4"/>
  <c r="HJ11" i="4"/>
  <c r="IG11" i="4"/>
  <c r="HI11" i="4"/>
  <c r="HL11" i="4"/>
  <c r="IG15" i="4"/>
  <c r="HI15" i="4"/>
  <c r="HL15" i="4"/>
  <c r="HK15" i="4"/>
  <c r="HJ15" i="4"/>
  <c r="IH15" i="4"/>
  <c r="BX34" i="4"/>
  <c r="DC30" i="4"/>
  <c r="DW6" i="4"/>
  <c r="DT28" i="4"/>
  <c r="DV28" i="4" s="1"/>
  <c r="CV28" i="4"/>
  <c r="CZ28" i="4" s="1"/>
  <c r="CY28" i="4"/>
  <c r="DC28" i="4" s="1"/>
  <c r="CX28" i="4"/>
  <c r="DB28" i="4" s="1"/>
  <c r="DU28" i="4"/>
  <c r="DW28" i="4" s="1"/>
  <c r="CW28" i="4"/>
  <c r="DA28" i="4" s="1"/>
  <c r="GE28" i="4"/>
  <c r="CY11" i="4"/>
  <c r="DC10" i="4" s="1"/>
  <c r="CX11" i="4"/>
  <c r="DB10" i="4" s="1"/>
  <c r="DU11" i="4"/>
  <c r="DW10" i="4" s="1"/>
  <c r="CW11" i="4"/>
  <c r="DA10" i="4" s="1"/>
  <c r="DT11" i="4"/>
  <c r="DV10" i="4" s="1"/>
  <c r="CV11" i="4"/>
  <c r="CZ10" i="4" s="1"/>
  <c r="CX35" i="4"/>
  <c r="DU35" i="4"/>
  <c r="CY35" i="4"/>
  <c r="DT35" i="4"/>
  <c r="CW35" i="4"/>
  <c r="CV35" i="4"/>
  <c r="GE36" i="4"/>
  <c r="DU36" i="4"/>
  <c r="DW36" i="4" s="1"/>
  <c r="CW36" i="4"/>
  <c r="DA36" i="4" s="1"/>
  <c r="CV36" i="4"/>
  <c r="CZ36" i="4" s="1"/>
  <c r="DT36" i="4"/>
  <c r="DV36" i="4" s="1"/>
  <c r="CY36" i="4"/>
  <c r="DC36" i="4" s="1"/>
  <c r="CX36" i="4"/>
  <c r="DB36" i="4" s="1"/>
  <c r="GI26" i="4"/>
  <c r="GM26" i="4" s="1"/>
  <c r="GH26" i="4"/>
  <c r="GL26" i="4" s="1"/>
  <c r="HE26" i="4"/>
  <c r="HG26" i="4" s="1"/>
  <c r="GG26" i="4"/>
  <c r="GK26" i="4" s="1"/>
  <c r="HD26" i="4"/>
  <c r="HF26" i="4" s="1"/>
  <c r="GF26" i="4"/>
  <c r="GJ26" i="4" s="1"/>
  <c r="HK39" i="4"/>
  <c r="IH39" i="4"/>
  <c r="HL39" i="4"/>
  <c r="HI39" i="4"/>
  <c r="IG39" i="4"/>
  <c r="HJ39" i="4"/>
  <c r="HL40" i="4"/>
  <c r="HP40" i="4" s="1"/>
  <c r="HJ40" i="4"/>
  <c r="HN40" i="4" s="1"/>
  <c r="IG40" i="4"/>
  <c r="II40" i="4" s="1"/>
  <c r="HK40" i="4"/>
  <c r="HO40" i="4" s="1"/>
  <c r="HI40" i="4"/>
  <c r="HM40" i="4" s="1"/>
  <c r="IH40" i="4"/>
  <c r="IJ40" i="4" s="1"/>
  <c r="CY3" i="4"/>
  <c r="DC2" i="4" s="1"/>
  <c r="CX3" i="4"/>
  <c r="DB2" i="4" s="1"/>
  <c r="DU3" i="4"/>
  <c r="DW2" i="4" s="1"/>
  <c r="CW3" i="4"/>
  <c r="DA2" i="4" s="1"/>
  <c r="DT3" i="4"/>
  <c r="DV2" i="4" s="1"/>
  <c r="CV3" i="4"/>
  <c r="CZ2" i="4" s="1"/>
  <c r="IH12" i="4"/>
  <c r="IJ12" i="4" s="1"/>
  <c r="HJ12" i="4"/>
  <c r="HN12" i="4" s="1"/>
  <c r="IG12" i="4"/>
  <c r="II12" i="4" s="1"/>
  <c r="HL12" i="4"/>
  <c r="HP12" i="4" s="1"/>
  <c r="HK12" i="4"/>
  <c r="HO12" i="4" s="1"/>
  <c r="HI12" i="4"/>
  <c r="HM12" i="4" s="1"/>
  <c r="DC38" i="4"/>
  <c r="CZ38" i="4"/>
  <c r="DB32" i="4"/>
  <c r="IH27" i="4"/>
  <c r="HJ27" i="4"/>
  <c r="IG27" i="4"/>
  <c r="HI27" i="4"/>
  <c r="HL27" i="4"/>
  <c r="HK27" i="4"/>
  <c r="DC16" i="4"/>
  <c r="CZ30" i="4"/>
  <c r="DV30" i="4"/>
  <c r="IH35" i="4"/>
  <c r="HJ35" i="4"/>
  <c r="IG35" i="4"/>
  <c r="HK35" i="4"/>
  <c r="HI35" i="4"/>
  <c r="HL35" i="4"/>
  <c r="CZ6" i="4"/>
  <c r="DB6" i="4"/>
  <c r="CX27" i="4"/>
  <c r="DB26" i="4" s="1"/>
  <c r="DU27" i="4"/>
  <c r="DW26" i="4" s="1"/>
  <c r="CW27" i="4"/>
  <c r="DA26" i="4" s="1"/>
  <c r="CY27" i="4"/>
  <c r="DC26" i="4" s="1"/>
  <c r="CV27" i="4"/>
  <c r="CZ26" i="4" s="1"/>
  <c r="DT27" i="4"/>
  <c r="DV26" i="4" s="1"/>
  <c r="HD10" i="4"/>
  <c r="HF10" i="4" s="1"/>
  <c r="GF10" i="4"/>
  <c r="GJ10" i="4" s="1"/>
  <c r="GI10" i="4"/>
  <c r="GM10" i="4" s="1"/>
  <c r="GH10" i="4"/>
  <c r="GL10" i="4" s="1"/>
  <c r="GG10" i="4"/>
  <c r="GK10" i="4" s="1"/>
  <c r="HE10" i="4"/>
  <c r="HG10" i="4" s="1"/>
  <c r="HD14" i="4"/>
  <c r="HF14" i="4" s="1"/>
  <c r="GF14" i="4"/>
  <c r="GJ14" i="4" s="1"/>
  <c r="HE14" i="4"/>
  <c r="HG14" i="4" s="1"/>
  <c r="GI14" i="4"/>
  <c r="GM14" i="4" s="1"/>
  <c r="GH14" i="4"/>
  <c r="GL14" i="4" s="1"/>
  <c r="GG14" i="4"/>
  <c r="GK14" i="4" s="1"/>
  <c r="HL30" i="2"/>
  <c r="HP30" i="2" s="1"/>
  <c r="HK30" i="2"/>
  <c r="HO30" i="2" s="1"/>
  <c r="HJ30" i="2"/>
  <c r="HN30" i="2" s="1"/>
  <c r="HI30" i="2"/>
  <c r="HM30" i="2" s="1"/>
  <c r="IH30" i="2"/>
  <c r="IJ30" i="2" s="1"/>
  <c r="IG30" i="2"/>
  <c r="II30" i="2" s="1"/>
  <c r="IH26" i="2"/>
  <c r="IJ26" i="2" s="1"/>
  <c r="IG26" i="2"/>
  <c r="II26" i="2" s="1"/>
  <c r="HL26" i="2"/>
  <c r="HP26" i="2" s="1"/>
  <c r="HI26" i="2"/>
  <c r="HM26" i="2" s="1"/>
  <c r="HK26" i="2"/>
  <c r="HO26" i="2" s="1"/>
  <c r="HJ26" i="2"/>
  <c r="HN26" i="2" s="1"/>
  <c r="HK34" i="2"/>
  <c r="HO34" i="2" s="1"/>
  <c r="HL34" i="2"/>
  <c r="HP34" i="2" s="1"/>
  <c r="HJ34" i="2"/>
  <c r="HN34" i="2" s="1"/>
  <c r="HI34" i="2"/>
  <c r="HM34" i="2" s="1"/>
  <c r="IG34" i="2"/>
  <c r="II34" i="2" s="1"/>
  <c r="IH34" i="2"/>
  <c r="IJ34" i="2" s="1"/>
  <c r="HK6" i="2"/>
  <c r="HO6" i="2" s="1"/>
  <c r="IH6" i="2"/>
  <c r="IJ6" i="2" s="1"/>
  <c r="HJ6" i="2"/>
  <c r="HN6" i="2" s="1"/>
  <c r="HI6" i="2"/>
  <c r="HM6" i="2" s="1"/>
  <c r="HL6" i="2"/>
  <c r="HP6" i="2" s="1"/>
  <c r="IG6" i="2"/>
  <c r="II6" i="2" s="1"/>
  <c r="HI14" i="2"/>
  <c r="HM14" i="2" s="1"/>
  <c r="HL14" i="2"/>
  <c r="HP14" i="2" s="1"/>
  <c r="IG14" i="2"/>
  <c r="II14" i="2" s="1"/>
  <c r="HK14" i="2"/>
  <c r="HO14" i="2" s="1"/>
  <c r="HJ14" i="2"/>
  <c r="HN14" i="2" s="1"/>
  <c r="IH14" i="2"/>
  <c r="IJ14" i="2" s="1"/>
  <c r="HL10" i="2"/>
  <c r="HP10" i="2" s="1"/>
  <c r="IG10" i="2"/>
  <c r="II10" i="2" s="1"/>
  <c r="HI10" i="2"/>
  <c r="HM10" i="2" s="1"/>
  <c r="HJ10" i="2"/>
  <c r="HN10" i="2" s="1"/>
  <c r="HK10" i="2"/>
  <c r="HO10" i="2" s="1"/>
  <c r="IH10" i="2"/>
  <c r="IJ10" i="2" s="1"/>
  <c r="HL22" i="2"/>
  <c r="HP22" i="2" s="1"/>
  <c r="HJ22" i="2"/>
  <c r="HN22" i="2" s="1"/>
  <c r="IH22" i="2"/>
  <c r="IJ22" i="2" s="1"/>
  <c r="HI22" i="2"/>
  <c r="HM22" i="2" s="1"/>
  <c r="IG22" i="2"/>
  <c r="II22" i="2" s="1"/>
  <c r="HK22" i="2"/>
  <c r="HO22" i="2" s="1"/>
  <c r="IH18" i="2"/>
  <c r="IJ18" i="2" s="1"/>
  <c r="HI18" i="2"/>
  <c r="HM18" i="2" s="1"/>
  <c r="IG18" i="2"/>
  <c r="II18" i="2" s="1"/>
  <c r="HK18" i="2"/>
  <c r="HO18" i="2" s="1"/>
  <c r="HL18" i="2"/>
  <c r="HP18" i="2" s="1"/>
  <c r="HJ18" i="2"/>
  <c r="HN18" i="2" s="1"/>
  <c r="DC40" i="3"/>
  <c r="DC32" i="3"/>
  <c r="DW40" i="3"/>
  <c r="DV28" i="3"/>
  <c r="DW26" i="3"/>
  <c r="DV26" i="3"/>
  <c r="DC22" i="3"/>
  <c r="BZ28" i="3"/>
  <c r="CS22" i="3"/>
  <c r="BY22" i="3"/>
  <c r="AV22" i="3"/>
  <c r="CS28" i="3"/>
  <c r="BP22" i="3"/>
  <c r="GL34" i="3"/>
  <c r="CT26" i="3"/>
  <c r="DV32" i="3"/>
  <c r="DA22" i="3"/>
  <c r="AU22" i="3"/>
  <c r="DA40" i="3"/>
  <c r="DA28" i="3"/>
  <c r="DW22" i="3"/>
  <c r="CS32" i="3"/>
  <c r="BP32" i="3"/>
  <c r="AU28" i="3"/>
  <c r="BP28" i="3"/>
  <c r="GK24" i="3"/>
  <c r="AT26" i="3"/>
  <c r="BW22" i="3"/>
  <c r="BZ40" i="3"/>
  <c r="CT40" i="3"/>
  <c r="BP40" i="3"/>
  <c r="HF14" i="3"/>
  <c r="HG2" i="3"/>
  <c r="HF2" i="3"/>
  <c r="GM2" i="3"/>
  <c r="GJ2" i="3"/>
  <c r="CZ22" i="3"/>
  <c r="GI41" i="3"/>
  <c r="GH41" i="3"/>
  <c r="HE41" i="3"/>
  <c r="GG41" i="3"/>
  <c r="GF41" i="3"/>
  <c r="HD41" i="3"/>
  <c r="HK36" i="3"/>
  <c r="HI36" i="3"/>
  <c r="IG36" i="3"/>
  <c r="HL36" i="3"/>
  <c r="IH36" i="3"/>
  <c r="HJ36" i="3"/>
  <c r="BQ40" i="3"/>
  <c r="HD13" i="3"/>
  <c r="GF13" i="3"/>
  <c r="GJ12" i="3" s="1"/>
  <c r="GH13" i="3"/>
  <c r="GL12" i="3" s="1"/>
  <c r="GG13" i="3"/>
  <c r="HE13" i="3"/>
  <c r="GI13" i="3"/>
  <c r="GM12" i="3" s="1"/>
  <c r="DV22" i="3"/>
  <c r="BQ22" i="3"/>
  <c r="GK12" i="3"/>
  <c r="BY32" i="3"/>
  <c r="BX32" i="3"/>
  <c r="HL3" i="3"/>
  <c r="IH3" i="3"/>
  <c r="HJ3" i="3"/>
  <c r="IG3" i="3"/>
  <c r="HK3" i="3"/>
  <c r="HI3" i="3"/>
  <c r="AV28" i="3"/>
  <c r="GL24" i="3"/>
  <c r="AU26" i="3"/>
  <c r="BP26" i="3"/>
  <c r="GJ34" i="3"/>
  <c r="HK34" i="3"/>
  <c r="HI34" i="3"/>
  <c r="IH34" i="3"/>
  <c r="IG34" i="3"/>
  <c r="HL34" i="3"/>
  <c r="HJ34" i="3"/>
  <c r="DC26" i="3"/>
  <c r="FF30" i="3"/>
  <c r="FJ30" i="3" s="1"/>
  <c r="FE30" i="3"/>
  <c r="FI30" i="3" s="1"/>
  <c r="GB30" i="3"/>
  <c r="GD30" i="3" s="1"/>
  <c r="FD30" i="3"/>
  <c r="FH30" i="3" s="1"/>
  <c r="FC30" i="3"/>
  <c r="FG30" i="3" s="1"/>
  <c r="GA30" i="3"/>
  <c r="GC30" i="3" s="1"/>
  <c r="HE23" i="3"/>
  <c r="GG23" i="3"/>
  <c r="HD23" i="3"/>
  <c r="GF23" i="3"/>
  <c r="GI23" i="3"/>
  <c r="GH23" i="3"/>
  <c r="CS40" i="3"/>
  <c r="AW40" i="3"/>
  <c r="IG38" i="3"/>
  <c r="HI38" i="3"/>
  <c r="HL38" i="3"/>
  <c r="HK38" i="3"/>
  <c r="HJ38" i="3"/>
  <c r="IH38" i="3"/>
  <c r="GJ14" i="3"/>
  <c r="GK14" i="3"/>
  <c r="GB22" i="3"/>
  <c r="GD22" i="3" s="1"/>
  <c r="FD22" i="3"/>
  <c r="FH22" i="3" s="1"/>
  <c r="FF22" i="3"/>
  <c r="FJ22" i="3" s="1"/>
  <c r="FE22" i="3"/>
  <c r="FI22" i="3" s="1"/>
  <c r="GA22" i="3"/>
  <c r="GC22" i="3" s="1"/>
  <c r="FC22" i="3"/>
  <c r="FG22" i="3" s="1"/>
  <c r="GH33" i="3"/>
  <c r="HD33" i="3"/>
  <c r="GF33" i="3"/>
  <c r="HE33" i="3"/>
  <c r="GI33" i="3"/>
  <c r="GG33" i="3"/>
  <c r="HK12" i="3"/>
  <c r="IG12" i="3"/>
  <c r="HI12" i="3"/>
  <c r="HL12" i="3"/>
  <c r="IH12" i="3"/>
  <c r="HJ12" i="3"/>
  <c r="IG31" i="3"/>
  <c r="HI31" i="3"/>
  <c r="HL31" i="3"/>
  <c r="HK31" i="3"/>
  <c r="HJ31" i="3"/>
  <c r="IH31" i="3"/>
  <c r="HL15" i="3"/>
  <c r="IH15" i="3"/>
  <c r="HJ15" i="3"/>
  <c r="IG15" i="3"/>
  <c r="HK15" i="3"/>
  <c r="HI15" i="3"/>
  <c r="GH7" i="3"/>
  <c r="GL6" i="3" s="1"/>
  <c r="HE7" i="3"/>
  <c r="HG6" i="3" s="1"/>
  <c r="GG7" i="3"/>
  <c r="GK6" i="3" s="1"/>
  <c r="HD7" i="3"/>
  <c r="HF6" i="3" s="1"/>
  <c r="GF7" i="3"/>
  <c r="GJ6" i="3" s="1"/>
  <c r="GI7" i="3"/>
  <c r="GM6" i="3" s="1"/>
  <c r="AT22" i="3"/>
  <c r="HF12" i="3"/>
  <c r="HG12" i="3"/>
  <c r="BZ32" i="3"/>
  <c r="CT32" i="3"/>
  <c r="GL2" i="3"/>
  <c r="AW32" i="3"/>
  <c r="IH35" i="3"/>
  <c r="HJ35" i="3"/>
  <c r="HL35" i="3"/>
  <c r="IG35" i="3"/>
  <c r="HK35" i="3"/>
  <c r="HI35" i="3"/>
  <c r="IG18" i="3"/>
  <c r="HI18" i="3"/>
  <c r="HL18" i="3"/>
  <c r="HK18" i="3"/>
  <c r="IH18" i="3"/>
  <c r="HJ18" i="3"/>
  <c r="FE40" i="3"/>
  <c r="FI40" i="3" s="1"/>
  <c r="GB40" i="3"/>
  <c r="GD40" i="3" s="1"/>
  <c r="FD40" i="3"/>
  <c r="FH40" i="3" s="1"/>
  <c r="FF40" i="3"/>
  <c r="FJ40" i="3" s="1"/>
  <c r="GA40" i="3"/>
  <c r="GC40" i="3" s="1"/>
  <c r="FC40" i="3"/>
  <c r="FG40" i="3" s="1"/>
  <c r="AW28" i="3"/>
  <c r="IH24" i="3"/>
  <c r="HJ24" i="3"/>
  <c r="HI24" i="3"/>
  <c r="IG24" i="3"/>
  <c r="HL24" i="3"/>
  <c r="HK24" i="3"/>
  <c r="BQ26" i="3"/>
  <c r="AV26" i="3"/>
  <c r="HG34" i="3"/>
  <c r="GM34" i="3"/>
  <c r="DB26" i="3"/>
  <c r="FE32" i="3"/>
  <c r="FI32" i="3" s="1"/>
  <c r="GB32" i="3"/>
  <c r="GD32" i="3" s="1"/>
  <c r="GA32" i="3"/>
  <c r="GC32" i="3" s="1"/>
  <c r="FF32" i="3"/>
  <c r="FJ32" i="3" s="1"/>
  <c r="FD32" i="3"/>
  <c r="FH32" i="3" s="1"/>
  <c r="FC32" i="3"/>
  <c r="FG32" i="3" s="1"/>
  <c r="HE39" i="3"/>
  <c r="GG39" i="3"/>
  <c r="GK38" i="3" s="1"/>
  <c r="GI39" i="3"/>
  <c r="GM38" i="3" s="1"/>
  <c r="GF39" i="3"/>
  <c r="GJ38" i="3" s="1"/>
  <c r="HD39" i="3"/>
  <c r="HF38" i="3" s="1"/>
  <c r="GH39" i="3"/>
  <c r="GL38" i="3" s="1"/>
  <c r="IG25" i="3"/>
  <c r="HI25" i="3"/>
  <c r="HK25" i="3"/>
  <c r="IH25" i="3"/>
  <c r="HL25" i="3"/>
  <c r="HJ25" i="3"/>
  <c r="BY40" i="3"/>
  <c r="AV40" i="3"/>
  <c r="IH20" i="3"/>
  <c r="HJ20" i="3"/>
  <c r="HL20" i="3"/>
  <c r="HK20" i="3"/>
  <c r="IG20" i="3"/>
  <c r="HI20" i="3"/>
  <c r="GL14" i="3"/>
  <c r="HG14" i="3"/>
  <c r="HD22" i="3"/>
  <c r="GF22" i="3"/>
  <c r="GH22" i="3"/>
  <c r="GI22" i="3"/>
  <c r="GM22" i="3" s="1"/>
  <c r="GG22" i="3"/>
  <c r="HE22" i="3"/>
  <c r="IH17" i="3"/>
  <c r="IJ16" i="3" s="1"/>
  <c r="HJ17" i="3"/>
  <c r="HN16" i="3" s="1"/>
  <c r="IG17" i="3"/>
  <c r="II16" i="3" s="1"/>
  <c r="HI17" i="3"/>
  <c r="HM16" i="3" s="1"/>
  <c r="HL17" i="3"/>
  <c r="HP16" i="3" s="1"/>
  <c r="HK17" i="3"/>
  <c r="HO16" i="3" s="1"/>
  <c r="HL11" i="3"/>
  <c r="HP10" i="3" s="1"/>
  <c r="IH11" i="3"/>
  <c r="IJ10" i="3" s="1"/>
  <c r="HJ11" i="3"/>
  <c r="HN10" i="3" s="1"/>
  <c r="HI11" i="3"/>
  <c r="HM10" i="3" s="1"/>
  <c r="IG11" i="3"/>
  <c r="II10" i="3" s="1"/>
  <c r="HK11" i="3"/>
  <c r="HO10" i="3" s="1"/>
  <c r="GI21" i="3"/>
  <c r="GM20" i="3" s="1"/>
  <c r="HE21" i="3"/>
  <c r="HG20" i="3" s="1"/>
  <c r="GG21" i="3"/>
  <c r="GK20" i="3" s="1"/>
  <c r="HD21" i="3"/>
  <c r="HF20" i="3" s="1"/>
  <c r="GH21" i="3"/>
  <c r="GL20" i="3" s="1"/>
  <c r="GF21" i="3"/>
  <c r="GJ20" i="3" s="1"/>
  <c r="HE29" i="3"/>
  <c r="GG29" i="3"/>
  <c r="GF29" i="3"/>
  <c r="GI29" i="3"/>
  <c r="HD29" i="3"/>
  <c r="GH29" i="3"/>
  <c r="GM14" i="3"/>
  <c r="BX26" i="3"/>
  <c r="HD26" i="3"/>
  <c r="GF26" i="3"/>
  <c r="GH26" i="3"/>
  <c r="GI26" i="3"/>
  <c r="HE26" i="3"/>
  <c r="GG26" i="3"/>
  <c r="GB26" i="3"/>
  <c r="GD26" i="3" s="1"/>
  <c r="FD26" i="3"/>
  <c r="FH26" i="3" s="1"/>
  <c r="FF26" i="3"/>
  <c r="FJ26" i="3" s="1"/>
  <c r="GA26" i="3"/>
  <c r="GC26" i="3" s="1"/>
  <c r="FC26" i="3"/>
  <c r="FG26" i="3" s="1"/>
  <c r="FE26" i="3"/>
  <c r="FI26" i="3" s="1"/>
  <c r="BW26" i="3"/>
  <c r="DA32" i="3"/>
  <c r="IG6" i="3"/>
  <c r="HI6" i="3"/>
  <c r="HL6" i="3"/>
  <c r="HK6" i="3"/>
  <c r="HJ6" i="3"/>
  <c r="IH6" i="3"/>
  <c r="HD5" i="3"/>
  <c r="HF4" i="3" s="1"/>
  <c r="GF5" i="3"/>
  <c r="GJ4" i="3" s="1"/>
  <c r="GI5" i="3"/>
  <c r="GM4" i="3" s="1"/>
  <c r="GH5" i="3"/>
  <c r="GL4" i="3" s="1"/>
  <c r="GG5" i="3"/>
  <c r="GK4" i="3" s="1"/>
  <c r="HE5" i="3"/>
  <c r="HG4" i="3" s="1"/>
  <c r="DV40" i="3"/>
  <c r="DC28" i="3"/>
  <c r="DB22" i="3"/>
  <c r="GH19" i="3"/>
  <c r="GL18" i="3" s="1"/>
  <c r="HE19" i="3"/>
  <c r="HG18" i="3" s="1"/>
  <c r="GG19" i="3"/>
  <c r="HD19" i="3"/>
  <c r="HF18" i="3" s="1"/>
  <c r="GF19" i="3"/>
  <c r="GJ18" i="3" s="1"/>
  <c r="GI19" i="3"/>
  <c r="GM18" i="3" s="1"/>
  <c r="BW32" i="3"/>
  <c r="HD9" i="3"/>
  <c r="HF8" i="3" s="1"/>
  <c r="GF9" i="3"/>
  <c r="GJ8" i="3" s="1"/>
  <c r="GH9" i="3"/>
  <c r="GL8" i="3" s="1"/>
  <c r="HE9" i="3"/>
  <c r="HG8" i="3" s="1"/>
  <c r="GI9" i="3"/>
  <c r="GM8" i="3" s="1"/>
  <c r="GG9" i="3"/>
  <c r="GK8" i="3" s="1"/>
  <c r="IG2" i="3"/>
  <c r="HI2" i="3"/>
  <c r="HK2" i="3"/>
  <c r="IH2" i="3"/>
  <c r="HJ2" i="3"/>
  <c r="HL2" i="3"/>
  <c r="GK2" i="3"/>
  <c r="GK18" i="3"/>
  <c r="HE40" i="3"/>
  <c r="HG40" i="3" s="1"/>
  <c r="GG40" i="3"/>
  <c r="HD40" i="3"/>
  <c r="GF40" i="3"/>
  <c r="GH40" i="3"/>
  <c r="GI40" i="3"/>
  <c r="HD37" i="3"/>
  <c r="HF36" i="3" s="1"/>
  <c r="GF37" i="3"/>
  <c r="GJ36" i="3" s="1"/>
  <c r="HE37" i="3"/>
  <c r="GI37" i="3"/>
  <c r="GM36" i="3" s="1"/>
  <c r="GH37" i="3"/>
  <c r="GL36" i="3" s="1"/>
  <c r="GG37" i="3"/>
  <c r="GK36" i="3" s="1"/>
  <c r="BQ28" i="3"/>
  <c r="AT28" i="3"/>
  <c r="GM24" i="3"/>
  <c r="AW26" i="3"/>
  <c r="BZ22" i="3"/>
  <c r="GK34" i="3"/>
  <c r="HF34" i="3"/>
  <c r="DA26" i="3"/>
  <c r="CZ26" i="3"/>
  <c r="HG36" i="3"/>
  <c r="HE32" i="3"/>
  <c r="GG32" i="3"/>
  <c r="GK32" i="3" s="1"/>
  <c r="GH32" i="3"/>
  <c r="GL32" i="3" s="1"/>
  <c r="HD32" i="3"/>
  <c r="GF32" i="3"/>
  <c r="GI32" i="3"/>
  <c r="GM32" i="3" s="1"/>
  <c r="HE27" i="3"/>
  <c r="GG27" i="3"/>
  <c r="GI27" i="3"/>
  <c r="HD27" i="3"/>
  <c r="GH27" i="3"/>
  <c r="GF27" i="3"/>
  <c r="GH30" i="3"/>
  <c r="GL30" i="3" s="1"/>
  <c r="HE30" i="3"/>
  <c r="HG30" i="3" s="1"/>
  <c r="GG30" i="3"/>
  <c r="GK30" i="3" s="1"/>
  <c r="HD30" i="3"/>
  <c r="HF30" i="3" s="1"/>
  <c r="GF30" i="3"/>
  <c r="GJ30" i="3" s="1"/>
  <c r="GI30" i="3"/>
  <c r="GM30" i="3" s="1"/>
  <c r="BW40" i="3"/>
  <c r="BX40" i="3"/>
  <c r="AU40" i="3"/>
  <c r="AT40" i="3"/>
  <c r="HG38" i="3"/>
  <c r="HD28" i="3"/>
  <c r="GF28" i="3"/>
  <c r="HE28" i="3"/>
  <c r="HG28" i="3" s="1"/>
  <c r="GI28" i="3"/>
  <c r="GH28" i="3"/>
  <c r="GG28" i="3"/>
  <c r="GB28" i="3"/>
  <c r="GD28" i="3" s="1"/>
  <c r="FD28" i="3"/>
  <c r="FH28" i="3" s="1"/>
  <c r="FC28" i="3"/>
  <c r="FG28" i="3" s="1"/>
  <c r="GA28" i="3"/>
  <c r="GC28" i="3" s="1"/>
  <c r="FF28" i="3"/>
  <c r="FJ28" i="3" s="1"/>
  <c r="FE28" i="3"/>
  <c r="FI28" i="3" s="1"/>
  <c r="IG14" i="3"/>
  <c r="HI14" i="3"/>
  <c r="HK14" i="3"/>
  <c r="IH14" i="3"/>
  <c r="IJ14" i="3" s="1"/>
  <c r="HJ14" i="3"/>
  <c r="HN14" i="3" s="1"/>
  <c r="HL14" i="3"/>
  <c r="X8" i="2"/>
  <c r="AB8" i="2"/>
  <c r="M8" i="2"/>
  <c r="U8" i="2"/>
  <c r="Y8" i="2"/>
  <c r="N8" i="2"/>
  <c r="V8" i="2"/>
  <c r="Z8" i="2"/>
  <c r="O8" i="2"/>
  <c r="W8" i="2"/>
  <c r="AA8" i="2"/>
  <c r="P8" i="2"/>
  <c r="U7" i="2"/>
  <c r="Y7" i="2"/>
  <c r="N7" i="2"/>
  <c r="V7" i="2"/>
  <c r="Z7" i="2"/>
  <c r="O7" i="2"/>
  <c r="M7" i="2"/>
  <c r="W7" i="2"/>
  <c r="AA7" i="2"/>
  <c r="P7" i="2"/>
  <c r="X7" i="2"/>
  <c r="AB7" i="2"/>
  <c r="X4" i="2"/>
  <c r="AB4" i="2"/>
  <c r="M4" i="2"/>
  <c r="U4" i="2"/>
  <c r="Y4" i="2"/>
  <c r="N4" i="2"/>
  <c r="AA4" i="2"/>
  <c r="V4" i="2"/>
  <c r="Z4" i="2"/>
  <c r="O4" i="2"/>
  <c r="W4" i="2"/>
  <c r="P4" i="2"/>
  <c r="H297" i="1"/>
  <c r="I297" i="1" s="1"/>
  <c r="H676" i="1"/>
  <c r="I676" i="1" s="1"/>
  <c r="K675" i="1"/>
  <c r="H675" i="1"/>
  <c r="I675" i="1" s="1"/>
  <c r="H674" i="1"/>
  <c r="I674" i="1" s="1"/>
  <c r="K673" i="1"/>
  <c r="I673" i="1"/>
  <c r="I672" i="1"/>
  <c r="H672" i="1"/>
  <c r="K671" i="1"/>
  <c r="I671" i="1"/>
  <c r="H671" i="1"/>
  <c r="H670" i="1"/>
  <c r="I670" i="1" s="1"/>
  <c r="K669" i="1"/>
  <c r="H669" i="1"/>
  <c r="I669" i="1" s="1"/>
  <c r="I668" i="1"/>
  <c r="H668" i="1"/>
  <c r="K667" i="1"/>
  <c r="I667" i="1"/>
  <c r="H667" i="1"/>
  <c r="H666" i="1"/>
  <c r="I666" i="1" s="1"/>
  <c r="K665" i="1"/>
  <c r="H665" i="1"/>
  <c r="I665" i="1" s="1"/>
  <c r="I664" i="1"/>
  <c r="H664" i="1"/>
  <c r="K663" i="1"/>
  <c r="I663" i="1"/>
  <c r="H663" i="1"/>
  <c r="H662" i="1"/>
  <c r="I662" i="1" s="1"/>
  <c r="K661" i="1"/>
  <c r="H661" i="1"/>
  <c r="I661" i="1" s="1"/>
  <c r="I660" i="1"/>
  <c r="H660" i="1"/>
  <c r="K659" i="1"/>
  <c r="I659" i="1"/>
  <c r="H659" i="1"/>
  <c r="H658" i="1"/>
  <c r="I658" i="1" s="1"/>
  <c r="K657" i="1"/>
  <c r="H657" i="1"/>
  <c r="I657" i="1" s="1"/>
  <c r="I656" i="1"/>
  <c r="H656" i="1"/>
  <c r="K655" i="1"/>
  <c r="I655" i="1"/>
  <c r="H655" i="1"/>
  <c r="H654" i="1"/>
  <c r="I654" i="1" s="1"/>
  <c r="K653" i="1"/>
  <c r="H653" i="1"/>
  <c r="I653" i="1" s="1"/>
  <c r="I652" i="1"/>
  <c r="H652" i="1"/>
  <c r="K651" i="1"/>
  <c r="I651" i="1"/>
  <c r="H651" i="1"/>
  <c r="H650" i="1"/>
  <c r="I650" i="1" s="1"/>
  <c r="K649" i="1"/>
  <c r="H649" i="1"/>
  <c r="I649" i="1" s="1"/>
  <c r="I648" i="1"/>
  <c r="H648" i="1"/>
  <c r="K647" i="1"/>
  <c r="I647" i="1"/>
  <c r="H647" i="1"/>
  <c r="H646" i="1"/>
  <c r="I646" i="1" s="1"/>
  <c r="K645" i="1"/>
  <c r="H645" i="1"/>
  <c r="I645" i="1" s="1"/>
  <c r="I644" i="1"/>
  <c r="H644" i="1"/>
  <c r="K643" i="1"/>
  <c r="I643" i="1"/>
  <c r="H643" i="1"/>
  <c r="H642" i="1"/>
  <c r="I642" i="1" s="1"/>
  <c r="K641" i="1"/>
  <c r="H641" i="1"/>
  <c r="I641" i="1" s="1"/>
  <c r="I640" i="1"/>
  <c r="H640" i="1"/>
  <c r="K639" i="1"/>
  <c r="I639" i="1"/>
  <c r="H639" i="1"/>
  <c r="H638" i="1"/>
  <c r="I638" i="1" s="1"/>
  <c r="K637" i="1"/>
  <c r="H637" i="1"/>
  <c r="I637" i="1" s="1"/>
  <c r="I636" i="1"/>
  <c r="H636" i="1"/>
  <c r="K635" i="1"/>
  <c r="I635" i="1"/>
  <c r="H635" i="1"/>
  <c r="H634" i="1"/>
  <c r="I634" i="1" s="1"/>
  <c r="K633" i="1"/>
  <c r="H633" i="1"/>
  <c r="I633" i="1" s="1"/>
  <c r="I632" i="1"/>
  <c r="H632" i="1"/>
  <c r="K631" i="1"/>
  <c r="I631" i="1"/>
  <c r="H631" i="1"/>
  <c r="H630" i="1"/>
  <c r="I630" i="1" s="1"/>
  <c r="K629" i="1"/>
  <c r="H629" i="1"/>
  <c r="I629" i="1" s="1"/>
  <c r="I628" i="1"/>
  <c r="H628" i="1"/>
  <c r="K627" i="1"/>
  <c r="I627" i="1"/>
  <c r="H627" i="1"/>
  <c r="H626" i="1"/>
  <c r="I626" i="1" s="1"/>
  <c r="K625" i="1"/>
  <c r="H625" i="1"/>
  <c r="I625" i="1" s="1"/>
  <c r="I624" i="1"/>
  <c r="H624" i="1"/>
  <c r="K623" i="1"/>
  <c r="I623" i="1"/>
  <c r="H623" i="1"/>
  <c r="H622" i="1"/>
  <c r="I622" i="1" s="1"/>
  <c r="K621" i="1"/>
  <c r="H621" i="1"/>
  <c r="I621" i="1" s="1"/>
  <c r="I620" i="1"/>
  <c r="H620" i="1"/>
  <c r="K619" i="1"/>
  <c r="H619" i="1"/>
  <c r="I619" i="1" s="1"/>
  <c r="H618" i="1"/>
  <c r="I618" i="1" s="1"/>
  <c r="H617" i="1"/>
  <c r="I617" i="1" s="1"/>
  <c r="I616" i="1"/>
  <c r="H616" i="1"/>
  <c r="K615" i="1"/>
  <c r="H615" i="1"/>
  <c r="I615" i="1" s="1"/>
  <c r="H614" i="1"/>
  <c r="I614" i="1" s="1"/>
  <c r="K613" i="1"/>
  <c r="H613" i="1"/>
  <c r="I613" i="1" s="1"/>
  <c r="I612" i="1"/>
  <c r="H612" i="1"/>
  <c r="K611" i="1"/>
  <c r="H611" i="1"/>
  <c r="I611" i="1" s="1"/>
  <c r="H610" i="1"/>
  <c r="I610" i="1" s="1"/>
  <c r="K609" i="1"/>
  <c r="H609" i="1"/>
  <c r="I609" i="1" s="1"/>
  <c r="I608" i="1"/>
  <c r="H608" i="1"/>
  <c r="K607" i="1"/>
  <c r="H607" i="1"/>
  <c r="I607" i="1" s="1"/>
  <c r="H606" i="1"/>
  <c r="I606" i="1" s="1"/>
  <c r="K605" i="1"/>
  <c r="H605" i="1"/>
  <c r="I605" i="1" s="1"/>
  <c r="I604" i="1"/>
  <c r="H604" i="1"/>
  <c r="K603" i="1"/>
  <c r="H603" i="1"/>
  <c r="I603" i="1" s="1"/>
  <c r="H602" i="1"/>
  <c r="I602" i="1" s="1"/>
  <c r="K601" i="1"/>
  <c r="H601" i="1"/>
  <c r="I601" i="1" s="1"/>
  <c r="I600" i="1"/>
  <c r="H600" i="1"/>
  <c r="K599" i="1"/>
  <c r="H599" i="1"/>
  <c r="I599" i="1" s="1"/>
  <c r="H598" i="1"/>
  <c r="I598" i="1" s="1"/>
  <c r="K597" i="1"/>
  <c r="H597" i="1"/>
  <c r="I597" i="1" s="1"/>
  <c r="I596" i="1"/>
  <c r="H596" i="1"/>
  <c r="K595" i="1"/>
  <c r="H595" i="1"/>
  <c r="I595" i="1" s="1"/>
  <c r="H594" i="1"/>
  <c r="I594" i="1" s="1"/>
  <c r="K593" i="1"/>
  <c r="H593" i="1"/>
  <c r="I593" i="1" s="1"/>
  <c r="B593" i="1"/>
  <c r="B595" i="1" s="1"/>
  <c r="B597" i="1" s="1"/>
  <c r="B599" i="1" s="1"/>
  <c r="B601" i="1" s="1"/>
  <c r="B603" i="1" s="1"/>
  <c r="B605" i="1" s="1"/>
  <c r="B607" i="1" s="1"/>
  <c r="B609" i="1" s="1"/>
  <c r="B611" i="1" s="1"/>
  <c r="B613" i="1" s="1"/>
  <c r="B615" i="1" s="1"/>
  <c r="B617" i="1" s="1"/>
  <c r="B619" i="1" s="1"/>
  <c r="B621" i="1" s="1"/>
  <c r="B623" i="1" s="1"/>
  <c r="B625" i="1" s="1"/>
  <c r="B627" i="1" s="1"/>
  <c r="B629" i="1" s="1"/>
  <c r="B631" i="1" s="1"/>
  <c r="B633" i="1" s="1"/>
  <c r="B635" i="1" s="1"/>
  <c r="B637" i="1" s="1"/>
  <c r="B639" i="1" s="1"/>
  <c r="B641" i="1" s="1"/>
  <c r="B643" i="1" s="1"/>
  <c r="B645" i="1" s="1"/>
  <c r="B647" i="1" s="1"/>
  <c r="B649" i="1" s="1"/>
  <c r="B651" i="1" s="1"/>
  <c r="B653" i="1" s="1"/>
  <c r="B655" i="1" s="1"/>
  <c r="B657" i="1" s="1"/>
  <c r="B659" i="1" s="1"/>
  <c r="B661" i="1" s="1"/>
  <c r="B663" i="1" s="1"/>
  <c r="B665" i="1" s="1"/>
  <c r="B667" i="1" s="1"/>
  <c r="B669" i="1" s="1"/>
  <c r="B671" i="1" s="1"/>
  <c r="B673" i="1" s="1"/>
  <c r="B675" i="1" s="1"/>
  <c r="H592" i="1"/>
  <c r="I592" i="1" s="1"/>
  <c r="K591" i="1"/>
  <c r="I591" i="1"/>
  <c r="H591" i="1"/>
  <c r="H590" i="1"/>
  <c r="I590" i="1" s="1"/>
  <c r="K589" i="1"/>
  <c r="H589" i="1"/>
  <c r="I589" i="1" s="1"/>
  <c r="H588" i="1"/>
  <c r="I588" i="1" s="1"/>
  <c r="K587" i="1"/>
  <c r="I587" i="1"/>
  <c r="H587" i="1"/>
  <c r="H586" i="1"/>
  <c r="I586" i="1" s="1"/>
  <c r="K585" i="1"/>
  <c r="H585" i="1"/>
  <c r="I585" i="1" s="1"/>
  <c r="H584" i="1"/>
  <c r="I584" i="1" s="1"/>
  <c r="K583" i="1"/>
  <c r="I583" i="1"/>
  <c r="H583" i="1"/>
  <c r="H582" i="1"/>
  <c r="I582" i="1" s="1"/>
  <c r="K581" i="1"/>
  <c r="H581" i="1"/>
  <c r="I581" i="1" s="1"/>
  <c r="H580" i="1"/>
  <c r="I580" i="1" s="1"/>
  <c r="K579" i="1"/>
  <c r="I579" i="1"/>
  <c r="H579" i="1"/>
  <c r="H578" i="1"/>
  <c r="I578" i="1" s="1"/>
  <c r="K577" i="1"/>
  <c r="H577" i="1"/>
  <c r="I577" i="1" s="1"/>
  <c r="I576" i="1"/>
  <c r="H576" i="1"/>
  <c r="K575" i="1"/>
  <c r="I575" i="1"/>
  <c r="H575" i="1"/>
  <c r="H574" i="1"/>
  <c r="I574" i="1" s="1"/>
  <c r="K573" i="1"/>
  <c r="H573" i="1"/>
  <c r="I573" i="1" s="1"/>
  <c r="I572" i="1"/>
  <c r="H572" i="1"/>
  <c r="K571" i="1"/>
  <c r="I571" i="1"/>
  <c r="H571" i="1"/>
  <c r="H570" i="1"/>
  <c r="I570" i="1" s="1"/>
  <c r="K569" i="1"/>
  <c r="H569" i="1"/>
  <c r="I569" i="1" s="1"/>
  <c r="I568" i="1"/>
  <c r="H568" i="1"/>
  <c r="K567" i="1"/>
  <c r="I567" i="1"/>
  <c r="H567" i="1"/>
  <c r="H566" i="1"/>
  <c r="I566" i="1" s="1"/>
  <c r="K565" i="1"/>
  <c r="H565" i="1"/>
  <c r="I565" i="1" s="1"/>
  <c r="I564" i="1"/>
  <c r="H564" i="1"/>
  <c r="K563" i="1"/>
  <c r="I563" i="1"/>
  <c r="H563" i="1"/>
  <c r="H562" i="1"/>
  <c r="I562" i="1" s="1"/>
  <c r="K561" i="1"/>
  <c r="H561" i="1"/>
  <c r="I561" i="1" s="1"/>
  <c r="I560" i="1"/>
  <c r="H560" i="1"/>
  <c r="K559" i="1"/>
  <c r="I559" i="1"/>
  <c r="H559" i="1"/>
  <c r="H558" i="1"/>
  <c r="I558" i="1" s="1"/>
  <c r="K557" i="1"/>
  <c r="H557" i="1"/>
  <c r="I557" i="1" s="1"/>
  <c r="I556" i="1"/>
  <c r="H556" i="1"/>
  <c r="K555" i="1"/>
  <c r="I555" i="1"/>
  <c r="H555" i="1"/>
  <c r="I554" i="1"/>
  <c r="K553" i="1"/>
  <c r="I553" i="1"/>
  <c r="I552" i="1"/>
  <c r="H552" i="1"/>
  <c r="K551" i="1"/>
  <c r="I551" i="1"/>
  <c r="H551" i="1"/>
  <c r="H550" i="1"/>
  <c r="I550" i="1" s="1"/>
  <c r="K549" i="1"/>
  <c r="H549" i="1"/>
  <c r="I549" i="1" s="1"/>
  <c r="I548" i="1"/>
  <c r="H548" i="1"/>
  <c r="K547" i="1"/>
  <c r="I547" i="1"/>
  <c r="H547" i="1"/>
  <c r="H546" i="1"/>
  <c r="I546" i="1" s="1"/>
  <c r="K545" i="1"/>
  <c r="H545" i="1"/>
  <c r="I545" i="1" s="1"/>
  <c r="I544" i="1"/>
  <c r="H544" i="1"/>
  <c r="K543" i="1"/>
  <c r="I543" i="1"/>
  <c r="H543" i="1"/>
  <c r="H542" i="1"/>
  <c r="I542" i="1" s="1"/>
  <c r="K541" i="1"/>
  <c r="H541" i="1"/>
  <c r="I541" i="1" s="1"/>
  <c r="I540" i="1"/>
  <c r="H540" i="1"/>
  <c r="K539" i="1"/>
  <c r="I539" i="1"/>
  <c r="H539" i="1"/>
  <c r="H538" i="1"/>
  <c r="I538" i="1" s="1"/>
  <c r="K537" i="1"/>
  <c r="H537" i="1"/>
  <c r="I537" i="1" s="1"/>
  <c r="I536" i="1"/>
  <c r="H536" i="1"/>
  <c r="K535" i="1"/>
  <c r="I535" i="1"/>
  <c r="H535" i="1"/>
  <c r="H534" i="1"/>
  <c r="I534" i="1" s="1"/>
  <c r="K533" i="1"/>
  <c r="H533" i="1"/>
  <c r="I533" i="1" s="1"/>
  <c r="I532" i="1"/>
  <c r="H532" i="1"/>
  <c r="K531" i="1"/>
  <c r="I531" i="1"/>
  <c r="H531" i="1"/>
  <c r="H530" i="1"/>
  <c r="I530" i="1" s="1"/>
  <c r="K529" i="1"/>
  <c r="H529" i="1"/>
  <c r="I529" i="1" s="1"/>
  <c r="I528" i="1"/>
  <c r="H528" i="1"/>
  <c r="K527" i="1"/>
  <c r="I527" i="1"/>
  <c r="H527" i="1"/>
  <c r="H526" i="1"/>
  <c r="I526" i="1" s="1"/>
  <c r="K525" i="1"/>
  <c r="H525" i="1"/>
  <c r="I525" i="1" s="1"/>
  <c r="I524" i="1"/>
  <c r="H524" i="1"/>
  <c r="K523" i="1"/>
  <c r="I523" i="1"/>
  <c r="H523" i="1"/>
  <c r="H522" i="1"/>
  <c r="I522" i="1" s="1"/>
  <c r="K521" i="1"/>
  <c r="H521" i="1"/>
  <c r="I521" i="1" s="1"/>
  <c r="I520" i="1"/>
  <c r="H520" i="1"/>
  <c r="K519" i="1"/>
  <c r="I519" i="1"/>
  <c r="H519" i="1"/>
  <c r="H518" i="1"/>
  <c r="I518" i="1" s="1"/>
  <c r="K517" i="1"/>
  <c r="H517" i="1"/>
  <c r="I517" i="1" s="1"/>
  <c r="I516" i="1"/>
  <c r="H516" i="1"/>
  <c r="K515" i="1"/>
  <c r="I515" i="1"/>
  <c r="H515" i="1"/>
  <c r="H514" i="1"/>
  <c r="I514" i="1" s="1"/>
  <c r="K513" i="1"/>
  <c r="H513" i="1"/>
  <c r="I513" i="1" s="1"/>
  <c r="I512" i="1"/>
  <c r="H512" i="1"/>
  <c r="K511" i="1"/>
  <c r="I511" i="1"/>
  <c r="H511" i="1"/>
  <c r="H510" i="1"/>
  <c r="I510" i="1" s="1"/>
  <c r="K509" i="1"/>
  <c r="H509" i="1"/>
  <c r="I509" i="1" s="1"/>
  <c r="B509" i="1"/>
  <c r="B511" i="1" s="1"/>
  <c r="B513" i="1" s="1"/>
  <c r="B515" i="1" s="1"/>
  <c r="B517" i="1" s="1"/>
  <c r="B519" i="1" s="1"/>
  <c r="B521" i="1" s="1"/>
  <c r="B523" i="1" s="1"/>
  <c r="B525" i="1" s="1"/>
  <c r="B527" i="1" s="1"/>
  <c r="B529" i="1" s="1"/>
  <c r="B531" i="1" s="1"/>
  <c r="B533" i="1" s="1"/>
  <c r="B535" i="1" s="1"/>
  <c r="B537" i="1" s="1"/>
  <c r="B539" i="1" s="1"/>
  <c r="B541" i="1" s="1"/>
  <c r="B543" i="1" s="1"/>
  <c r="B545" i="1" s="1"/>
  <c r="B547" i="1" s="1"/>
  <c r="B549" i="1" s="1"/>
  <c r="B551" i="1" s="1"/>
  <c r="B553" i="1" s="1"/>
  <c r="B555" i="1" s="1"/>
  <c r="B557" i="1" s="1"/>
  <c r="B559" i="1" s="1"/>
  <c r="B561" i="1" s="1"/>
  <c r="B563" i="1" s="1"/>
  <c r="B565" i="1" s="1"/>
  <c r="B567" i="1" s="1"/>
  <c r="B569" i="1" s="1"/>
  <c r="B571" i="1" s="1"/>
  <c r="B573" i="1" s="1"/>
  <c r="B575" i="1" s="1"/>
  <c r="B577" i="1" s="1"/>
  <c r="B579" i="1" s="1"/>
  <c r="B581" i="1" s="1"/>
  <c r="B583" i="1" s="1"/>
  <c r="B585" i="1" s="1"/>
  <c r="B587" i="1" s="1"/>
  <c r="B589" i="1" s="1"/>
  <c r="B591" i="1" s="1"/>
  <c r="H508" i="1"/>
  <c r="I508" i="1" s="1"/>
  <c r="K507" i="1"/>
  <c r="I507" i="1"/>
  <c r="H507" i="1"/>
  <c r="H506" i="1"/>
  <c r="I506" i="1" s="1"/>
  <c r="K505" i="1"/>
  <c r="H505" i="1"/>
  <c r="I505" i="1" s="1"/>
  <c r="H504" i="1"/>
  <c r="I504" i="1" s="1"/>
  <c r="K503" i="1"/>
  <c r="I503" i="1"/>
  <c r="H503" i="1"/>
  <c r="H502" i="1"/>
  <c r="I502" i="1" s="1"/>
  <c r="K501" i="1"/>
  <c r="H501" i="1"/>
  <c r="I501" i="1" s="1"/>
  <c r="H500" i="1"/>
  <c r="I500" i="1" s="1"/>
  <c r="K499" i="1"/>
  <c r="I499" i="1"/>
  <c r="H499" i="1"/>
  <c r="H498" i="1"/>
  <c r="I498" i="1" s="1"/>
  <c r="K497" i="1"/>
  <c r="H497" i="1"/>
  <c r="I497" i="1" s="1"/>
  <c r="H496" i="1"/>
  <c r="I496" i="1" s="1"/>
  <c r="K495" i="1"/>
  <c r="I495" i="1"/>
  <c r="H495" i="1"/>
  <c r="H494" i="1"/>
  <c r="I494" i="1" s="1"/>
  <c r="K493" i="1"/>
  <c r="H493" i="1"/>
  <c r="I493" i="1" s="1"/>
  <c r="H492" i="1"/>
  <c r="I492" i="1" s="1"/>
  <c r="K491" i="1"/>
  <c r="I491" i="1"/>
  <c r="H491" i="1"/>
  <c r="H490" i="1"/>
  <c r="I490" i="1" s="1"/>
  <c r="K489" i="1"/>
  <c r="H489" i="1"/>
  <c r="I489" i="1" s="1"/>
  <c r="I488" i="1"/>
  <c r="H488" i="1"/>
  <c r="K487" i="1"/>
  <c r="I487" i="1"/>
  <c r="H487" i="1"/>
  <c r="H486" i="1"/>
  <c r="I486" i="1" s="1"/>
  <c r="K485" i="1"/>
  <c r="H485" i="1"/>
  <c r="I485" i="1" s="1"/>
  <c r="I484" i="1"/>
  <c r="H484" i="1"/>
  <c r="K483" i="1"/>
  <c r="I483" i="1"/>
  <c r="H483" i="1"/>
  <c r="H482" i="1"/>
  <c r="I482" i="1" s="1"/>
  <c r="K481" i="1"/>
  <c r="H481" i="1"/>
  <c r="I481" i="1" s="1"/>
  <c r="I480" i="1"/>
  <c r="H480" i="1"/>
  <c r="K479" i="1"/>
  <c r="I479" i="1"/>
  <c r="H479" i="1"/>
  <c r="H478" i="1"/>
  <c r="I478" i="1" s="1"/>
  <c r="K477" i="1"/>
  <c r="H477" i="1"/>
  <c r="I477" i="1" s="1"/>
  <c r="I476" i="1"/>
  <c r="H476" i="1"/>
  <c r="K475" i="1"/>
  <c r="I475" i="1"/>
  <c r="H475" i="1"/>
  <c r="H474" i="1"/>
  <c r="I474" i="1" s="1"/>
  <c r="K473" i="1"/>
  <c r="H473" i="1"/>
  <c r="I473" i="1" s="1"/>
  <c r="I472" i="1"/>
  <c r="H472" i="1"/>
  <c r="K471" i="1"/>
  <c r="I471" i="1"/>
  <c r="H471" i="1"/>
  <c r="H470" i="1"/>
  <c r="I470" i="1" s="1"/>
  <c r="K469" i="1"/>
  <c r="H469" i="1"/>
  <c r="I469" i="1" s="1"/>
  <c r="I468" i="1"/>
  <c r="H468" i="1"/>
  <c r="K467" i="1"/>
  <c r="I467" i="1"/>
  <c r="H467" i="1"/>
  <c r="H466" i="1"/>
  <c r="I466" i="1" s="1"/>
  <c r="K465" i="1"/>
  <c r="H465" i="1"/>
  <c r="I465" i="1" s="1"/>
  <c r="I464" i="1"/>
  <c r="H464" i="1"/>
  <c r="K463" i="1"/>
  <c r="I463" i="1"/>
  <c r="H463" i="1"/>
  <c r="H462" i="1"/>
  <c r="I462" i="1" s="1"/>
  <c r="K461" i="1"/>
  <c r="H461" i="1"/>
  <c r="I461" i="1" s="1"/>
  <c r="I460" i="1"/>
  <c r="H460" i="1"/>
  <c r="K459" i="1"/>
  <c r="I459" i="1"/>
  <c r="H459" i="1"/>
  <c r="H458" i="1"/>
  <c r="I458" i="1" s="1"/>
  <c r="K457" i="1"/>
  <c r="H457" i="1"/>
  <c r="I457" i="1" s="1"/>
  <c r="I456" i="1"/>
  <c r="H456" i="1"/>
  <c r="K455" i="1"/>
  <c r="I455" i="1"/>
  <c r="H455" i="1"/>
  <c r="H454" i="1"/>
  <c r="I454" i="1" s="1"/>
  <c r="K453" i="1"/>
  <c r="H453" i="1"/>
  <c r="I453" i="1" s="1"/>
  <c r="I452" i="1"/>
  <c r="H452" i="1"/>
  <c r="K451" i="1"/>
  <c r="I451" i="1"/>
  <c r="H451" i="1"/>
  <c r="H450" i="1"/>
  <c r="I450" i="1" s="1"/>
  <c r="K449" i="1"/>
  <c r="H449" i="1"/>
  <c r="I449" i="1" s="1"/>
  <c r="I448" i="1"/>
  <c r="H448" i="1"/>
  <c r="K447" i="1"/>
  <c r="I447" i="1"/>
  <c r="H447" i="1"/>
  <c r="H446" i="1"/>
  <c r="I446" i="1" s="1"/>
  <c r="K445" i="1"/>
  <c r="H445" i="1"/>
  <c r="I445" i="1" s="1"/>
  <c r="I444" i="1"/>
  <c r="H444" i="1"/>
  <c r="K443" i="1"/>
  <c r="I443" i="1"/>
  <c r="H443" i="1"/>
  <c r="H442" i="1"/>
  <c r="I442" i="1" s="1"/>
  <c r="K441" i="1"/>
  <c r="H441" i="1"/>
  <c r="I441" i="1" s="1"/>
  <c r="I440" i="1"/>
  <c r="H440" i="1"/>
  <c r="K439" i="1"/>
  <c r="I439" i="1"/>
  <c r="H439" i="1"/>
  <c r="H438" i="1"/>
  <c r="I438" i="1" s="1"/>
  <c r="K437" i="1"/>
  <c r="H437" i="1"/>
  <c r="I437" i="1" s="1"/>
  <c r="I436" i="1"/>
  <c r="H436" i="1"/>
  <c r="K435" i="1"/>
  <c r="I435" i="1"/>
  <c r="H435" i="1"/>
  <c r="H434" i="1"/>
  <c r="I434" i="1" s="1"/>
  <c r="K433" i="1"/>
  <c r="H433" i="1"/>
  <c r="I433" i="1" s="1"/>
  <c r="I432" i="1"/>
  <c r="H432" i="1"/>
  <c r="K431" i="1"/>
  <c r="I431" i="1"/>
  <c r="H431" i="1"/>
  <c r="H430" i="1"/>
  <c r="I430" i="1" s="1"/>
  <c r="K429" i="1"/>
  <c r="H429" i="1"/>
  <c r="I429" i="1" s="1"/>
  <c r="I428" i="1"/>
  <c r="H428" i="1"/>
  <c r="K427" i="1"/>
  <c r="I427" i="1"/>
  <c r="H427" i="1"/>
  <c r="H426" i="1"/>
  <c r="I426" i="1" s="1"/>
  <c r="K425" i="1"/>
  <c r="H425" i="1"/>
  <c r="I425" i="1" s="1"/>
  <c r="B425" i="1"/>
  <c r="B427" i="1" s="1"/>
  <c r="B429" i="1" s="1"/>
  <c r="B431" i="1" s="1"/>
  <c r="B433" i="1" s="1"/>
  <c r="B435" i="1" s="1"/>
  <c r="B437" i="1" s="1"/>
  <c r="B439" i="1" s="1"/>
  <c r="B441" i="1" s="1"/>
  <c r="B443" i="1" s="1"/>
  <c r="B445" i="1" s="1"/>
  <c r="B447" i="1" s="1"/>
  <c r="B449" i="1" s="1"/>
  <c r="B451" i="1" s="1"/>
  <c r="B453" i="1" s="1"/>
  <c r="B455" i="1" s="1"/>
  <c r="B457" i="1" s="1"/>
  <c r="B459" i="1" s="1"/>
  <c r="B461" i="1" s="1"/>
  <c r="B463" i="1" s="1"/>
  <c r="B465" i="1" s="1"/>
  <c r="B467" i="1" s="1"/>
  <c r="B469" i="1" s="1"/>
  <c r="B471" i="1" s="1"/>
  <c r="B473" i="1" s="1"/>
  <c r="B475" i="1" s="1"/>
  <c r="B477" i="1" s="1"/>
  <c r="B479" i="1" s="1"/>
  <c r="B481" i="1" s="1"/>
  <c r="B483" i="1" s="1"/>
  <c r="B485" i="1" s="1"/>
  <c r="B487" i="1" s="1"/>
  <c r="B489" i="1" s="1"/>
  <c r="B491" i="1" s="1"/>
  <c r="B493" i="1" s="1"/>
  <c r="B495" i="1" s="1"/>
  <c r="B497" i="1" s="1"/>
  <c r="B499" i="1" s="1"/>
  <c r="B501" i="1" s="1"/>
  <c r="B503" i="1" s="1"/>
  <c r="B505" i="1" s="1"/>
  <c r="B507" i="1" s="1"/>
  <c r="H424" i="1"/>
  <c r="I424" i="1" s="1"/>
  <c r="K423" i="1"/>
  <c r="I423" i="1"/>
  <c r="H423" i="1"/>
  <c r="H422" i="1"/>
  <c r="I422" i="1" s="1"/>
  <c r="K421" i="1"/>
  <c r="H421" i="1"/>
  <c r="I421" i="1" s="1"/>
  <c r="H420" i="1"/>
  <c r="I420" i="1" s="1"/>
  <c r="K419" i="1"/>
  <c r="I419" i="1"/>
  <c r="H419" i="1"/>
  <c r="H418" i="1"/>
  <c r="I418" i="1" s="1"/>
  <c r="K417" i="1"/>
  <c r="H417" i="1"/>
  <c r="I417" i="1" s="1"/>
  <c r="I416" i="1"/>
  <c r="H416" i="1"/>
  <c r="K415" i="1"/>
  <c r="I415" i="1"/>
  <c r="H415" i="1"/>
  <c r="H414" i="1"/>
  <c r="I414" i="1" s="1"/>
  <c r="K413" i="1"/>
  <c r="H413" i="1"/>
  <c r="I413" i="1" s="1"/>
  <c r="I412" i="1"/>
  <c r="H412" i="1"/>
  <c r="K411" i="1"/>
  <c r="I411" i="1"/>
  <c r="H411" i="1"/>
  <c r="H410" i="1"/>
  <c r="I410" i="1" s="1"/>
  <c r="K409" i="1"/>
  <c r="H409" i="1"/>
  <c r="I409" i="1" s="1"/>
  <c r="I408" i="1"/>
  <c r="H408" i="1"/>
  <c r="K407" i="1"/>
  <c r="I407" i="1"/>
  <c r="H407" i="1"/>
  <c r="H406" i="1"/>
  <c r="I406" i="1" s="1"/>
  <c r="K405" i="1"/>
  <c r="H405" i="1"/>
  <c r="I405" i="1" s="1"/>
  <c r="I404" i="1"/>
  <c r="H404" i="1"/>
  <c r="K403" i="1"/>
  <c r="I403" i="1"/>
  <c r="H403" i="1"/>
  <c r="H402" i="1"/>
  <c r="I402" i="1" s="1"/>
  <c r="K401" i="1"/>
  <c r="H401" i="1"/>
  <c r="I401" i="1" s="1"/>
  <c r="H400" i="1"/>
  <c r="I400" i="1" s="1"/>
  <c r="K399" i="1"/>
  <c r="H399" i="1"/>
  <c r="I399" i="1" s="1"/>
  <c r="I398" i="1"/>
  <c r="K397" i="1"/>
  <c r="I397" i="1"/>
  <c r="I396" i="1"/>
  <c r="K395" i="1"/>
  <c r="I395" i="1"/>
  <c r="I394" i="1"/>
  <c r="K393" i="1"/>
  <c r="I393" i="1"/>
  <c r="I392" i="1"/>
  <c r="K391" i="1"/>
  <c r="I391" i="1"/>
  <c r="I390" i="1"/>
  <c r="K389" i="1"/>
  <c r="I389" i="1"/>
  <c r="I388" i="1"/>
  <c r="K387" i="1"/>
  <c r="I387" i="1"/>
  <c r="H386" i="1"/>
  <c r="I386" i="1" s="1"/>
  <c r="K385" i="1"/>
  <c r="H385" i="1"/>
  <c r="I385" i="1" s="1"/>
  <c r="H384" i="1"/>
  <c r="I384" i="1" s="1"/>
  <c r="K383" i="1"/>
  <c r="H383" i="1"/>
  <c r="I383" i="1" s="1"/>
  <c r="H382" i="1"/>
  <c r="I382" i="1" s="1"/>
  <c r="K381" i="1"/>
  <c r="H381" i="1"/>
  <c r="I381" i="1" s="1"/>
  <c r="H380" i="1"/>
  <c r="I380" i="1" s="1"/>
  <c r="K379" i="1"/>
  <c r="H379" i="1"/>
  <c r="I379" i="1" s="1"/>
  <c r="H378" i="1"/>
  <c r="I378" i="1" s="1"/>
  <c r="K377" i="1"/>
  <c r="H377" i="1"/>
  <c r="I377" i="1" s="1"/>
  <c r="H376" i="1"/>
  <c r="I376" i="1" s="1"/>
  <c r="K375" i="1"/>
  <c r="H375" i="1"/>
  <c r="I375" i="1" s="1"/>
  <c r="H374" i="1"/>
  <c r="I374" i="1" s="1"/>
  <c r="K373" i="1"/>
  <c r="H373" i="1"/>
  <c r="I373" i="1" s="1"/>
  <c r="H372" i="1"/>
  <c r="I372" i="1" s="1"/>
  <c r="K371" i="1"/>
  <c r="H371" i="1"/>
  <c r="I371" i="1" s="1"/>
  <c r="H370" i="1"/>
  <c r="I370" i="1" s="1"/>
  <c r="K369" i="1"/>
  <c r="H369" i="1"/>
  <c r="I369" i="1" s="1"/>
  <c r="H368" i="1"/>
  <c r="I368" i="1" s="1"/>
  <c r="K367" i="1"/>
  <c r="H367" i="1"/>
  <c r="I367" i="1" s="1"/>
  <c r="H366" i="1"/>
  <c r="I366" i="1" s="1"/>
  <c r="K365" i="1"/>
  <c r="H365" i="1"/>
  <c r="I365" i="1" s="1"/>
  <c r="H364" i="1"/>
  <c r="I364" i="1" s="1"/>
  <c r="K363" i="1"/>
  <c r="H363" i="1"/>
  <c r="I363" i="1" s="1"/>
  <c r="H362" i="1"/>
  <c r="I362" i="1" s="1"/>
  <c r="K361" i="1"/>
  <c r="H361" i="1"/>
  <c r="I361" i="1" s="1"/>
  <c r="H360" i="1"/>
  <c r="I360" i="1" s="1"/>
  <c r="K359" i="1"/>
  <c r="H359" i="1"/>
  <c r="I359" i="1" s="1"/>
  <c r="H358" i="1"/>
  <c r="I358" i="1" s="1"/>
  <c r="K357" i="1"/>
  <c r="H357" i="1"/>
  <c r="I357" i="1" s="1"/>
  <c r="H356" i="1"/>
  <c r="I356" i="1" s="1"/>
  <c r="K355" i="1"/>
  <c r="H355" i="1"/>
  <c r="I355" i="1" s="1"/>
  <c r="H354" i="1"/>
  <c r="I354" i="1" s="1"/>
  <c r="K353" i="1"/>
  <c r="H353" i="1"/>
  <c r="I353" i="1" s="1"/>
  <c r="H352" i="1"/>
  <c r="I352" i="1" s="1"/>
  <c r="K351" i="1"/>
  <c r="H351" i="1"/>
  <c r="I351" i="1" s="1"/>
  <c r="H350" i="1"/>
  <c r="I350" i="1" s="1"/>
  <c r="K349" i="1"/>
  <c r="H349" i="1"/>
  <c r="I349" i="1" s="1"/>
  <c r="H348" i="1"/>
  <c r="I348" i="1" s="1"/>
  <c r="K347" i="1"/>
  <c r="H347" i="1"/>
  <c r="I347" i="1" s="1"/>
  <c r="H346" i="1"/>
  <c r="I346" i="1" s="1"/>
  <c r="K345" i="1"/>
  <c r="H345" i="1"/>
  <c r="I345" i="1" s="1"/>
  <c r="H344" i="1"/>
  <c r="I344" i="1" s="1"/>
  <c r="K343" i="1"/>
  <c r="H343" i="1"/>
  <c r="I343" i="1" s="1"/>
  <c r="H342" i="1"/>
  <c r="I342" i="1" s="1"/>
  <c r="K341" i="1"/>
  <c r="H341" i="1"/>
  <c r="I341" i="1" s="1"/>
  <c r="B341" i="1"/>
  <c r="B343" i="1" s="1"/>
  <c r="B345" i="1" s="1"/>
  <c r="B347" i="1" s="1"/>
  <c r="B349" i="1" s="1"/>
  <c r="B351" i="1" s="1"/>
  <c r="B353" i="1" s="1"/>
  <c r="B355" i="1" s="1"/>
  <c r="B357" i="1" s="1"/>
  <c r="B359" i="1" s="1"/>
  <c r="B361" i="1" s="1"/>
  <c r="B363" i="1" s="1"/>
  <c r="B365" i="1" s="1"/>
  <c r="B367" i="1" s="1"/>
  <c r="B369" i="1" s="1"/>
  <c r="B371" i="1" s="1"/>
  <c r="B373" i="1" s="1"/>
  <c r="B375" i="1" s="1"/>
  <c r="B377" i="1" s="1"/>
  <c r="B379" i="1" s="1"/>
  <c r="B381" i="1" s="1"/>
  <c r="B383" i="1" s="1"/>
  <c r="B385" i="1" s="1"/>
  <c r="B387" i="1" s="1"/>
  <c r="B389" i="1" s="1"/>
  <c r="B391" i="1" s="1"/>
  <c r="B393" i="1" s="1"/>
  <c r="B395" i="1" s="1"/>
  <c r="B397" i="1" s="1"/>
  <c r="B399" i="1" s="1"/>
  <c r="B401" i="1" s="1"/>
  <c r="B403" i="1" s="1"/>
  <c r="B405" i="1" s="1"/>
  <c r="B407" i="1" s="1"/>
  <c r="B409" i="1" s="1"/>
  <c r="B411" i="1" s="1"/>
  <c r="B413" i="1" s="1"/>
  <c r="B415" i="1" s="1"/>
  <c r="B417" i="1" s="1"/>
  <c r="B419" i="1" s="1"/>
  <c r="B421" i="1" s="1"/>
  <c r="B423" i="1" s="1"/>
  <c r="H340" i="1"/>
  <c r="I340" i="1" s="1"/>
  <c r="K339" i="1"/>
  <c r="H339" i="1"/>
  <c r="I339" i="1" s="1"/>
  <c r="H338" i="1"/>
  <c r="I338" i="1" s="1"/>
  <c r="K337" i="1"/>
  <c r="H337" i="1"/>
  <c r="I337" i="1" s="1"/>
  <c r="H336" i="1"/>
  <c r="I336" i="1" s="1"/>
  <c r="K335" i="1"/>
  <c r="H335" i="1"/>
  <c r="I335" i="1" s="1"/>
  <c r="H334" i="1"/>
  <c r="I334" i="1" s="1"/>
  <c r="K333" i="1"/>
  <c r="H333" i="1"/>
  <c r="I333" i="1" s="1"/>
  <c r="H332" i="1"/>
  <c r="I332" i="1" s="1"/>
  <c r="K331" i="1"/>
  <c r="H331" i="1"/>
  <c r="I331" i="1" s="1"/>
  <c r="H330" i="1"/>
  <c r="I330" i="1" s="1"/>
  <c r="K329" i="1"/>
  <c r="H329" i="1"/>
  <c r="I329" i="1" s="1"/>
  <c r="H328" i="1"/>
  <c r="I328" i="1" s="1"/>
  <c r="K327" i="1"/>
  <c r="H327" i="1"/>
  <c r="I327" i="1" s="1"/>
  <c r="H326" i="1"/>
  <c r="I326" i="1" s="1"/>
  <c r="K325" i="1"/>
  <c r="H325" i="1"/>
  <c r="I325" i="1" s="1"/>
  <c r="H324" i="1"/>
  <c r="I324" i="1" s="1"/>
  <c r="K323" i="1"/>
  <c r="H323" i="1"/>
  <c r="I323" i="1" s="1"/>
  <c r="H322" i="1"/>
  <c r="I322" i="1" s="1"/>
  <c r="K321" i="1"/>
  <c r="H321" i="1"/>
  <c r="I321" i="1" s="1"/>
  <c r="H320" i="1"/>
  <c r="I320" i="1" s="1"/>
  <c r="K319" i="1"/>
  <c r="H319" i="1"/>
  <c r="I319" i="1" s="1"/>
  <c r="H318" i="1"/>
  <c r="I318" i="1" s="1"/>
  <c r="K317" i="1"/>
  <c r="H317" i="1"/>
  <c r="I317" i="1" s="1"/>
  <c r="H316" i="1"/>
  <c r="I316" i="1" s="1"/>
  <c r="K315" i="1"/>
  <c r="H315" i="1"/>
  <c r="I315" i="1" s="1"/>
  <c r="H314" i="1"/>
  <c r="I314" i="1" s="1"/>
  <c r="K313" i="1"/>
  <c r="H313" i="1"/>
  <c r="I313" i="1" s="1"/>
  <c r="H312" i="1"/>
  <c r="I312" i="1" s="1"/>
  <c r="K311" i="1"/>
  <c r="H311" i="1"/>
  <c r="I311" i="1" s="1"/>
  <c r="H310" i="1"/>
  <c r="I310" i="1" s="1"/>
  <c r="K309" i="1"/>
  <c r="H309" i="1"/>
  <c r="I309" i="1" s="1"/>
  <c r="H308" i="1"/>
  <c r="I308" i="1" s="1"/>
  <c r="K307" i="1"/>
  <c r="H307" i="1"/>
  <c r="I307" i="1" s="1"/>
  <c r="H306" i="1"/>
  <c r="I306" i="1" s="1"/>
  <c r="K305" i="1"/>
  <c r="H305" i="1"/>
  <c r="I305" i="1" s="1"/>
  <c r="H304" i="1"/>
  <c r="I304" i="1" s="1"/>
  <c r="K303" i="1"/>
  <c r="H303" i="1"/>
  <c r="I303" i="1" s="1"/>
  <c r="H302" i="1"/>
  <c r="I302" i="1" s="1"/>
  <c r="K301" i="1"/>
  <c r="H301" i="1"/>
  <c r="I301" i="1" s="1"/>
  <c r="H300" i="1"/>
  <c r="I300" i="1" s="1"/>
  <c r="K299" i="1"/>
  <c r="H299" i="1"/>
  <c r="I299" i="1" s="1"/>
  <c r="H298" i="1"/>
  <c r="I298" i="1" s="1"/>
  <c r="K297" i="1"/>
  <c r="H296" i="1"/>
  <c r="I296" i="1" s="1"/>
  <c r="K295" i="1"/>
  <c r="H295" i="1"/>
  <c r="I295" i="1" s="1"/>
  <c r="H294" i="1"/>
  <c r="I294" i="1" s="1"/>
  <c r="K293" i="1"/>
  <c r="H293" i="1"/>
  <c r="I293" i="1" s="1"/>
  <c r="H292" i="1"/>
  <c r="I292" i="1" s="1"/>
  <c r="K291" i="1"/>
  <c r="H291" i="1"/>
  <c r="I291" i="1" s="1"/>
  <c r="H290" i="1"/>
  <c r="I290" i="1" s="1"/>
  <c r="K289" i="1"/>
  <c r="H289" i="1"/>
  <c r="I289" i="1" s="1"/>
  <c r="H288" i="1"/>
  <c r="I288" i="1" s="1"/>
  <c r="K287" i="1"/>
  <c r="H287" i="1"/>
  <c r="I287" i="1" s="1"/>
  <c r="H286" i="1"/>
  <c r="I286" i="1" s="1"/>
  <c r="K285" i="1"/>
  <c r="I285" i="1"/>
  <c r="H285" i="1"/>
  <c r="H284" i="1"/>
  <c r="I284" i="1" s="1"/>
  <c r="K283" i="1"/>
  <c r="H283" i="1"/>
  <c r="I283" i="1" s="1"/>
  <c r="H282" i="1"/>
  <c r="I282" i="1" s="1"/>
  <c r="K281" i="1"/>
  <c r="H281" i="1"/>
  <c r="I281" i="1" s="1"/>
  <c r="H280" i="1"/>
  <c r="I280" i="1" s="1"/>
  <c r="K279" i="1"/>
  <c r="H279" i="1"/>
  <c r="I279" i="1" s="1"/>
  <c r="H278" i="1"/>
  <c r="I278" i="1" s="1"/>
  <c r="K277" i="1"/>
  <c r="H277" i="1"/>
  <c r="I277" i="1" s="1"/>
  <c r="H276" i="1"/>
  <c r="I276" i="1" s="1"/>
  <c r="K275" i="1"/>
  <c r="H275" i="1"/>
  <c r="I275" i="1" s="1"/>
  <c r="H274" i="1"/>
  <c r="I274" i="1" s="1"/>
  <c r="K273" i="1"/>
  <c r="H273" i="1"/>
  <c r="I273" i="1" s="1"/>
  <c r="H272" i="1"/>
  <c r="I272" i="1" s="1"/>
  <c r="K271" i="1"/>
  <c r="H271" i="1"/>
  <c r="I271" i="1" s="1"/>
  <c r="H270" i="1"/>
  <c r="I270" i="1" s="1"/>
  <c r="K269" i="1"/>
  <c r="H269" i="1"/>
  <c r="I269" i="1" s="1"/>
  <c r="H268" i="1"/>
  <c r="I268" i="1" s="1"/>
  <c r="K267" i="1"/>
  <c r="H267" i="1"/>
  <c r="I267" i="1" s="1"/>
  <c r="H266" i="1"/>
  <c r="I266" i="1" s="1"/>
  <c r="K265" i="1"/>
  <c r="H265" i="1"/>
  <c r="I265" i="1" s="1"/>
  <c r="H264" i="1"/>
  <c r="I264" i="1" s="1"/>
  <c r="K263" i="1"/>
  <c r="H263" i="1"/>
  <c r="I263" i="1" s="1"/>
  <c r="H262" i="1"/>
  <c r="I262" i="1" s="1"/>
  <c r="K261" i="1"/>
  <c r="H261" i="1"/>
  <c r="I261" i="1" s="1"/>
  <c r="H260" i="1"/>
  <c r="I260" i="1" s="1"/>
  <c r="K259" i="1"/>
  <c r="H259" i="1"/>
  <c r="I259" i="1" s="1"/>
  <c r="H258" i="1"/>
  <c r="I258" i="1" s="1"/>
  <c r="K257" i="1"/>
  <c r="I257" i="1"/>
  <c r="H257" i="1"/>
  <c r="B257" i="1"/>
  <c r="B259" i="1" s="1"/>
  <c r="B261" i="1" s="1"/>
  <c r="B263" i="1" s="1"/>
  <c r="B265" i="1" s="1"/>
  <c r="B267" i="1" s="1"/>
  <c r="B269" i="1" s="1"/>
  <c r="B271" i="1" s="1"/>
  <c r="B273" i="1" s="1"/>
  <c r="B275" i="1" s="1"/>
  <c r="B277" i="1" s="1"/>
  <c r="B279" i="1" s="1"/>
  <c r="B281" i="1" s="1"/>
  <c r="B283" i="1" s="1"/>
  <c r="B285" i="1" s="1"/>
  <c r="B287" i="1" s="1"/>
  <c r="B289" i="1" s="1"/>
  <c r="B291" i="1" s="1"/>
  <c r="B293" i="1" s="1"/>
  <c r="B295" i="1" s="1"/>
  <c r="B297" i="1" s="1"/>
  <c r="B299" i="1" s="1"/>
  <c r="B301" i="1" s="1"/>
  <c r="B303" i="1" s="1"/>
  <c r="B305" i="1" s="1"/>
  <c r="B307" i="1" s="1"/>
  <c r="B309" i="1" s="1"/>
  <c r="B311" i="1" s="1"/>
  <c r="B313" i="1" s="1"/>
  <c r="B315" i="1" s="1"/>
  <c r="B317" i="1" s="1"/>
  <c r="B319" i="1" s="1"/>
  <c r="B321" i="1" s="1"/>
  <c r="B323" i="1" s="1"/>
  <c r="B325" i="1" s="1"/>
  <c r="B327" i="1" s="1"/>
  <c r="B329" i="1" s="1"/>
  <c r="B331" i="1" s="1"/>
  <c r="B333" i="1" s="1"/>
  <c r="B335" i="1" s="1"/>
  <c r="B337" i="1" s="1"/>
  <c r="B339" i="1" s="1"/>
  <c r="H256" i="1"/>
  <c r="I256" i="1" s="1"/>
  <c r="K255" i="1"/>
  <c r="H255" i="1"/>
  <c r="I255" i="1" s="1"/>
  <c r="H254" i="1"/>
  <c r="I254" i="1" s="1"/>
  <c r="K253" i="1"/>
  <c r="H253" i="1"/>
  <c r="I253" i="1" s="1"/>
  <c r="H252" i="1"/>
  <c r="I252" i="1" s="1"/>
  <c r="K251" i="1"/>
  <c r="H251" i="1"/>
  <c r="I251" i="1" s="1"/>
  <c r="H250" i="1"/>
  <c r="I250" i="1" s="1"/>
  <c r="K249" i="1"/>
  <c r="H249" i="1"/>
  <c r="I249" i="1" s="1"/>
  <c r="H248" i="1"/>
  <c r="I248" i="1" s="1"/>
  <c r="K247" i="1"/>
  <c r="H247" i="1"/>
  <c r="I247" i="1" s="1"/>
  <c r="H246" i="1"/>
  <c r="I246" i="1" s="1"/>
  <c r="K245" i="1"/>
  <c r="H245" i="1"/>
  <c r="I245" i="1" s="1"/>
  <c r="H244" i="1"/>
  <c r="I244" i="1" s="1"/>
  <c r="K243" i="1"/>
  <c r="H243" i="1"/>
  <c r="I243" i="1" s="1"/>
  <c r="H242" i="1"/>
  <c r="I242" i="1" s="1"/>
  <c r="K241" i="1"/>
  <c r="H241" i="1"/>
  <c r="I241" i="1" s="1"/>
  <c r="H240" i="1"/>
  <c r="I240" i="1" s="1"/>
  <c r="K239" i="1"/>
  <c r="H239" i="1"/>
  <c r="I239" i="1" s="1"/>
  <c r="H238" i="1"/>
  <c r="I238" i="1" s="1"/>
  <c r="K237" i="1"/>
  <c r="H237" i="1"/>
  <c r="I237" i="1" s="1"/>
  <c r="H236" i="1"/>
  <c r="I236" i="1" s="1"/>
  <c r="K235" i="1"/>
  <c r="H235" i="1"/>
  <c r="I235" i="1" s="1"/>
  <c r="H234" i="1"/>
  <c r="I234" i="1" s="1"/>
  <c r="K233" i="1"/>
  <c r="H233" i="1"/>
  <c r="I233" i="1" s="1"/>
  <c r="H232" i="1"/>
  <c r="I232" i="1" s="1"/>
  <c r="K231" i="1"/>
  <c r="H231" i="1"/>
  <c r="I231" i="1" s="1"/>
  <c r="H230" i="1"/>
  <c r="I230" i="1" s="1"/>
  <c r="K229" i="1"/>
  <c r="H229" i="1"/>
  <c r="I229" i="1" s="1"/>
  <c r="H228" i="1"/>
  <c r="I228" i="1" s="1"/>
  <c r="K227" i="1"/>
  <c r="H227" i="1"/>
  <c r="I227" i="1" s="1"/>
  <c r="H226" i="1"/>
  <c r="I226" i="1" s="1"/>
  <c r="K225" i="1"/>
  <c r="H225" i="1"/>
  <c r="I225" i="1" s="1"/>
  <c r="H224" i="1"/>
  <c r="I224" i="1" s="1"/>
  <c r="K223" i="1"/>
  <c r="H223" i="1"/>
  <c r="I223" i="1" s="1"/>
  <c r="H222" i="1"/>
  <c r="I222" i="1" s="1"/>
  <c r="K221" i="1"/>
  <c r="H221" i="1"/>
  <c r="I221" i="1" s="1"/>
  <c r="H220" i="1"/>
  <c r="I220" i="1" s="1"/>
  <c r="K219" i="1"/>
  <c r="H219" i="1"/>
  <c r="I219" i="1" s="1"/>
  <c r="H218" i="1"/>
  <c r="I218" i="1" s="1"/>
  <c r="K217" i="1"/>
  <c r="H217" i="1"/>
  <c r="I217" i="1" s="1"/>
  <c r="H216" i="1"/>
  <c r="I216" i="1" s="1"/>
  <c r="K215" i="1"/>
  <c r="H215" i="1"/>
  <c r="I215" i="1" s="1"/>
  <c r="H214" i="1"/>
  <c r="I214" i="1" s="1"/>
  <c r="K213" i="1"/>
  <c r="H213" i="1"/>
  <c r="I213" i="1" s="1"/>
  <c r="H212" i="1"/>
  <c r="I212" i="1" s="1"/>
  <c r="K211" i="1"/>
  <c r="H211" i="1"/>
  <c r="I211" i="1" s="1"/>
  <c r="H210" i="1"/>
  <c r="I210" i="1" s="1"/>
  <c r="K209" i="1"/>
  <c r="H209" i="1"/>
  <c r="I209" i="1" s="1"/>
  <c r="H208" i="1"/>
  <c r="I208" i="1" s="1"/>
  <c r="K207" i="1"/>
  <c r="H207" i="1"/>
  <c r="I207" i="1" s="1"/>
  <c r="H206" i="1"/>
  <c r="I206" i="1" s="1"/>
  <c r="K205" i="1"/>
  <c r="H205" i="1"/>
  <c r="I205" i="1" s="1"/>
  <c r="H204" i="1"/>
  <c r="I204" i="1" s="1"/>
  <c r="K203" i="1"/>
  <c r="H203" i="1"/>
  <c r="I203" i="1" s="1"/>
  <c r="H202" i="1"/>
  <c r="I202" i="1" s="1"/>
  <c r="K201" i="1"/>
  <c r="H201" i="1"/>
  <c r="I201" i="1" s="1"/>
  <c r="H200" i="1"/>
  <c r="I200" i="1" s="1"/>
  <c r="K199" i="1"/>
  <c r="H199" i="1"/>
  <c r="I199" i="1" s="1"/>
  <c r="H198" i="1"/>
  <c r="I198" i="1" s="1"/>
  <c r="K197" i="1"/>
  <c r="H197" i="1"/>
  <c r="I197" i="1" s="1"/>
  <c r="H196" i="1"/>
  <c r="I196" i="1" s="1"/>
  <c r="K195" i="1"/>
  <c r="H195" i="1"/>
  <c r="I195" i="1" s="1"/>
  <c r="H194" i="1"/>
  <c r="I194" i="1" s="1"/>
  <c r="K193" i="1"/>
  <c r="H193" i="1"/>
  <c r="I193" i="1" s="1"/>
  <c r="H192" i="1"/>
  <c r="I192" i="1" s="1"/>
  <c r="K191" i="1"/>
  <c r="H191" i="1"/>
  <c r="I191" i="1" s="1"/>
  <c r="H190" i="1"/>
  <c r="I190" i="1" s="1"/>
  <c r="K189" i="1"/>
  <c r="H189" i="1"/>
  <c r="I189" i="1" s="1"/>
  <c r="H188" i="1"/>
  <c r="I188" i="1" s="1"/>
  <c r="K187" i="1"/>
  <c r="H187" i="1"/>
  <c r="I187" i="1" s="1"/>
  <c r="H186" i="1"/>
  <c r="I186" i="1" s="1"/>
  <c r="K185" i="1"/>
  <c r="H185" i="1"/>
  <c r="I185" i="1" s="1"/>
  <c r="H184" i="1"/>
  <c r="I184" i="1" s="1"/>
  <c r="K183" i="1"/>
  <c r="H183" i="1"/>
  <c r="I183" i="1" s="1"/>
  <c r="H182" i="1"/>
  <c r="I182" i="1" s="1"/>
  <c r="K181" i="1"/>
  <c r="H181" i="1"/>
  <c r="I181" i="1" s="1"/>
  <c r="H180" i="1"/>
  <c r="I180" i="1" s="1"/>
  <c r="K179" i="1"/>
  <c r="H179" i="1"/>
  <c r="I179" i="1" s="1"/>
  <c r="H178" i="1"/>
  <c r="I178" i="1" s="1"/>
  <c r="K177" i="1"/>
  <c r="H177" i="1"/>
  <c r="I177" i="1" s="1"/>
  <c r="H176" i="1"/>
  <c r="I176" i="1" s="1"/>
  <c r="K175" i="1"/>
  <c r="H175" i="1"/>
  <c r="I175" i="1" s="1"/>
  <c r="H174" i="1"/>
  <c r="I174" i="1" s="1"/>
  <c r="K173" i="1"/>
  <c r="H173" i="1"/>
  <c r="I173" i="1" s="1"/>
  <c r="B173" i="1"/>
  <c r="B175" i="1" s="1"/>
  <c r="B177" i="1" s="1"/>
  <c r="B179" i="1" s="1"/>
  <c r="B181" i="1" s="1"/>
  <c r="B183" i="1" s="1"/>
  <c r="B185" i="1" s="1"/>
  <c r="B187" i="1" s="1"/>
  <c r="B189" i="1" s="1"/>
  <c r="B191" i="1" s="1"/>
  <c r="B193" i="1" s="1"/>
  <c r="B195" i="1" s="1"/>
  <c r="B197" i="1" s="1"/>
  <c r="B199" i="1" s="1"/>
  <c r="B201" i="1" s="1"/>
  <c r="B203" i="1" s="1"/>
  <c r="B205" i="1" s="1"/>
  <c r="B207" i="1" s="1"/>
  <c r="B209" i="1" s="1"/>
  <c r="B211" i="1" s="1"/>
  <c r="B213" i="1" s="1"/>
  <c r="B215" i="1" s="1"/>
  <c r="B217" i="1" s="1"/>
  <c r="B219" i="1" s="1"/>
  <c r="B221" i="1" s="1"/>
  <c r="B223" i="1" s="1"/>
  <c r="B225" i="1" s="1"/>
  <c r="B227" i="1" s="1"/>
  <c r="B229" i="1" s="1"/>
  <c r="B231" i="1" s="1"/>
  <c r="B233" i="1" s="1"/>
  <c r="B235" i="1" s="1"/>
  <c r="B237" i="1" s="1"/>
  <c r="B239" i="1" s="1"/>
  <c r="B241" i="1" s="1"/>
  <c r="B243" i="1" s="1"/>
  <c r="B245" i="1" s="1"/>
  <c r="B247" i="1" s="1"/>
  <c r="B249" i="1" s="1"/>
  <c r="B251" i="1" s="1"/>
  <c r="B253" i="1" s="1"/>
  <c r="B255" i="1" s="1"/>
  <c r="H172" i="1"/>
  <c r="I172" i="1" s="1"/>
  <c r="K171" i="1"/>
  <c r="H171" i="1"/>
  <c r="I171" i="1" s="1"/>
  <c r="H170" i="1"/>
  <c r="I170" i="1" s="1"/>
  <c r="K169" i="1"/>
  <c r="H169" i="1"/>
  <c r="I169" i="1" s="1"/>
  <c r="H168" i="1"/>
  <c r="I168" i="1" s="1"/>
  <c r="K167" i="1"/>
  <c r="H167" i="1"/>
  <c r="I167" i="1" s="1"/>
  <c r="H166" i="1"/>
  <c r="I166" i="1" s="1"/>
  <c r="K165" i="1"/>
  <c r="H165" i="1"/>
  <c r="I165" i="1" s="1"/>
  <c r="H164" i="1"/>
  <c r="I164" i="1" s="1"/>
  <c r="K163" i="1"/>
  <c r="H163" i="1"/>
  <c r="I163" i="1" s="1"/>
  <c r="H162" i="1"/>
  <c r="I162" i="1" s="1"/>
  <c r="K161" i="1"/>
  <c r="H161" i="1"/>
  <c r="I161" i="1" s="1"/>
  <c r="H160" i="1"/>
  <c r="I160" i="1" s="1"/>
  <c r="K159" i="1"/>
  <c r="H159" i="1"/>
  <c r="I159" i="1" s="1"/>
  <c r="H158" i="1"/>
  <c r="I158" i="1" s="1"/>
  <c r="K157" i="1"/>
  <c r="H157" i="1"/>
  <c r="I157" i="1" s="1"/>
  <c r="H156" i="1"/>
  <c r="I156" i="1" s="1"/>
  <c r="K155" i="1"/>
  <c r="H155" i="1"/>
  <c r="I155" i="1" s="1"/>
  <c r="H154" i="1"/>
  <c r="I154" i="1" s="1"/>
  <c r="K153" i="1"/>
  <c r="H153" i="1"/>
  <c r="I153" i="1" s="1"/>
  <c r="H152" i="1"/>
  <c r="I152" i="1" s="1"/>
  <c r="K151" i="1"/>
  <c r="H151" i="1"/>
  <c r="I151" i="1" s="1"/>
  <c r="H150" i="1"/>
  <c r="I150" i="1" s="1"/>
  <c r="K149" i="1"/>
  <c r="H149" i="1"/>
  <c r="I149" i="1" s="1"/>
  <c r="H148" i="1"/>
  <c r="I148" i="1" s="1"/>
  <c r="K147" i="1"/>
  <c r="H147" i="1"/>
  <c r="I147" i="1" s="1"/>
  <c r="H146" i="1"/>
  <c r="I146" i="1" s="1"/>
  <c r="K145" i="1"/>
  <c r="H145" i="1"/>
  <c r="I145" i="1" s="1"/>
  <c r="H144" i="1"/>
  <c r="I144" i="1" s="1"/>
  <c r="K143" i="1"/>
  <c r="H143" i="1"/>
  <c r="I143" i="1" s="1"/>
  <c r="H142" i="1"/>
  <c r="I142" i="1" s="1"/>
  <c r="K141" i="1"/>
  <c r="H141" i="1"/>
  <c r="I141" i="1" s="1"/>
  <c r="H140" i="1"/>
  <c r="I140" i="1" s="1"/>
  <c r="K139" i="1"/>
  <c r="H139" i="1"/>
  <c r="I139" i="1" s="1"/>
  <c r="H138" i="1"/>
  <c r="I138" i="1" s="1"/>
  <c r="K137" i="1"/>
  <c r="H137" i="1"/>
  <c r="I137" i="1" s="1"/>
  <c r="H136" i="1"/>
  <c r="I136" i="1" s="1"/>
  <c r="K135" i="1"/>
  <c r="H135" i="1"/>
  <c r="I135" i="1" s="1"/>
  <c r="H134" i="1"/>
  <c r="I134" i="1" s="1"/>
  <c r="K133" i="1"/>
  <c r="H133" i="1"/>
  <c r="I133" i="1" s="1"/>
  <c r="H132" i="1"/>
  <c r="I132" i="1" s="1"/>
  <c r="K131" i="1"/>
  <c r="H131" i="1"/>
  <c r="I131" i="1" s="1"/>
  <c r="H130" i="1"/>
  <c r="I130" i="1" s="1"/>
  <c r="K129" i="1"/>
  <c r="H129" i="1"/>
  <c r="I129" i="1" s="1"/>
  <c r="H128" i="1"/>
  <c r="I128" i="1" s="1"/>
  <c r="K127" i="1"/>
  <c r="H127" i="1"/>
  <c r="I127" i="1" s="1"/>
  <c r="H126" i="1"/>
  <c r="I126" i="1" s="1"/>
  <c r="K125" i="1"/>
  <c r="H125" i="1"/>
  <c r="I125" i="1" s="1"/>
  <c r="H124" i="1"/>
  <c r="I124" i="1" s="1"/>
  <c r="K123" i="1"/>
  <c r="H123" i="1"/>
  <c r="I123" i="1" s="1"/>
  <c r="H122" i="1"/>
  <c r="I122" i="1" s="1"/>
  <c r="K121" i="1"/>
  <c r="H121" i="1"/>
  <c r="I121" i="1" s="1"/>
  <c r="I120" i="1"/>
  <c r="K119" i="1"/>
  <c r="H119" i="1"/>
  <c r="I119" i="1" s="1"/>
  <c r="H118" i="1"/>
  <c r="I118" i="1" s="1"/>
  <c r="K117" i="1"/>
  <c r="H117" i="1"/>
  <c r="I117" i="1" s="1"/>
  <c r="H116" i="1"/>
  <c r="I116" i="1" s="1"/>
  <c r="K115" i="1"/>
  <c r="H115" i="1"/>
  <c r="I115" i="1" s="1"/>
  <c r="H114" i="1"/>
  <c r="I114" i="1" s="1"/>
  <c r="K113" i="1"/>
  <c r="H113" i="1"/>
  <c r="I113" i="1" s="1"/>
  <c r="H112" i="1"/>
  <c r="I112" i="1" s="1"/>
  <c r="K111" i="1"/>
  <c r="H111" i="1"/>
  <c r="I111" i="1" s="1"/>
  <c r="H110" i="1"/>
  <c r="I110" i="1" s="1"/>
  <c r="K109" i="1"/>
  <c r="H109" i="1"/>
  <c r="I109" i="1" s="1"/>
  <c r="H108" i="1"/>
  <c r="I108" i="1" s="1"/>
  <c r="K107" i="1"/>
  <c r="H107" i="1"/>
  <c r="I107" i="1" s="1"/>
  <c r="H106" i="1"/>
  <c r="I106" i="1" s="1"/>
  <c r="K105" i="1"/>
  <c r="H105" i="1"/>
  <c r="I105" i="1" s="1"/>
  <c r="H104" i="1"/>
  <c r="I104" i="1" s="1"/>
  <c r="K103" i="1"/>
  <c r="H103" i="1"/>
  <c r="I103" i="1" s="1"/>
  <c r="H102" i="1"/>
  <c r="I102" i="1" s="1"/>
  <c r="K101" i="1"/>
  <c r="H101" i="1"/>
  <c r="I101" i="1" s="1"/>
  <c r="H100" i="1"/>
  <c r="I100" i="1" s="1"/>
  <c r="K99" i="1"/>
  <c r="H99" i="1"/>
  <c r="I99" i="1" s="1"/>
  <c r="H98" i="1"/>
  <c r="I98" i="1" s="1"/>
  <c r="K97" i="1"/>
  <c r="H97" i="1"/>
  <c r="I97" i="1" s="1"/>
  <c r="H96" i="1"/>
  <c r="I96" i="1" s="1"/>
  <c r="K95" i="1"/>
  <c r="H95" i="1"/>
  <c r="I95" i="1" s="1"/>
  <c r="H94" i="1"/>
  <c r="I94" i="1" s="1"/>
  <c r="K93" i="1"/>
  <c r="H93" i="1"/>
  <c r="I93" i="1" s="1"/>
  <c r="H92" i="1"/>
  <c r="I92" i="1" s="1"/>
  <c r="K91" i="1"/>
  <c r="H91" i="1"/>
  <c r="I91" i="1" s="1"/>
  <c r="H90" i="1"/>
  <c r="I90" i="1" s="1"/>
  <c r="K89" i="1"/>
  <c r="H89" i="1"/>
  <c r="I89" i="1" s="1"/>
  <c r="B89" i="1"/>
  <c r="B91" i="1" s="1"/>
  <c r="B93" i="1" s="1"/>
  <c r="B95" i="1" s="1"/>
  <c r="B97" i="1" s="1"/>
  <c r="B99" i="1" s="1"/>
  <c r="B101" i="1" s="1"/>
  <c r="B103" i="1" s="1"/>
  <c r="B105" i="1" s="1"/>
  <c r="B107" i="1" s="1"/>
  <c r="B109" i="1" s="1"/>
  <c r="B111" i="1" s="1"/>
  <c r="B113" i="1" s="1"/>
  <c r="B115" i="1" s="1"/>
  <c r="B117" i="1" s="1"/>
  <c r="B119" i="1" s="1"/>
  <c r="B121" i="1" s="1"/>
  <c r="B123" i="1" s="1"/>
  <c r="B125" i="1" s="1"/>
  <c r="B127" i="1" s="1"/>
  <c r="B129" i="1" s="1"/>
  <c r="B131" i="1" s="1"/>
  <c r="B133" i="1" s="1"/>
  <c r="B135" i="1" s="1"/>
  <c r="B137" i="1" s="1"/>
  <c r="B139" i="1" s="1"/>
  <c r="B141" i="1" s="1"/>
  <c r="B143" i="1" s="1"/>
  <c r="B145" i="1" s="1"/>
  <c r="B147" i="1" s="1"/>
  <c r="B149" i="1" s="1"/>
  <c r="B151" i="1" s="1"/>
  <c r="B153" i="1" s="1"/>
  <c r="B155" i="1" s="1"/>
  <c r="B157" i="1" s="1"/>
  <c r="B159" i="1" s="1"/>
  <c r="B161" i="1" s="1"/>
  <c r="B163" i="1" s="1"/>
  <c r="B165" i="1" s="1"/>
  <c r="B167" i="1" s="1"/>
  <c r="B169" i="1" s="1"/>
  <c r="B171" i="1" s="1"/>
  <c r="H88" i="1"/>
  <c r="I88" i="1" s="1"/>
  <c r="K87" i="1"/>
  <c r="H87" i="1"/>
  <c r="I87" i="1" s="1"/>
  <c r="H86" i="1"/>
  <c r="I86" i="1" s="1"/>
  <c r="K85" i="1"/>
  <c r="H85" i="1"/>
  <c r="I85" i="1" s="1"/>
  <c r="H84" i="1"/>
  <c r="I84" i="1" s="1"/>
  <c r="K83" i="1"/>
  <c r="H83" i="1"/>
  <c r="I83" i="1" s="1"/>
  <c r="H82" i="1"/>
  <c r="I82" i="1" s="1"/>
  <c r="K81" i="1"/>
  <c r="H81" i="1"/>
  <c r="I81" i="1" s="1"/>
  <c r="H80" i="1"/>
  <c r="I80" i="1" s="1"/>
  <c r="K79" i="1"/>
  <c r="H79" i="1"/>
  <c r="I79" i="1" s="1"/>
  <c r="B79" i="1"/>
  <c r="B81" i="1" s="1"/>
  <c r="B83" i="1" s="1"/>
  <c r="B85" i="1" s="1"/>
  <c r="B87" i="1" s="1"/>
  <c r="H78" i="1"/>
  <c r="I78" i="1" s="1"/>
  <c r="K77" i="1"/>
  <c r="H77" i="1"/>
  <c r="I77" i="1" s="1"/>
  <c r="B77" i="1"/>
  <c r="H76" i="1"/>
  <c r="I76" i="1" s="1"/>
  <c r="K75" i="1"/>
  <c r="H75" i="1"/>
  <c r="I75" i="1" s="1"/>
  <c r="H74" i="1"/>
  <c r="I74" i="1" s="1"/>
  <c r="K73" i="1"/>
  <c r="H73" i="1"/>
  <c r="I73" i="1" s="1"/>
  <c r="H72" i="1"/>
  <c r="I72" i="1" s="1"/>
  <c r="K71" i="1"/>
  <c r="H71" i="1"/>
  <c r="I71" i="1" s="1"/>
  <c r="H70" i="1"/>
  <c r="I70" i="1" s="1"/>
  <c r="K69" i="1"/>
  <c r="H69" i="1"/>
  <c r="I69" i="1" s="1"/>
  <c r="H68" i="1"/>
  <c r="I68" i="1" s="1"/>
  <c r="K67" i="1"/>
  <c r="H67" i="1"/>
  <c r="I67" i="1" s="1"/>
  <c r="H66" i="1"/>
  <c r="I66" i="1" s="1"/>
  <c r="K65" i="1"/>
  <c r="H65" i="1"/>
  <c r="I65" i="1" s="1"/>
  <c r="B65" i="1"/>
  <c r="B67" i="1" s="1"/>
  <c r="B69" i="1" s="1"/>
  <c r="B71" i="1" s="1"/>
  <c r="B73" i="1" s="1"/>
  <c r="B75" i="1" s="1"/>
  <c r="H64" i="1"/>
  <c r="I64" i="1" s="1"/>
  <c r="K63" i="1"/>
  <c r="H63" i="1"/>
  <c r="I63" i="1" s="1"/>
  <c r="H62" i="1"/>
  <c r="I62" i="1" s="1"/>
  <c r="K61" i="1"/>
  <c r="H61" i="1"/>
  <c r="I61" i="1" s="1"/>
  <c r="H60" i="1"/>
  <c r="I60" i="1" s="1"/>
  <c r="K59" i="1"/>
  <c r="H59" i="1"/>
  <c r="I59" i="1" s="1"/>
  <c r="H58" i="1"/>
  <c r="I58" i="1" s="1"/>
  <c r="K57" i="1"/>
  <c r="H57" i="1"/>
  <c r="I57" i="1" s="1"/>
  <c r="H56" i="1"/>
  <c r="I56" i="1" s="1"/>
  <c r="K55" i="1"/>
  <c r="H55" i="1"/>
  <c r="I55" i="1" s="1"/>
  <c r="H54" i="1"/>
  <c r="I54" i="1" s="1"/>
  <c r="K53" i="1"/>
  <c r="H53" i="1"/>
  <c r="I53" i="1" s="1"/>
  <c r="B53" i="1"/>
  <c r="B55" i="1" s="1"/>
  <c r="B57" i="1" s="1"/>
  <c r="B59" i="1" s="1"/>
  <c r="B61" i="1" s="1"/>
  <c r="B63" i="1" s="1"/>
  <c r="H52" i="1"/>
  <c r="I52" i="1" s="1"/>
  <c r="K51" i="1"/>
  <c r="H51" i="1"/>
  <c r="I51" i="1" s="1"/>
  <c r="H50" i="1"/>
  <c r="I50" i="1" s="1"/>
  <c r="K49" i="1"/>
  <c r="H49" i="1"/>
  <c r="I49" i="1" s="1"/>
  <c r="H48" i="1"/>
  <c r="I48" i="1" s="1"/>
  <c r="K47" i="1"/>
  <c r="H47" i="1"/>
  <c r="I47" i="1" s="1"/>
  <c r="H46" i="1"/>
  <c r="I46" i="1" s="1"/>
  <c r="K45" i="1"/>
  <c r="H45" i="1"/>
  <c r="I45" i="1" s="1"/>
  <c r="H44" i="1"/>
  <c r="I44" i="1" s="1"/>
  <c r="K43" i="1"/>
  <c r="H43" i="1"/>
  <c r="I43" i="1" s="1"/>
  <c r="H42" i="1"/>
  <c r="I42" i="1" s="1"/>
  <c r="K41" i="1"/>
  <c r="H41" i="1"/>
  <c r="I41" i="1" s="1"/>
  <c r="B41" i="1"/>
  <c r="B43" i="1" s="1"/>
  <c r="B45" i="1" s="1"/>
  <c r="B47" i="1" s="1"/>
  <c r="B49" i="1" s="1"/>
  <c r="B51" i="1" s="1"/>
  <c r="H40" i="1"/>
  <c r="I40" i="1" s="1"/>
  <c r="K39" i="1"/>
  <c r="H39" i="1"/>
  <c r="I39" i="1" s="1"/>
  <c r="H38" i="1"/>
  <c r="I38" i="1" s="1"/>
  <c r="K37" i="1"/>
  <c r="H37" i="1"/>
  <c r="I37" i="1" s="1"/>
  <c r="H36" i="1"/>
  <c r="I36" i="1" s="1"/>
  <c r="K35" i="1"/>
  <c r="H35" i="1"/>
  <c r="I35" i="1" s="1"/>
  <c r="H34" i="1"/>
  <c r="I34" i="1" s="1"/>
  <c r="K33" i="1"/>
  <c r="H33" i="1"/>
  <c r="I33" i="1" s="1"/>
  <c r="H32" i="1"/>
  <c r="I32" i="1" s="1"/>
  <c r="K31" i="1"/>
  <c r="H31" i="1"/>
  <c r="I31" i="1" s="1"/>
  <c r="H30" i="1"/>
  <c r="I30" i="1" s="1"/>
  <c r="K29" i="1"/>
  <c r="H29" i="1"/>
  <c r="I29" i="1" s="1"/>
  <c r="B29" i="1"/>
  <c r="B31" i="1" s="1"/>
  <c r="B33" i="1" s="1"/>
  <c r="B35" i="1" s="1"/>
  <c r="B37" i="1" s="1"/>
  <c r="B39" i="1" s="1"/>
  <c r="H28" i="1"/>
  <c r="I28" i="1" s="1"/>
  <c r="K27" i="1"/>
  <c r="H27" i="1"/>
  <c r="I27" i="1" s="1"/>
  <c r="H26" i="1"/>
  <c r="I26" i="1" s="1"/>
  <c r="K25" i="1"/>
  <c r="H25" i="1"/>
  <c r="I25" i="1" s="1"/>
  <c r="H24" i="1"/>
  <c r="I24" i="1" s="1"/>
  <c r="K23" i="1"/>
  <c r="H23" i="1"/>
  <c r="I23" i="1" s="1"/>
  <c r="H22" i="1"/>
  <c r="I22" i="1" s="1"/>
  <c r="K21" i="1"/>
  <c r="H21" i="1"/>
  <c r="I21" i="1" s="1"/>
  <c r="H20" i="1"/>
  <c r="I20" i="1" s="1"/>
  <c r="K19" i="1"/>
  <c r="H19" i="1"/>
  <c r="I19" i="1" s="1"/>
  <c r="H18" i="1"/>
  <c r="I18" i="1" s="1"/>
  <c r="K17" i="1"/>
  <c r="H17" i="1"/>
  <c r="I17" i="1" s="1"/>
  <c r="B17" i="1"/>
  <c r="B19" i="1" s="1"/>
  <c r="B21" i="1" s="1"/>
  <c r="B23" i="1" s="1"/>
  <c r="B25" i="1" s="1"/>
  <c r="B27" i="1" s="1"/>
  <c r="H16" i="1"/>
  <c r="I16" i="1" s="1"/>
  <c r="K15" i="1"/>
  <c r="H15" i="1"/>
  <c r="I15" i="1" s="1"/>
  <c r="B15" i="1"/>
  <c r="H14" i="1"/>
  <c r="I14" i="1" s="1"/>
  <c r="K13" i="1"/>
  <c r="H13" i="1"/>
  <c r="I13" i="1" s="1"/>
  <c r="B13" i="1"/>
  <c r="H12" i="1"/>
  <c r="I12" i="1" s="1"/>
  <c r="K11" i="1"/>
  <c r="H11" i="1"/>
  <c r="I11" i="1" s="1"/>
  <c r="B11" i="1"/>
  <c r="H10" i="1"/>
  <c r="I10" i="1" s="1"/>
  <c r="K9" i="1"/>
  <c r="H9" i="1"/>
  <c r="I9" i="1" s="1"/>
  <c r="B9" i="1"/>
  <c r="I6" i="1"/>
  <c r="I5" i="1"/>
  <c r="I4" i="1"/>
  <c r="H8" i="1"/>
  <c r="I8" i="1" s="1"/>
  <c r="K7" i="1"/>
  <c r="H7" i="1"/>
  <c r="I7" i="1" s="1"/>
  <c r="B7" i="1"/>
  <c r="B5" i="1"/>
  <c r="H6" i="1"/>
  <c r="K5" i="1"/>
  <c r="H5" i="1"/>
  <c r="K3" i="1"/>
  <c r="H3" i="1"/>
  <c r="KU14" i="4" l="1"/>
  <c r="KY14" i="4" s="1"/>
  <c r="LP14" i="4"/>
  <c r="LR14" i="4" s="1"/>
  <c r="KT14" i="4"/>
  <c r="KX14" i="4" s="1"/>
  <c r="LQ14" i="4"/>
  <c r="LS14" i="4" s="1"/>
  <c r="KS14" i="4"/>
  <c r="KW14" i="4" s="1"/>
  <c r="KR14" i="4"/>
  <c r="KV14" i="4" s="1"/>
  <c r="LX12" i="4"/>
  <c r="MB12" i="4" s="1"/>
  <c r="MS12" i="4"/>
  <c r="MU12" i="4" s="1"/>
  <c r="LU12" i="4"/>
  <c r="LY12" i="4" s="1"/>
  <c r="LW12" i="4"/>
  <c r="MA12" i="4" s="1"/>
  <c r="MT12" i="4"/>
  <c r="MV12" i="4" s="1"/>
  <c r="LV12" i="4"/>
  <c r="LZ12" i="4" s="1"/>
  <c r="LP10" i="4"/>
  <c r="LR10" i="4" s="1"/>
  <c r="LQ10" i="4"/>
  <c r="LS10" i="4" s="1"/>
  <c r="KU10" i="4"/>
  <c r="KY10" i="4" s="1"/>
  <c r="KS10" i="4"/>
  <c r="KW10" i="4" s="1"/>
  <c r="KT10" i="4"/>
  <c r="KX10" i="4" s="1"/>
  <c r="KR10" i="4"/>
  <c r="KV10" i="4" s="1"/>
  <c r="LP16" i="4"/>
  <c r="LR16" i="4" s="1"/>
  <c r="KT16" i="4"/>
  <c r="KX16" i="4" s="1"/>
  <c r="KR16" i="4"/>
  <c r="KV16" i="4" s="1"/>
  <c r="LQ16" i="4"/>
  <c r="LS16" i="4" s="1"/>
  <c r="KS16" i="4"/>
  <c r="KW16" i="4" s="1"/>
  <c r="KU16" i="4"/>
  <c r="KY16" i="4" s="1"/>
  <c r="HK26" i="4"/>
  <c r="HO26" i="4" s="1"/>
  <c r="IH26" i="4"/>
  <c r="IJ26" i="4" s="1"/>
  <c r="HJ26" i="4"/>
  <c r="HN26" i="4" s="1"/>
  <c r="HL26" i="4"/>
  <c r="HP26" i="4" s="1"/>
  <c r="HI26" i="4"/>
  <c r="HM26" i="4" s="1"/>
  <c r="IG26" i="4"/>
  <c r="II26" i="4" s="1"/>
  <c r="DV34" i="4"/>
  <c r="IJ2" i="4"/>
  <c r="DC34" i="4"/>
  <c r="GI34" i="4"/>
  <c r="GM34" i="4" s="1"/>
  <c r="HD34" i="4"/>
  <c r="HF34" i="4" s="1"/>
  <c r="GH34" i="4"/>
  <c r="GL34" i="4" s="1"/>
  <c r="GG34" i="4"/>
  <c r="GK34" i="4" s="1"/>
  <c r="HE34" i="4"/>
  <c r="HG34" i="4" s="1"/>
  <c r="GF34" i="4"/>
  <c r="GJ34" i="4" s="1"/>
  <c r="GH18" i="4"/>
  <c r="GL18" i="4" s="1"/>
  <c r="HE18" i="4"/>
  <c r="HG18" i="4" s="1"/>
  <c r="GG18" i="4"/>
  <c r="GK18" i="4" s="1"/>
  <c r="HD18" i="4"/>
  <c r="HF18" i="4" s="1"/>
  <c r="GF18" i="4"/>
  <c r="GJ18" i="4" s="1"/>
  <c r="GI18" i="4"/>
  <c r="GM18" i="4" s="1"/>
  <c r="HL10" i="4"/>
  <c r="HP10" i="4" s="1"/>
  <c r="HK10" i="4"/>
  <c r="HO10" i="4" s="1"/>
  <c r="IH10" i="4"/>
  <c r="IJ10" i="4" s="1"/>
  <c r="HJ10" i="4"/>
  <c r="HN10" i="4" s="1"/>
  <c r="IG10" i="4"/>
  <c r="II10" i="4" s="1"/>
  <c r="HI10" i="4"/>
  <c r="HM10" i="4" s="1"/>
  <c r="HE36" i="4"/>
  <c r="HG36" i="4" s="1"/>
  <c r="GG36" i="4"/>
  <c r="GK36" i="4" s="1"/>
  <c r="GF36" i="4"/>
  <c r="GJ36" i="4" s="1"/>
  <c r="HD36" i="4"/>
  <c r="HF36" i="4" s="1"/>
  <c r="GI36" i="4"/>
  <c r="GM36" i="4" s="1"/>
  <c r="GH36" i="4"/>
  <c r="GL36" i="4" s="1"/>
  <c r="CZ34" i="4"/>
  <c r="DW34" i="4"/>
  <c r="II2" i="4"/>
  <c r="HO2" i="4"/>
  <c r="HL32" i="4"/>
  <c r="HP32" i="4" s="1"/>
  <c r="HI32" i="4"/>
  <c r="HM32" i="4" s="1"/>
  <c r="IH32" i="4"/>
  <c r="IJ32" i="4" s="1"/>
  <c r="IG32" i="4"/>
  <c r="II32" i="4" s="1"/>
  <c r="HK32" i="4"/>
  <c r="HO32" i="4" s="1"/>
  <c r="HJ32" i="4"/>
  <c r="HN32" i="4" s="1"/>
  <c r="HL6" i="4"/>
  <c r="HP6" i="4" s="1"/>
  <c r="HK6" i="4"/>
  <c r="HO6" i="4" s="1"/>
  <c r="IH6" i="4"/>
  <c r="IJ6" i="4" s="1"/>
  <c r="HJ6" i="4"/>
  <c r="HN6" i="4" s="1"/>
  <c r="HI6" i="4"/>
  <c r="HM6" i="4" s="1"/>
  <c r="IG6" i="4"/>
  <c r="II6" i="4" s="1"/>
  <c r="HL14" i="4"/>
  <c r="HP14" i="4" s="1"/>
  <c r="IG14" i="4"/>
  <c r="II14" i="4" s="1"/>
  <c r="HK14" i="4"/>
  <c r="HO14" i="4" s="1"/>
  <c r="HJ14" i="4"/>
  <c r="HN14" i="4" s="1"/>
  <c r="HI14" i="4"/>
  <c r="HM14" i="4" s="1"/>
  <c r="IH14" i="4"/>
  <c r="IJ14" i="4" s="1"/>
  <c r="HE28" i="4"/>
  <c r="HG28" i="4" s="1"/>
  <c r="GG28" i="4"/>
  <c r="GK28" i="4" s="1"/>
  <c r="HD28" i="4"/>
  <c r="HF28" i="4" s="1"/>
  <c r="GF28" i="4"/>
  <c r="GJ28" i="4" s="1"/>
  <c r="GI28" i="4"/>
  <c r="GM28" i="4" s="1"/>
  <c r="GH28" i="4"/>
  <c r="GL28" i="4" s="1"/>
  <c r="HL16" i="4"/>
  <c r="HP16" i="4" s="1"/>
  <c r="HK16" i="4"/>
  <c r="HO16" i="4" s="1"/>
  <c r="IH16" i="4"/>
  <c r="IJ16" i="4" s="1"/>
  <c r="HJ16" i="4"/>
  <c r="HN16" i="4" s="1"/>
  <c r="HI16" i="4"/>
  <c r="HM16" i="4" s="1"/>
  <c r="IG16" i="4"/>
  <c r="II16" i="4" s="1"/>
  <c r="HK20" i="4"/>
  <c r="HO20" i="4" s="1"/>
  <c r="IH20" i="4"/>
  <c r="IJ20" i="4" s="1"/>
  <c r="IG20" i="4"/>
  <c r="II20" i="4" s="1"/>
  <c r="HL20" i="4"/>
  <c r="HP20" i="4" s="1"/>
  <c r="HJ20" i="4"/>
  <c r="HN20" i="4" s="1"/>
  <c r="HI20" i="4"/>
  <c r="HM20" i="4" s="1"/>
  <c r="HE24" i="4"/>
  <c r="HG24" i="4" s="1"/>
  <c r="GG24" i="4"/>
  <c r="GK24" i="4" s="1"/>
  <c r="HD24" i="4"/>
  <c r="HF24" i="4" s="1"/>
  <c r="GI24" i="4"/>
  <c r="GM24" i="4" s="1"/>
  <c r="GH24" i="4"/>
  <c r="GL24" i="4" s="1"/>
  <c r="GF24" i="4"/>
  <c r="GJ24" i="4" s="1"/>
  <c r="GI22" i="4"/>
  <c r="GM22" i="4" s="1"/>
  <c r="HE22" i="4"/>
  <c r="HG22" i="4" s="1"/>
  <c r="GG22" i="4"/>
  <c r="GK22" i="4" s="1"/>
  <c r="HD22" i="4"/>
  <c r="HF22" i="4" s="1"/>
  <c r="GF22" i="4"/>
  <c r="GJ22" i="4" s="1"/>
  <c r="GH22" i="4"/>
  <c r="GL22" i="4" s="1"/>
  <c r="IH30" i="4"/>
  <c r="IJ30" i="4" s="1"/>
  <c r="HJ30" i="4"/>
  <c r="HN30" i="4" s="1"/>
  <c r="HK30" i="4"/>
  <c r="HO30" i="4" s="1"/>
  <c r="HI30" i="4"/>
  <c r="HM30" i="4" s="1"/>
  <c r="IG30" i="4"/>
  <c r="II30" i="4" s="1"/>
  <c r="HL30" i="4"/>
  <c r="HP30" i="4" s="1"/>
  <c r="DA34" i="4"/>
  <c r="DB34" i="4"/>
  <c r="HL38" i="4"/>
  <c r="HP38" i="4" s="1"/>
  <c r="HK38" i="4"/>
  <c r="HO38" i="4" s="1"/>
  <c r="IG38" i="4"/>
  <c r="II38" i="4" s="1"/>
  <c r="HI38" i="4"/>
  <c r="HM38" i="4" s="1"/>
  <c r="HJ38" i="4"/>
  <c r="HN38" i="4" s="1"/>
  <c r="IH38" i="4"/>
  <c r="IJ38" i="4" s="1"/>
  <c r="HM2" i="4"/>
  <c r="HF40" i="3"/>
  <c r="HG22" i="3"/>
  <c r="GL28" i="3"/>
  <c r="HG32" i="3"/>
  <c r="HM2" i="3"/>
  <c r="GJ40" i="3"/>
  <c r="GJ22" i="3"/>
  <c r="HF22" i="3"/>
  <c r="HM14" i="3"/>
  <c r="GM28" i="3"/>
  <c r="HF32" i="3"/>
  <c r="HN2" i="3"/>
  <c r="II2" i="3"/>
  <c r="II14" i="3"/>
  <c r="GM40" i="3"/>
  <c r="GL22" i="3"/>
  <c r="GK40" i="3"/>
  <c r="GJ28" i="3"/>
  <c r="GK26" i="3"/>
  <c r="GJ26" i="3"/>
  <c r="GK22" i="3"/>
  <c r="HM24" i="3"/>
  <c r="IJ34" i="3"/>
  <c r="IJ2" i="3"/>
  <c r="HP2" i="3"/>
  <c r="HK27" i="3"/>
  <c r="IG27" i="3"/>
  <c r="HI27" i="3"/>
  <c r="IH27" i="3"/>
  <c r="HL27" i="3"/>
  <c r="HJ27" i="3"/>
  <c r="IH5" i="3"/>
  <c r="IJ4" i="3" s="1"/>
  <c r="HJ5" i="3"/>
  <c r="HN4" i="3" s="1"/>
  <c r="IG5" i="3"/>
  <c r="II4" i="3" s="1"/>
  <c r="HI5" i="3"/>
  <c r="HM4" i="3" s="1"/>
  <c r="HL5" i="3"/>
  <c r="HP4" i="3" s="1"/>
  <c r="HK5" i="3"/>
  <c r="HO4" i="3" s="1"/>
  <c r="HO14" i="3"/>
  <c r="GK28" i="3"/>
  <c r="IG32" i="3"/>
  <c r="HI32" i="3"/>
  <c r="HK32" i="3"/>
  <c r="HL32" i="3"/>
  <c r="IH32" i="3"/>
  <c r="HJ32" i="3"/>
  <c r="IG40" i="3"/>
  <c r="HI40" i="3"/>
  <c r="HL40" i="3"/>
  <c r="IH40" i="3"/>
  <c r="HJ40" i="3"/>
  <c r="HK40" i="3"/>
  <c r="HG26" i="3"/>
  <c r="HF26" i="3"/>
  <c r="HK39" i="3"/>
  <c r="IG39" i="3"/>
  <c r="II38" i="3" s="1"/>
  <c r="HI39" i="3"/>
  <c r="HM38" i="3" s="1"/>
  <c r="HJ39" i="3"/>
  <c r="IH39" i="3"/>
  <c r="HL39" i="3"/>
  <c r="HO24" i="3"/>
  <c r="HN24" i="3"/>
  <c r="HO38" i="3"/>
  <c r="HK23" i="3"/>
  <c r="IH23" i="3"/>
  <c r="HJ23" i="3"/>
  <c r="IG23" i="3"/>
  <c r="HI23" i="3"/>
  <c r="HL23" i="3"/>
  <c r="HN34" i="3"/>
  <c r="HM34" i="3"/>
  <c r="IG41" i="3"/>
  <c r="HI41" i="3"/>
  <c r="HL41" i="3"/>
  <c r="HK41" i="3"/>
  <c r="HJ41" i="3"/>
  <c r="IH41" i="3"/>
  <c r="HN38" i="3"/>
  <c r="IH30" i="3"/>
  <c r="IJ30" i="3" s="1"/>
  <c r="HJ30" i="3"/>
  <c r="HN30" i="3" s="1"/>
  <c r="IG30" i="3"/>
  <c r="II30" i="3" s="1"/>
  <c r="HI30" i="3"/>
  <c r="HM30" i="3" s="1"/>
  <c r="HL30" i="3"/>
  <c r="HP30" i="3" s="1"/>
  <c r="HK30" i="3"/>
  <c r="HO30" i="3" s="1"/>
  <c r="HP14" i="3"/>
  <c r="HF28" i="3"/>
  <c r="GJ32" i="3"/>
  <c r="IH37" i="3"/>
  <c r="IJ36" i="3" s="1"/>
  <c r="HJ37" i="3"/>
  <c r="HN36" i="3" s="1"/>
  <c r="HL37" i="3"/>
  <c r="HP36" i="3" s="1"/>
  <c r="IG37" i="3"/>
  <c r="II36" i="3" s="1"/>
  <c r="HK37" i="3"/>
  <c r="HO36" i="3" s="1"/>
  <c r="HI37" i="3"/>
  <c r="HM36" i="3" s="1"/>
  <c r="GL40" i="3"/>
  <c r="GM26" i="3"/>
  <c r="HL26" i="3"/>
  <c r="HP26" i="3" s="1"/>
  <c r="IH26" i="3"/>
  <c r="HJ26" i="3"/>
  <c r="HK26" i="3"/>
  <c r="HO26" i="3" s="1"/>
  <c r="IG26" i="3"/>
  <c r="HI26" i="3"/>
  <c r="HM26" i="3" s="1"/>
  <c r="HK29" i="3"/>
  <c r="IG29" i="3"/>
  <c r="HJ29" i="3"/>
  <c r="HI29" i="3"/>
  <c r="IH29" i="3"/>
  <c r="HL29" i="3"/>
  <c r="HL22" i="3"/>
  <c r="IH22" i="3"/>
  <c r="HJ22" i="3"/>
  <c r="HK22" i="3"/>
  <c r="IG22" i="3"/>
  <c r="HI22" i="3"/>
  <c r="HP24" i="3"/>
  <c r="IJ24" i="3"/>
  <c r="HL7" i="3"/>
  <c r="HK7" i="3"/>
  <c r="HO6" i="3" s="1"/>
  <c r="IH7" i="3"/>
  <c r="IJ6" i="3" s="1"/>
  <c r="HJ7" i="3"/>
  <c r="HN6" i="3" s="1"/>
  <c r="IG7" i="3"/>
  <c r="II6" i="3" s="1"/>
  <c r="HI7" i="3"/>
  <c r="HM6" i="3" s="1"/>
  <c r="HP38" i="3"/>
  <c r="HP34" i="3"/>
  <c r="HO34" i="3"/>
  <c r="HL28" i="3"/>
  <c r="HJ28" i="3"/>
  <c r="HI28" i="3"/>
  <c r="HM28" i="3" s="1"/>
  <c r="IH28" i="3"/>
  <c r="IG28" i="3"/>
  <c r="HK28" i="3"/>
  <c r="HO2" i="3"/>
  <c r="IH9" i="3"/>
  <c r="IJ8" i="3" s="1"/>
  <c r="HJ9" i="3"/>
  <c r="HN8" i="3" s="1"/>
  <c r="HL9" i="3"/>
  <c r="HP8" i="3" s="1"/>
  <c r="IG9" i="3"/>
  <c r="II8" i="3" s="1"/>
  <c r="HK9" i="3"/>
  <c r="HO8" i="3" s="1"/>
  <c r="HI9" i="3"/>
  <c r="HM8" i="3" s="1"/>
  <c r="HL19" i="3"/>
  <c r="HP18" i="3" s="1"/>
  <c r="HK19" i="3"/>
  <c r="HO18" i="3" s="1"/>
  <c r="IH19" i="3"/>
  <c r="IJ18" i="3" s="1"/>
  <c r="HJ19" i="3"/>
  <c r="HN18" i="3" s="1"/>
  <c r="HI19" i="3"/>
  <c r="HM18" i="3" s="1"/>
  <c r="IG19" i="3"/>
  <c r="II18" i="3" s="1"/>
  <c r="HP6" i="3"/>
  <c r="GL26" i="3"/>
  <c r="IG21" i="3"/>
  <c r="II20" i="3" s="1"/>
  <c r="HI21" i="3"/>
  <c r="HM20" i="3" s="1"/>
  <c r="HK21" i="3"/>
  <c r="IH21" i="3"/>
  <c r="HL21" i="3"/>
  <c r="HP20" i="3" s="1"/>
  <c r="HJ21" i="3"/>
  <c r="HN20" i="3" s="1"/>
  <c r="HO20" i="3"/>
  <c r="IJ20" i="3"/>
  <c r="II24" i="3"/>
  <c r="HL33" i="3"/>
  <c r="IH33" i="3"/>
  <c r="HJ33" i="3"/>
  <c r="HI33" i="3"/>
  <c r="IG33" i="3"/>
  <c r="HK33" i="3"/>
  <c r="IJ38" i="3"/>
  <c r="II34" i="3"/>
  <c r="IH13" i="3"/>
  <c r="IJ12" i="3" s="1"/>
  <c r="HJ13" i="3"/>
  <c r="HN12" i="3" s="1"/>
  <c r="HL13" i="3"/>
  <c r="HP12" i="3" s="1"/>
  <c r="HK13" i="3"/>
  <c r="HO12" i="3" s="1"/>
  <c r="HI13" i="3"/>
  <c r="HM12" i="3" s="1"/>
  <c r="IG13" i="3"/>
  <c r="II12" i="3" s="1"/>
  <c r="LX10" i="4" l="1"/>
  <c r="MB10" i="4" s="1"/>
  <c r="LV10" i="4"/>
  <c r="LZ10" i="4" s="1"/>
  <c r="MS10" i="4"/>
  <c r="MU10" i="4" s="1"/>
  <c r="LW10" i="4"/>
  <c r="MA10" i="4" s="1"/>
  <c r="LU10" i="4"/>
  <c r="LY10" i="4" s="1"/>
  <c r="MT10" i="4"/>
  <c r="MV10" i="4" s="1"/>
  <c r="LX14" i="4"/>
  <c r="MB14" i="4" s="1"/>
  <c r="LW14" i="4"/>
  <c r="MA14" i="4" s="1"/>
  <c r="LU14" i="4"/>
  <c r="LY14" i="4" s="1"/>
  <c r="MT14" i="4"/>
  <c r="MV14" i="4" s="1"/>
  <c r="LV14" i="4"/>
  <c r="LZ14" i="4" s="1"/>
  <c r="MS14" i="4"/>
  <c r="MU14" i="4" s="1"/>
  <c r="MT16" i="4"/>
  <c r="MV16" i="4" s="1"/>
  <c r="LW16" i="4"/>
  <c r="MA16" i="4" s="1"/>
  <c r="LX16" i="4"/>
  <c r="MB16" i="4" s="1"/>
  <c r="LU16" i="4"/>
  <c r="LY16" i="4" s="1"/>
  <c r="MS16" i="4"/>
  <c r="MU16" i="4" s="1"/>
  <c r="LV16" i="4"/>
  <c r="LZ16" i="4" s="1"/>
  <c r="KT18" i="4"/>
  <c r="KX18" i="4" s="1"/>
  <c r="KR18" i="4"/>
  <c r="KV18" i="4" s="1"/>
  <c r="LQ18" i="4"/>
  <c r="LS18" i="4" s="1"/>
  <c r="KU18" i="4"/>
  <c r="KY18" i="4" s="1"/>
  <c r="KS18" i="4"/>
  <c r="KW18" i="4" s="1"/>
  <c r="LP18" i="4"/>
  <c r="LR18" i="4" s="1"/>
  <c r="IG36" i="4"/>
  <c r="II36" i="4" s="1"/>
  <c r="HI36" i="4"/>
  <c r="HM36" i="4" s="1"/>
  <c r="HK36" i="4"/>
  <c r="HO36" i="4" s="1"/>
  <c r="IH36" i="4"/>
  <c r="IJ36" i="4" s="1"/>
  <c r="HL36" i="4"/>
  <c r="HP36" i="4" s="1"/>
  <c r="HJ36" i="4"/>
  <c r="HN36" i="4" s="1"/>
  <c r="IH18" i="4"/>
  <c r="IJ18" i="4" s="1"/>
  <c r="HJ18" i="4"/>
  <c r="HN18" i="4" s="1"/>
  <c r="IG18" i="4"/>
  <c r="II18" i="4" s="1"/>
  <c r="HI18" i="4"/>
  <c r="HM18" i="4" s="1"/>
  <c r="HL18" i="4"/>
  <c r="HP18" i="4" s="1"/>
  <c r="HK18" i="4"/>
  <c r="HO18" i="4" s="1"/>
  <c r="HK22" i="4"/>
  <c r="HO22" i="4" s="1"/>
  <c r="IG22" i="4"/>
  <c r="II22" i="4" s="1"/>
  <c r="HI22" i="4"/>
  <c r="HM22" i="4" s="1"/>
  <c r="HL22" i="4"/>
  <c r="HP22" i="4" s="1"/>
  <c r="IH22" i="4"/>
  <c r="IJ22" i="4" s="1"/>
  <c r="HJ22" i="4"/>
  <c r="HN22" i="4" s="1"/>
  <c r="IG24" i="4"/>
  <c r="II24" i="4" s="1"/>
  <c r="HI24" i="4"/>
  <c r="HM24" i="4" s="1"/>
  <c r="HJ24" i="4"/>
  <c r="HN24" i="4" s="1"/>
  <c r="IH24" i="4"/>
  <c r="IJ24" i="4" s="1"/>
  <c r="HL24" i="4"/>
  <c r="HP24" i="4" s="1"/>
  <c r="HK24" i="4"/>
  <c r="HO24" i="4" s="1"/>
  <c r="IG28" i="4"/>
  <c r="II28" i="4" s="1"/>
  <c r="HI28" i="4"/>
  <c r="HM28" i="4" s="1"/>
  <c r="HL28" i="4"/>
  <c r="HP28" i="4" s="1"/>
  <c r="HK28" i="4"/>
  <c r="HO28" i="4" s="1"/>
  <c r="HJ28" i="4"/>
  <c r="HN28" i="4" s="1"/>
  <c r="IH28" i="4"/>
  <c r="IJ28" i="4" s="1"/>
  <c r="HK34" i="4"/>
  <c r="HO34" i="4" s="1"/>
  <c r="HI34" i="4"/>
  <c r="HM34" i="4" s="1"/>
  <c r="IH34" i="4"/>
  <c r="IJ34" i="4" s="1"/>
  <c r="IG34" i="4"/>
  <c r="II34" i="4" s="1"/>
  <c r="HL34" i="4"/>
  <c r="HP34" i="4" s="1"/>
  <c r="HJ34" i="4"/>
  <c r="HN34" i="4" s="1"/>
  <c r="HO28" i="3"/>
  <c r="II22" i="3"/>
  <c r="IJ26" i="3"/>
  <c r="HN22" i="3"/>
  <c r="HN28" i="3"/>
  <c r="HO22" i="3"/>
  <c r="HM22" i="3"/>
  <c r="HP40" i="3"/>
  <c r="HM32" i="3"/>
  <c r="HO40" i="3"/>
  <c r="HM40" i="3"/>
  <c r="IJ32" i="3"/>
  <c r="II32" i="3"/>
  <c r="HN32" i="3"/>
  <c r="II28" i="3"/>
  <c r="IJ28" i="3"/>
  <c r="HP28" i="3"/>
  <c r="IJ22" i="3"/>
  <c r="HN26" i="3"/>
  <c r="HN40" i="3"/>
  <c r="II40" i="3"/>
  <c r="HP32" i="3"/>
  <c r="HP22" i="3"/>
  <c r="II26" i="3"/>
  <c r="IJ40" i="3"/>
  <c r="HO32" i="3"/>
  <c r="MT18" i="4" l="1"/>
  <c r="MV18" i="4" s="1"/>
  <c r="LW18" i="4"/>
  <c r="MA18" i="4" s="1"/>
  <c r="LX18" i="4"/>
  <c r="MB18" i="4" s="1"/>
  <c r="LU18" i="4"/>
  <c r="LY18" i="4" s="1"/>
  <c r="LV18" i="4"/>
  <c r="LZ18" i="4" s="1"/>
  <c r="MS18" i="4"/>
  <c r="MU18" i="4" s="1"/>
  <c r="P17" i="1" l="1"/>
  <c r="O17" i="1" s="1"/>
  <c r="P18" i="1" l="1"/>
  <c r="O18" i="1" s="1"/>
  <c r="P19" i="1" l="1"/>
  <c r="O19" i="1" s="1"/>
  <c r="P20" i="1" l="1"/>
  <c r="O20" i="1" s="1"/>
  <c r="P21" i="1" l="1"/>
  <c r="O21" i="1" s="1"/>
  <c r="P22" i="1" l="1"/>
  <c r="O22" i="1" s="1"/>
  <c r="P23" i="1" l="1"/>
  <c r="O23" i="1" s="1"/>
  <c r="P24" i="1" l="1"/>
  <c r="O24" i="1" s="1"/>
  <c r="P25" i="1" l="1"/>
  <c r="O25" i="1" s="1"/>
  <c r="P26" i="1" l="1"/>
  <c r="O26" i="1" s="1"/>
  <c r="P27" i="1" l="1"/>
  <c r="O27" i="1" s="1"/>
  <c r="P28" i="1" l="1"/>
  <c r="O28" i="1" s="1"/>
  <c r="P29" i="1" l="1"/>
  <c r="O29" i="1" s="1"/>
  <c r="P30" i="1" l="1"/>
  <c r="O30" i="1" s="1"/>
  <c r="P31" i="1" l="1"/>
  <c r="O31" i="1" s="1"/>
  <c r="P32" i="1" l="1"/>
  <c r="O32" i="1" s="1"/>
  <c r="P33" i="1" l="1"/>
  <c r="O33" i="1" s="1"/>
  <c r="P34" i="1" l="1"/>
  <c r="O34" i="1" s="1"/>
  <c r="P35" i="1" l="1"/>
  <c r="O35" i="1" s="1"/>
  <c r="P36" i="1" l="1"/>
  <c r="O36" i="1" s="1"/>
  <c r="P37" i="1" l="1"/>
  <c r="O37" i="1" s="1"/>
  <c r="P38" i="1" l="1"/>
  <c r="O38" i="1" s="1"/>
  <c r="P39" i="1" l="1"/>
  <c r="O39" i="1" s="1"/>
  <c r="P40" i="1" l="1"/>
  <c r="O40" i="1" s="1"/>
  <c r="P41" i="1" l="1"/>
  <c r="O41" i="1" s="1"/>
  <c r="P42" i="1" l="1"/>
  <c r="O42" i="1" s="1"/>
  <c r="P43" i="1" l="1"/>
  <c r="O43" i="1" s="1"/>
  <c r="P44" i="1" l="1"/>
  <c r="O44" i="1" s="1"/>
  <c r="P45" i="1" l="1"/>
  <c r="O45" i="1" s="1"/>
  <c r="P46" i="1" l="1"/>
  <c r="O46" i="1" s="1"/>
  <c r="P47" i="1" l="1"/>
  <c r="O47" i="1" s="1"/>
  <c r="P48" i="1" l="1"/>
  <c r="O48" i="1" s="1"/>
  <c r="P49" i="1" l="1"/>
  <c r="O49" i="1" s="1"/>
  <c r="P50" i="1" l="1"/>
  <c r="O50" i="1" s="1"/>
  <c r="P51" i="1" l="1"/>
  <c r="O51" i="1" s="1"/>
  <c r="P52" i="1" l="1"/>
  <c r="O52" i="1" s="1"/>
  <c r="P53" i="1" l="1"/>
  <c r="O53" i="1" s="1"/>
  <c r="P54" i="1" l="1"/>
  <c r="O54" i="1" s="1"/>
  <c r="P55" i="1" l="1"/>
  <c r="O55" i="1" s="1"/>
  <c r="P56" i="1" l="1"/>
  <c r="O56" i="1" s="1"/>
  <c r="P57" i="1" l="1"/>
  <c r="O57" i="1" s="1"/>
  <c r="P58" i="1" l="1"/>
  <c r="O58" i="1" s="1"/>
  <c r="P59" i="1" l="1"/>
  <c r="O59" i="1" s="1"/>
  <c r="P60" i="1" l="1"/>
  <c r="O60" i="1" s="1"/>
  <c r="P61" i="1" l="1"/>
  <c r="O61" i="1" s="1"/>
  <c r="P62" i="1" l="1"/>
  <c r="O62" i="1" s="1"/>
  <c r="P63" i="1" l="1"/>
  <c r="O63" i="1" s="1"/>
  <c r="P64" i="1" l="1"/>
  <c r="O64" i="1" s="1"/>
  <c r="P65" i="1" l="1"/>
  <c r="O65" i="1" s="1"/>
  <c r="P66" i="1" l="1"/>
  <c r="O66" i="1" s="1"/>
  <c r="P69" i="1" l="1"/>
  <c r="O69" i="1" s="1"/>
  <c r="P70" i="1" l="1"/>
  <c r="O70" i="1" s="1"/>
  <c r="P71" i="1" l="1"/>
  <c r="O71" i="1" s="1"/>
  <c r="P72" i="1" l="1"/>
  <c r="O72" i="1" s="1"/>
  <c r="P73" i="1" l="1"/>
  <c r="O73" i="1" s="1"/>
  <c r="P74" i="1" l="1"/>
  <c r="O74" i="1" s="1"/>
  <c r="P75" i="1" l="1"/>
  <c r="O75" i="1" s="1"/>
  <c r="P76" i="1" l="1"/>
  <c r="O76" i="1" s="1"/>
  <c r="P79" i="1" l="1"/>
  <c r="O79" i="1" s="1"/>
  <c r="P80" i="1" l="1"/>
  <c r="O80" i="1" s="1"/>
  <c r="P81" i="1" l="1"/>
  <c r="O81" i="1" s="1"/>
  <c r="P82" i="1" l="1"/>
  <c r="O82" i="1" s="1"/>
  <c r="P83" i="1" l="1"/>
  <c r="O83" i="1" s="1"/>
  <c r="P84" i="1" l="1"/>
  <c r="O84" i="1" s="1"/>
  <c r="P85" i="1" l="1"/>
  <c r="O85" i="1" s="1"/>
  <c r="P86" i="1" l="1"/>
  <c r="O86" i="1" s="1"/>
  <c r="P87" i="1" l="1"/>
  <c r="O87" i="1" s="1"/>
  <c r="P88" i="1" l="1"/>
  <c r="O88" i="1" s="1"/>
  <c r="P89" i="1" l="1"/>
  <c r="O89" i="1" s="1"/>
  <c r="P90" i="1" l="1"/>
  <c r="O90" i="1" s="1"/>
  <c r="P91" i="1" l="1"/>
  <c r="O91" i="1" s="1"/>
  <c r="P92" i="1" l="1"/>
  <c r="O92" i="1" s="1"/>
  <c r="P93" i="1" l="1"/>
  <c r="O93" i="1" s="1"/>
  <c r="P94" i="1" l="1"/>
  <c r="O94" i="1" s="1"/>
  <c r="P95" i="1" l="1"/>
  <c r="O95" i="1" s="1"/>
  <c r="P96" i="1" l="1"/>
  <c r="O96" i="1" s="1"/>
  <c r="P97" i="1" l="1"/>
  <c r="O97" i="1" s="1"/>
  <c r="P98" i="1" l="1"/>
  <c r="O98" i="1" s="1"/>
  <c r="P99" i="1" l="1"/>
  <c r="O99" i="1" s="1"/>
  <c r="P100" i="1" l="1"/>
  <c r="O100" i="1" s="1"/>
  <c r="P101" i="1" l="1"/>
  <c r="O101" i="1" s="1"/>
  <c r="P102" i="1" l="1"/>
  <c r="O102" i="1" s="1"/>
  <c r="P103" i="1" l="1"/>
  <c r="O103" i="1" s="1"/>
  <c r="P104" i="1" l="1"/>
  <c r="O104" i="1" s="1"/>
  <c r="P105" i="1" l="1"/>
  <c r="O105" i="1" s="1"/>
  <c r="P106" i="1" l="1"/>
  <c r="O106" i="1" s="1"/>
  <c r="P107" i="1" l="1"/>
  <c r="O107" i="1" s="1"/>
  <c r="P108" i="1" l="1"/>
  <c r="O108" i="1" s="1"/>
  <c r="P109" i="1" l="1"/>
  <c r="O109" i="1" s="1"/>
  <c r="P110" i="1" l="1"/>
  <c r="O110" i="1" s="1"/>
  <c r="P111" i="1" l="1"/>
  <c r="O111" i="1" s="1"/>
  <c r="P112" i="1" l="1"/>
  <c r="O112" i="1" s="1"/>
  <c r="P113" i="1" l="1"/>
  <c r="O113" i="1" s="1"/>
  <c r="P114" i="1" l="1"/>
  <c r="O114" i="1" s="1"/>
  <c r="P115" i="1" l="1"/>
  <c r="O115" i="1" s="1"/>
  <c r="P116" i="1" l="1"/>
  <c r="O116" i="1" s="1"/>
  <c r="P117" i="1" l="1"/>
  <c r="O117" i="1" s="1"/>
  <c r="P118" i="1" l="1"/>
  <c r="O118" i="1" s="1"/>
  <c r="P121" i="1" l="1"/>
  <c r="O121" i="1" s="1"/>
  <c r="P122" i="1" l="1"/>
  <c r="O122" i="1" s="1"/>
  <c r="P123" i="1" l="1"/>
  <c r="O123" i="1" s="1"/>
  <c r="P124" i="1" l="1"/>
  <c r="O124" i="1" s="1"/>
  <c r="P125" i="1" l="1"/>
  <c r="O125" i="1" s="1"/>
  <c r="P126" i="1" l="1"/>
  <c r="O126" i="1" s="1"/>
  <c r="P127" i="1" l="1"/>
  <c r="O127" i="1" s="1"/>
  <c r="P128" i="1" l="1"/>
  <c r="O128" i="1" s="1"/>
  <c r="P129" i="1" l="1"/>
  <c r="O129" i="1" s="1"/>
  <c r="P130" i="1" l="1"/>
  <c r="O130" i="1" s="1"/>
  <c r="P131" i="1" l="1"/>
  <c r="O131" i="1" s="1"/>
  <c r="P132" i="1" l="1"/>
  <c r="O132" i="1" s="1"/>
  <c r="P133" i="1" l="1"/>
  <c r="O133" i="1" s="1"/>
  <c r="P134" i="1" l="1"/>
  <c r="O134" i="1" s="1"/>
  <c r="P135" i="1" l="1"/>
  <c r="O135" i="1" s="1"/>
  <c r="P136" i="1" l="1"/>
  <c r="O136" i="1" s="1"/>
  <c r="P137" i="1" l="1"/>
  <c r="O137" i="1" s="1"/>
  <c r="P138" i="1" l="1"/>
  <c r="O138" i="1" s="1"/>
  <c r="P139" i="1" l="1"/>
  <c r="O139" i="1" s="1"/>
  <c r="P140" i="1" l="1"/>
  <c r="O140" i="1" s="1"/>
  <c r="P141" i="1" l="1"/>
  <c r="O141" i="1" s="1"/>
  <c r="P142" i="1" l="1"/>
  <c r="O142" i="1" s="1"/>
  <c r="P143" i="1" l="1"/>
  <c r="O143" i="1" s="1"/>
  <c r="P144" i="1" l="1"/>
  <c r="O144" i="1" s="1"/>
  <c r="P145" i="1" l="1"/>
  <c r="O145" i="1" s="1"/>
  <c r="P146" i="1" l="1"/>
  <c r="O146" i="1" s="1"/>
  <c r="P147" i="1" l="1"/>
  <c r="O147" i="1" s="1"/>
  <c r="P148" i="1" l="1"/>
  <c r="O148" i="1" s="1"/>
  <c r="P149" i="1" l="1"/>
  <c r="O149" i="1" s="1"/>
  <c r="P150" i="1" l="1"/>
  <c r="O150" i="1" s="1"/>
  <c r="P151" i="1" l="1"/>
  <c r="O151" i="1" s="1"/>
  <c r="P152" i="1" l="1"/>
  <c r="O152" i="1" s="1"/>
  <c r="P153" i="1" l="1"/>
  <c r="O153" i="1" s="1"/>
  <c r="P154" i="1" l="1"/>
  <c r="O154" i="1" s="1"/>
  <c r="P155" i="1" l="1"/>
  <c r="O155" i="1" s="1"/>
  <c r="P156" i="1" l="1"/>
  <c r="O156" i="1" s="1"/>
  <c r="P157" i="1" l="1"/>
  <c r="O157" i="1" s="1"/>
  <c r="P158" i="1" l="1"/>
  <c r="O158" i="1" s="1"/>
  <c r="P159" i="1" l="1"/>
  <c r="O159" i="1" s="1"/>
  <c r="P160" i="1" l="1"/>
  <c r="O160" i="1" s="1"/>
  <c r="P161" i="1" l="1"/>
  <c r="O161" i="1" s="1"/>
  <c r="P162" i="1" l="1"/>
  <c r="O162" i="1" s="1"/>
  <c r="P163" i="1" l="1"/>
  <c r="O163" i="1" s="1"/>
  <c r="P164" i="1" l="1"/>
  <c r="O164" i="1" s="1"/>
  <c r="P165" i="1" l="1"/>
  <c r="O165" i="1" s="1"/>
  <c r="P166" i="1" l="1"/>
  <c r="O166" i="1" s="1"/>
  <c r="P167" i="1" l="1"/>
  <c r="O167" i="1" s="1"/>
  <c r="P168" i="1" l="1"/>
  <c r="O168" i="1" s="1"/>
  <c r="P169" i="1" l="1"/>
  <c r="O169" i="1" s="1"/>
  <c r="P170" i="1" l="1"/>
  <c r="O170" i="1" s="1"/>
  <c r="P171" i="1" l="1"/>
  <c r="O171" i="1" l="1"/>
  <c r="P172" i="1"/>
  <c r="O172" i="1" l="1"/>
  <c r="P173" i="1"/>
  <c r="P174" i="1" l="1"/>
  <c r="O173" i="1"/>
  <c r="O174" i="1" l="1"/>
  <c r="P177" i="1" l="1"/>
  <c r="O177" i="1" l="1"/>
  <c r="P178" i="1"/>
  <c r="O178" i="1" l="1"/>
  <c r="P179" i="1"/>
  <c r="O179" i="1" l="1"/>
  <c r="P180" i="1"/>
  <c r="O180" i="1" l="1"/>
  <c r="P183" i="1" l="1"/>
  <c r="O183" i="1" l="1"/>
  <c r="P184" i="1"/>
  <c r="O184" i="1" l="1"/>
  <c r="P185" i="1"/>
  <c r="O185" i="1" l="1"/>
  <c r="P186" i="1"/>
  <c r="O186" i="1" l="1"/>
  <c r="P187" i="1"/>
  <c r="O187" i="1" l="1"/>
  <c r="P188" i="1"/>
  <c r="O188" i="1" l="1"/>
  <c r="P189" i="1"/>
  <c r="O189" i="1" l="1"/>
  <c r="P190" i="1"/>
  <c r="O190" i="1" l="1"/>
  <c r="P191" i="1"/>
  <c r="O191" i="1" l="1"/>
  <c r="P192" i="1"/>
  <c r="O192" i="1" l="1"/>
  <c r="P193" i="1"/>
  <c r="O193" i="1" l="1"/>
  <c r="P194" i="1"/>
  <c r="O194" i="1" l="1"/>
  <c r="P195" i="1"/>
  <c r="O195" i="1" l="1"/>
  <c r="P196" i="1"/>
  <c r="O196" i="1" l="1"/>
  <c r="P197" i="1"/>
  <c r="O197" i="1" l="1"/>
  <c r="P198" i="1"/>
  <c r="O198" i="1" l="1"/>
  <c r="P199" i="1"/>
  <c r="O199" i="1" l="1"/>
  <c r="P200" i="1"/>
  <c r="O200" i="1" l="1"/>
  <c r="P201" i="1"/>
  <c r="O201" i="1" l="1"/>
  <c r="P202" i="1"/>
  <c r="O202" i="1" l="1"/>
  <c r="P203" i="1"/>
  <c r="O203" i="1" l="1"/>
  <c r="P204" i="1"/>
  <c r="O204" i="1" l="1"/>
  <c r="P205" i="1"/>
  <c r="O205" i="1" l="1"/>
  <c r="P206" i="1"/>
  <c r="O206" i="1" l="1"/>
  <c r="P207" i="1"/>
  <c r="O207" i="1" l="1"/>
  <c r="P208" i="1"/>
  <c r="O208" i="1" l="1"/>
  <c r="P209" i="1"/>
  <c r="O209" i="1" l="1"/>
  <c r="P210" i="1"/>
  <c r="O210" i="1" l="1"/>
  <c r="P211" i="1"/>
  <c r="O211" i="1" l="1"/>
  <c r="P212" i="1"/>
  <c r="O212" i="1" l="1"/>
  <c r="P213" i="1"/>
  <c r="O213" i="1" l="1"/>
  <c r="P214" i="1"/>
  <c r="O214" i="1" l="1"/>
  <c r="P215" i="1"/>
  <c r="O215" i="1" l="1"/>
  <c r="P216" i="1"/>
  <c r="O216" i="1" l="1"/>
  <c r="P217" i="1"/>
  <c r="O217" i="1" l="1"/>
  <c r="P218" i="1"/>
  <c r="O218" i="1" l="1"/>
  <c r="P219" i="1"/>
  <c r="O219" i="1" l="1"/>
  <c r="P220" i="1"/>
  <c r="O220" i="1" l="1"/>
  <c r="P221" i="1"/>
  <c r="O221" i="1" l="1"/>
  <c r="P222" i="1"/>
  <c r="O222" i="1" l="1"/>
  <c r="P223" i="1"/>
  <c r="O223" i="1" l="1"/>
  <c r="P224" i="1"/>
  <c r="O224" i="1" l="1"/>
  <c r="P225" i="1"/>
  <c r="O225" i="1" l="1"/>
  <c r="P226" i="1"/>
  <c r="O226" i="1" l="1"/>
  <c r="P227" i="1"/>
  <c r="O227" i="1" l="1"/>
  <c r="P228" i="1"/>
  <c r="O228" i="1" l="1"/>
  <c r="P229" i="1"/>
  <c r="O229" i="1" l="1"/>
  <c r="P230" i="1"/>
  <c r="O230" i="1" l="1"/>
  <c r="P231" i="1"/>
  <c r="O231" i="1" l="1"/>
  <c r="P232" i="1"/>
  <c r="O232" i="1" l="1"/>
  <c r="P233" i="1"/>
  <c r="O233" i="1" l="1"/>
  <c r="P234" i="1"/>
  <c r="O234" i="1" l="1"/>
  <c r="P235" i="1"/>
  <c r="O235" i="1" l="1"/>
  <c r="P236" i="1"/>
  <c r="O236" i="1" l="1"/>
  <c r="P237" i="1"/>
  <c r="O237" i="1" l="1"/>
  <c r="P238" i="1"/>
  <c r="O238" i="1" l="1"/>
  <c r="P241" i="1" l="1"/>
  <c r="O241" i="1" l="1"/>
  <c r="P242" i="1"/>
  <c r="O242" i="1" l="1"/>
  <c r="P243" i="1"/>
  <c r="O243" i="1" l="1"/>
  <c r="P244" i="1"/>
  <c r="O244" i="1" l="1"/>
  <c r="P245" i="1"/>
  <c r="O245" i="1" l="1"/>
  <c r="P246" i="1"/>
  <c r="O246" i="1" l="1"/>
  <c r="P247" i="1"/>
  <c r="O247" i="1" l="1"/>
  <c r="P248" i="1"/>
  <c r="P249" i="1" l="1"/>
  <c r="O248" i="1"/>
  <c r="O249" i="1" l="1"/>
  <c r="P250" i="1"/>
  <c r="O250" i="1" l="1"/>
  <c r="P251" i="1"/>
  <c r="O251" i="1" l="1"/>
  <c r="P252" i="1"/>
  <c r="O252" i="1" l="1"/>
  <c r="P253" i="1"/>
  <c r="O253" i="1" l="1"/>
  <c r="P254" i="1"/>
  <c r="O254" i="1" l="1"/>
  <c r="P255" i="1"/>
  <c r="O255" i="1" l="1"/>
  <c r="P256" i="1"/>
  <c r="O256" i="1" l="1"/>
  <c r="P257" i="1"/>
  <c r="O257" i="1" l="1"/>
  <c r="P258" i="1"/>
  <c r="P259" i="1" l="1"/>
  <c r="P260" i="1" l="1"/>
  <c r="P261" i="1" l="1"/>
  <c r="P262" i="1" l="1"/>
  <c r="P263" i="1" l="1"/>
  <c r="P264" i="1" l="1"/>
  <c r="P265" i="1" l="1"/>
  <c r="P266" i="1" l="1"/>
</calcChain>
</file>

<file path=xl/sharedStrings.xml><?xml version="1.0" encoding="utf-8"?>
<sst xmlns="http://schemas.openxmlformats.org/spreadsheetml/2006/main" count="3913" uniqueCount="321">
  <si>
    <t>L</t>
  </si>
  <si>
    <t>HEX_1</t>
  </si>
  <si>
    <t>HEX_2</t>
  </si>
  <si>
    <t>HEX_3</t>
  </si>
  <si>
    <t>HEX_4</t>
  </si>
  <si>
    <t>bit</t>
  </si>
  <si>
    <t>F(L,K)</t>
  </si>
  <si>
    <t>check</t>
  </si>
  <si>
    <t>K_HEX</t>
  </si>
  <si>
    <t>K_bit</t>
  </si>
  <si>
    <t>9c</t>
  </si>
  <si>
    <t>b8</t>
  </si>
  <si>
    <t>a3</t>
  </si>
  <si>
    <t>9e</t>
  </si>
  <si>
    <t>dd</t>
  </si>
  <si>
    <t>8d</t>
  </si>
  <si>
    <t>f0</t>
  </si>
  <si>
    <t>6c</t>
  </si>
  <si>
    <t>2b</t>
  </si>
  <si>
    <t>db</t>
  </si>
  <si>
    <t>0a</t>
  </si>
  <si>
    <t>fa</t>
  </si>
  <si>
    <t>d5</t>
  </si>
  <si>
    <t>b2</t>
  </si>
  <si>
    <t>b5</t>
  </si>
  <si>
    <t>bd</t>
  </si>
  <si>
    <t>4d</t>
  </si>
  <si>
    <t>d1</t>
  </si>
  <si>
    <t>7d</t>
  </si>
  <si>
    <t>c2</t>
  </si>
  <si>
    <t>df</t>
  </si>
  <si>
    <t>3f</t>
  </si>
  <si>
    <t>a7</t>
  </si>
  <si>
    <t>0f</t>
  </si>
  <si>
    <t>ea</t>
  </si>
  <si>
    <t>d6</t>
  </si>
  <si>
    <t>5f</t>
  </si>
  <si>
    <t>e9</t>
  </si>
  <si>
    <t>a4</t>
  </si>
  <si>
    <t>8e</t>
  </si>
  <si>
    <t>9b</t>
  </si>
  <si>
    <t>7b</t>
  </si>
  <si>
    <t>7f</t>
  </si>
  <si>
    <t>0b</t>
  </si>
  <si>
    <t>a8</t>
  </si>
  <si>
    <t>7c</t>
  </si>
  <si>
    <t>d8</t>
  </si>
  <si>
    <t>ff</t>
  </si>
  <si>
    <t>c5</t>
  </si>
  <si>
    <t>b6</t>
  </si>
  <si>
    <t>e2</t>
  </si>
  <si>
    <t>aa</t>
  </si>
  <si>
    <t>5e</t>
  </si>
  <si>
    <t>d7</t>
  </si>
  <si>
    <t>4e</t>
  </si>
  <si>
    <t>8a</t>
  </si>
  <si>
    <t>ef</t>
  </si>
  <si>
    <t>d2</t>
  </si>
  <si>
    <t>5c</t>
  </si>
  <si>
    <t>6a</t>
  </si>
  <si>
    <t>3d</t>
  </si>
  <si>
    <t>2d</t>
  </si>
  <si>
    <t>f3</t>
  </si>
  <si>
    <t>f6</t>
  </si>
  <si>
    <t>1c</t>
  </si>
  <si>
    <t>9f</t>
  </si>
  <si>
    <t>f8</t>
  </si>
  <si>
    <t>c0</t>
  </si>
  <si>
    <t>fe</t>
  </si>
  <si>
    <t>4b</t>
  </si>
  <si>
    <t>5d</t>
  </si>
  <si>
    <t>a1</t>
  </si>
  <si>
    <t>5a</t>
  </si>
  <si>
    <t>eb</t>
  </si>
  <si>
    <t>2f</t>
  </si>
  <si>
    <t>d3</t>
  </si>
  <si>
    <t>e8</t>
  </si>
  <si>
    <t>e6</t>
  </si>
  <si>
    <t>c3</t>
  </si>
  <si>
    <t>7e</t>
  </si>
  <si>
    <t>cf</t>
  </si>
  <si>
    <t>f4</t>
  </si>
  <si>
    <t>cd</t>
  </si>
  <si>
    <t>e7</t>
  </si>
  <si>
    <t>3c</t>
  </si>
  <si>
    <t>6f</t>
  </si>
  <si>
    <t>f9</t>
  </si>
  <si>
    <t>b3</t>
  </si>
  <si>
    <t>e1</t>
  </si>
  <si>
    <t>e3</t>
  </si>
  <si>
    <t>3b</t>
  </si>
  <si>
    <t>6e</t>
  </si>
  <si>
    <t>c8</t>
  </si>
  <si>
    <t>0d</t>
  </si>
  <si>
    <t>be</t>
  </si>
  <si>
    <t>1e</t>
  </si>
  <si>
    <t>f2</t>
  </si>
  <si>
    <t>6b</t>
  </si>
  <si>
    <t>2a</t>
  </si>
  <si>
    <t>a2</t>
  </si>
  <si>
    <t>f5</t>
  </si>
  <si>
    <t>dc</t>
  </si>
  <si>
    <t>bc</t>
  </si>
  <si>
    <t>af</t>
  </si>
  <si>
    <t>2e</t>
  </si>
  <si>
    <t>ed</t>
  </si>
  <si>
    <t>de</t>
  </si>
  <si>
    <t>cc</t>
  </si>
  <si>
    <t>6d</t>
  </si>
  <si>
    <t>b0</t>
  </si>
  <si>
    <t>fc</t>
  </si>
  <si>
    <t>da</t>
  </si>
  <si>
    <t>d0</t>
  </si>
  <si>
    <t>1b</t>
  </si>
  <si>
    <t>c4</t>
  </si>
  <si>
    <t>3a</t>
  </si>
  <si>
    <t>ae</t>
  </si>
  <si>
    <t>c1</t>
  </si>
  <si>
    <t>0c</t>
  </si>
  <si>
    <t>cb</t>
  </si>
  <si>
    <t>d4</t>
  </si>
  <si>
    <t>e4</t>
  </si>
  <si>
    <t>4c</t>
  </si>
  <si>
    <t>fb</t>
  </si>
  <si>
    <t>a0</t>
  </si>
  <si>
    <t>bf</t>
  </si>
  <si>
    <t>c6</t>
  </si>
  <si>
    <t>ad</t>
  </si>
  <si>
    <t>b1</t>
  </si>
  <si>
    <t>ec</t>
  </si>
  <si>
    <t>ca</t>
  </si>
  <si>
    <t>1f</t>
  </si>
  <si>
    <t>8c</t>
  </si>
  <si>
    <t>c7</t>
  </si>
  <si>
    <t>ee</t>
  </si>
  <si>
    <t>ba</t>
  </si>
  <si>
    <t>4f</t>
  </si>
  <si>
    <t>9a</t>
  </si>
  <si>
    <t>ce</t>
  </si>
  <si>
    <t>5b</t>
  </si>
  <si>
    <t>1d</t>
  </si>
  <si>
    <t>ab</t>
  </si>
  <si>
    <t>3e</t>
  </si>
  <si>
    <t>b7</t>
  </si>
  <si>
    <t>e0</t>
  </si>
  <si>
    <t>f7</t>
  </si>
  <si>
    <t>bb</t>
  </si>
  <si>
    <t>9d</t>
  </si>
  <si>
    <t>f1</t>
  </si>
  <si>
    <t>a9</t>
  </si>
  <si>
    <t>7a</t>
  </si>
  <si>
    <t>c9</t>
  </si>
  <si>
    <t>2c</t>
  </si>
  <si>
    <t>8f</t>
  </si>
  <si>
    <t>a5</t>
  </si>
  <si>
    <t>b4</t>
  </si>
  <si>
    <t>fd</t>
  </si>
  <si>
    <t>8b</t>
  </si>
  <si>
    <t>e5</t>
  </si>
  <si>
    <t>1a</t>
  </si>
  <si>
    <t>ac</t>
  </si>
  <si>
    <t>4a</t>
  </si>
  <si>
    <t>a6</t>
  </si>
  <si>
    <t>d9</t>
  </si>
  <si>
    <t>0e</t>
  </si>
  <si>
    <t>b9</t>
  </si>
  <si>
    <t>00001010010100111010010111010001</t>
  </si>
  <si>
    <t>00110100010110100110000110101010</t>
  </si>
  <si>
    <t>01110110111010101100110100011100</t>
  </si>
  <si>
    <t>10011001110000110100111010111101</t>
  </si>
  <si>
    <t>00010110000011111000101111001011</t>
  </si>
  <si>
    <t>01110001110110011110001001100001</t>
  </si>
  <si>
    <t>00010010010101001010101011010001</t>
  </si>
  <si>
    <t>00110101010110101000001001001010</t>
  </si>
  <si>
    <t>01010101110101111111110001010001</t>
  </si>
  <si>
    <t>00111111101010101110101010011010</t>
  </si>
  <si>
    <t>01100100000100110101100011110111</t>
  </si>
  <si>
    <t>11101011100111100110110000000010</t>
  </si>
  <si>
    <t>д</t>
  </si>
  <si>
    <t>11111010</t>
  </si>
  <si>
    <t>10111101</t>
  </si>
  <si>
    <t>11011000</t>
  </si>
  <si>
    <t>11001101</t>
  </si>
  <si>
    <t>11111001</t>
  </si>
  <si>
    <t>11010101</t>
  </si>
  <si>
    <t>11011100</t>
  </si>
  <si>
    <t>11011110</t>
  </si>
  <si>
    <t>11111100</t>
  </si>
  <si>
    <t>11100001</t>
  </si>
  <si>
    <t>11111000</t>
  </si>
  <si>
    <t>11000000</t>
  </si>
  <si>
    <t>01100100</t>
  </si>
  <si>
    <t>11110100</t>
  </si>
  <si>
    <t>11100111</t>
  </si>
  <si>
    <t>11001011</t>
  </si>
  <si>
    <t>11100100</t>
  </si>
  <si>
    <t>11000111</t>
  </si>
  <si>
    <t>11110011</t>
  </si>
  <si>
    <t>11100101</t>
  </si>
  <si>
    <t>11101110</t>
  </si>
  <si>
    <t>11101011</t>
  </si>
  <si>
    <t>10111000</t>
  </si>
  <si>
    <t>10111110</t>
  </si>
  <si>
    <t>11111111</t>
  </si>
  <si>
    <t>11110110</t>
  </si>
  <si>
    <t>11001010</t>
  </si>
  <si>
    <t>10111100</t>
  </si>
  <si>
    <t>11101010</t>
  </si>
  <si>
    <t>11110101</t>
  </si>
  <si>
    <t>11000001</t>
  </si>
  <si>
    <t>11000110</t>
  </si>
  <si>
    <t>11101101</t>
  </si>
  <si>
    <t>11010001</t>
  </si>
  <si>
    <t>11010110</t>
  </si>
  <si>
    <t>Перестановка L</t>
  </si>
  <si>
    <t>По байтам</t>
  </si>
  <si>
    <t>По 4 бита</t>
  </si>
  <si>
    <t>По 16 бит</t>
  </si>
  <si>
    <t>Перестановка L и XOR</t>
  </si>
  <si>
    <t>Разница в дес</t>
  </si>
  <si>
    <t>Перестановка L и XOR F</t>
  </si>
  <si>
    <t>Перестановка, XOR L и XOR F</t>
  </si>
  <si>
    <t>XOR L</t>
  </si>
  <si>
    <t>XOR и перестановка L</t>
  </si>
  <si>
    <t>XOR и перестановка L и XOR</t>
  </si>
  <si>
    <t>XOR и перестановка L и XOR F</t>
  </si>
  <si>
    <t>XOR и перестановка и XOR L и XOR F</t>
  </si>
  <si>
    <t>Перестановка F</t>
  </si>
  <si>
    <t>Перестановка F и XOR</t>
  </si>
  <si>
    <t>Перестановка F и XOR L</t>
  </si>
  <si>
    <t>Перестановка, XOR F и XOR L</t>
  </si>
  <si>
    <t>XOR F</t>
  </si>
  <si>
    <t>XOR и перестановка F</t>
  </si>
  <si>
    <t>XOR и перестановка F и XOR</t>
  </si>
  <si>
    <t>XOR и перестановка F и XOR L</t>
  </si>
  <si>
    <t>XOR и перестановка и XOR F и XOR L</t>
  </si>
  <si>
    <t>Перестановка F и перестановка L</t>
  </si>
  <si>
    <t>Перестановка и XOR F и перестановка L</t>
  </si>
  <si>
    <t>Перестановка F и перестановка L и XOR</t>
  </si>
  <si>
    <t>Перестановка, XOR F и перестановка, XOR L</t>
  </si>
  <si>
    <t>XOR F и XOR L</t>
  </si>
  <si>
    <t>XOR, перестановка F и перестановка L</t>
  </si>
  <si>
    <t>XOR, перестановка, XOR F и перестановка L</t>
  </si>
  <si>
    <t>XOR, перестановка, XOR F и XOR, перестановка L</t>
  </si>
  <si>
    <t>XOR и перестановка F и перестановка, XOR L</t>
  </si>
  <si>
    <t>XOR, перестановка L и перестановка F</t>
  </si>
  <si>
    <t>XOR, перестановка, XOR L и перестановка F</t>
  </si>
  <si>
    <t>XOR и перестановка L и перестановка, XOR F</t>
  </si>
  <si>
    <t>XOR, перестановка, XOR L и XOR, перестановка F</t>
  </si>
  <si>
    <t>10000000101010110100000110010000</t>
  </si>
  <si>
    <t>00011001101110001111001110110101</t>
  </si>
  <si>
    <t>10101010111111011011110001011000</t>
  </si>
  <si>
    <t>01000011111010100110111001111110</t>
  </si>
  <si>
    <t>11010011011001110011111110010010</t>
  </si>
  <si>
    <t>01101100011101001111000110110111</t>
  </si>
  <si>
    <t>10100001001101010010010001000101</t>
  </si>
  <si>
    <t>00111010001000101101011001101010</t>
  </si>
  <si>
    <t>11110010000010110000001001111000</t>
  </si>
  <si>
    <t>10001011000110001011010010011101</t>
  </si>
  <si>
    <t>01110011100100010000101001001101</t>
  </si>
  <si>
    <t>00001100100111101011110001110010</t>
  </si>
  <si>
    <t>10010100010011111000101101110010</t>
  </si>
  <si>
    <t>00101101010111000011110110011000</t>
  </si>
  <si>
    <t>01010110111100100110011010111100</t>
  </si>
  <si>
    <t>11101111111111100001100011100010</t>
  </si>
  <si>
    <t>01100001111000111111010110010000</t>
  </si>
  <si>
    <t>11011010011011110100011101110110</t>
  </si>
  <si>
    <t>11001110101000101010001001111110</t>
  </si>
  <si>
    <t>01000111001011111111010001100011</t>
  </si>
  <si>
    <t>01011001000101110110001010010110</t>
  </si>
  <si>
    <t>11010010100000111011001101111011</t>
  </si>
  <si>
    <t>10010001101111000011110001011011</t>
  </si>
  <si>
    <t>00001010001010011000111001000000</t>
  </si>
  <si>
    <t>01101110011001111101101011010000</t>
  </si>
  <si>
    <t>11100111111100110010101110110110</t>
  </si>
  <si>
    <t>10000100010101100000010001000011</t>
  </si>
  <si>
    <t>11111101110000100101010100101000</t>
  </si>
  <si>
    <t>11011010101011111010110011000100</t>
  </si>
  <si>
    <t>01010011001111001111111010101001</t>
  </si>
  <si>
    <t>11010100100100110001001101110111</t>
  </si>
  <si>
    <t>10001101000000000010011011011101</t>
  </si>
  <si>
    <t>10000101110100111100100000001110</t>
  </si>
  <si>
    <t>10100101010100111110100000101110</t>
  </si>
  <si>
    <t>10100000110110001011101100111001</t>
  </si>
  <si>
    <t>11000000010110001101101101011001</t>
  </si>
  <si>
    <t>Разница</t>
  </si>
  <si>
    <t>первый алгоритм</t>
  </si>
  <si>
    <t>сдвиг 1</t>
  </si>
  <si>
    <t>сдвиг 2</t>
  </si>
  <si>
    <t>сдвиг 3</t>
  </si>
  <si>
    <t>Выполнить xor</t>
  </si>
  <si>
    <t>Второй алгоритм</t>
  </si>
  <si>
    <t>сдвиг 4</t>
  </si>
  <si>
    <t>сдвиг 5</t>
  </si>
  <si>
    <t>Третий алгоритм</t>
  </si>
  <si>
    <t>Четвертый алгоритм</t>
  </si>
  <si>
    <t>Пятый алгоритм</t>
  </si>
  <si>
    <t>Шестой алгоритм</t>
  </si>
  <si>
    <t>сдвиг 6</t>
  </si>
  <si>
    <t>сдвиг 7</t>
  </si>
  <si>
    <t>xor</t>
  </si>
  <si>
    <t>Проверка</t>
  </si>
  <si>
    <t>Число для перебора XOR</t>
  </si>
  <si>
    <t xml:space="preserve"> </t>
  </si>
  <si>
    <t>сумма</t>
  </si>
  <si>
    <t>Выполнить sum</t>
  </si>
  <si>
    <t>hex</t>
  </si>
  <si>
    <t>bin</t>
  </si>
  <si>
    <t>10100110110000010110000100110110</t>
  </si>
  <si>
    <t>11010100110010100100010001000100</t>
  </si>
  <si>
    <t>00100000</t>
  </si>
  <si>
    <t>01101111001000000101011000110101</t>
  </si>
  <si>
    <t>11001011011001100110111000000100</t>
  </si>
  <si>
    <t>00000001</t>
  </si>
  <si>
    <t>11100110000111110101110100001001</t>
  </si>
  <si>
    <t>11101010000000010110010100001111</t>
  </si>
  <si>
    <t>01111011010110101001100001101001</t>
  </si>
  <si>
    <t>EE</t>
  </si>
  <si>
    <t>9E</t>
  </si>
  <si>
    <t>11001001</t>
  </si>
  <si>
    <t xml:space="preserve">01111011010110101001100001101001 </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</si>
</sst>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sz val="14"/>
      <color theme="1"/>
      <name val="Times New Roman"/>
      <family val="1"/>
      <charset val="204"/>
    </font>
    <font>
      <sz val="14"/>
      <color rgb="FF000000"/>
      <name val="Times New Roman"/>
      <family val="1"/>
      <charset val="204"/>
    </font>
  </fonts>
  <fills count="7">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theme="3" tint="0.59999389629810485"/>
        <bgColor indexed="64"/>
      </patternFill>
    </fill>
  </fills>
  <borders count="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02">
    <xf numFmtId="0" fontId="0" fillId="0" borderId="0" xfId="0"/>
    <xf numFmtId="0" fontId="1" fillId="0" borderId="0" xfId="0" applyFont="1"/>
    <xf numFmtId="0" fontId="1" fillId="0" borderId="2" xfId="0" applyFont="1" applyBorder="1" applyAlignment="1">
      <alignment vertical="center"/>
    </xf>
    <xf numFmtId="0" fontId="1" fillId="0" borderId="5" xfId="0" applyFont="1" applyBorder="1" applyAlignment="1">
      <alignment vertical="center"/>
    </xf>
    <xf numFmtId="0" fontId="1" fillId="0" borderId="2" xfId="0" applyFont="1" applyBorder="1" applyAlignment="1">
      <alignment horizontal="center" vertical="center"/>
    </xf>
    <xf numFmtId="0" fontId="1" fillId="0" borderId="5" xfId="0" applyFont="1" applyBorder="1" applyAlignment="1">
      <alignment horizontal="center" vertical="center"/>
    </xf>
    <xf numFmtId="0" fontId="1" fillId="2" borderId="2" xfId="0" applyFont="1" applyFill="1" applyBorder="1" applyAlignment="1">
      <alignment horizontal="center" vertical="center"/>
    </xf>
    <xf numFmtId="0" fontId="1" fillId="2" borderId="0" xfId="0" applyFont="1" applyFill="1"/>
    <xf numFmtId="49" fontId="1" fillId="2" borderId="2" xfId="0" applyNumberFormat="1" applyFont="1" applyFill="1" applyBorder="1" applyAlignment="1">
      <alignment horizontal="center" vertical="center" wrapText="1"/>
    </xf>
    <xf numFmtId="49" fontId="1" fillId="0" borderId="5" xfId="0" applyNumberFormat="1" applyFont="1" applyBorder="1" applyAlignment="1">
      <alignment horizontal="center" vertical="center"/>
    </xf>
    <xf numFmtId="49" fontId="1" fillId="0" borderId="2" xfId="0" applyNumberFormat="1" applyFont="1" applyBorder="1" applyAlignment="1">
      <alignment horizontal="center" vertical="center"/>
    </xf>
    <xf numFmtId="0" fontId="1" fillId="2" borderId="5" xfId="0" applyFont="1" applyFill="1" applyBorder="1" applyAlignment="1">
      <alignment horizontal="center" vertical="center"/>
    </xf>
    <xf numFmtId="49" fontId="1" fillId="2" borderId="5" xfId="0" applyNumberFormat="1" applyFont="1" applyFill="1" applyBorder="1" applyAlignment="1">
      <alignment horizontal="center" vertical="center"/>
    </xf>
    <xf numFmtId="49" fontId="1" fillId="0" borderId="0" xfId="0" applyNumberFormat="1" applyFont="1" applyAlignment="1">
      <alignment vertical="center"/>
    </xf>
    <xf numFmtId="0" fontId="1" fillId="0" borderId="0" xfId="0" applyFont="1" applyAlignment="1"/>
    <xf numFmtId="0" fontId="2" fillId="0" borderId="0" xfId="0" applyFont="1"/>
    <xf numFmtId="0" fontId="1" fillId="0" borderId="2" xfId="0" applyFont="1" applyBorder="1" applyAlignment="1">
      <alignment horizontal="center" vertical="center"/>
    </xf>
    <xf numFmtId="0" fontId="1" fillId="0" borderId="5" xfId="0" applyFont="1" applyBorder="1" applyAlignment="1">
      <alignment horizontal="center" vertical="center"/>
    </xf>
    <xf numFmtId="0" fontId="1" fillId="0" borderId="2" xfId="0" applyFont="1" applyBorder="1" applyAlignment="1">
      <alignment vertical="center"/>
    </xf>
    <xf numFmtId="0" fontId="1" fillId="0" borderId="5" xfId="0" applyFont="1" applyBorder="1" applyAlignment="1">
      <alignment vertical="center"/>
    </xf>
    <xf numFmtId="0" fontId="1" fillId="0" borderId="2" xfId="0" applyFont="1" applyBorder="1" applyAlignment="1">
      <alignment horizontal="center" vertical="center"/>
    </xf>
    <xf numFmtId="0" fontId="1" fillId="0" borderId="5" xfId="0" applyFont="1" applyBorder="1" applyAlignment="1">
      <alignment horizontal="center" vertical="center"/>
    </xf>
    <xf numFmtId="0" fontId="1" fillId="0" borderId="2" xfId="0" applyFont="1" applyBorder="1" applyAlignment="1">
      <alignment vertical="center"/>
    </xf>
    <xf numFmtId="0" fontId="1" fillId="0" borderId="5" xfId="0" applyFont="1" applyBorder="1" applyAlignment="1">
      <alignment vertical="center"/>
    </xf>
    <xf numFmtId="0" fontId="1" fillId="0" borderId="1" xfId="0" applyFont="1" applyBorder="1"/>
    <xf numFmtId="0" fontId="1" fillId="0" borderId="2" xfId="0" applyFont="1" applyFill="1" applyBorder="1" applyAlignment="1">
      <alignment vertical="center"/>
    </xf>
    <xf numFmtId="0" fontId="1" fillId="0" borderId="2" xfId="0" applyFont="1" applyBorder="1" applyAlignment="1"/>
    <xf numFmtId="0" fontId="1" fillId="0" borderId="2" xfId="0" applyFont="1" applyBorder="1"/>
    <xf numFmtId="0" fontId="1" fillId="0" borderId="4" xfId="0" applyFont="1" applyBorder="1"/>
    <xf numFmtId="0" fontId="1" fillId="0" borderId="5" xfId="0" applyFont="1" applyFill="1" applyBorder="1" applyAlignment="1">
      <alignment vertical="center"/>
    </xf>
    <xf numFmtId="0" fontId="1" fillId="0" borderId="5" xfId="0" applyFont="1" applyBorder="1" applyAlignment="1"/>
    <xf numFmtId="0" fontId="1" fillId="0" borderId="5" xfId="0" applyFont="1" applyBorder="1"/>
    <xf numFmtId="0" fontId="1" fillId="2" borderId="1" xfId="0" applyFont="1" applyFill="1" applyBorder="1"/>
    <xf numFmtId="0" fontId="1" fillId="2" borderId="2" xfId="0" applyFont="1" applyFill="1" applyBorder="1" applyAlignment="1">
      <alignment vertical="center"/>
    </xf>
    <xf numFmtId="0" fontId="1" fillId="2" borderId="2" xfId="0" applyFont="1" applyFill="1" applyBorder="1" applyAlignment="1"/>
    <xf numFmtId="0" fontId="1" fillId="2" borderId="2" xfId="0" applyFont="1" applyFill="1" applyBorder="1"/>
    <xf numFmtId="0" fontId="1" fillId="2" borderId="4" xfId="0" applyFont="1" applyFill="1" applyBorder="1"/>
    <xf numFmtId="0" fontId="1" fillId="2" borderId="5" xfId="0" applyFont="1" applyFill="1" applyBorder="1" applyAlignment="1">
      <alignment vertical="center"/>
    </xf>
    <xf numFmtId="0" fontId="1" fillId="2" borderId="5" xfId="0" applyFont="1" applyFill="1" applyBorder="1" applyAlignment="1"/>
    <xf numFmtId="0" fontId="1" fillId="2" borderId="5" xfId="0" applyFont="1" applyFill="1" applyBorder="1"/>
    <xf numFmtId="0" fontId="1" fillId="0" borderId="2" xfId="0" applyFont="1" applyBorder="1" applyAlignment="1">
      <alignment horizontal="center" vertical="center"/>
    </xf>
    <xf numFmtId="0" fontId="1" fillId="0" borderId="5" xfId="0" applyFont="1" applyBorder="1" applyAlignment="1">
      <alignment horizontal="center" vertical="center"/>
    </xf>
    <xf numFmtId="0" fontId="1" fillId="5" borderId="0" xfId="0" applyFont="1" applyFill="1"/>
    <xf numFmtId="0" fontId="1" fillId="5" borderId="2" xfId="0" applyFont="1" applyFill="1" applyBorder="1" applyAlignment="1"/>
    <xf numFmtId="0" fontId="1" fillId="5" borderId="5" xfId="0" applyFont="1" applyFill="1" applyBorder="1" applyAlignment="1"/>
    <xf numFmtId="0" fontId="1" fillId="5" borderId="2" xfId="0" applyFont="1" applyFill="1" applyBorder="1" applyAlignment="1">
      <alignment vertical="center"/>
    </xf>
    <xf numFmtId="0" fontId="1" fillId="5" borderId="5" xfId="0" applyFont="1" applyFill="1" applyBorder="1" applyAlignment="1">
      <alignment vertical="center"/>
    </xf>
    <xf numFmtId="0" fontId="1" fillId="5" borderId="2" xfId="0" applyFont="1" applyFill="1" applyBorder="1"/>
    <xf numFmtId="0" fontId="1" fillId="5" borderId="5" xfId="0" applyFont="1" applyFill="1" applyBorder="1"/>
    <xf numFmtId="0" fontId="1" fillId="0" borderId="0" xfId="0" applyFont="1" applyBorder="1" applyAlignment="1"/>
    <xf numFmtId="0" fontId="1" fillId="2" borderId="2" xfId="0" applyFont="1" applyFill="1" applyBorder="1" applyAlignment="1">
      <alignment horizontal="center" vertical="center"/>
    </xf>
    <xf numFmtId="0" fontId="1" fillId="2" borderId="5" xfId="0" applyFont="1" applyFill="1" applyBorder="1" applyAlignment="1">
      <alignment horizontal="center" vertical="center"/>
    </xf>
    <xf numFmtId="0" fontId="1" fillId="2" borderId="2" xfId="0" applyFont="1" applyFill="1" applyBorder="1" applyAlignment="1">
      <alignment horizontal="center" vertical="center"/>
    </xf>
    <xf numFmtId="0" fontId="1" fillId="2" borderId="5" xfId="0" applyFont="1" applyFill="1" applyBorder="1" applyAlignment="1">
      <alignment horizontal="center" vertical="center"/>
    </xf>
    <xf numFmtId="0" fontId="1" fillId="6" borderId="1" xfId="0" applyFont="1" applyFill="1" applyBorder="1"/>
    <xf numFmtId="0" fontId="1" fillId="6" borderId="2" xfId="0" applyFont="1" applyFill="1" applyBorder="1" applyAlignment="1">
      <alignment vertical="center"/>
    </xf>
    <xf numFmtId="0" fontId="1" fillId="6" borderId="2" xfId="0" applyFont="1" applyFill="1" applyBorder="1" applyAlignment="1">
      <alignment horizontal="center" vertical="center"/>
    </xf>
    <xf numFmtId="0" fontId="1" fillId="6" borderId="2" xfId="0" applyFont="1" applyFill="1" applyBorder="1" applyAlignment="1"/>
    <xf numFmtId="0" fontId="1" fillId="6" borderId="2" xfId="0" applyFont="1" applyFill="1" applyBorder="1"/>
    <xf numFmtId="0" fontId="1" fillId="6" borderId="4" xfId="0" applyFont="1" applyFill="1" applyBorder="1"/>
    <xf numFmtId="0" fontId="1" fillId="6" borderId="5" xfId="0" applyFont="1" applyFill="1" applyBorder="1" applyAlignment="1">
      <alignment vertical="center"/>
    </xf>
    <xf numFmtId="0" fontId="1" fillId="6" borderId="5" xfId="0" applyFont="1" applyFill="1" applyBorder="1" applyAlignment="1">
      <alignment horizontal="center" vertical="center"/>
    </xf>
    <xf numFmtId="0" fontId="1" fillId="6" borderId="5" xfId="0" applyFont="1" applyFill="1" applyBorder="1" applyAlignment="1"/>
    <xf numFmtId="0" fontId="1" fillId="6" borderId="5" xfId="0" applyFont="1" applyFill="1" applyBorder="1"/>
    <xf numFmtId="49" fontId="1" fillId="0" borderId="0" xfId="0" applyNumberFormat="1" applyFont="1"/>
    <xf numFmtId="0" fontId="1" fillId="0" borderId="8" xfId="0" applyFont="1" applyBorder="1"/>
    <xf numFmtId="0" fontId="1" fillId="0" borderId="2" xfId="0" applyFont="1" applyBorder="1" applyAlignment="1">
      <alignment horizontal="center" vertical="center"/>
    </xf>
    <xf numFmtId="0" fontId="1" fillId="0" borderId="5" xfId="0" applyFont="1" applyBorder="1" applyAlignment="1">
      <alignment horizontal="center" vertical="center"/>
    </xf>
    <xf numFmtId="0" fontId="1" fillId="0" borderId="3" xfId="0" applyFont="1" applyBorder="1" applyAlignment="1">
      <alignment horizontal="center" vertical="center"/>
    </xf>
    <xf numFmtId="0" fontId="1" fillId="0" borderId="6" xfId="0" applyFont="1" applyBorder="1" applyAlignment="1">
      <alignment horizontal="center" vertical="center"/>
    </xf>
    <xf numFmtId="0" fontId="1" fillId="0" borderId="0" xfId="0" applyFont="1" applyAlignment="1">
      <alignment horizontal="center" vertical="center"/>
    </xf>
    <xf numFmtId="0" fontId="1" fillId="0" borderId="2" xfId="0" applyFont="1" applyBorder="1" applyAlignment="1">
      <alignment horizontal="center" vertical="center"/>
    </xf>
    <xf numFmtId="0" fontId="1" fillId="0" borderId="2" xfId="0" applyFont="1" applyBorder="1" applyAlignment="1">
      <alignment horizontal="center" vertical="center"/>
    </xf>
    <xf numFmtId="0" fontId="1" fillId="0" borderId="1" xfId="0" applyFont="1" applyBorder="1" applyAlignment="1">
      <alignment vertical="center"/>
    </xf>
    <xf numFmtId="0" fontId="1" fillId="0" borderId="4" xfId="0" applyFont="1" applyBorder="1" applyAlignment="1">
      <alignment vertical="center"/>
    </xf>
    <xf numFmtId="0" fontId="1" fillId="0" borderId="1" xfId="0" applyFont="1" applyBorder="1" applyAlignment="1">
      <alignment horizontal="center" vertical="center"/>
    </xf>
    <xf numFmtId="0" fontId="1" fillId="0" borderId="4" xfId="0" applyFont="1" applyBorder="1" applyAlignment="1">
      <alignment horizontal="center" vertical="center"/>
    </xf>
    <xf numFmtId="0" fontId="1" fillId="0" borderId="2" xfId="0" applyFont="1" applyBorder="1" applyAlignment="1">
      <alignment horizontal="center" vertical="center"/>
    </xf>
    <xf numFmtId="0" fontId="1" fillId="0" borderId="5" xfId="0" applyFont="1" applyBorder="1" applyAlignment="1">
      <alignment horizontal="center" vertical="center"/>
    </xf>
    <xf numFmtId="0" fontId="1" fillId="0" borderId="3" xfId="0" applyFont="1" applyBorder="1" applyAlignment="1">
      <alignment horizontal="center" vertical="center"/>
    </xf>
    <xf numFmtId="0" fontId="1" fillId="0" borderId="6" xfId="0" applyFont="1" applyBorder="1" applyAlignment="1">
      <alignment horizontal="center" vertical="center"/>
    </xf>
    <xf numFmtId="0" fontId="1" fillId="3" borderId="1" xfId="0" applyFont="1" applyFill="1" applyBorder="1" applyAlignment="1">
      <alignment horizontal="center" vertical="center"/>
    </xf>
    <xf numFmtId="0" fontId="1" fillId="3" borderId="4" xfId="0" applyFont="1" applyFill="1" applyBorder="1" applyAlignment="1">
      <alignment horizontal="center" vertical="center"/>
    </xf>
    <xf numFmtId="0" fontId="1" fillId="4" borderId="1" xfId="0" applyFont="1" applyFill="1" applyBorder="1" applyAlignment="1">
      <alignment horizontal="center" vertical="center"/>
    </xf>
    <xf numFmtId="0" fontId="1" fillId="4" borderId="4" xfId="0" applyFont="1" applyFill="1" applyBorder="1" applyAlignment="1">
      <alignment horizontal="center" vertical="center"/>
    </xf>
    <xf numFmtId="0" fontId="1" fillId="2" borderId="1" xfId="0" applyFont="1" applyFill="1" applyBorder="1" applyAlignment="1">
      <alignment horizontal="center" vertical="center"/>
    </xf>
    <xf numFmtId="0" fontId="1" fillId="2" borderId="4" xfId="0" applyFont="1" applyFill="1" applyBorder="1" applyAlignment="1">
      <alignment horizontal="center" vertical="center"/>
    </xf>
    <xf numFmtId="0" fontId="1" fillId="2" borderId="2" xfId="0" applyFont="1" applyFill="1" applyBorder="1" applyAlignment="1">
      <alignment horizontal="center" vertical="center"/>
    </xf>
    <xf numFmtId="0" fontId="1" fillId="2" borderId="5" xfId="0" applyFont="1" applyFill="1" applyBorder="1" applyAlignment="1">
      <alignment horizontal="center" vertical="center"/>
    </xf>
    <xf numFmtId="0" fontId="1" fillId="2" borderId="3" xfId="0" applyFont="1" applyFill="1" applyBorder="1" applyAlignment="1">
      <alignment horizontal="center" vertical="center"/>
    </xf>
    <xf numFmtId="0" fontId="1" fillId="2" borderId="6" xfId="0" applyFont="1" applyFill="1" applyBorder="1" applyAlignment="1">
      <alignment horizontal="center" vertical="center"/>
    </xf>
    <xf numFmtId="0" fontId="1" fillId="0" borderId="7" xfId="0" applyFont="1" applyBorder="1" applyAlignment="1">
      <alignment horizontal="center" vertical="center"/>
    </xf>
    <xf numFmtId="0" fontId="1" fillId="0" borderId="2" xfId="0" applyFont="1" applyBorder="1" applyAlignment="1">
      <alignment vertical="center"/>
    </xf>
    <xf numFmtId="0" fontId="1" fillId="0" borderId="5" xfId="0" applyFont="1" applyBorder="1" applyAlignment="1">
      <alignment vertical="center"/>
    </xf>
    <xf numFmtId="0" fontId="1" fillId="0" borderId="0" xfId="0" applyFont="1" applyAlignment="1">
      <alignment horizontal="center"/>
    </xf>
    <xf numFmtId="0" fontId="1" fillId="0" borderId="0" xfId="0" applyFont="1" applyAlignment="1">
      <alignment horizontal="center" vertical="center"/>
    </xf>
    <xf numFmtId="0" fontId="1" fillId="0" borderId="3" xfId="0" applyFont="1" applyBorder="1" applyAlignment="1">
      <alignment vertical="center"/>
    </xf>
    <xf numFmtId="0" fontId="1" fillId="0" borderId="6" xfId="0" applyFont="1" applyBorder="1" applyAlignment="1">
      <alignment vertical="center"/>
    </xf>
    <xf numFmtId="0" fontId="1" fillId="0" borderId="0" xfId="0" applyFont="1" applyBorder="1" applyAlignment="1">
      <alignment horizontal="center"/>
    </xf>
    <xf numFmtId="0" fontId="1" fillId="0" borderId="5" xfId="0" applyFont="1" applyBorder="1" applyAlignment="1">
      <alignment horizontal="center"/>
    </xf>
    <xf numFmtId="0" fontId="1" fillId="6" borderId="2" xfId="0" applyFont="1" applyFill="1" applyBorder="1" applyAlignment="1">
      <alignment horizontal="center" vertical="center"/>
    </xf>
    <xf numFmtId="0" fontId="1" fillId="6" borderId="5" xfId="0" applyFont="1" applyFill="1" applyBorder="1" applyAlignment="1">
      <alignment horizontal="center" vertical="center"/>
    </xf>
  </cellXfs>
  <cellStyles count="1">
    <cellStyle name="Обычный" xfId="0" builtinId="0"/>
  </cellStyles>
  <dxfs count="903">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FF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FF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FF00"/>
        </patternFill>
      </fill>
    </dxf>
    <dxf>
      <fill>
        <patternFill>
          <bgColor rgb="FF92D050"/>
        </patternFill>
      </fill>
    </dxf>
    <dxf>
      <font>
        <b/>
        <i val="0"/>
        <color theme="0"/>
      </font>
      <fill>
        <patternFill>
          <bgColor rgb="FFFF0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b/>
        <i val="0"/>
        <color theme="0"/>
      </font>
      <fill>
        <patternFill>
          <bgColor rgb="FFFF0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AB692"/>
  <sheetViews>
    <sheetView tabSelected="1" topLeftCell="B1" zoomScale="90" zoomScaleNormal="90" workbookViewId="0">
      <selection activeCell="M9" sqref="M9"/>
    </sheetView>
  </sheetViews>
  <sheetFormatPr defaultRowHeight="18" x14ac:dyDescent="0.35"/>
  <cols>
    <col min="1" max="7" width="8.88671875" style="1"/>
    <col min="8" max="8" width="44.88671875" style="1" bestFit="1" customWidth="1"/>
    <col min="9" max="9" width="7" style="1" bestFit="1" customWidth="1"/>
    <col min="10" max="10" width="9" style="1" bestFit="1" customWidth="1"/>
    <col min="11" max="11" width="12.77734375" style="1" customWidth="1"/>
    <col min="12" max="13" width="45.44140625" style="1" bestFit="1" customWidth="1"/>
    <col min="14" max="15" width="5.21875" style="1" bestFit="1" customWidth="1"/>
    <col min="16" max="17" width="7.88671875" style="1" bestFit="1" customWidth="1"/>
    <col min="18" max="18" width="5.5546875" style="1" customWidth="1"/>
    <col min="19" max="19" width="5.21875" style="1" bestFit="1" customWidth="1"/>
    <col min="20" max="20" width="7.88671875" style="1" bestFit="1" customWidth="1"/>
    <col min="21" max="21" width="45.44140625" style="1" bestFit="1" customWidth="1"/>
    <col min="22" max="23" width="3.33203125" style="1" bestFit="1" customWidth="1"/>
    <col min="24" max="25" width="4.6640625" style="1" bestFit="1" customWidth="1"/>
    <col min="26" max="27" width="3.33203125" style="1" bestFit="1" customWidth="1"/>
    <col min="28" max="28" width="4.6640625" style="1" bestFit="1" customWidth="1"/>
    <col min="29" max="16384" width="8.88671875" style="1"/>
  </cols>
  <sheetData>
    <row r="1" spans="1:28" x14ac:dyDescent="0.35">
      <c r="U1" s="94" t="s">
        <v>285</v>
      </c>
      <c r="V1" s="94"/>
      <c r="W1" s="94"/>
      <c r="X1" s="94"/>
      <c r="Y1" s="94"/>
      <c r="Z1" s="94"/>
      <c r="AA1" s="94"/>
      <c r="AB1" s="94"/>
    </row>
    <row r="2" spans="1:28" ht="18.600000000000001" thickBot="1" x14ac:dyDescent="0.4">
      <c r="D2" s="1" t="s">
        <v>1</v>
      </c>
      <c r="E2" s="1" t="s">
        <v>2</v>
      </c>
      <c r="F2" s="1" t="s">
        <v>3</v>
      </c>
      <c r="G2" s="1" t="s">
        <v>4</v>
      </c>
      <c r="H2" s="1" t="s">
        <v>5</v>
      </c>
      <c r="I2" s="1" t="s">
        <v>7</v>
      </c>
      <c r="J2" s="1" t="s">
        <v>8</v>
      </c>
      <c r="K2" s="1" t="s">
        <v>9</v>
      </c>
      <c r="L2" s="14"/>
      <c r="M2" s="15"/>
      <c r="N2" s="15"/>
      <c r="O2" s="15"/>
      <c r="P2" s="14"/>
      <c r="Q2" s="14"/>
      <c r="R2" s="14"/>
      <c r="S2" s="14"/>
      <c r="T2" s="14"/>
    </row>
    <row r="3" spans="1:28" x14ac:dyDescent="0.35">
      <c r="A3" s="91">
        <v>1</v>
      </c>
      <c r="B3" s="73">
        <v>1</v>
      </c>
      <c r="C3" s="2" t="s">
        <v>0</v>
      </c>
      <c r="D3" s="2" t="s">
        <v>10</v>
      </c>
      <c r="E3" s="2" t="s">
        <v>11</v>
      </c>
      <c r="F3" s="2" t="s">
        <v>12</v>
      </c>
      <c r="G3" s="2" t="s">
        <v>13</v>
      </c>
      <c r="H3" s="2" t="str">
        <f t="shared" ref="H3:H66" si="0">CONCATENATE(HEX2BIN(D3,8),HEX2BIN(E3,8),HEX2BIN(F3,8),HEX2BIN(G3,8))</f>
        <v>10011100101110001010001110011110</v>
      </c>
      <c r="I3" s="2">
        <f>MID(H3,1,1)+MID(H3,2,1)+MID(H3,3,1)+MID(H3,4,1)+MID(H3,5,1)+MID(H3,6,1)+MID(H3,7,1)+MID(H3,8,1)+MID(H3,9,1)+MID(H3,10,1)+MID(H3,11,1)+MID(H3,12,1)+MID(H3,13,1)+MID(H3,14,1)+MID(H3,15,1)+MID(H3,16,1)+MID(H3,17,1)+MID(H3,18,1)+MID(H3,19,1)+MID(H3,20,1)+MID(H3,21,1)+MID(H3,22,1)+MID(H3,23,1)+MID(H3,24,1)+MID(H3,25,1)+MID(H3,26,1)+MID(H3,27,1)+MID(H3,28,1)+MID(H3,29,1)+MID(H3,30,1)+MID(H3,31,1)+MID(H3,32,1)</f>
        <v>17</v>
      </c>
      <c r="J3" s="92">
        <v>65</v>
      </c>
      <c r="K3" s="96" t="str">
        <f>HEX2BIN(J3,8)</f>
        <v>01100101</v>
      </c>
      <c r="L3" s="43" t="str">
        <f>CONCATENATE(HEX2BIN(G3,8),HEX2BIN(F3,8),HEX2BIN(E3,8),HEX2BIN(D3,8))</f>
        <v>10011110101000111011100010011100</v>
      </c>
      <c r="M3" s="1" t="str">
        <f>CONCATENATE(DEC2BIN(MOD(BIN2DEC(MID(L3,1,8))+BIN2DEC(MID(L4,1,8))+INT((BIN2DEC(MID(L3,9,8))+BIN2DEC(MID(L4,9,8))+INT((BIN2DEC(MID(L3,17,8))+BIN2DEC(MID(L4,17,8))+INT((BIN2DEC(MID(L3,25,8))+BIN2DEC(MID(L4,25,8)))/256))/256))/256),256),8),DEC2BIN(MOD(BIN2DEC(MID(L3,9,8))+BIN2DEC(MID(L4,9,8))+INT((BIN2DEC(MID(L3,17,8))+BIN2DEC(MID(L4,17,8))+INT((BIN2DEC(MID(L3,25,8))+BIN2DEC(MID(L4,25,8)))/256))/256),256),8),DEC2BIN(MOD(BIN2DEC(MID(L3,17,8))+BIN2DEC(MID(L4,17,8))+INT((BIN2DEC(MID(L3,25,8))+BIN2DEC(MID(L4,25,8)))/256),256),8),DEC2BIN(MOD(BIN2DEC(MID(L3,25,8))+BIN2DEC(MID(L4,25,8)),256),8))</f>
        <v>00000100011011101110100100110000</v>
      </c>
      <c r="N3" s="14"/>
      <c r="O3" s="14"/>
      <c r="P3" s="14"/>
      <c r="Q3" s="14"/>
      <c r="R3" s="14"/>
      <c r="S3" s="14"/>
      <c r="T3" s="14"/>
    </row>
    <row r="4" spans="1:28" ht="18.600000000000001" thickBot="1" x14ac:dyDescent="0.4">
      <c r="A4" s="91"/>
      <c r="B4" s="74"/>
      <c r="C4" s="3" t="s">
        <v>6</v>
      </c>
      <c r="D4" s="3" t="s">
        <v>15</v>
      </c>
      <c r="E4" s="3">
        <v>0</v>
      </c>
      <c r="F4" s="3">
        <v>26</v>
      </c>
      <c r="G4" s="3" t="s">
        <v>14</v>
      </c>
      <c r="H4" s="3" t="str">
        <f t="shared" si="0"/>
        <v>10001101000000000010011011011101</v>
      </c>
      <c r="I4" s="3">
        <f t="shared" ref="I4:I66" si="1">MID(H4,1,1)+MID(H4,2,1)+MID(H4,3,1)+MID(H4,4,1)+MID(H4,5,1)+MID(H4,6,1)+MID(H4,7,1)+MID(H4,8,1)+MID(H4,9,1)+MID(H4,10,1)+MID(H4,11,1)+MID(H4,12,1)+MID(H4,13,1)+MID(H4,14,1)+MID(H4,15,1)+MID(H4,16,1)+MID(H4,17,1)+MID(H4,18,1)+MID(H4,19,1)+MID(H4,20,1)+MID(H4,21,1)+MID(H4,22,1)+MID(H4,23,1)+MID(H4,24,1)+MID(H4,25,1)+MID(H4,26,1)+MID(H4,27,1)+MID(H4,28,1)+MID(H4,29,1)+MID(H4,30,1)+MID(H4,31,1)+MID(H4,32,1)</f>
        <v>13</v>
      </c>
      <c r="J4" s="93"/>
      <c r="K4" s="97"/>
      <c r="L4" s="14" t="str">
        <f>CONCATENATE(DEC2BIN(MOD(BIN2DEC(K3)+INT((2*BIN2DEC(K3)+INT((BIN2DEC(K3)+2*BIN2DEC(K3)+BIN2DEC(MID(K3,1,2)))/256))/256),256),8),DEC2BIN(MOD(2*BIN2DEC(K3)+INT((BIN2DEC(K3)+2*BIN2DEC(K3)+BIN2DEC(MID(K3,1,2)))/256),256),8),DEC2BIN(MOD(BIN2DEC(K3)+2*BIN2DEC(K3)+BIN2DEC(MID(K3,1,2)),256),8),MID(K3,3,6),"00")</f>
        <v>01100101110010110011000010010100</v>
      </c>
      <c r="M4" s="14" t="str">
        <f>CONCATENATE(MID(M3,6,8),MID(M3,30,3),MID(M3,1,5),MID(M3,22,8),MID(M3,14,8))</f>
        <v>10001101000000000010011011011101</v>
      </c>
      <c r="N4" s="14"/>
      <c r="O4" s="14"/>
      <c r="P4" s="14"/>
      <c r="Q4" s="14"/>
      <c r="R4" s="14"/>
      <c r="S4" s="14"/>
      <c r="T4" s="14"/>
    </row>
    <row r="5" spans="1:28" x14ac:dyDescent="0.35">
      <c r="A5" s="91"/>
      <c r="B5" s="75">
        <f>B3+1</f>
        <v>2</v>
      </c>
      <c r="C5" s="4" t="s">
        <v>0</v>
      </c>
      <c r="D5" s="4" t="s">
        <v>16</v>
      </c>
      <c r="E5" s="4" t="s">
        <v>17</v>
      </c>
      <c r="F5" s="4">
        <v>52</v>
      </c>
      <c r="G5" s="4">
        <v>56</v>
      </c>
      <c r="H5" s="4" t="str">
        <f t="shared" si="0"/>
        <v>11110000011011000101001001010110</v>
      </c>
      <c r="I5" s="4">
        <f t="shared" si="1"/>
        <v>15</v>
      </c>
      <c r="J5" s="77" t="s">
        <v>21</v>
      </c>
      <c r="K5" s="79" t="str">
        <f>HEX2BIN(J5,8)</f>
        <v>11111010</v>
      </c>
      <c r="L5" s="43" t="str">
        <f t="shared" ref="L5" si="2">CONCATENATE(HEX2BIN(G5,8),HEX2BIN(F5,8),HEX2BIN(E5,8),HEX2BIN(D5,8))</f>
        <v>01010110010100100110110011110000</v>
      </c>
      <c r="M5" s="1" t="str">
        <f t="shared" ref="M5" si="3">CONCATENATE(DEC2BIN(MOD(BIN2DEC(MID(L5,1,8))+BIN2DEC(MID(L6,1,8))+INT((BIN2DEC(MID(L5,9,8))+BIN2DEC(MID(L6,9,8))+INT((BIN2DEC(MID(L5,17,8))+BIN2DEC(MID(L6,17,8))+INT((BIN2DEC(MID(L5,25,8))+BIN2DEC(MID(L6,25,8)))/256))/256))/256),256),8),DEC2BIN(MOD(BIN2DEC(MID(L5,9,8))+BIN2DEC(MID(L6,9,8))+INT((BIN2DEC(MID(L5,17,8))+BIN2DEC(MID(L6,17,8))+INT((BIN2DEC(MID(L5,25,8))+BIN2DEC(MID(L6,25,8)))/256))/256),256),8),DEC2BIN(MOD(BIN2DEC(MID(L5,17,8))+BIN2DEC(MID(L6,17,8))+INT((BIN2DEC(MID(L5,25,8))+BIN2DEC(MID(L6,25,8)))/256),256),8),DEC2BIN(MOD(BIN2DEC(MID(L5,25,8))+BIN2DEC(MID(L6,25,8)),256),8))</f>
        <v>01010010010010010101111011011000</v>
      </c>
      <c r="N5" s="14"/>
      <c r="O5" s="14"/>
      <c r="P5" s="14"/>
      <c r="Q5" s="14"/>
      <c r="R5" s="14"/>
      <c r="S5" s="14"/>
      <c r="T5" s="14"/>
    </row>
    <row r="6" spans="1:28" ht="18.600000000000001" thickBot="1" x14ac:dyDescent="0.4">
      <c r="A6" s="91"/>
      <c r="B6" s="76"/>
      <c r="C6" s="5" t="s">
        <v>6</v>
      </c>
      <c r="D6" s="5">
        <v>49</v>
      </c>
      <c r="E6" s="5" t="s">
        <v>20</v>
      </c>
      <c r="F6" s="5" t="s">
        <v>19</v>
      </c>
      <c r="G6" s="5" t="s">
        <v>18</v>
      </c>
      <c r="H6" s="5" t="str">
        <f t="shared" si="0"/>
        <v>01001001000010101101101100101011</v>
      </c>
      <c r="I6" s="5">
        <f t="shared" si="1"/>
        <v>15</v>
      </c>
      <c r="J6" s="78"/>
      <c r="K6" s="80"/>
      <c r="L6" s="14" t="str">
        <f t="shared" ref="L6" si="4">CONCATENATE(DEC2BIN(MOD(BIN2DEC(K5)+INT((2*BIN2DEC(K5)+INT((BIN2DEC(K5)+2*BIN2DEC(K5)+BIN2DEC(MID(K5,1,2)))/256))/256),256),8),DEC2BIN(MOD(2*BIN2DEC(K5)+INT((BIN2DEC(K5)+2*BIN2DEC(K5)+BIN2DEC(MID(K5,1,2)))/256),256),8),DEC2BIN(MOD(BIN2DEC(K5)+2*BIN2DEC(K5)+BIN2DEC(MID(K5,1,2)),256),8),MID(K5,3,6),"00")</f>
        <v>11111011111101101111000111101000</v>
      </c>
      <c r="M6" s="14" t="str">
        <f t="shared" ref="M6" si="5">CONCATENATE(MID(M5,6,8),MID(M5,30,3),MID(M5,1,5),MID(M5,22,8),MID(M5,14,8))</f>
        <v>01001001000010101101101100101011</v>
      </c>
      <c r="N6" s="14"/>
      <c r="O6" s="14"/>
      <c r="P6" s="14"/>
      <c r="Q6" s="14"/>
      <c r="R6" s="14"/>
      <c r="S6" s="14"/>
      <c r="T6" s="14"/>
    </row>
    <row r="7" spans="1:28" x14ac:dyDescent="0.35">
      <c r="A7" s="91"/>
      <c r="B7" s="75">
        <f>B5+1</f>
        <v>3</v>
      </c>
      <c r="C7" s="4" t="s">
        <v>0</v>
      </c>
      <c r="D7" s="4" t="s">
        <v>22</v>
      </c>
      <c r="E7" s="4" t="s">
        <v>23</v>
      </c>
      <c r="F7" s="4">
        <v>78</v>
      </c>
      <c r="G7" s="4" t="s">
        <v>24</v>
      </c>
      <c r="H7" s="4" t="str">
        <f t="shared" si="0"/>
        <v>11010101101100100111100010110101</v>
      </c>
      <c r="I7" s="4">
        <f t="shared" si="1"/>
        <v>18</v>
      </c>
      <c r="J7" s="77">
        <v>38</v>
      </c>
      <c r="K7" s="79" t="str">
        <f>HEX2BIN(J7,8)</f>
        <v>00111000</v>
      </c>
      <c r="L7" s="43" t="str">
        <f t="shared" ref="L7" si="6">CONCATENATE(HEX2BIN(G7,8),HEX2BIN(F7,8),HEX2BIN(E7,8),HEX2BIN(D7,8))</f>
        <v>10110101011110001011001011010101</v>
      </c>
      <c r="M7" s="1" t="str">
        <f t="shared" ref="M7:M69" si="7">CONCATENATE(DEC2BIN(MOD(BIN2DEC(MID(L7,1,8))+BIN2DEC(MID(L8,1,8))+INT((BIN2DEC(MID(L7,9,8))+BIN2DEC(MID(L8,9,8))+INT((BIN2DEC(MID(L7,17,8))+BIN2DEC(MID(L8,17,8))+INT((BIN2DEC(MID(L7,25,8))+BIN2DEC(MID(L8,25,8)))/256))/256))/256),256),8),DEC2BIN(MOD(BIN2DEC(MID(L7,9,8))+BIN2DEC(MID(L8,9,8))+INT((BIN2DEC(MID(L7,17,8))+BIN2DEC(MID(L8,17,8))+INT((BIN2DEC(MID(L7,25,8))+BIN2DEC(MID(L8,25,8)))/256))/256),256),8),DEC2BIN(MOD(BIN2DEC(MID(L7,17,8))+BIN2DEC(MID(L8,17,8))+INT((BIN2DEC(MID(L7,25,8))+BIN2DEC(MID(L8,25,8)))/256),256),8),DEC2BIN(MOD(BIN2DEC(MID(L7,25,8))+BIN2DEC(MID(L8,25,8)),256),8))</f>
        <v>11101101111010010101101110110101</v>
      </c>
      <c r="N7" s="14"/>
      <c r="O7" s="14"/>
      <c r="P7" s="14"/>
      <c r="Q7" s="14"/>
      <c r="R7" s="14"/>
      <c r="S7" s="14"/>
      <c r="T7" s="14"/>
    </row>
    <row r="8" spans="1:28" ht="18.600000000000001" thickBot="1" x14ac:dyDescent="0.4">
      <c r="A8" s="91"/>
      <c r="B8" s="76"/>
      <c r="C8" s="5" t="s">
        <v>6</v>
      </c>
      <c r="D8" s="5" t="s">
        <v>25</v>
      </c>
      <c r="E8" s="5" t="s">
        <v>25</v>
      </c>
      <c r="F8" s="5">
        <v>76</v>
      </c>
      <c r="G8" s="5" t="s">
        <v>18</v>
      </c>
      <c r="H8" s="5" t="str">
        <f t="shared" si="0"/>
        <v>10111101101111010111011000101011</v>
      </c>
      <c r="I8" s="5">
        <f t="shared" si="1"/>
        <v>21</v>
      </c>
      <c r="J8" s="78"/>
      <c r="K8" s="80"/>
      <c r="L8" s="14" t="str">
        <f t="shared" ref="L8:L70" si="8">CONCATENATE(DEC2BIN(MOD(BIN2DEC(K7)+INT((2*BIN2DEC(K7)+INT((BIN2DEC(K7)+2*BIN2DEC(K7)+BIN2DEC(MID(K7,1,2)))/256))/256),256),8),DEC2BIN(MOD(2*BIN2DEC(K7)+INT((BIN2DEC(K7)+2*BIN2DEC(K7)+BIN2DEC(MID(K7,1,2)))/256),256),8),DEC2BIN(MOD(BIN2DEC(K7)+2*BIN2DEC(K7)+BIN2DEC(MID(K7,1,2)),256),8),MID(K7,3,6),"00")</f>
        <v>00111000011100001010100011100000</v>
      </c>
      <c r="M8" s="14" t="str">
        <f t="shared" ref="M8" si="9">CONCATENATE(MID(M7,6,8),MID(M7,30,3),MID(M7,1,5),MID(M7,22,8),MID(M7,14,8))</f>
        <v>10111101101111010111011000101011</v>
      </c>
      <c r="N8" s="14"/>
      <c r="O8" s="14"/>
      <c r="P8" s="14"/>
      <c r="Q8" s="14"/>
      <c r="R8" s="14"/>
      <c r="S8" s="14"/>
      <c r="T8" s="14"/>
    </row>
    <row r="9" spans="1:28" x14ac:dyDescent="0.35">
      <c r="A9" s="91"/>
      <c r="B9" s="75">
        <f>B7+1</f>
        <v>4</v>
      </c>
      <c r="C9" s="4" t="s">
        <v>0</v>
      </c>
      <c r="D9" s="4" t="s">
        <v>26</v>
      </c>
      <c r="E9" s="4" t="s">
        <v>27</v>
      </c>
      <c r="F9" s="4">
        <v>24</v>
      </c>
      <c r="G9" s="4" t="s">
        <v>28</v>
      </c>
      <c r="H9" s="4" t="str">
        <f t="shared" si="0"/>
        <v>01001101110100010010010001111101</v>
      </c>
      <c r="I9" s="4">
        <f t="shared" si="1"/>
        <v>16</v>
      </c>
      <c r="J9" s="77" t="s">
        <v>17</v>
      </c>
      <c r="K9" s="79" t="str">
        <f>HEX2BIN(J9,8)</f>
        <v>01101100</v>
      </c>
      <c r="L9" s="43" t="str">
        <f t="shared" ref="L9" si="10">CONCATENATE(HEX2BIN(G9,8),HEX2BIN(F9,8),HEX2BIN(E9,8),HEX2BIN(D9,8))</f>
        <v>01111101001001001101000101001101</v>
      </c>
      <c r="M9" s="1" t="str">
        <f t="shared" si="7"/>
        <v>11101001111111100001011011111101</v>
      </c>
      <c r="N9" s="14"/>
      <c r="O9" s="14"/>
      <c r="P9" s="14"/>
      <c r="Q9" s="14"/>
      <c r="R9" s="14"/>
      <c r="S9" s="14"/>
      <c r="T9" s="14"/>
    </row>
    <row r="10" spans="1:28" ht="18.600000000000001" thickBot="1" x14ac:dyDescent="0.4">
      <c r="A10" s="91"/>
      <c r="B10" s="76"/>
      <c r="C10" s="5" t="s">
        <v>6</v>
      </c>
      <c r="D10" s="5" t="s">
        <v>31</v>
      </c>
      <c r="E10" s="5" t="s">
        <v>25</v>
      </c>
      <c r="F10" s="5" t="s">
        <v>30</v>
      </c>
      <c r="G10" s="5" t="s">
        <v>29</v>
      </c>
      <c r="H10" s="5" t="str">
        <f t="shared" si="0"/>
        <v>00111111101111011101111111000010</v>
      </c>
      <c r="I10" s="5">
        <f t="shared" si="1"/>
        <v>22</v>
      </c>
      <c r="J10" s="78"/>
      <c r="K10" s="80"/>
      <c r="L10" s="14" t="str">
        <f t="shared" si="8"/>
        <v>01101100110110010100010110110000</v>
      </c>
      <c r="M10" s="14" t="str">
        <f t="shared" ref="M10" si="11">CONCATENATE(MID(M9,6,8),MID(M9,30,3),MID(M9,1,5),MID(M9,22,8),MID(M9,14,8))</f>
        <v>00111111101111011101111111000010</v>
      </c>
      <c r="N10" s="14"/>
      <c r="O10" s="14"/>
      <c r="P10" s="14"/>
      <c r="Q10" s="14"/>
      <c r="R10" s="14"/>
      <c r="S10" s="14"/>
      <c r="T10" s="14"/>
    </row>
    <row r="11" spans="1:28" x14ac:dyDescent="0.35">
      <c r="A11" s="91"/>
      <c r="B11" s="75">
        <f>B9+1</f>
        <v>5</v>
      </c>
      <c r="C11" s="4" t="s">
        <v>0</v>
      </c>
      <c r="D11" s="4" t="s">
        <v>34</v>
      </c>
      <c r="E11" s="4" t="s">
        <v>33</v>
      </c>
      <c r="F11" s="4" t="s">
        <v>32</v>
      </c>
      <c r="G11" s="4">
        <v>77</v>
      </c>
      <c r="H11" s="4" t="str">
        <f t="shared" si="0"/>
        <v>11101010000011111010011101110111</v>
      </c>
      <c r="I11" s="4">
        <f t="shared" si="1"/>
        <v>20</v>
      </c>
      <c r="J11" s="77">
        <v>86</v>
      </c>
      <c r="K11" s="79" t="str">
        <f>HEX2BIN(J11,8)</f>
        <v>10000110</v>
      </c>
      <c r="L11" s="43" t="str">
        <f t="shared" ref="L11" si="12">CONCATENATE(HEX2BIN(G11,8),HEX2BIN(F11,8),HEX2BIN(E11,8),HEX2BIN(D11,8))</f>
        <v>01110111101001110000111111101010</v>
      </c>
      <c r="M11" s="1" t="str">
        <f t="shared" si="7"/>
        <v>11111110101101001010010000000010</v>
      </c>
      <c r="N11" s="14"/>
      <c r="O11" s="14"/>
      <c r="P11" s="14"/>
      <c r="Q11" s="14"/>
      <c r="R11" s="14"/>
      <c r="S11" s="14"/>
      <c r="T11" s="14"/>
    </row>
    <row r="12" spans="1:28" ht="18.600000000000001" thickBot="1" x14ac:dyDescent="0.4">
      <c r="A12" s="91"/>
      <c r="B12" s="76"/>
      <c r="C12" s="5" t="s">
        <v>6</v>
      </c>
      <c r="D12" s="5" t="s">
        <v>35</v>
      </c>
      <c r="E12" s="5" t="s">
        <v>36</v>
      </c>
      <c r="F12" s="5">
        <v>80</v>
      </c>
      <c r="G12" s="5">
        <v>94</v>
      </c>
      <c r="H12" s="5" t="str">
        <f t="shared" si="0"/>
        <v>11010110010111111000000010010100</v>
      </c>
      <c r="I12" s="5">
        <f t="shared" si="1"/>
        <v>15</v>
      </c>
      <c r="J12" s="78"/>
      <c r="K12" s="80"/>
      <c r="L12" s="14" t="str">
        <f t="shared" si="8"/>
        <v>10000111000011011001010000011000</v>
      </c>
      <c r="M12" s="14" t="str">
        <f t="shared" ref="M12" si="13">CONCATENATE(MID(M11,6,8),MID(M11,30,3),MID(M11,1,5),MID(M11,22,8),MID(M11,14,8))</f>
        <v>11010110010111111000000010010100</v>
      </c>
      <c r="N12" s="14"/>
      <c r="O12" s="14"/>
      <c r="P12" s="14"/>
      <c r="Q12" s="14"/>
      <c r="R12" s="14"/>
      <c r="S12" s="14"/>
      <c r="T12" s="14"/>
    </row>
    <row r="13" spans="1:28" x14ac:dyDescent="0.35">
      <c r="A13" s="91"/>
      <c r="B13" s="75">
        <f>B11+1</f>
        <v>6</v>
      </c>
      <c r="C13" s="4" t="s">
        <v>0</v>
      </c>
      <c r="D13" s="4" t="s">
        <v>40</v>
      </c>
      <c r="E13" s="4" t="s">
        <v>39</v>
      </c>
      <c r="F13" s="4" t="s">
        <v>38</v>
      </c>
      <c r="G13" s="4" t="s">
        <v>37</v>
      </c>
      <c r="H13" s="4" t="str">
        <f t="shared" si="0"/>
        <v>10011011100011101010010011101001</v>
      </c>
      <c r="I13" s="4">
        <f t="shared" si="1"/>
        <v>17</v>
      </c>
      <c r="J13" s="77">
        <v>99</v>
      </c>
      <c r="K13" s="79" t="str">
        <f>HEX2BIN(J13,8)</f>
        <v>10011001</v>
      </c>
      <c r="L13" s="43" t="str">
        <f t="shared" ref="L13" si="14">CONCATENATE(HEX2BIN(G13,8),HEX2BIN(F13,8),HEX2BIN(E13,8),HEX2BIN(D13,8))</f>
        <v>11101001101001001000111010011011</v>
      </c>
      <c r="M13" s="1" t="str">
        <f t="shared" si="7"/>
        <v>10000011110110000101101111111111</v>
      </c>
      <c r="N13" s="14"/>
      <c r="O13" s="14"/>
      <c r="P13" s="14"/>
      <c r="Q13" s="14"/>
      <c r="R13" s="14"/>
      <c r="S13" s="14"/>
      <c r="T13" s="14"/>
    </row>
    <row r="14" spans="1:28" ht="18.600000000000001" thickBot="1" x14ac:dyDescent="0.4">
      <c r="A14" s="91"/>
      <c r="B14" s="76"/>
      <c r="C14" s="5" t="s">
        <v>6</v>
      </c>
      <c r="D14" s="5" t="s">
        <v>41</v>
      </c>
      <c r="E14" s="5" t="s">
        <v>16</v>
      </c>
      <c r="F14" s="5" t="s">
        <v>42</v>
      </c>
      <c r="G14" s="5" t="s">
        <v>43</v>
      </c>
      <c r="H14" s="5" t="str">
        <f t="shared" si="0"/>
        <v>01111011111100000111111100001011</v>
      </c>
      <c r="I14" s="5">
        <f t="shared" si="1"/>
        <v>20</v>
      </c>
      <c r="J14" s="78"/>
      <c r="K14" s="80"/>
      <c r="L14" s="14" t="str">
        <f t="shared" si="8"/>
        <v>10011010001100111100110101100100</v>
      </c>
      <c r="M14" s="14" t="str">
        <f t="shared" ref="M14" si="15">CONCATENATE(MID(M13,6,8),MID(M13,30,3),MID(M13,1,5),MID(M13,22,8),MID(M13,14,8))</f>
        <v>01111011111100000111111100001011</v>
      </c>
      <c r="N14" s="14"/>
      <c r="O14" s="14"/>
      <c r="P14" s="14"/>
      <c r="Q14" s="14"/>
      <c r="R14" s="14"/>
      <c r="S14" s="14"/>
      <c r="T14" s="14"/>
    </row>
    <row r="15" spans="1:28" x14ac:dyDescent="0.35">
      <c r="A15" s="91"/>
      <c r="B15" s="75">
        <f>B13+1</f>
        <v>7</v>
      </c>
      <c r="C15" s="4" t="s">
        <v>0</v>
      </c>
      <c r="D15" s="4">
        <v>91</v>
      </c>
      <c r="E15" s="4" t="s">
        <v>47</v>
      </c>
      <c r="F15" s="4" t="s">
        <v>46</v>
      </c>
      <c r="G15" s="4" t="s">
        <v>45</v>
      </c>
      <c r="H15" s="4" t="str">
        <f t="shared" si="0"/>
        <v>10010001111111111101100001111100</v>
      </c>
      <c r="I15" s="4">
        <f t="shared" si="1"/>
        <v>20</v>
      </c>
      <c r="J15" s="77" t="s">
        <v>44</v>
      </c>
      <c r="K15" s="79" t="str">
        <f>HEX2BIN(J15,8)</f>
        <v>10101000</v>
      </c>
      <c r="L15" s="43" t="str">
        <f t="shared" ref="L15" si="16">CONCATENATE(HEX2BIN(G15,8),HEX2BIN(F15,8),HEX2BIN(E15,8),HEX2BIN(D15,8))</f>
        <v>01111100110110001111111110010001</v>
      </c>
      <c r="M15" s="1" t="str">
        <f t="shared" si="7"/>
        <v>00100110001010101111101000110001</v>
      </c>
      <c r="N15" s="14"/>
      <c r="O15" s="14"/>
      <c r="P15" s="14"/>
      <c r="Q15" s="14"/>
      <c r="R15" s="14"/>
      <c r="S15" s="14"/>
      <c r="T15" s="14"/>
    </row>
    <row r="16" spans="1:28" ht="18.600000000000001" thickBot="1" x14ac:dyDescent="0.4">
      <c r="A16" s="91"/>
      <c r="B16" s="76"/>
      <c r="C16" s="5" t="s">
        <v>6</v>
      </c>
      <c r="D16" s="5" t="s">
        <v>48</v>
      </c>
      <c r="E16" s="5">
        <v>24</v>
      </c>
      <c r="F16" s="5">
        <v>46</v>
      </c>
      <c r="G16" s="5" t="s">
        <v>36</v>
      </c>
      <c r="H16" s="5" t="str">
        <f t="shared" si="0"/>
        <v>11000101001001000100011001011111</v>
      </c>
      <c r="I16" s="5">
        <f t="shared" si="1"/>
        <v>15</v>
      </c>
      <c r="J16" s="78"/>
      <c r="K16" s="80"/>
      <c r="L16" s="14" t="str">
        <f t="shared" si="8"/>
        <v>10101001010100011111101010100000</v>
      </c>
      <c r="M16" s="14" t="str">
        <f t="shared" ref="M16" si="17">CONCATENATE(MID(M15,6,8),MID(M15,30,3),MID(M15,1,5),MID(M15,22,8),MID(M15,14,8))</f>
        <v>11000101001001000100011001011111</v>
      </c>
      <c r="N16" s="14" t="str">
        <f t="shared" ref="N16" si="18">MID($L16,6,3)</f>
        <v>001</v>
      </c>
      <c r="O16" s="14" t="str">
        <f t="shared" ref="O16" si="19">MID($L16,9,3)</f>
        <v>010</v>
      </c>
      <c r="P16" s="14" t="str">
        <f t="shared" ref="P16" si="20">MID($L16,12,5)</f>
        <v>10001</v>
      </c>
      <c r="Q16" s="14" t="str">
        <f t="shared" ref="Q16" si="21">MID($L16,7,5)</f>
        <v>01010</v>
      </c>
      <c r="R16" s="14" t="str">
        <f t="shared" ref="R16" si="22">MID($L16,22,3)</f>
        <v>010</v>
      </c>
      <c r="S16" s="14" t="str">
        <f t="shared" ref="S16" si="23">MID($L16,25,3)</f>
        <v>101</v>
      </c>
      <c r="T16" s="14" t="str">
        <f t="shared" ref="T16" si="24">MID($L16,28,5)</f>
        <v>00000</v>
      </c>
    </row>
    <row r="17" spans="1:20" x14ac:dyDescent="0.35">
      <c r="A17" s="91"/>
      <c r="B17" s="75">
        <f>B15+1</f>
        <v>8</v>
      </c>
      <c r="C17" s="4" t="s">
        <v>0</v>
      </c>
      <c r="D17" s="4" t="s">
        <v>52</v>
      </c>
      <c r="E17" s="4" t="s">
        <v>51</v>
      </c>
      <c r="F17" s="4" t="s">
        <v>50</v>
      </c>
      <c r="G17" s="4" t="s">
        <v>49</v>
      </c>
      <c r="H17" s="4" t="str">
        <f t="shared" si="0"/>
        <v>01011110101010101110001010110110</v>
      </c>
      <c r="I17" s="4">
        <f t="shared" si="1"/>
        <v>18</v>
      </c>
      <c r="J17" s="77">
        <v>53</v>
      </c>
      <c r="K17" s="79" t="str">
        <f>HEX2BIN(J17,8)</f>
        <v>01010011</v>
      </c>
      <c r="L17" s="43" t="str">
        <f t="shared" ref="L17" si="25">CONCATENATE(HEX2BIN(G17,8),HEX2BIN(F17,8),HEX2BIN(E17,8),HEX2BIN(D17,8))</f>
        <v>10110110111000101010101001011110</v>
      </c>
      <c r="M17" s="1" t="str">
        <f t="shared" si="7"/>
        <v>00001010100010011010010010101010</v>
      </c>
      <c r="N17" s="14">
        <f>MOD(BIN2DEC(MID(L17,1,8))+4*HEX2DEC(J17),256)</f>
        <v>2</v>
      </c>
      <c r="O17" s="14">
        <f>MOD(BIN2DEC(MID($L$3,9,4))+P17*HEX2DEC(MID($J$3,2,1)),16)</f>
        <v>4</v>
      </c>
      <c r="P17" s="14">
        <f t="shared" ref="P17:P66" si="26">P16+1</f>
        <v>10002</v>
      </c>
      <c r="Q17" s="14"/>
      <c r="R17" s="14"/>
      <c r="S17" s="14"/>
      <c r="T17" s="14"/>
    </row>
    <row r="18" spans="1:20" ht="18.600000000000001" thickBot="1" x14ac:dyDescent="0.4">
      <c r="A18" s="91"/>
      <c r="B18" s="76"/>
      <c r="C18" s="5" t="s">
        <v>6</v>
      </c>
      <c r="D18" s="5">
        <v>51</v>
      </c>
      <c r="E18" s="5">
        <v>41</v>
      </c>
      <c r="F18" s="5">
        <v>95</v>
      </c>
      <c r="G18" s="5">
        <v>34</v>
      </c>
      <c r="H18" s="5" t="str">
        <f t="shared" si="0"/>
        <v>01010001010000011001010100110100</v>
      </c>
      <c r="I18" s="5">
        <f t="shared" si="1"/>
        <v>12</v>
      </c>
      <c r="J18" s="78"/>
      <c r="K18" s="80"/>
      <c r="L18" s="14" t="str">
        <f t="shared" si="8"/>
        <v>01010011101001101111101001001100</v>
      </c>
      <c r="M18" s="14" t="str">
        <f t="shared" ref="M18" si="27">CONCATENATE(MID(M17,6,8),MID(M17,30,3),MID(M17,1,5),MID(M17,22,8),MID(M17,14,8))</f>
        <v>01010001010000011001010100110100</v>
      </c>
      <c r="N18" s="14">
        <f>BIN2DEC(MID(L18,1,8))</f>
        <v>83</v>
      </c>
      <c r="O18" s="14">
        <f>MOD(BIN2DEC(MID($L$3,9,4))+P18*HEX2DEC(MID($J$3,2,1)),16)</f>
        <v>9</v>
      </c>
      <c r="P18" s="14">
        <f t="shared" si="26"/>
        <v>10003</v>
      </c>
      <c r="Q18" s="14"/>
      <c r="R18" s="14"/>
      <c r="S18" s="14"/>
      <c r="T18" s="14"/>
    </row>
    <row r="19" spans="1:20" x14ac:dyDescent="0.35">
      <c r="A19" s="91">
        <f>A3+1</f>
        <v>2</v>
      </c>
      <c r="B19" s="75">
        <f>B17+1</f>
        <v>9</v>
      </c>
      <c r="C19" s="4" t="s">
        <v>0</v>
      </c>
      <c r="D19" s="4" t="s">
        <v>54</v>
      </c>
      <c r="E19" s="4">
        <v>71</v>
      </c>
      <c r="F19" s="4" t="s">
        <v>53</v>
      </c>
      <c r="G19" s="4">
        <v>5</v>
      </c>
      <c r="H19" s="4" t="str">
        <f t="shared" si="0"/>
        <v>01001110011100011101011100000101</v>
      </c>
      <c r="I19" s="4">
        <f t="shared" si="1"/>
        <v>16</v>
      </c>
      <c r="J19" s="77" t="s">
        <v>25</v>
      </c>
      <c r="K19" s="79" t="str">
        <f>HEX2BIN(J19,8)</f>
        <v>10111101</v>
      </c>
      <c r="L19" s="43" t="str">
        <f t="shared" ref="L19" si="28">CONCATENATE(HEX2BIN(G19,8),HEX2BIN(F19,8),HEX2BIN(E19,8),HEX2BIN(D19,8))</f>
        <v>00000101110101110111000101001110</v>
      </c>
      <c r="M19" s="1" t="str">
        <f t="shared" si="7"/>
        <v>11000100010100111010101101000010</v>
      </c>
      <c r="N19" s="14">
        <f>MOD(BIN2DEC(MID(L19,1,8))+4*HEX2DEC(J19),256)</f>
        <v>249</v>
      </c>
      <c r="O19" s="14">
        <f t="shared" ref="O19:O25" si="29">MOD(BIN2DEC(MID($L$3,9,4))+P19*HEX2DEC(MID($J$3,1,1)),16)</f>
        <v>2</v>
      </c>
      <c r="P19" s="14">
        <f t="shared" si="26"/>
        <v>10004</v>
      </c>
      <c r="Q19" s="14"/>
      <c r="R19" s="14"/>
      <c r="S19" s="14"/>
      <c r="T19" s="14"/>
    </row>
    <row r="20" spans="1:20" ht="18.600000000000001" thickBot="1" x14ac:dyDescent="0.4">
      <c r="A20" s="91"/>
      <c r="B20" s="76"/>
      <c r="C20" s="5" t="s">
        <v>6</v>
      </c>
      <c r="D20" s="5" t="s">
        <v>55</v>
      </c>
      <c r="E20" s="5">
        <v>58</v>
      </c>
      <c r="F20" s="5">
        <v>68</v>
      </c>
      <c r="G20" s="5">
        <v>75</v>
      </c>
      <c r="H20" s="5" t="str">
        <f t="shared" si="0"/>
        <v>10001010010110000110100001110101</v>
      </c>
      <c r="I20" s="5">
        <f t="shared" si="1"/>
        <v>14</v>
      </c>
      <c r="J20" s="78"/>
      <c r="K20" s="80"/>
      <c r="L20" s="14" t="str">
        <f t="shared" si="8"/>
        <v>10111110011111000011100111110100</v>
      </c>
      <c r="M20" s="14" t="str">
        <f t="shared" ref="M20" si="30">CONCATENATE(MID(M19,6,8),MID(M19,30,3),MID(M19,1,5),MID(M19,22,8),MID(M19,14,8))</f>
        <v>10001010010110000110100001110101</v>
      </c>
      <c r="N20" s="14">
        <f>BIN2DEC(MID(L20,1,8))</f>
        <v>190</v>
      </c>
      <c r="O20" s="14">
        <f t="shared" si="29"/>
        <v>8</v>
      </c>
      <c r="P20" s="14">
        <f t="shared" si="26"/>
        <v>10005</v>
      </c>
      <c r="Q20" s="14"/>
      <c r="R20" s="14"/>
      <c r="S20" s="14"/>
      <c r="T20" s="14"/>
    </row>
    <row r="21" spans="1:20" x14ac:dyDescent="0.35">
      <c r="A21" s="91"/>
      <c r="B21" s="75">
        <f>B19+1</f>
        <v>10</v>
      </c>
      <c r="C21" s="4" t="s">
        <v>0</v>
      </c>
      <c r="D21" s="4" t="s">
        <v>57</v>
      </c>
      <c r="E21" s="4" t="s">
        <v>56</v>
      </c>
      <c r="F21" s="4">
        <v>55</v>
      </c>
      <c r="G21" s="4">
        <v>78</v>
      </c>
      <c r="H21" s="4" t="str">
        <f t="shared" si="0"/>
        <v>11010010111011110101010101111000</v>
      </c>
      <c r="I21" s="4">
        <f t="shared" si="1"/>
        <v>19</v>
      </c>
      <c r="J21" s="77" t="s">
        <v>59</v>
      </c>
      <c r="K21" s="79" t="str">
        <f>HEX2BIN(J21,8)</f>
        <v>01101010</v>
      </c>
      <c r="L21" s="43" t="str">
        <f t="shared" ref="L21" si="31">CONCATENATE(HEX2BIN(G21,8),HEX2BIN(F21,8),HEX2BIN(E21,8),HEX2BIN(D21,8))</f>
        <v>01111000010101011110111111010010</v>
      </c>
      <c r="M21" s="1" t="str">
        <f t="shared" si="7"/>
        <v>11100011001010110010111101111010</v>
      </c>
      <c r="N21" s="14">
        <f>MOD(BIN2DEC(MID(L21,1,8))+4*HEX2DEC(J21),256)</f>
        <v>32</v>
      </c>
      <c r="O21" s="14">
        <f t="shared" si="29"/>
        <v>14</v>
      </c>
      <c r="P21" s="14">
        <f t="shared" si="26"/>
        <v>10006</v>
      </c>
      <c r="Q21" s="14"/>
      <c r="R21" s="14"/>
      <c r="S21" s="14"/>
      <c r="T21" s="14"/>
    </row>
    <row r="22" spans="1:20" ht="18.600000000000001" thickBot="1" x14ac:dyDescent="0.4">
      <c r="A22" s="91"/>
      <c r="B22" s="76"/>
      <c r="C22" s="5" t="s">
        <v>6</v>
      </c>
      <c r="D22" s="5">
        <v>65</v>
      </c>
      <c r="E22" s="5" t="s">
        <v>58</v>
      </c>
      <c r="F22" s="5" t="s">
        <v>56</v>
      </c>
      <c r="G22" s="5">
        <v>65</v>
      </c>
      <c r="H22" s="5" t="str">
        <f t="shared" si="0"/>
        <v>01100101010111001110111101100101</v>
      </c>
      <c r="I22" s="5">
        <f t="shared" si="1"/>
        <v>19</v>
      </c>
      <c r="J22" s="78"/>
      <c r="K22" s="80"/>
      <c r="L22" s="14" t="str">
        <f t="shared" si="8"/>
        <v>01101010110101010011111110101000</v>
      </c>
      <c r="M22" s="14" t="str">
        <f t="shared" ref="M22" si="32">CONCATENATE(MID(M21,6,8),MID(M21,30,3),MID(M21,1,5),MID(M21,22,8),MID(M21,14,8))</f>
        <v>01100101010111001110111101100101</v>
      </c>
      <c r="N22" s="14">
        <f>BIN2DEC(MID(L22,1,8))</f>
        <v>106</v>
      </c>
      <c r="O22" s="14">
        <f t="shared" si="29"/>
        <v>4</v>
      </c>
      <c r="P22" s="14">
        <f t="shared" si="26"/>
        <v>10007</v>
      </c>
      <c r="Q22" s="14"/>
      <c r="R22" s="14"/>
      <c r="S22" s="14"/>
      <c r="T22" s="14"/>
    </row>
    <row r="23" spans="1:20" x14ac:dyDescent="0.35">
      <c r="A23" s="91"/>
      <c r="B23" s="75">
        <f>B21+1</f>
        <v>11</v>
      </c>
      <c r="C23" s="4" t="s">
        <v>0</v>
      </c>
      <c r="D23" s="4" t="s">
        <v>18</v>
      </c>
      <c r="E23" s="4" t="s">
        <v>61</v>
      </c>
      <c r="F23" s="4">
        <v>38</v>
      </c>
      <c r="G23" s="4">
        <v>60</v>
      </c>
      <c r="H23" s="4" t="str">
        <f t="shared" si="0"/>
        <v>00101011001011010011100001100000</v>
      </c>
      <c r="I23" s="4">
        <f t="shared" si="1"/>
        <v>13</v>
      </c>
      <c r="J23" s="77" t="s">
        <v>60</v>
      </c>
      <c r="K23" s="79" t="str">
        <f>HEX2BIN(J23,8)</f>
        <v>00111101</v>
      </c>
      <c r="L23" s="43" t="str">
        <f t="shared" ref="L23" si="33">CONCATENATE(HEX2BIN(G23,8),HEX2BIN(F23,8),HEX2BIN(E23,8),HEX2BIN(D23,8))</f>
        <v>01100000001110000010110100101011</v>
      </c>
      <c r="M23" s="1" t="str">
        <f t="shared" si="7"/>
        <v>10011101101100101110010100011111</v>
      </c>
      <c r="N23" s="14">
        <f>MOD(BIN2DEC(MID(L23,1,8))+4*HEX2DEC(J23),256)</f>
        <v>84</v>
      </c>
      <c r="O23" s="14">
        <f t="shared" si="29"/>
        <v>10</v>
      </c>
      <c r="P23" s="14">
        <f t="shared" si="26"/>
        <v>10008</v>
      </c>
      <c r="Q23" s="14"/>
      <c r="R23" s="14"/>
      <c r="S23" s="14"/>
      <c r="T23" s="14"/>
    </row>
    <row r="24" spans="1:20" ht="18.600000000000001" thickBot="1" x14ac:dyDescent="0.4">
      <c r="A24" s="91"/>
      <c r="B24" s="76"/>
      <c r="C24" s="5" t="s">
        <v>6</v>
      </c>
      <c r="D24" s="5" t="s">
        <v>49</v>
      </c>
      <c r="E24" s="5" t="s">
        <v>62</v>
      </c>
      <c r="F24" s="5" t="s">
        <v>12</v>
      </c>
      <c r="G24" s="5" t="s">
        <v>58</v>
      </c>
      <c r="H24" s="5" t="str">
        <f t="shared" si="0"/>
        <v>10110110111100111010001101011100</v>
      </c>
      <c r="I24" s="5">
        <f t="shared" si="1"/>
        <v>19</v>
      </c>
      <c r="J24" s="78"/>
      <c r="K24" s="80"/>
      <c r="L24" s="14" t="str">
        <f t="shared" si="8"/>
        <v>00111101011110101011011111110100</v>
      </c>
      <c r="M24" s="14" t="str">
        <f t="shared" ref="M24" si="34">CONCATENATE(MID(M23,6,8),MID(M23,30,3),MID(M23,1,5),MID(M23,22,8),MID(M23,14,8))</f>
        <v>10110110111100111010001101011100</v>
      </c>
      <c r="N24" s="14">
        <f>BIN2DEC(MID(L24,1,8))</f>
        <v>61</v>
      </c>
      <c r="O24" s="14">
        <f t="shared" si="29"/>
        <v>0</v>
      </c>
      <c r="P24" s="14">
        <f t="shared" si="26"/>
        <v>10009</v>
      </c>
      <c r="Q24" s="14"/>
      <c r="R24" s="14"/>
      <c r="S24" s="14"/>
      <c r="T24" s="14"/>
    </row>
    <row r="25" spans="1:20" x14ac:dyDescent="0.35">
      <c r="A25" s="91"/>
      <c r="B25" s="75">
        <f>B23+1</f>
        <v>12</v>
      </c>
      <c r="C25" s="4" t="s">
        <v>0</v>
      </c>
      <c r="D25" s="4">
        <v>64</v>
      </c>
      <c r="E25" s="4" t="s">
        <v>64</v>
      </c>
      <c r="F25" s="4" t="s">
        <v>63</v>
      </c>
      <c r="G25" s="4">
        <v>24</v>
      </c>
      <c r="H25" s="4" t="str">
        <f t="shared" si="0"/>
        <v>01100100000111001111011000100100</v>
      </c>
      <c r="I25" s="4">
        <f t="shared" si="1"/>
        <v>14</v>
      </c>
      <c r="J25" s="77" t="s">
        <v>46</v>
      </c>
      <c r="K25" s="79" t="str">
        <f>HEX2BIN(J25,8)</f>
        <v>11011000</v>
      </c>
      <c r="L25" s="43" t="str">
        <f t="shared" ref="L25" si="35">CONCATENATE(HEX2BIN(G25,8),HEX2BIN(F25,8),HEX2BIN(E25,8),HEX2BIN(D25,8))</f>
        <v>00100100111101100001110001100100</v>
      </c>
      <c r="M25" s="1" t="str">
        <f t="shared" si="7"/>
        <v>11111110101010001010011111000100</v>
      </c>
      <c r="N25" s="14">
        <f>MOD(BIN2DEC(MID(L25,1,8))+4*HEX2DEC(J25),256)</f>
        <v>132</v>
      </c>
      <c r="O25" s="14">
        <f t="shared" si="29"/>
        <v>6</v>
      </c>
      <c r="P25" s="14">
        <f t="shared" si="26"/>
        <v>10010</v>
      </c>
      <c r="Q25" s="14"/>
      <c r="R25" s="14"/>
      <c r="S25" s="14"/>
      <c r="T25" s="14"/>
    </row>
    <row r="26" spans="1:20" ht="18.600000000000001" thickBot="1" x14ac:dyDescent="0.4">
      <c r="A26" s="91"/>
      <c r="B26" s="76"/>
      <c r="C26" s="5" t="s">
        <v>6</v>
      </c>
      <c r="D26" s="5" t="s">
        <v>22</v>
      </c>
      <c r="E26" s="5" t="s">
        <v>65</v>
      </c>
      <c r="F26" s="5" t="s">
        <v>66</v>
      </c>
      <c r="G26" s="5">
        <v>14</v>
      </c>
      <c r="H26" s="5" t="str">
        <f t="shared" si="0"/>
        <v>11010101100111111111100000010100</v>
      </c>
      <c r="I26" s="5">
        <f t="shared" si="1"/>
        <v>18</v>
      </c>
      <c r="J26" s="78"/>
      <c r="K26" s="80"/>
      <c r="L26" s="14" t="str">
        <f t="shared" si="8"/>
        <v>11011001101100101000101101100000</v>
      </c>
      <c r="M26" s="14" t="str">
        <f t="shared" ref="M26" si="36">CONCATENATE(MID(M25,6,8),MID(M25,30,3),MID(M25,1,5),MID(M25,22,8),MID(M25,14,8))</f>
        <v>11010101100111111111100000010100</v>
      </c>
      <c r="N26" s="14">
        <f>BIN2DEC(MID(L26,1,8))</f>
        <v>217</v>
      </c>
      <c r="O26" s="14">
        <f t="shared" ref="O26:O66" si="37">MOD(BIN2DEC(MID($L$3,9,8))+P26*HEX2DEC($J$3)*HEX2DEC($J$3)*HEX2DEC($J$3),256)</f>
        <v>50</v>
      </c>
      <c r="P26" s="14">
        <f t="shared" si="26"/>
        <v>10011</v>
      </c>
      <c r="Q26" s="14"/>
      <c r="R26" s="14"/>
      <c r="S26" s="14"/>
      <c r="T26" s="14"/>
    </row>
    <row r="27" spans="1:20" x14ac:dyDescent="0.35">
      <c r="A27" s="91"/>
      <c r="B27" s="75">
        <f>B25+1</f>
        <v>13</v>
      </c>
      <c r="C27" s="4" t="s">
        <v>0</v>
      </c>
      <c r="D27" s="4" t="s">
        <v>68</v>
      </c>
      <c r="E27" s="4" t="s">
        <v>23</v>
      </c>
      <c r="F27" s="4" t="s">
        <v>67</v>
      </c>
      <c r="G27" s="4">
        <v>74</v>
      </c>
      <c r="H27" s="4" t="str">
        <f t="shared" si="0"/>
        <v>11111110101100101100000001110100</v>
      </c>
      <c r="I27" s="4">
        <f t="shared" si="1"/>
        <v>17</v>
      </c>
      <c r="J27" s="77">
        <v>97</v>
      </c>
      <c r="K27" s="79" t="str">
        <f>HEX2BIN(J27,8)</f>
        <v>10010111</v>
      </c>
      <c r="L27" s="43" t="str">
        <f t="shared" ref="L27" si="38">CONCATENATE(HEX2BIN(G27,8),HEX2BIN(F27,8),HEX2BIN(E27,8),HEX2BIN(D27,8))</f>
        <v>01110100110000001011001011111110</v>
      </c>
      <c r="M27" s="1" t="str">
        <f t="shared" si="7"/>
        <v>00001100111100000111101001011010</v>
      </c>
      <c r="N27" s="14">
        <f>MOD(BIN2DEC(MID(L27,1,8))+4*HEX2DEC(J27),256)</f>
        <v>208</v>
      </c>
      <c r="O27" s="14">
        <f t="shared" si="37"/>
        <v>207</v>
      </c>
      <c r="P27" s="14">
        <f t="shared" si="26"/>
        <v>10012</v>
      </c>
      <c r="Q27" s="14"/>
      <c r="R27" s="14"/>
      <c r="S27" s="14"/>
      <c r="T27" s="14"/>
    </row>
    <row r="28" spans="1:20" ht="18.600000000000001" thickBot="1" x14ac:dyDescent="0.4">
      <c r="A28" s="91"/>
      <c r="B28" s="76"/>
      <c r="C28" s="5" t="s">
        <v>6</v>
      </c>
      <c r="D28" s="5" t="s">
        <v>13</v>
      </c>
      <c r="E28" s="5">
        <v>41</v>
      </c>
      <c r="F28" s="5" t="s">
        <v>69</v>
      </c>
      <c r="G28" s="5" t="s">
        <v>33</v>
      </c>
      <c r="H28" s="5" t="str">
        <f t="shared" si="0"/>
        <v>10011110010000010100101100001111</v>
      </c>
      <c r="I28" s="5">
        <f t="shared" si="1"/>
        <v>15</v>
      </c>
      <c r="J28" s="78"/>
      <c r="K28" s="80"/>
      <c r="L28" s="14" t="str">
        <f t="shared" si="8"/>
        <v>10011000001011111100011101011100</v>
      </c>
      <c r="M28" s="14" t="str">
        <f t="shared" ref="M28" si="39">CONCATENATE(MID(M27,6,8),MID(M27,30,3),MID(M27,1,5),MID(M27,22,8),MID(M27,14,8))</f>
        <v>10011110010000010100101100001111</v>
      </c>
      <c r="N28" s="14">
        <f>BIN2DEC(MID(L28,1,8))</f>
        <v>152</v>
      </c>
      <c r="O28" s="14">
        <f t="shared" si="37"/>
        <v>108</v>
      </c>
      <c r="P28" s="14">
        <f t="shared" si="26"/>
        <v>10013</v>
      </c>
      <c r="Q28" s="14"/>
      <c r="R28" s="14"/>
      <c r="S28" s="14"/>
      <c r="T28" s="14"/>
    </row>
    <row r="29" spans="1:20" x14ac:dyDescent="0.35">
      <c r="A29" s="91"/>
      <c r="B29" s="75">
        <f>B27+1</f>
        <v>14</v>
      </c>
      <c r="C29" s="4" t="s">
        <v>0</v>
      </c>
      <c r="D29" s="4" t="s">
        <v>21</v>
      </c>
      <c r="E29" s="4" t="s">
        <v>70</v>
      </c>
      <c r="F29" s="4" t="s">
        <v>25</v>
      </c>
      <c r="G29" s="4" t="s">
        <v>18</v>
      </c>
      <c r="H29" s="4" t="str">
        <f t="shared" si="0"/>
        <v>11111010010111011011110100101011</v>
      </c>
      <c r="I29" s="4">
        <f t="shared" si="1"/>
        <v>21</v>
      </c>
      <c r="J29" s="77" t="s">
        <v>44</v>
      </c>
      <c r="K29" s="79" t="str">
        <f>HEX2BIN(J29,8)</f>
        <v>10101000</v>
      </c>
      <c r="L29" s="43" t="str">
        <f t="shared" ref="L29" si="40">CONCATENATE(HEX2BIN(G29,8),HEX2BIN(F29,8),HEX2BIN(E29,8),HEX2BIN(D29,8))</f>
        <v>00101011101111010101110111111010</v>
      </c>
      <c r="M29" s="1" t="str">
        <f t="shared" si="7"/>
        <v>11010101000011110101100010011010</v>
      </c>
      <c r="N29" s="14">
        <f>MOD(BIN2DEC(MID(L29,1,8))+4*HEX2DEC(J29),256)</f>
        <v>203</v>
      </c>
      <c r="O29" s="14">
        <f t="shared" si="37"/>
        <v>9</v>
      </c>
      <c r="P29" s="14">
        <f t="shared" si="26"/>
        <v>10014</v>
      </c>
      <c r="Q29" s="14"/>
      <c r="R29" s="14"/>
      <c r="S29" s="14"/>
      <c r="T29" s="14"/>
    </row>
    <row r="30" spans="1:20" ht="18.600000000000001" thickBot="1" x14ac:dyDescent="0.4">
      <c r="A30" s="91"/>
      <c r="B30" s="76"/>
      <c r="C30" s="5" t="s">
        <v>6</v>
      </c>
      <c r="D30" s="5" t="s">
        <v>71</v>
      </c>
      <c r="E30" s="5" t="s">
        <v>72</v>
      </c>
      <c r="F30" s="5">
        <v>13</v>
      </c>
      <c r="G30" s="5" t="s">
        <v>73</v>
      </c>
      <c r="H30" s="5" t="str">
        <f t="shared" si="0"/>
        <v>10100001010110100001001111101011</v>
      </c>
      <c r="I30" s="5">
        <f t="shared" si="1"/>
        <v>16</v>
      </c>
      <c r="J30" s="78"/>
      <c r="K30" s="80"/>
      <c r="L30" s="14" t="str">
        <f t="shared" si="8"/>
        <v>10101001010100011111101010100000</v>
      </c>
      <c r="M30" s="14" t="str">
        <f t="shared" ref="M30" si="41">CONCATENATE(MID(M29,6,8),MID(M29,30,3),MID(M29,1,5),MID(M29,22,8),MID(M29,14,8))</f>
        <v>10100001010110100001001111101011</v>
      </c>
      <c r="N30" s="14">
        <f>BIN2DEC(MID(L30,1,8))</f>
        <v>169</v>
      </c>
      <c r="O30" s="14">
        <f t="shared" si="37"/>
        <v>166</v>
      </c>
      <c r="P30" s="14">
        <f t="shared" si="26"/>
        <v>10015</v>
      </c>
      <c r="Q30" s="14"/>
      <c r="R30" s="14"/>
      <c r="S30" s="14"/>
      <c r="T30" s="14"/>
    </row>
    <row r="31" spans="1:20" x14ac:dyDescent="0.35">
      <c r="A31" s="91"/>
      <c r="B31" s="75">
        <f>B29+1</f>
        <v>15</v>
      </c>
      <c r="C31" s="4" t="s">
        <v>0</v>
      </c>
      <c r="D31" s="4" t="s">
        <v>36</v>
      </c>
      <c r="E31" s="4" t="s">
        <v>76</v>
      </c>
      <c r="F31" s="4" t="s">
        <v>75</v>
      </c>
      <c r="G31" s="4" t="s">
        <v>65</v>
      </c>
      <c r="H31" s="4" t="str">
        <f t="shared" si="0"/>
        <v>01011111111010001101001110011111</v>
      </c>
      <c r="I31" s="4">
        <f t="shared" si="1"/>
        <v>21</v>
      </c>
      <c r="J31" s="77" t="s">
        <v>74</v>
      </c>
      <c r="K31" s="79" t="str">
        <f>HEX2BIN(J31,8)</f>
        <v>00101111</v>
      </c>
      <c r="L31" s="43" t="str">
        <f t="shared" ref="L31" si="42">CONCATENATE(HEX2BIN(G31,8),HEX2BIN(F31,8),HEX2BIN(E31,8),HEX2BIN(D31,8))</f>
        <v>10011111110100111110100001011111</v>
      </c>
      <c r="M31" s="1" t="str">
        <f t="shared" si="7"/>
        <v>11001111001100100111011000011011</v>
      </c>
      <c r="N31" s="14">
        <f>MOD(BIN2DEC(MID(L31,1,8))+4*HEX2DEC(J31),256)</f>
        <v>91</v>
      </c>
      <c r="O31" s="14">
        <f t="shared" si="37"/>
        <v>67</v>
      </c>
      <c r="P31" s="14">
        <f t="shared" si="26"/>
        <v>10016</v>
      </c>
      <c r="Q31" s="14"/>
      <c r="R31" s="14"/>
      <c r="S31" s="14"/>
      <c r="T31" s="14"/>
    </row>
    <row r="32" spans="1:20" ht="18.600000000000001" thickBot="1" x14ac:dyDescent="0.4">
      <c r="A32" s="91"/>
      <c r="B32" s="76"/>
      <c r="C32" s="5" t="s">
        <v>6</v>
      </c>
      <c r="D32" s="5" t="s">
        <v>77</v>
      </c>
      <c r="E32" s="5">
        <v>79</v>
      </c>
      <c r="F32" s="5" t="s">
        <v>78</v>
      </c>
      <c r="G32" s="5" t="s">
        <v>54</v>
      </c>
      <c r="H32" s="5" t="str">
        <f t="shared" si="0"/>
        <v>11100110011110011100001101001110</v>
      </c>
      <c r="I32" s="5">
        <f t="shared" si="1"/>
        <v>18</v>
      </c>
      <c r="J32" s="78"/>
      <c r="K32" s="80"/>
      <c r="L32" s="14" t="str">
        <f t="shared" si="8"/>
        <v>00101111010111101000110110111100</v>
      </c>
      <c r="M32" s="14" t="str">
        <f t="shared" ref="M32" si="43">CONCATENATE(MID(M31,6,8),MID(M31,30,3),MID(M31,1,5),MID(M31,22,8),MID(M31,14,8))</f>
        <v>11100110011110011100001101001110</v>
      </c>
      <c r="N32" s="14">
        <f>BIN2DEC(MID(L32,1,8))</f>
        <v>47</v>
      </c>
      <c r="O32" s="14">
        <f t="shared" si="37"/>
        <v>224</v>
      </c>
      <c r="P32" s="14">
        <f t="shared" si="26"/>
        <v>10017</v>
      </c>
      <c r="Q32" s="14"/>
      <c r="R32" s="14"/>
      <c r="S32" s="14"/>
      <c r="T32" s="14"/>
    </row>
    <row r="33" spans="1:20" x14ac:dyDescent="0.35">
      <c r="A33" s="91"/>
      <c r="B33" s="75">
        <f>B31+1</f>
        <v>16</v>
      </c>
      <c r="C33" s="4" t="s">
        <v>0</v>
      </c>
      <c r="D33" s="4" t="s">
        <v>64</v>
      </c>
      <c r="E33" s="4">
        <v>24</v>
      </c>
      <c r="F33" s="4" t="s">
        <v>79</v>
      </c>
      <c r="G33" s="4">
        <v>65</v>
      </c>
      <c r="H33" s="4" t="str">
        <f t="shared" si="0"/>
        <v>00011100001001000111111001100101</v>
      </c>
      <c r="I33" s="4">
        <f t="shared" si="1"/>
        <v>15</v>
      </c>
      <c r="J33" s="77">
        <v>80</v>
      </c>
      <c r="K33" s="79" t="str">
        <f>HEX2BIN(J33,8)</f>
        <v>10000000</v>
      </c>
      <c r="L33" s="43" t="str">
        <f t="shared" ref="L33" si="44">CONCATENATE(HEX2BIN(G33,8),HEX2BIN(F33,8),HEX2BIN(E33,8),HEX2BIN(D33,8))</f>
        <v>01100101011111100010010000011100</v>
      </c>
      <c r="M33" s="1" t="str">
        <f t="shared" si="7"/>
        <v>11100110011111111010011000011100</v>
      </c>
      <c r="N33" s="14">
        <f>MOD(BIN2DEC(MID(L33,1,8))+4*HEX2DEC(J33),256)</f>
        <v>101</v>
      </c>
      <c r="O33" s="14">
        <f t="shared" si="37"/>
        <v>125</v>
      </c>
      <c r="P33" s="14">
        <f t="shared" si="26"/>
        <v>10018</v>
      </c>
      <c r="Q33" s="14"/>
      <c r="R33" s="14"/>
      <c r="S33" s="14"/>
      <c r="T33" s="14"/>
    </row>
    <row r="34" spans="1:20" ht="18.600000000000001" thickBot="1" x14ac:dyDescent="0.4">
      <c r="A34" s="91"/>
      <c r="B34" s="76"/>
      <c r="C34" s="5" t="s">
        <v>6</v>
      </c>
      <c r="D34" s="5" t="s">
        <v>80</v>
      </c>
      <c r="E34" s="5" t="s">
        <v>10</v>
      </c>
      <c r="F34" s="5" t="s">
        <v>78</v>
      </c>
      <c r="G34" s="5" t="s">
        <v>81</v>
      </c>
      <c r="H34" s="5" t="str">
        <f t="shared" si="0"/>
        <v>11001111100111001100001111110100</v>
      </c>
      <c r="I34" s="5">
        <f t="shared" si="1"/>
        <v>19</v>
      </c>
      <c r="J34" s="78"/>
      <c r="K34" s="80"/>
      <c r="L34" s="14" t="str">
        <f t="shared" si="8"/>
        <v>10000001000000011000001000000000</v>
      </c>
      <c r="M34" s="14" t="str">
        <f t="shared" ref="M34" si="45">CONCATENATE(MID(M33,6,8),MID(M33,30,3),MID(M33,1,5),MID(M33,22,8),MID(M33,14,8))</f>
        <v>11001111100111001100001111110100</v>
      </c>
      <c r="N34" s="14">
        <f>BIN2DEC(MID(L34,1,8))</f>
        <v>129</v>
      </c>
      <c r="O34" s="14">
        <f t="shared" si="37"/>
        <v>26</v>
      </c>
      <c r="P34" s="14">
        <f t="shared" si="26"/>
        <v>10019</v>
      </c>
      <c r="Q34" s="14"/>
      <c r="R34" s="14"/>
      <c r="S34" s="14"/>
      <c r="T34" s="14"/>
    </row>
    <row r="35" spans="1:20" x14ac:dyDescent="0.35">
      <c r="A35" s="91">
        <f>A19+1</f>
        <v>3</v>
      </c>
      <c r="B35" s="75">
        <f>B33+1</f>
        <v>17</v>
      </c>
      <c r="C35" s="4" t="s">
        <v>0</v>
      </c>
      <c r="D35" s="4">
        <v>57</v>
      </c>
      <c r="E35" s="4" t="s">
        <v>83</v>
      </c>
      <c r="F35" s="4">
        <v>22</v>
      </c>
      <c r="G35" s="4">
        <v>98</v>
      </c>
      <c r="H35" s="4" t="str">
        <f t="shared" si="0"/>
        <v>01010111111001110010001010011000</v>
      </c>
      <c r="I35" s="4">
        <f t="shared" si="1"/>
        <v>16</v>
      </c>
      <c r="J35" s="77" t="s">
        <v>82</v>
      </c>
      <c r="K35" s="79" t="str">
        <f>HEX2BIN(J35,8)</f>
        <v>11001101</v>
      </c>
      <c r="L35" s="43" t="str">
        <f t="shared" ref="L35" si="46">CONCATENATE(HEX2BIN(G35,8),HEX2BIN(F35,8),HEX2BIN(E35,8),HEX2BIN(D35,8))</f>
        <v>10011000001000101110011101010111</v>
      </c>
      <c r="M35" s="1" t="str">
        <f t="shared" si="7"/>
        <v>01100110101111110101000110001011</v>
      </c>
      <c r="N35" s="14">
        <f>MOD(BIN2DEC(MID(L35,1,8))+4*HEX2DEC(J35),256)</f>
        <v>204</v>
      </c>
      <c r="O35" s="14">
        <f t="shared" si="37"/>
        <v>183</v>
      </c>
      <c r="P35" s="14">
        <f t="shared" si="26"/>
        <v>10020</v>
      </c>
      <c r="Q35" s="14"/>
      <c r="R35" s="14"/>
      <c r="S35" s="14"/>
      <c r="T35" s="14"/>
    </row>
    <row r="36" spans="1:20" ht="18.600000000000001" thickBot="1" x14ac:dyDescent="0.4">
      <c r="A36" s="91"/>
      <c r="B36" s="76"/>
      <c r="C36" s="5" t="s">
        <v>6</v>
      </c>
      <c r="D36" s="5" t="s">
        <v>53</v>
      </c>
      <c r="E36" s="5" t="s">
        <v>17</v>
      </c>
      <c r="F36" s="5">
        <v>31</v>
      </c>
      <c r="G36" s="5" t="s">
        <v>34</v>
      </c>
      <c r="H36" s="5" t="str">
        <f t="shared" si="0"/>
        <v>11010111011011000011000111101010</v>
      </c>
      <c r="I36" s="5">
        <f t="shared" si="1"/>
        <v>18</v>
      </c>
      <c r="J36" s="78"/>
      <c r="K36" s="80"/>
      <c r="L36" s="14" t="str">
        <f t="shared" si="8"/>
        <v>11001110100111000110101000110100</v>
      </c>
      <c r="M36" s="14" t="str">
        <f t="shared" ref="M36" si="47">CONCATENATE(MID(M35,6,8),MID(M35,30,3),MID(M35,1,5),MID(M35,22,8),MID(M35,14,8))</f>
        <v>11010111011011000011000111101010</v>
      </c>
      <c r="N36" s="14">
        <f>BIN2DEC(MID(L36,1,8))</f>
        <v>206</v>
      </c>
      <c r="O36" s="14">
        <f t="shared" si="37"/>
        <v>84</v>
      </c>
      <c r="P36" s="14">
        <f t="shared" si="26"/>
        <v>10021</v>
      </c>
      <c r="Q36" s="14"/>
      <c r="R36" s="14"/>
      <c r="S36" s="14"/>
      <c r="T36" s="14"/>
    </row>
    <row r="37" spans="1:20" x14ac:dyDescent="0.35">
      <c r="A37" s="91"/>
      <c r="B37" s="75">
        <f>B35+1</f>
        <v>18</v>
      </c>
      <c r="C37" s="4" t="s">
        <v>0</v>
      </c>
      <c r="D37" s="4">
        <v>34</v>
      </c>
      <c r="E37" s="4" t="s">
        <v>85</v>
      </c>
      <c r="F37" s="4" t="s">
        <v>84</v>
      </c>
      <c r="G37" s="4">
        <v>27</v>
      </c>
      <c r="H37" s="4" t="str">
        <f t="shared" si="0"/>
        <v>00110100011011110011110000100111</v>
      </c>
      <c r="I37" s="4">
        <f t="shared" si="1"/>
        <v>17</v>
      </c>
      <c r="J37" s="77" t="s">
        <v>86</v>
      </c>
      <c r="K37" s="79" t="str">
        <f>HEX2BIN(J37,8)</f>
        <v>11111001</v>
      </c>
      <c r="L37" s="43" t="str">
        <f t="shared" ref="L37" si="48">CONCATENATE(HEX2BIN(G37,8),HEX2BIN(F37,8),HEX2BIN(E37,8),HEX2BIN(D37,8))</f>
        <v>00100111001111000110111100110100</v>
      </c>
      <c r="M37" s="1" t="str">
        <f t="shared" si="7"/>
        <v>00100010001100010101111000011000</v>
      </c>
      <c r="N37" s="14">
        <f>MOD(BIN2DEC(MID(L37,1,8))+4*HEX2DEC(J37),256)</f>
        <v>11</v>
      </c>
      <c r="O37" s="14">
        <f t="shared" si="37"/>
        <v>241</v>
      </c>
      <c r="P37" s="14">
        <f t="shared" si="26"/>
        <v>10022</v>
      </c>
      <c r="Q37" s="14"/>
      <c r="R37" s="14"/>
      <c r="S37" s="14"/>
      <c r="T37" s="14"/>
    </row>
    <row r="38" spans="1:20" ht="18.600000000000001" thickBot="1" x14ac:dyDescent="0.4">
      <c r="A38" s="91"/>
      <c r="B38" s="76"/>
      <c r="C38" s="5" t="s">
        <v>6</v>
      </c>
      <c r="D38" s="5">
        <v>46</v>
      </c>
      <c r="E38" s="5">
        <v>4</v>
      </c>
      <c r="F38" s="5" t="s">
        <v>78</v>
      </c>
      <c r="G38" s="5" t="s">
        <v>18</v>
      </c>
      <c r="H38" s="5" t="str">
        <f t="shared" si="0"/>
        <v>01000110000001001100001100101011</v>
      </c>
      <c r="I38" s="5">
        <f t="shared" si="1"/>
        <v>12</v>
      </c>
      <c r="J38" s="78"/>
      <c r="K38" s="80"/>
      <c r="L38" s="14" t="str">
        <f t="shared" si="8"/>
        <v>11111010111101001110111011100100</v>
      </c>
      <c r="M38" s="14" t="str">
        <f t="shared" ref="M38" si="49">CONCATENATE(MID(M37,6,8),MID(M37,30,3),MID(M37,1,5),MID(M37,22,8),MID(M37,14,8))</f>
        <v>01000110000001001100001100101011</v>
      </c>
      <c r="N38" s="14">
        <f>BIN2DEC(MID(L38,1,8))</f>
        <v>250</v>
      </c>
      <c r="O38" s="14">
        <f t="shared" si="37"/>
        <v>142</v>
      </c>
      <c r="P38" s="14">
        <f t="shared" si="26"/>
        <v>10023</v>
      </c>
      <c r="Q38" s="14"/>
      <c r="R38" s="14"/>
      <c r="S38" s="14"/>
      <c r="T38" s="14"/>
    </row>
    <row r="39" spans="1:20" x14ac:dyDescent="0.35">
      <c r="A39" s="91"/>
      <c r="B39" s="75">
        <f>B37+1</f>
        <v>19</v>
      </c>
      <c r="C39" s="4" t="s">
        <v>0</v>
      </c>
      <c r="D39" s="4">
        <v>11</v>
      </c>
      <c r="E39" s="4" t="s">
        <v>89</v>
      </c>
      <c r="F39" s="4" t="s">
        <v>88</v>
      </c>
      <c r="G39" s="4" t="s">
        <v>87</v>
      </c>
      <c r="H39" s="4" t="str">
        <f t="shared" si="0"/>
        <v>00010001111000111110000110110011</v>
      </c>
      <c r="I39" s="4">
        <f t="shared" si="1"/>
        <v>16</v>
      </c>
      <c r="J39" s="77">
        <v>24</v>
      </c>
      <c r="K39" s="79" t="str">
        <f>HEX2BIN(J39,8)</f>
        <v>00100100</v>
      </c>
      <c r="L39" s="43" t="str">
        <f t="shared" ref="L39" si="50">CONCATENATE(HEX2BIN(G39,8),HEX2BIN(F39,8),HEX2BIN(E39,8),HEX2BIN(D39,8))</f>
        <v>10110011111000011110001100010001</v>
      </c>
      <c r="M39" s="1" t="str">
        <f t="shared" si="7"/>
        <v>11011000001010100100111110100001</v>
      </c>
      <c r="N39" s="14">
        <f>MOD(BIN2DEC(MID(L39,1,8))+4*HEX2DEC(J39),256)</f>
        <v>67</v>
      </c>
      <c r="O39" s="14">
        <f t="shared" si="37"/>
        <v>43</v>
      </c>
      <c r="P39" s="14">
        <f t="shared" si="26"/>
        <v>10024</v>
      </c>
      <c r="Q39" s="14"/>
      <c r="R39" s="14"/>
      <c r="S39" s="14"/>
      <c r="T39" s="14"/>
    </row>
    <row r="40" spans="1:20" ht="18.600000000000001" thickBot="1" x14ac:dyDescent="0.4">
      <c r="A40" s="91"/>
      <c r="B40" s="76"/>
      <c r="C40" s="5" t="s">
        <v>6</v>
      </c>
      <c r="D40" s="5">
        <v>5</v>
      </c>
      <c r="E40" s="5" t="s">
        <v>90</v>
      </c>
      <c r="F40" s="5" t="s">
        <v>81</v>
      </c>
      <c r="G40" s="5">
        <v>49</v>
      </c>
      <c r="H40" s="5" t="str">
        <f t="shared" si="0"/>
        <v>00000101001110111111010001001001</v>
      </c>
      <c r="I40" s="5">
        <f t="shared" si="1"/>
        <v>15</v>
      </c>
      <c r="J40" s="78"/>
      <c r="K40" s="80"/>
      <c r="L40" s="14" t="str">
        <f t="shared" si="8"/>
        <v>00100100010010000110110010010000</v>
      </c>
      <c r="M40" s="14" t="str">
        <f t="shared" ref="M40" si="51">CONCATENATE(MID(M39,6,8),MID(M39,30,3),MID(M39,1,5),MID(M39,22,8),MID(M39,14,8))</f>
        <v>00000101001110111111010001001001</v>
      </c>
      <c r="N40" s="14">
        <f>BIN2DEC(MID(L40,1,8))</f>
        <v>36</v>
      </c>
      <c r="O40" s="14">
        <f t="shared" si="37"/>
        <v>200</v>
      </c>
      <c r="P40" s="14">
        <f t="shared" si="26"/>
        <v>10025</v>
      </c>
      <c r="Q40" s="14"/>
      <c r="R40" s="14"/>
      <c r="S40" s="14"/>
      <c r="T40" s="14"/>
    </row>
    <row r="41" spans="1:20" x14ac:dyDescent="0.35">
      <c r="A41" s="91"/>
      <c r="B41" s="75">
        <f>B39+1</f>
        <v>20</v>
      </c>
      <c r="C41" s="4" t="s">
        <v>0</v>
      </c>
      <c r="D41" s="4">
        <v>31</v>
      </c>
      <c r="E41" s="4">
        <v>54</v>
      </c>
      <c r="F41" s="4" t="s">
        <v>92</v>
      </c>
      <c r="G41" s="4" t="s">
        <v>91</v>
      </c>
      <c r="H41" s="4" t="str">
        <f t="shared" si="0"/>
        <v>00110001010101001100100001101110</v>
      </c>
      <c r="I41" s="4">
        <f t="shared" si="1"/>
        <v>14</v>
      </c>
      <c r="J41" s="77" t="s">
        <v>87</v>
      </c>
      <c r="K41" s="79" t="str">
        <f>HEX2BIN(J41,8)</f>
        <v>10110011</v>
      </c>
      <c r="L41" s="43" t="str">
        <f t="shared" ref="L41" si="52">CONCATENATE(HEX2BIN(G41,8),HEX2BIN(F41,8),HEX2BIN(E41,8),HEX2BIN(D41,8))</f>
        <v>01101110110010000101010000110001</v>
      </c>
      <c r="M41" s="1" t="str">
        <f t="shared" si="7"/>
        <v>00100011001100000110111111111101</v>
      </c>
      <c r="N41" s="14">
        <f>MOD(BIN2DEC(MID(L41,1,8))+4*HEX2DEC(J41),256)</f>
        <v>58</v>
      </c>
      <c r="O41" s="14">
        <f t="shared" si="37"/>
        <v>101</v>
      </c>
      <c r="P41" s="14">
        <f t="shared" si="26"/>
        <v>10026</v>
      </c>
      <c r="Q41" s="14"/>
      <c r="R41" s="14"/>
      <c r="S41" s="14"/>
      <c r="T41" s="14"/>
    </row>
    <row r="42" spans="1:20" ht="18.600000000000001" thickBot="1" x14ac:dyDescent="0.4">
      <c r="A42" s="91"/>
      <c r="B42" s="76"/>
      <c r="C42" s="5" t="s">
        <v>6</v>
      </c>
      <c r="D42" s="5">
        <v>66</v>
      </c>
      <c r="E42" s="5" t="s">
        <v>38</v>
      </c>
      <c r="F42" s="5" t="s">
        <v>47</v>
      </c>
      <c r="G42" s="5" t="s">
        <v>93</v>
      </c>
      <c r="H42" s="5" t="str">
        <f t="shared" si="0"/>
        <v>01100110101001001111111100001101</v>
      </c>
      <c r="I42" s="5">
        <f t="shared" si="1"/>
        <v>18</v>
      </c>
      <c r="J42" s="78"/>
      <c r="K42" s="80"/>
      <c r="L42" s="14" t="str">
        <f t="shared" si="8"/>
        <v>10110100011010000001101111001100</v>
      </c>
      <c r="M42" s="14" t="str">
        <f t="shared" ref="M42" si="53">CONCATENATE(MID(M41,6,8),MID(M41,30,3),MID(M41,1,5),MID(M41,22,8),MID(M41,14,8))</f>
        <v>01100110101001001111111100001101</v>
      </c>
      <c r="N42" s="14">
        <f>BIN2DEC(MID(L42,1,8))</f>
        <v>180</v>
      </c>
      <c r="O42" s="14">
        <f t="shared" si="37"/>
        <v>2</v>
      </c>
      <c r="P42" s="14">
        <f t="shared" si="26"/>
        <v>10027</v>
      </c>
      <c r="Q42" s="14"/>
      <c r="R42" s="14"/>
      <c r="S42" s="14"/>
      <c r="T42" s="14"/>
    </row>
    <row r="43" spans="1:20" x14ac:dyDescent="0.35">
      <c r="A43" s="91"/>
      <c r="B43" s="75">
        <f>B41+1</f>
        <v>21</v>
      </c>
      <c r="C43" s="4" t="s">
        <v>0</v>
      </c>
      <c r="D43" s="4">
        <v>77</v>
      </c>
      <c r="E43" s="4">
        <v>47</v>
      </c>
      <c r="F43" s="4" t="s">
        <v>95</v>
      </c>
      <c r="G43" s="4" t="s">
        <v>94</v>
      </c>
      <c r="H43" s="4" t="str">
        <f t="shared" si="0"/>
        <v>01110111010001110001111010111110</v>
      </c>
      <c r="I43" s="4">
        <f t="shared" si="1"/>
        <v>20</v>
      </c>
      <c r="J43" s="77">
        <v>39</v>
      </c>
      <c r="K43" s="79" t="str">
        <f>HEX2BIN(J43,8)</f>
        <v>00111001</v>
      </c>
      <c r="L43" s="43" t="str">
        <f t="shared" ref="L43" si="54">CONCATENATE(HEX2BIN(G43,8),HEX2BIN(F43,8),HEX2BIN(E43,8),HEX2BIN(D43,8))</f>
        <v>10111110000111100100011101110111</v>
      </c>
      <c r="M43" s="1" t="str">
        <f t="shared" si="7"/>
        <v>11110111100100001111001101011011</v>
      </c>
      <c r="N43" s="14">
        <f>MOD(BIN2DEC(MID(L43,1,8))+4*HEX2DEC(J43),256)</f>
        <v>162</v>
      </c>
      <c r="O43" s="14">
        <f t="shared" si="37"/>
        <v>159</v>
      </c>
      <c r="P43" s="14">
        <f t="shared" si="26"/>
        <v>10028</v>
      </c>
      <c r="Q43" s="14"/>
      <c r="R43" s="14"/>
      <c r="S43" s="14"/>
      <c r="T43" s="14"/>
    </row>
    <row r="44" spans="1:20" ht="18.600000000000001" thickBot="1" x14ac:dyDescent="0.4">
      <c r="A44" s="91"/>
      <c r="B44" s="76"/>
      <c r="C44" s="5" t="s">
        <v>6</v>
      </c>
      <c r="D44" s="5" t="s">
        <v>96</v>
      </c>
      <c r="E44" s="5" t="s">
        <v>79</v>
      </c>
      <c r="F44" s="5" t="s">
        <v>97</v>
      </c>
      <c r="G44" s="5" t="s">
        <v>95</v>
      </c>
      <c r="H44" s="5" t="str">
        <f t="shared" si="0"/>
        <v>11110010011111100110101100011110</v>
      </c>
      <c r="I44" s="5">
        <f t="shared" si="1"/>
        <v>20</v>
      </c>
      <c r="J44" s="78"/>
      <c r="K44" s="80"/>
      <c r="L44" s="14" t="str">
        <f t="shared" si="8"/>
        <v>00111001011100101010101111100100</v>
      </c>
      <c r="M44" s="14" t="str">
        <f t="shared" ref="M44" si="55">CONCATENATE(MID(M43,6,8),MID(M43,30,3),MID(M43,1,5),MID(M43,22,8),MID(M43,14,8))</f>
        <v>11110010011111100110101100011110</v>
      </c>
      <c r="N44" s="14">
        <f>BIN2DEC(MID(L44,1,8))</f>
        <v>57</v>
      </c>
      <c r="O44" s="14">
        <f t="shared" si="37"/>
        <v>60</v>
      </c>
      <c r="P44" s="14">
        <f t="shared" si="26"/>
        <v>10029</v>
      </c>
      <c r="Q44" s="14"/>
      <c r="R44" s="14"/>
      <c r="S44" s="14"/>
      <c r="T44" s="14"/>
    </row>
    <row r="45" spans="1:20" x14ac:dyDescent="0.35">
      <c r="A45" s="91"/>
      <c r="B45" s="75">
        <f>B43+1</f>
        <v>22</v>
      </c>
      <c r="C45" s="4" t="s">
        <v>0</v>
      </c>
      <c r="D45" s="4" t="s">
        <v>78</v>
      </c>
      <c r="E45" s="4" t="s">
        <v>98</v>
      </c>
      <c r="F45" s="4" t="s">
        <v>12</v>
      </c>
      <c r="G45" s="4">
        <v>70</v>
      </c>
      <c r="H45" s="4" t="str">
        <f t="shared" si="0"/>
        <v>11000011001010101010001101110000</v>
      </c>
      <c r="I45" s="4">
        <f t="shared" si="1"/>
        <v>14</v>
      </c>
      <c r="J45" s="77" t="s">
        <v>22</v>
      </c>
      <c r="K45" s="79" t="str">
        <f>HEX2BIN(J45,8)</f>
        <v>11010101</v>
      </c>
      <c r="L45" s="43" t="str">
        <f t="shared" ref="L45" si="56">CONCATENATE(HEX2BIN(G45,8),HEX2BIN(F45,8),HEX2BIN(E45,8),HEX2BIN(D45,8))</f>
        <v>01110000101000110010101011000011</v>
      </c>
      <c r="M45" s="1" t="str">
        <f t="shared" si="7"/>
        <v>01000111010011111010110100010111</v>
      </c>
      <c r="N45" s="14">
        <f>MOD(BIN2DEC(MID(L45,1,8))+4*HEX2DEC(J45),256)</f>
        <v>196</v>
      </c>
      <c r="O45" s="14">
        <f t="shared" si="37"/>
        <v>217</v>
      </c>
      <c r="P45" s="14">
        <f t="shared" si="26"/>
        <v>10030</v>
      </c>
      <c r="Q45" s="14"/>
      <c r="R45" s="14"/>
      <c r="S45" s="14"/>
      <c r="T45" s="14"/>
    </row>
    <row r="46" spans="1:20" ht="18.600000000000001" thickBot="1" x14ac:dyDescent="0.4">
      <c r="A46" s="91"/>
      <c r="B46" s="76"/>
      <c r="C46" s="5" t="s">
        <v>6</v>
      </c>
      <c r="D46" s="5" t="s">
        <v>37</v>
      </c>
      <c r="E46" s="5" t="s">
        <v>76</v>
      </c>
      <c r="F46" s="5" t="s">
        <v>99</v>
      </c>
      <c r="G46" s="5" t="s">
        <v>100</v>
      </c>
      <c r="H46" s="5" t="str">
        <f t="shared" si="0"/>
        <v>11101001111010001010001011110101</v>
      </c>
      <c r="I46" s="5">
        <f t="shared" si="1"/>
        <v>18</v>
      </c>
      <c r="J46" s="78"/>
      <c r="K46" s="80"/>
      <c r="L46" s="14" t="str">
        <f t="shared" si="8"/>
        <v>11010110101011001000001001010100</v>
      </c>
      <c r="M46" s="14" t="str">
        <f t="shared" ref="M46" si="57">CONCATENATE(MID(M45,6,8),MID(M45,30,3),MID(M45,1,5),MID(M45,22,8),MID(M45,14,8))</f>
        <v>11101001111010001010001011110101</v>
      </c>
      <c r="N46" s="14">
        <f>BIN2DEC(MID(L46,1,8))</f>
        <v>214</v>
      </c>
      <c r="O46" s="14">
        <f t="shared" si="37"/>
        <v>118</v>
      </c>
      <c r="P46" s="14">
        <f t="shared" si="26"/>
        <v>10031</v>
      </c>
      <c r="Q46" s="14"/>
      <c r="R46" s="14"/>
      <c r="S46" s="14"/>
      <c r="T46" s="14"/>
    </row>
    <row r="47" spans="1:20" x14ac:dyDescent="0.35">
      <c r="A47" s="91"/>
      <c r="B47" s="75">
        <f>B45+1</f>
        <v>23</v>
      </c>
      <c r="C47" s="4" t="s">
        <v>0</v>
      </c>
      <c r="D47" s="4" t="s">
        <v>13</v>
      </c>
      <c r="E47" s="4" t="s">
        <v>103</v>
      </c>
      <c r="F47" s="4" t="s">
        <v>102</v>
      </c>
      <c r="G47" s="4" t="s">
        <v>69</v>
      </c>
      <c r="H47" s="4" t="str">
        <f t="shared" si="0"/>
        <v>10011110101011111011110001001011</v>
      </c>
      <c r="I47" s="4">
        <f t="shared" si="1"/>
        <v>20</v>
      </c>
      <c r="J47" s="77" t="s">
        <v>101</v>
      </c>
      <c r="K47" s="79" t="str">
        <f>HEX2BIN(J47,8)</f>
        <v>11011100</v>
      </c>
      <c r="L47" s="43" t="str">
        <f t="shared" ref="L47" si="58">CONCATENATE(HEX2BIN(G47,8),HEX2BIN(F47,8),HEX2BIN(E47,8),HEX2BIN(D47,8))</f>
        <v>01001011101111001010111110011110</v>
      </c>
      <c r="M47" s="1" t="str">
        <f t="shared" si="7"/>
        <v>00101001011101110100011100001110</v>
      </c>
      <c r="N47" s="14">
        <f>MOD(BIN2DEC(MID(L47,1,8))+4*HEX2DEC(J47),256)</f>
        <v>187</v>
      </c>
      <c r="O47" s="14">
        <f t="shared" si="37"/>
        <v>19</v>
      </c>
      <c r="P47" s="14">
        <f t="shared" si="26"/>
        <v>10032</v>
      </c>
      <c r="Q47" s="14"/>
      <c r="R47" s="14"/>
      <c r="S47" s="14"/>
      <c r="T47" s="14"/>
    </row>
    <row r="48" spans="1:20" ht="18.600000000000001" thickBot="1" x14ac:dyDescent="0.4">
      <c r="A48" s="91"/>
      <c r="B48" s="76"/>
      <c r="C48" s="5" t="s">
        <v>6</v>
      </c>
      <c r="D48" s="5" t="s">
        <v>104</v>
      </c>
      <c r="E48" s="5" t="s">
        <v>48</v>
      </c>
      <c r="F48" s="5" t="s">
        <v>88</v>
      </c>
      <c r="G48" s="5" t="s">
        <v>76</v>
      </c>
      <c r="H48" s="5" t="str">
        <f t="shared" si="0"/>
        <v>00101110110001011110000111101000</v>
      </c>
      <c r="I48" s="5">
        <f t="shared" si="1"/>
        <v>16</v>
      </c>
      <c r="J48" s="78"/>
      <c r="K48" s="80"/>
      <c r="L48" s="14" t="str">
        <f t="shared" si="8"/>
        <v>11011101101110101001011101110000</v>
      </c>
      <c r="M48" s="14" t="str">
        <f t="shared" ref="M48" si="59">CONCATENATE(MID(M47,6,8),MID(M47,30,3),MID(M47,1,5),MID(M47,22,8),MID(M47,14,8))</f>
        <v>00101110110001011110000111101000</v>
      </c>
      <c r="N48" s="14">
        <f>BIN2DEC(MID(L48,1,8))</f>
        <v>221</v>
      </c>
      <c r="O48" s="14">
        <f t="shared" si="37"/>
        <v>176</v>
      </c>
      <c r="P48" s="14">
        <f t="shared" si="26"/>
        <v>10033</v>
      </c>
      <c r="Q48" s="14"/>
      <c r="R48" s="14"/>
      <c r="S48" s="14"/>
      <c r="T48" s="14"/>
    </row>
    <row r="49" spans="1:20" x14ac:dyDescent="0.35">
      <c r="A49" s="91"/>
      <c r="B49" s="75">
        <f>B47+1</f>
        <v>24</v>
      </c>
      <c r="C49" s="4" t="s">
        <v>0</v>
      </c>
      <c r="D49" s="4" t="s">
        <v>105</v>
      </c>
      <c r="E49" s="4" t="s">
        <v>56</v>
      </c>
      <c r="F49" s="4">
        <v>42</v>
      </c>
      <c r="G49" s="4">
        <v>98</v>
      </c>
      <c r="H49" s="4" t="str">
        <f t="shared" si="0"/>
        <v>11101101111011110100001010011000</v>
      </c>
      <c r="I49" s="4">
        <f t="shared" si="1"/>
        <v>18</v>
      </c>
      <c r="J49" s="77">
        <v>93</v>
      </c>
      <c r="K49" s="79" t="str">
        <f>HEX2BIN(J49,8)</f>
        <v>10010011</v>
      </c>
      <c r="L49" s="43" t="str">
        <f t="shared" ref="L49" si="60">CONCATENATE(HEX2BIN(G49,8),HEX2BIN(F49,8),HEX2BIN(E49,8),HEX2BIN(D49,8))</f>
        <v>10011000010000101110111111101101</v>
      </c>
      <c r="M49" s="1" t="str">
        <f t="shared" si="7"/>
        <v>00101100011010101010101100111001</v>
      </c>
      <c r="N49" s="14">
        <f>MOD(BIN2DEC(MID(L49,1,8))+4*HEX2DEC(J49),256)</f>
        <v>228</v>
      </c>
      <c r="O49" s="14">
        <f t="shared" si="37"/>
        <v>77</v>
      </c>
      <c r="P49" s="14">
        <f t="shared" si="26"/>
        <v>10034</v>
      </c>
      <c r="Q49" s="14"/>
      <c r="R49" s="14"/>
      <c r="S49" s="14"/>
      <c r="T49" s="14"/>
    </row>
    <row r="50" spans="1:20" ht="18.600000000000001" thickBot="1" x14ac:dyDescent="0.4">
      <c r="A50" s="91"/>
      <c r="B50" s="76"/>
      <c r="C50" s="5" t="s">
        <v>6</v>
      </c>
      <c r="D50" s="5" t="s">
        <v>15</v>
      </c>
      <c r="E50" s="5">
        <v>25</v>
      </c>
      <c r="F50" s="5">
        <v>67</v>
      </c>
      <c r="G50" s="5">
        <v>55</v>
      </c>
      <c r="H50" s="5" t="str">
        <f t="shared" si="0"/>
        <v>10001101001001010110011101010101</v>
      </c>
      <c r="I50" s="5">
        <f t="shared" si="1"/>
        <v>16</v>
      </c>
      <c r="J50" s="78"/>
      <c r="K50" s="80"/>
      <c r="L50" s="14" t="str">
        <f t="shared" si="8"/>
        <v>10010100001001111011101101001100</v>
      </c>
      <c r="M50" s="14" t="str">
        <f t="shared" ref="M50" si="61">CONCATENATE(MID(M49,6,8),MID(M49,30,3),MID(M49,1,5),MID(M49,22,8),MID(M49,14,8))</f>
        <v>10001101001001010110011101010101</v>
      </c>
      <c r="N50" s="14">
        <f>BIN2DEC(MID(L50,1,8))</f>
        <v>148</v>
      </c>
      <c r="O50" s="14">
        <f t="shared" si="37"/>
        <v>234</v>
      </c>
      <c r="P50" s="14">
        <f t="shared" si="26"/>
        <v>10035</v>
      </c>
      <c r="Q50" s="14"/>
      <c r="R50" s="14"/>
      <c r="S50" s="14"/>
      <c r="T50" s="14"/>
    </row>
    <row r="51" spans="1:20" x14ac:dyDescent="0.35">
      <c r="A51" s="91">
        <f>A35+1</f>
        <v>4</v>
      </c>
      <c r="B51" s="75">
        <f>B49+1</f>
        <v>25</v>
      </c>
      <c r="C51" s="4" t="s">
        <v>0</v>
      </c>
      <c r="D51" s="4" t="s">
        <v>64</v>
      </c>
      <c r="E51" s="4">
        <v>13</v>
      </c>
      <c r="F51" s="4" t="s">
        <v>52</v>
      </c>
      <c r="G51" s="4">
        <v>25</v>
      </c>
      <c r="H51" s="4" t="str">
        <f t="shared" si="0"/>
        <v>00011100000100110101111000100101</v>
      </c>
      <c r="I51" s="4">
        <f t="shared" si="1"/>
        <v>14</v>
      </c>
      <c r="J51" s="77" t="s">
        <v>106</v>
      </c>
      <c r="K51" s="79" t="str">
        <f>HEX2BIN(J51,8)</f>
        <v>11011110</v>
      </c>
      <c r="L51" s="43" t="str">
        <f t="shared" ref="L51" si="62">CONCATENATE(HEX2BIN(G51,8),HEX2BIN(F51,8),HEX2BIN(E51,8),HEX2BIN(D51,8))</f>
        <v>00100101010111100001001100011100</v>
      </c>
      <c r="M51" s="1" t="str">
        <f t="shared" si="7"/>
        <v>00000101000111001011000010010100</v>
      </c>
      <c r="N51" s="14">
        <f>MOD(BIN2DEC(MID(L51,1,8))+4*HEX2DEC(J51),256)</f>
        <v>157</v>
      </c>
      <c r="O51" s="14">
        <f t="shared" si="37"/>
        <v>135</v>
      </c>
      <c r="P51" s="14">
        <f t="shared" si="26"/>
        <v>10036</v>
      </c>
      <c r="Q51" s="14"/>
      <c r="R51" s="14"/>
      <c r="S51" s="14"/>
      <c r="T51" s="14"/>
    </row>
    <row r="52" spans="1:20" ht="18.600000000000001" thickBot="1" x14ac:dyDescent="0.4">
      <c r="A52" s="91"/>
      <c r="B52" s="76"/>
      <c r="C52" s="5" t="s">
        <v>6</v>
      </c>
      <c r="D52" s="5" t="s">
        <v>12</v>
      </c>
      <c r="E52" s="5">
        <v>80</v>
      </c>
      <c r="F52" s="5">
        <v>12</v>
      </c>
      <c r="G52" s="5">
        <v>96</v>
      </c>
      <c r="H52" s="5" t="str">
        <f t="shared" si="0"/>
        <v>10100011100000000001001010010110</v>
      </c>
      <c r="I52" s="5">
        <f t="shared" si="1"/>
        <v>11</v>
      </c>
      <c r="J52" s="78"/>
      <c r="K52" s="80"/>
      <c r="L52" s="14" t="str">
        <f t="shared" si="8"/>
        <v>11011111101111101001110101111000</v>
      </c>
      <c r="M52" s="14" t="str">
        <f t="shared" ref="M52" si="63">CONCATENATE(MID(M51,6,8),MID(M51,30,3),MID(M51,1,5),MID(M51,22,8),MID(M51,14,8))</f>
        <v>10100011100000000001001010010110</v>
      </c>
      <c r="N52" s="14">
        <f>BIN2DEC(MID(L52,1,8))</f>
        <v>223</v>
      </c>
      <c r="O52" s="14">
        <f t="shared" si="37"/>
        <v>36</v>
      </c>
      <c r="P52" s="14">
        <f t="shared" si="26"/>
        <v>10037</v>
      </c>
      <c r="Q52" s="14"/>
      <c r="R52" s="14"/>
      <c r="S52" s="14"/>
      <c r="T52" s="14"/>
    </row>
    <row r="53" spans="1:20" x14ac:dyDescent="0.35">
      <c r="A53" s="91"/>
      <c r="B53" s="75">
        <f>B51+1</f>
        <v>26</v>
      </c>
      <c r="C53" s="4" t="s">
        <v>0</v>
      </c>
      <c r="D53" s="4" t="s">
        <v>51</v>
      </c>
      <c r="E53" s="4" t="s">
        <v>76</v>
      </c>
      <c r="F53" s="4">
        <v>5</v>
      </c>
      <c r="G53" s="4" t="s">
        <v>60</v>
      </c>
      <c r="H53" s="4" t="str">
        <f t="shared" si="0"/>
        <v>10101010111010000000010100111101</v>
      </c>
      <c r="I53" s="4">
        <f t="shared" si="1"/>
        <v>15</v>
      </c>
      <c r="J53" s="77" t="s">
        <v>109</v>
      </c>
      <c r="K53" s="79" t="str">
        <f>HEX2BIN(J53,8)</f>
        <v>10110000</v>
      </c>
      <c r="L53" s="43" t="str">
        <f t="shared" ref="L53" si="64">CONCATENATE(HEX2BIN(G53,8),HEX2BIN(F53,8),HEX2BIN(E53,8),HEX2BIN(D53,8))</f>
        <v>00111101000001011110100010101010</v>
      </c>
      <c r="M53" s="1" t="str">
        <f t="shared" si="7"/>
        <v>11101110011001111111101101101010</v>
      </c>
      <c r="N53" s="14">
        <f>MOD(BIN2DEC(MID(L53,1,8))+4*HEX2DEC(J53),256)</f>
        <v>253</v>
      </c>
      <c r="O53" s="14">
        <f t="shared" si="37"/>
        <v>193</v>
      </c>
      <c r="P53" s="14">
        <f t="shared" si="26"/>
        <v>10038</v>
      </c>
      <c r="Q53" s="14"/>
      <c r="R53" s="14"/>
      <c r="S53" s="14"/>
      <c r="T53" s="14"/>
    </row>
    <row r="54" spans="1:20" ht="18.600000000000001" thickBot="1" x14ac:dyDescent="0.4">
      <c r="A54" s="91"/>
      <c r="B54" s="76"/>
      <c r="C54" s="5" t="s">
        <v>6</v>
      </c>
      <c r="D54" s="5" t="s">
        <v>107</v>
      </c>
      <c r="E54" s="5" t="s">
        <v>70</v>
      </c>
      <c r="F54" s="5" t="s">
        <v>108</v>
      </c>
      <c r="G54" s="5" t="s">
        <v>47</v>
      </c>
      <c r="H54" s="5" t="str">
        <f t="shared" si="0"/>
        <v>11001100010111010110110111111111</v>
      </c>
      <c r="I54" s="5">
        <f t="shared" si="1"/>
        <v>22</v>
      </c>
      <c r="J54" s="78"/>
      <c r="K54" s="80"/>
      <c r="L54" s="14" t="str">
        <f t="shared" si="8"/>
        <v>10110001011000100001001011000000</v>
      </c>
      <c r="M54" s="14" t="str">
        <f t="shared" ref="M54" si="65">CONCATENATE(MID(M53,6,8),MID(M53,30,3),MID(M53,1,5),MID(M53,22,8),MID(M53,14,8))</f>
        <v>11001100010111010110110111111111</v>
      </c>
      <c r="N54" s="14">
        <f>BIN2DEC(MID(L54,1,8))</f>
        <v>177</v>
      </c>
      <c r="O54" s="14">
        <f t="shared" si="37"/>
        <v>94</v>
      </c>
      <c r="P54" s="14">
        <f t="shared" si="26"/>
        <v>10039</v>
      </c>
      <c r="Q54" s="14"/>
      <c r="R54" s="14"/>
      <c r="S54" s="14"/>
      <c r="T54" s="14"/>
    </row>
    <row r="55" spans="1:20" x14ac:dyDescent="0.35">
      <c r="A55" s="91"/>
      <c r="B55" s="75">
        <f>B53+1</f>
        <v>27</v>
      </c>
      <c r="C55" s="4" t="s">
        <v>0</v>
      </c>
      <c r="D55" s="4" t="s">
        <v>112</v>
      </c>
      <c r="E55" s="4" t="s">
        <v>54</v>
      </c>
      <c r="F55" s="4">
        <v>33</v>
      </c>
      <c r="G55" s="4" t="s">
        <v>111</v>
      </c>
      <c r="H55" s="4" t="str">
        <f t="shared" si="0"/>
        <v>11010000010011100011001111011010</v>
      </c>
      <c r="I55" s="4">
        <f t="shared" si="1"/>
        <v>16</v>
      </c>
      <c r="J55" s="77" t="s">
        <v>110</v>
      </c>
      <c r="K55" s="79" t="str">
        <f>HEX2BIN(J55,8)</f>
        <v>11111100</v>
      </c>
      <c r="L55" s="43" t="str">
        <f t="shared" ref="L55" si="66">CONCATENATE(HEX2BIN(G55,8),HEX2BIN(F55,8),HEX2BIN(E55,8),HEX2BIN(D55,8))</f>
        <v>11011010001100110100111011010000</v>
      </c>
      <c r="M55" s="1" t="str">
        <f t="shared" si="7"/>
        <v>11011000001011100100011011000000</v>
      </c>
      <c r="N55" s="14">
        <f>MOD(BIN2DEC(MID(L55,1,8))+4*HEX2DEC(J55),256)</f>
        <v>202</v>
      </c>
      <c r="O55" s="14">
        <f t="shared" si="37"/>
        <v>251</v>
      </c>
      <c r="P55" s="14">
        <f t="shared" si="26"/>
        <v>10040</v>
      </c>
      <c r="Q55" s="14"/>
      <c r="R55" s="14"/>
      <c r="S55" s="14"/>
      <c r="T55" s="14"/>
    </row>
    <row r="56" spans="1:20" ht="18.600000000000001" thickBot="1" x14ac:dyDescent="0.4">
      <c r="A56" s="91"/>
      <c r="B56" s="76"/>
      <c r="C56" s="5" t="s">
        <v>6</v>
      </c>
      <c r="D56" s="5">
        <v>5</v>
      </c>
      <c r="E56" s="5" t="s">
        <v>113</v>
      </c>
      <c r="F56" s="5" t="s">
        <v>46</v>
      </c>
      <c r="G56" s="5" t="s">
        <v>92</v>
      </c>
      <c r="H56" s="5" t="str">
        <f t="shared" si="0"/>
        <v>00000101000110111101100011001000</v>
      </c>
      <c r="I56" s="5">
        <f t="shared" si="1"/>
        <v>13</v>
      </c>
      <c r="J56" s="78"/>
      <c r="K56" s="80"/>
      <c r="L56" s="14" t="str">
        <f t="shared" si="8"/>
        <v>11111101111110101111011111110000</v>
      </c>
      <c r="M56" s="14" t="str">
        <f t="shared" ref="M56" si="67">CONCATENATE(MID(M55,6,8),MID(M55,30,3),MID(M55,1,5),MID(M55,22,8),MID(M55,14,8))</f>
        <v>00000101000110111101100011001000</v>
      </c>
      <c r="N56" s="14">
        <f>BIN2DEC(MID(L56,1,8))</f>
        <v>253</v>
      </c>
      <c r="O56" s="14">
        <f t="shared" si="37"/>
        <v>152</v>
      </c>
      <c r="P56" s="14">
        <f t="shared" si="26"/>
        <v>10041</v>
      </c>
      <c r="Q56" s="14"/>
      <c r="R56" s="14"/>
      <c r="S56" s="14"/>
      <c r="T56" s="14"/>
    </row>
    <row r="57" spans="1:20" x14ac:dyDescent="0.35">
      <c r="A57" s="91"/>
      <c r="B57" s="75">
        <f>B55+1</f>
        <v>28</v>
      </c>
      <c r="C57" s="4" t="s">
        <v>0</v>
      </c>
      <c r="D57" s="4" t="s">
        <v>103</v>
      </c>
      <c r="E57" s="4" t="s">
        <v>62</v>
      </c>
      <c r="F57" s="4" t="s">
        <v>14</v>
      </c>
      <c r="G57" s="4" t="s">
        <v>100</v>
      </c>
      <c r="H57" s="4" t="str">
        <f t="shared" si="0"/>
        <v>10101111111100111101110111110101</v>
      </c>
      <c r="I57" s="4">
        <f t="shared" si="1"/>
        <v>24</v>
      </c>
      <c r="J57" s="77" t="s">
        <v>88</v>
      </c>
      <c r="K57" s="79" t="str">
        <f>HEX2BIN(J57,8)</f>
        <v>11100001</v>
      </c>
      <c r="L57" s="43" t="str">
        <f t="shared" ref="L57" si="68">CONCATENATE(HEX2BIN(G57,8),HEX2BIN(F57,8),HEX2BIN(E57,8),HEX2BIN(D57,8))</f>
        <v>11110101110111011111001110101111</v>
      </c>
      <c r="M57" s="1" t="str">
        <f t="shared" si="7"/>
        <v>11011000101000101001101000110011</v>
      </c>
      <c r="N57" s="14">
        <f>MOD(BIN2DEC(MID(L57,1,8))+4*HEX2DEC(J57),256)</f>
        <v>121</v>
      </c>
      <c r="O57" s="14">
        <f t="shared" si="37"/>
        <v>53</v>
      </c>
      <c r="P57" s="14">
        <f t="shared" si="26"/>
        <v>10042</v>
      </c>
      <c r="Q57" s="14"/>
      <c r="R57" s="14"/>
      <c r="S57" s="14"/>
      <c r="T57" s="14"/>
    </row>
    <row r="58" spans="1:20" ht="18.600000000000001" thickBot="1" x14ac:dyDescent="0.4">
      <c r="A58" s="91"/>
      <c r="B58" s="76"/>
      <c r="C58" s="5" t="s">
        <v>6</v>
      </c>
      <c r="D58" s="5">
        <v>14</v>
      </c>
      <c r="E58" s="5" t="s">
        <v>41</v>
      </c>
      <c r="F58" s="5">
        <v>46</v>
      </c>
      <c r="G58" s="5">
        <v>53</v>
      </c>
      <c r="H58" s="5" t="str">
        <f t="shared" si="0"/>
        <v>00010100011110110100011001010011</v>
      </c>
      <c r="I58" s="5">
        <f t="shared" si="1"/>
        <v>15</v>
      </c>
      <c r="J58" s="78"/>
      <c r="K58" s="80"/>
      <c r="L58" s="14" t="str">
        <f t="shared" si="8"/>
        <v>11100010110001001010011010000100</v>
      </c>
      <c r="M58" s="14" t="str">
        <f t="shared" ref="M58" si="69">CONCATENATE(MID(M57,6,8),MID(M57,30,3),MID(M57,1,5),MID(M57,22,8),MID(M57,14,8))</f>
        <v>00010100011110110100011001010011</v>
      </c>
      <c r="N58" s="14">
        <f>BIN2DEC(MID(L58,1,8))</f>
        <v>226</v>
      </c>
      <c r="O58" s="14">
        <f t="shared" si="37"/>
        <v>210</v>
      </c>
      <c r="P58" s="14">
        <f t="shared" si="26"/>
        <v>10043</v>
      </c>
      <c r="Q58" s="14"/>
      <c r="R58" s="14"/>
      <c r="S58" s="14"/>
      <c r="T58" s="14"/>
    </row>
    <row r="59" spans="1:20" x14ac:dyDescent="0.35">
      <c r="A59" s="91"/>
      <c r="B59" s="75">
        <f>B57+1</f>
        <v>29</v>
      </c>
      <c r="C59" s="4" t="s">
        <v>0</v>
      </c>
      <c r="D59" s="4" t="s">
        <v>114</v>
      </c>
      <c r="E59" s="4">
        <v>35</v>
      </c>
      <c r="F59" s="4">
        <v>75</v>
      </c>
      <c r="G59" s="4">
        <v>89</v>
      </c>
      <c r="H59" s="4" t="str">
        <f t="shared" si="0"/>
        <v>11000100001101010111010110001001</v>
      </c>
      <c r="I59" s="4">
        <f t="shared" si="1"/>
        <v>15</v>
      </c>
      <c r="J59" s="77">
        <v>30</v>
      </c>
      <c r="K59" s="79" t="str">
        <f>HEX2BIN(J59,8)</f>
        <v>00110000</v>
      </c>
      <c r="L59" s="43" t="str">
        <f t="shared" ref="L59" si="70">CONCATENATE(HEX2BIN(G59,8),HEX2BIN(F59,8),HEX2BIN(E59,8),HEX2BIN(D59,8))</f>
        <v>10001001011101010011010111000100</v>
      </c>
      <c r="M59" s="1" t="str">
        <f t="shared" si="7"/>
        <v>10111001110101011100011010000100</v>
      </c>
      <c r="N59" s="14">
        <f>MOD(BIN2DEC(MID(L59,1,8))+4*HEX2DEC(J59),256)</f>
        <v>73</v>
      </c>
      <c r="O59" s="14">
        <f t="shared" si="37"/>
        <v>111</v>
      </c>
      <c r="P59" s="14">
        <f t="shared" si="26"/>
        <v>10044</v>
      </c>
      <c r="Q59" s="14"/>
      <c r="R59" s="14"/>
      <c r="S59" s="14"/>
      <c r="T59" s="14"/>
    </row>
    <row r="60" spans="1:20" ht="18.600000000000001" thickBot="1" x14ac:dyDescent="0.4">
      <c r="A60" s="91"/>
      <c r="B60" s="76"/>
      <c r="C60" s="5" t="s">
        <v>6</v>
      </c>
      <c r="D60" s="5" t="s">
        <v>115</v>
      </c>
      <c r="E60" s="5">
        <v>97</v>
      </c>
      <c r="F60" s="5" t="s">
        <v>112</v>
      </c>
      <c r="G60" s="5" t="s">
        <v>11</v>
      </c>
      <c r="H60" s="5" t="str">
        <f t="shared" si="0"/>
        <v>00111010100101111101000010111000</v>
      </c>
      <c r="I60" s="5">
        <f t="shared" si="1"/>
        <v>16</v>
      </c>
      <c r="J60" s="78"/>
      <c r="K60" s="80"/>
      <c r="L60" s="14" t="str">
        <f t="shared" si="8"/>
        <v>00110000011000001001000011000000</v>
      </c>
      <c r="M60" s="14" t="str">
        <f t="shared" ref="M60" si="71">CONCATENATE(MID(M59,6,8),MID(M59,30,3),MID(M59,1,5),MID(M59,22,8),MID(M59,14,8))</f>
        <v>00111010100101111101000010111000</v>
      </c>
      <c r="N60" s="14">
        <f>BIN2DEC(MID(L60,1,8))</f>
        <v>48</v>
      </c>
      <c r="O60" s="14">
        <f t="shared" si="37"/>
        <v>12</v>
      </c>
      <c r="P60" s="14">
        <f t="shared" si="26"/>
        <v>10045</v>
      </c>
      <c r="Q60" s="14"/>
      <c r="R60" s="14"/>
      <c r="S60" s="14"/>
      <c r="T60" s="14"/>
    </row>
    <row r="61" spans="1:20" x14ac:dyDescent="0.35">
      <c r="A61" s="91"/>
      <c r="B61" s="75">
        <f>B59+1</f>
        <v>30</v>
      </c>
      <c r="C61" s="4" t="s">
        <v>0</v>
      </c>
      <c r="D61" s="4">
        <v>95</v>
      </c>
      <c r="E61" s="4">
        <v>64</v>
      </c>
      <c r="F61" s="4" t="s">
        <v>93</v>
      </c>
      <c r="G61" s="4" t="s">
        <v>26</v>
      </c>
      <c r="H61" s="4" t="str">
        <f t="shared" si="0"/>
        <v>10010101011001000000110101001101</v>
      </c>
      <c r="I61" s="4">
        <f t="shared" si="1"/>
        <v>14</v>
      </c>
      <c r="J61" s="77">
        <v>4</v>
      </c>
      <c r="K61" s="79" t="str">
        <f>HEX2BIN(J61,8)</f>
        <v>00000100</v>
      </c>
      <c r="L61" s="43" t="str">
        <f t="shared" ref="L61" si="72">CONCATENATE(HEX2BIN(G61,8),HEX2BIN(F61,8),HEX2BIN(E61,8),HEX2BIN(D61,8))</f>
        <v>01001101000011010110010010010101</v>
      </c>
      <c r="M61" s="1" t="str">
        <f t="shared" si="7"/>
        <v>01010001000101010111000010100101</v>
      </c>
      <c r="N61" s="14">
        <f>MOD(BIN2DEC(MID(L61,1,8))+4*HEX2DEC(J61),256)</f>
        <v>93</v>
      </c>
      <c r="O61" s="14">
        <f t="shared" si="37"/>
        <v>169</v>
      </c>
      <c r="P61" s="14">
        <f t="shared" si="26"/>
        <v>10046</v>
      </c>
      <c r="Q61" s="14"/>
      <c r="R61" s="14"/>
      <c r="S61" s="14"/>
      <c r="T61" s="14"/>
    </row>
    <row r="62" spans="1:20" ht="18.600000000000001" thickBot="1" x14ac:dyDescent="0.4">
      <c r="A62" s="91"/>
      <c r="B62" s="76"/>
      <c r="C62" s="5" t="s">
        <v>6</v>
      </c>
      <c r="D62" s="5">
        <v>22</v>
      </c>
      <c r="E62" s="5" t="s">
        <v>51</v>
      </c>
      <c r="F62" s="5">
        <v>14</v>
      </c>
      <c r="G62" s="5" t="s">
        <v>116</v>
      </c>
      <c r="H62" s="5" t="str">
        <f t="shared" si="0"/>
        <v>00100010101010100001010010101110</v>
      </c>
      <c r="I62" s="5">
        <f t="shared" si="1"/>
        <v>13</v>
      </c>
      <c r="J62" s="78"/>
      <c r="K62" s="80"/>
      <c r="L62" s="14" t="str">
        <f t="shared" si="8"/>
        <v>00000100000010000000110000010000</v>
      </c>
      <c r="M62" s="14" t="str">
        <f t="shared" ref="M62" si="73">CONCATENATE(MID(M61,6,8),MID(M61,30,3),MID(M61,1,5),MID(M61,22,8),MID(M61,14,8))</f>
        <v>00100010101010100001010010101110</v>
      </c>
      <c r="N62" s="14">
        <f>BIN2DEC(MID(L62,1,8))</f>
        <v>4</v>
      </c>
      <c r="O62" s="14">
        <f t="shared" si="37"/>
        <v>70</v>
      </c>
      <c r="P62" s="14">
        <f t="shared" si="26"/>
        <v>10047</v>
      </c>
      <c r="Q62" s="14"/>
      <c r="R62" s="14"/>
      <c r="S62" s="14"/>
      <c r="T62" s="14"/>
    </row>
    <row r="63" spans="1:20" x14ac:dyDescent="0.35">
      <c r="A63" s="91"/>
      <c r="B63" s="75">
        <f>B61+1</f>
        <v>31</v>
      </c>
      <c r="C63" s="4" t="s">
        <v>0</v>
      </c>
      <c r="D63" s="4" t="s">
        <v>77</v>
      </c>
      <c r="E63" s="4" t="s">
        <v>65</v>
      </c>
      <c r="F63" s="4">
        <v>61</v>
      </c>
      <c r="G63" s="4">
        <v>27</v>
      </c>
      <c r="H63" s="4" t="str">
        <f t="shared" si="0"/>
        <v>11100110100111110110000100100111</v>
      </c>
      <c r="I63" s="4">
        <f t="shared" si="1"/>
        <v>18</v>
      </c>
      <c r="J63" s="77" t="s">
        <v>70</v>
      </c>
      <c r="K63" s="79" t="str">
        <f>HEX2BIN(J63,8)</f>
        <v>01011101</v>
      </c>
      <c r="L63" s="43" t="str">
        <f t="shared" ref="L63" si="74">CONCATENATE(HEX2BIN(G63,8),HEX2BIN(F63,8),HEX2BIN(E63,8),HEX2BIN(D63,8))</f>
        <v>00100111011000011001111111100110</v>
      </c>
      <c r="M63" s="1" t="str">
        <f t="shared" si="7"/>
        <v>10000101000111001011100001011010</v>
      </c>
      <c r="N63" s="14">
        <f>MOD(BIN2DEC(MID(L63,1,8))+4*HEX2DEC(J63),256)</f>
        <v>155</v>
      </c>
      <c r="O63" s="14">
        <f t="shared" si="37"/>
        <v>227</v>
      </c>
      <c r="P63" s="14">
        <f t="shared" si="26"/>
        <v>10048</v>
      </c>
      <c r="Q63" s="14"/>
      <c r="R63" s="14"/>
      <c r="S63" s="14"/>
      <c r="T63" s="14"/>
    </row>
    <row r="64" spans="1:20" ht="18.600000000000001" thickBot="1" x14ac:dyDescent="0.4">
      <c r="A64" s="91"/>
      <c r="B64" s="76"/>
      <c r="C64" s="5" t="s">
        <v>6</v>
      </c>
      <c r="D64" s="5" t="s">
        <v>12</v>
      </c>
      <c r="E64" s="5">
        <v>50</v>
      </c>
      <c r="F64" s="5" t="s">
        <v>43</v>
      </c>
      <c r="G64" s="5">
        <v>97</v>
      </c>
      <c r="H64" s="5" t="str">
        <f t="shared" si="0"/>
        <v>10100011010100000000101110010111</v>
      </c>
      <c r="I64" s="5">
        <f t="shared" si="1"/>
        <v>14</v>
      </c>
      <c r="J64" s="78"/>
      <c r="K64" s="80"/>
      <c r="L64" s="14" t="str">
        <f t="shared" si="8"/>
        <v>01011101101110110001100001110100</v>
      </c>
      <c r="M64" s="14" t="str">
        <f t="shared" ref="M64" si="75">CONCATENATE(MID(M63,6,8),MID(M63,30,3),MID(M63,1,5),MID(M63,22,8),MID(M63,14,8))</f>
        <v>10100011010100000000101110010111</v>
      </c>
      <c r="N64" s="14">
        <f>BIN2DEC(MID(L64,1,8))</f>
        <v>93</v>
      </c>
      <c r="O64" s="14">
        <f t="shared" si="37"/>
        <v>128</v>
      </c>
      <c r="P64" s="14">
        <f t="shared" si="26"/>
        <v>10049</v>
      </c>
      <c r="Q64" s="14"/>
      <c r="R64" s="14"/>
      <c r="S64" s="14"/>
      <c r="T64" s="14"/>
    </row>
    <row r="65" spans="1:28" x14ac:dyDescent="0.35">
      <c r="A65" s="91"/>
      <c r="B65" s="75">
        <f>B63+1</f>
        <v>32</v>
      </c>
      <c r="C65" s="4" t="s">
        <v>0</v>
      </c>
      <c r="D65" s="4">
        <v>36</v>
      </c>
      <c r="E65" s="4">
        <v>34</v>
      </c>
      <c r="F65" s="4">
        <v>6</v>
      </c>
      <c r="G65" s="4" t="s">
        <v>111</v>
      </c>
      <c r="H65" s="4" t="str">
        <f t="shared" si="0"/>
        <v>00110110001101000000011011011010</v>
      </c>
      <c r="I65" s="4">
        <f t="shared" si="1"/>
        <v>14</v>
      </c>
      <c r="J65" s="77">
        <v>19</v>
      </c>
      <c r="K65" s="79" t="str">
        <f>HEX2BIN(J65,8)</f>
        <v>00011001</v>
      </c>
      <c r="L65" s="43" t="str">
        <f t="shared" ref="L65" si="76">CONCATENATE(HEX2BIN(G65,8),HEX2BIN(F65,8),HEX2BIN(E65,8),HEX2BIN(D65,8))</f>
        <v>11011010000001100011010000110110</v>
      </c>
      <c r="M65" s="1" t="str">
        <f t="shared" si="7"/>
        <v>11110011001110000111111110011010</v>
      </c>
      <c r="N65" s="14">
        <f>MOD(BIN2DEC(MID(L65,1,8))+4*HEX2DEC(J65),256)</f>
        <v>62</v>
      </c>
      <c r="O65" s="14">
        <f t="shared" si="37"/>
        <v>29</v>
      </c>
      <c r="P65" s="14">
        <f t="shared" si="26"/>
        <v>10050</v>
      </c>
      <c r="Q65" s="14"/>
      <c r="R65" s="14"/>
      <c r="S65" s="14"/>
      <c r="T65" s="14"/>
    </row>
    <row r="66" spans="1:28" ht="18.600000000000001" thickBot="1" x14ac:dyDescent="0.4">
      <c r="A66" s="91"/>
      <c r="B66" s="76"/>
      <c r="C66" s="5" t="s">
        <v>6</v>
      </c>
      <c r="D66" s="5">
        <v>67</v>
      </c>
      <c r="E66" s="5" t="s">
        <v>52</v>
      </c>
      <c r="F66" s="5" t="s">
        <v>62</v>
      </c>
      <c r="G66" s="5" t="s">
        <v>33</v>
      </c>
      <c r="H66" s="5" t="str">
        <f t="shared" si="0"/>
        <v>01100111010111101111001100001111</v>
      </c>
      <c r="I66" s="5">
        <f t="shared" si="1"/>
        <v>20</v>
      </c>
      <c r="J66" s="78"/>
      <c r="K66" s="80"/>
      <c r="L66" s="14" t="str">
        <f t="shared" si="8"/>
        <v>00011001001100100100101101100100</v>
      </c>
      <c r="M66" s="14" t="str">
        <f t="shared" ref="M66" si="77">CONCATENATE(MID(M65,6,8),MID(M65,30,3),MID(M65,1,5),MID(M65,22,8),MID(M65,14,8))</f>
        <v>01100111010111101111001100001111</v>
      </c>
      <c r="N66" s="14">
        <f>BIN2DEC(MID(L66,1,8))</f>
        <v>25</v>
      </c>
      <c r="O66" s="14">
        <f t="shared" si="37"/>
        <v>186</v>
      </c>
      <c r="P66" s="14">
        <f t="shared" si="26"/>
        <v>10051</v>
      </c>
      <c r="Q66" s="14"/>
      <c r="R66" s="14"/>
      <c r="S66" s="14"/>
      <c r="T66" s="14"/>
    </row>
    <row r="67" spans="1:28" x14ac:dyDescent="0.35">
      <c r="A67" s="91">
        <f>A51+1</f>
        <v>5</v>
      </c>
      <c r="B67" s="75">
        <f>B65+1</f>
        <v>33</v>
      </c>
      <c r="C67" s="4" t="s">
        <v>0</v>
      </c>
      <c r="D67" s="4">
        <v>76</v>
      </c>
      <c r="E67" s="4">
        <v>50</v>
      </c>
      <c r="F67" s="4" t="s">
        <v>37</v>
      </c>
      <c r="G67" s="4" t="s">
        <v>117</v>
      </c>
      <c r="H67" s="4" t="str">
        <f t="shared" ref="H67:H130" si="78">CONCATENATE(HEX2BIN(D67,8),HEX2BIN(E67,8),HEX2BIN(F67,8),HEX2BIN(G67,8))</f>
        <v>01110110010100001110100111000001</v>
      </c>
      <c r="I67" s="4">
        <f t="shared" ref="I67:I130" si="79">MID(H67,1,1)+MID(H67,2,1)+MID(H67,3,1)+MID(H67,4,1)+MID(H67,5,1)+MID(H67,6,1)+MID(H67,7,1)+MID(H67,8,1)+MID(H67,9,1)+MID(H67,10,1)+MID(H67,11,1)+MID(H67,12,1)+MID(H67,13,1)+MID(H67,14,1)+MID(H67,15,1)+MID(H67,16,1)+MID(H67,17,1)+MID(H67,18,1)+MID(H67,19,1)+MID(H67,20,1)+MID(H67,21,1)+MID(H67,22,1)+MID(H67,23,1)+MID(H67,24,1)+MID(H67,25,1)+MID(H67,26,1)+MID(H67,27,1)+MID(H67,28,1)+MID(H67,29,1)+MID(H67,30,1)+MID(H67,31,1)+MID(H67,32,1)</f>
        <v>15</v>
      </c>
      <c r="J67" s="77">
        <v>38</v>
      </c>
      <c r="K67" s="79" t="str">
        <f>HEX2BIN(J67,8)</f>
        <v>00111000</v>
      </c>
      <c r="L67" s="43" t="str">
        <f t="shared" ref="L67" si="80">CONCATENATE(HEX2BIN(G67,8),HEX2BIN(F67,8),HEX2BIN(E67,8),HEX2BIN(D67,8))</f>
        <v>11000001111010010101000001110110</v>
      </c>
      <c r="M67" s="1" t="str">
        <f t="shared" si="7"/>
        <v>11111010010110011111100101010110</v>
      </c>
      <c r="N67" s="14" t="str">
        <f>MID($L67,6,3)</f>
        <v>001</v>
      </c>
      <c r="O67" s="14" t="str">
        <f>MID($L67,9,3)</f>
        <v>111</v>
      </c>
      <c r="P67" s="14" t="str">
        <f>MID($L67,12,5)</f>
        <v>01001</v>
      </c>
      <c r="Q67" s="14" t="str">
        <f>MID($L67,7,5)</f>
        <v>01111</v>
      </c>
      <c r="R67" s="14" t="str">
        <f>MID($L67,22,3)</f>
        <v>000</v>
      </c>
      <c r="S67" s="14" t="str">
        <f>MID($L67,25,3)</f>
        <v>011</v>
      </c>
      <c r="T67" s="14" t="str">
        <f>MID($L67,28,5)</f>
        <v>10110</v>
      </c>
      <c r="U67" s="1" t="e">
        <f t="shared" ref="U67:AA67" si="81">BIN2DEC(M67)-BIN2DEC(M68)</f>
        <v>#NUM!</v>
      </c>
      <c r="V67" s="1">
        <f t="shared" si="81"/>
        <v>1</v>
      </c>
      <c r="W67" s="1">
        <f t="shared" si="81"/>
        <v>4</v>
      </c>
      <c r="X67" s="1">
        <f t="shared" si="81"/>
        <v>-7</v>
      </c>
      <c r="Y67" s="1">
        <f t="shared" si="81"/>
        <v>12</v>
      </c>
      <c r="Z67" s="1">
        <f t="shared" si="81"/>
        <v>0</v>
      </c>
      <c r="AA67" s="1">
        <f t="shared" si="81"/>
        <v>-4</v>
      </c>
    </row>
    <row r="68" spans="1:28" ht="18.600000000000001" thickBot="1" x14ac:dyDescent="0.4">
      <c r="A68" s="91"/>
      <c r="B68" s="76"/>
      <c r="C68" s="5" t="s">
        <v>6</v>
      </c>
      <c r="D68" s="5" t="s">
        <v>69</v>
      </c>
      <c r="E68" s="5" t="s">
        <v>30</v>
      </c>
      <c r="F68" s="5" t="s">
        <v>98</v>
      </c>
      <c r="G68" s="5" t="s">
        <v>31</v>
      </c>
      <c r="H68" s="5" t="str">
        <f t="shared" si="78"/>
        <v>01001011110111110010101000111111</v>
      </c>
      <c r="I68" s="5">
        <f t="shared" si="79"/>
        <v>20</v>
      </c>
      <c r="J68" s="78"/>
      <c r="K68" s="80"/>
      <c r="L68" s="14" t="str">
        <f t="shared" si="8"/>
        <v>00111000011100001010100011100000</v>
      </c>
      <c r="M68" s="14" t="str">
        <f t="shared" ref="M68" si="82">CONCATENATE(MID(M67,6,8),MID(M67,30,3),MID(M67,1,5),MID(M67,22,8),MID(M67,14,8))</f>
        <v>01001011110111110010101000111111</v>
      </c>
      <c r="N68" s="14" t="str">
        <f>MID($L68,6,3)</f>
        <v>000</v>
      </c>
      <c r="O68" s="14" t="str">
        <f>MID($L68,9,3)</f>
        <v>011</v>
      </c>
      <c r="P68" s="14" t="str">
        <f>MID($L68,12,5)</f>
        <v>10000</v>
      </c>
      <c r="Q68" s="14" t="str">
        <f>MID($L68,7,5)</f>
        <v>00011</v>
      </c>
      <c r="R68" s="14" t="str">
        <f>MID($L68,22,3)</f>
        <v>000</v>
      </c>
      <c r="S68" s="14" t="str">
        <f>MID($L68,25,3)</f>
        <v>111</v>
      </c>
      <c r="T68" s="14" t="str">
        <f>MID($L68,28,5)</f>
        <v>00000</v>
      </c>
    </row>
    <row r="69" spans="1:28" x14ac:dyDescent="0.35">
      <c r="A69" s="91"/>
      <c r="B69" s="75">
        <f>B67+1</f>
        <v>34</v>
      </c>
      <c r="C69" s="4" t="s">
        <v>0</v>
      </c>
      <c r="D69" s="4">
        <v>9</v>
      </c>
      <c r="E69" s="4" t="s">
        <v>88</v>
      </c>
      <c r="F69" s="4">
        <v>18</v>
      </c>
      <c r="G69" s="4">
        <v>21</v>
      </c>
      <c r="H69" s="4" t="str">
        <f t="shared" si="78"/>
        <v>00001001111000010001100000100001</v>
      </c>
      <c r="I69" s="4">
        <f t="shared" si="79"/>
        <v>10</v>
      </c>
      <c r="J69" s="77">
        <v>82</v>
      </c>
      <c r="K69" s="79" t="str">
        <f>HEX2BIN(J69,8)</f>
        <v>10000010</v>
      </c>
      <c r="L69" s="43" t="str">
        <f t="shared" ref="L69" si="83">CONCATENATE(HEX2BIN(G69,8),HEX2BIN(F69,8),HEX2BIN(E69,8),HEX2BIN(D69,8))</f>
        <v>00100001000110001110000100001001</v>
      </c>
      <c r="M69" s="1" t="str">
        <f t="shared" si="7"/>
        <v>10100100000111100110100100010001</v>
      </c>
      <c r="N69" s="14">
        <f>MOD(BIN2DEC(MID(L69,1,8))+4*HEX2DEC(J69),256)</f>
        <v>41</v>
      </c>
      <c r="O69" s="14">
        <f t="shared" ref="O69:O131" si="84">MOD(BIN2DEC(MID($L$3,9,8))+P69*HEX2DEC($J$3)*HEX2DEC($J$3)*HEX2DEC($J$3),256)</f>
        <v>16</v>
      </c>
      <c r="P69" s="14">
        <f t="shared" ref="P69:P132" si="85">P68+1</f>
        <v>10001</v>
      </c>
      <c r="Q69" s="14"/>
      <c r="R69" s="14"/>
      <c r="S69" s="14"/>
      <c r="T69" s="14"/>
    </row>
    <row r="70" spans="1:28" ht="18.600000000000001" thickBot="1" x14ac:dyDescent="0.4">
      <c r="A70" s="91"/>
      <c r="B70" s="76"/>
      <c r="C70" s="5" t="s">
        <v>6</v>
      </c>
      <c r="D70" s="5">
        <v>83</v>
      </c>
      <c r="E70" s="5">
        <v>34</v>
      </c>
      <c r="F70" s="5">
        <v>22</v>
      </c>
      <c r="G70" s="5" t="s">
        <v>82</v>
      </c>
      <c r="H70" s="5" t="str">
        <f t="shared" si="78"/>
        <v>10000011001101000010001011001101</v>
      </c>
      <c r="I70" s="5">
        <f t="shared" si="79"/>
        <v>13</v>
      </c>
      <c r="J70" s="78"/>
      <c r="K70" s="80"/>
      <c r="L70" s="14" t="str">
        <f t="shared" si="8"/>
        <v>10000011000001011000100000001000</v>
      </c>
      <c r="M70" s="14" t="str">
        <f t="shared" ref="M70" si="86">CONCATENATE(MID(M69,6,8),MID(M69,30,3),MID(M69,1,5),MID(M69,22,8),MID(M69,14,8))</f>
        <v>10000011001101000010001011001101</v>
      </c>
      <c r="N70" s="14">
        <f>BIN2DEC(MID(L70,1,8))</f>
        <v>131</v>
      </c>
      <c r="O70" s="14">
        <f t="shared" si="84"/>
        <v>173</v>
      </c>
      <c r="P70" s="14">
        <f t="shared" si="85"/>
        <v>10002</v>
      </c>
      <c r="Q70" s="14"/>
      <c r="R70" s="14"/>
      <c r="S70" s="14"/>
      <c r="T70" s="14"/>
    </row>
    <row r="71" spans="1:28" x14ac:dyDescent="0.35">
      <c r="A71" s="91"/>
      <c r="B71" s="75">
        <f>B69+1</f>
        <v>35</v>
      </c>
      <c r="C71" s="4" t="s">
        <v>0</v>
      </c>
      <c r="D71" s="4" t="s">
        <v>100</v>
      </c>
      <c r="E71" s="4">
        <v>64</v>
      </c>
      <c r="F71" s="4" t="s">
        <v>119</v>
      </c>
      <c r="G71" s="4" t="s">
        <v>118</v>
      </c>
      <c r="H71" s="4" t="str">
        <f t="shared" si="78"/>
        <v>11110101011001001100101100001100</v>
      </c>
      <c r="I71" s="4">
        <f t="shared" si="79"/>
        <v>16</v>
      </c>
      <c r="J71" s="77">
        <v>91</v>
      </c>
      <c r="K71" s="79" t="str">
        <f>HEX2BIN(J71,8)</f>
        <v>10010001</v>
      </c>
      <c r="L71" s="43" t="str">
        <f t="shared" ref="L71" si="87">CONCATENATE(HEX2BIN(G71,8),HEX2BIN(F71,8),HEX2BIN(E71,8),HEX2BIN(D71,8))</f>
        <v>00001100110010110110010011110101</v>
      </c>
      <c r="M71" s="1" t="str">
        <f t="shared" ref="M71:M133" si="88">CONCATENATE(DEC2BIN(MOD(BIN2DEC(MID(L71,1,8))+BIN2DEC(MID(L72,1,8))+INT((BIN2DEC(MID(L71,9,8))+BIN2DEC(MID(L72,9,8))+INT((BIN2DEC(MID(L71,17,8))+BIN2DEC(MID(L72,17,8))+INT((BIN2DEC(MID(L71,25,8))+BIN2DEC(MID(L72,25,8)))/256))/256))/256),256),8),DEC2BIN(MOD(BIN2DEC(MID(L71,9,8))+BIN2DEC(MID(L72,9,8))+INT((BIN2DEC(MID(L71,17,8))+BIN2DEC(MID(L72,17,8))+INT((BIN2DEC(MID(L71,25,8))+BIN2DEC(MID(L72,25,8)))/256))/256),256),8),DEC2BIN(MOD(BIN2DEC(MID(L71,17,8))+BIN2DEC(MID(L72,17,8))+INT((BIN2DEC(MID(L71,25,8))+BIN2DEC(MID(L72,25,8)))/256),256),8),DEC2BIN(MOD(BIN2DEC(MID(L71,25,8))+BIN2DEC(MID(L72,25,8)),256),8))</f>
        <v>10011110111011110001101000111001</v>
      </c>
      <c r="N71" s="14">
        <f>MOD(BIN2DEC(MID(L71,1,8))+4*HEX2DEC(J71),256)</f>
        <v>80</v>
      </c>
      <c r="O71" s="14">
        <f t="shared" si="84"/>
        <v>74</v>
      </c>
      <c r="P71" s="14">
        <f t="shared" si="85"/>
        <v>10003</v>
      </c>
      <c r="Q71" s="14"/>
      <c r="R71" s="14"/>
      <c r="S71" s="14"/>
      <c r="T71" s="14"/>
    </row>
    <row r="72" spans="1:28" ht="18.600000000000001" thickBot="1" x14ac:dyDescent="0.4">
      <c r="A72" s="91"/>
      <c r="B72" s="76"/>
      <c r="C72" s="5" t="s">
        <v>6</v>
      </c>
      <c r="D72" s="5" t="s">
        <v>14</v>
      </c>
      <c r="E72" s="5">
        <v>33</v>
      </c>
      <c r="F72" s="5">
        <v>47</v>
      </c>
      <c r="G72" s="5" t="s">
        <v>89</v>
      </c>
      <c r="H72" s="5" t="str">
        <f t="shared" si="78"/>
        <v>11011101001100110100011111100011</v>
      </c>
      <c r="I72" s="5">
        <f t="shared" si="79"/>
        <v>19</v>
      </c>
      <c r="J72" s="78"/>
      <c r="K72" s="80"/>
      <c r="L72" s="14" t="str">
        <f t="shared" ref="L72:L134" si="89">CONCATENATE(DEC2BIN(MOD(BIN2DEC(K71)+INT((2*BIN2DEC(K71)+INT((BIN2DEC(K71)+2*BIN2DEC(K71)+BIN2DEC(MID(K71,1,2)))/256))/256),256),8),DEC2BIN(MOD(2*BIN2DEC(K71)+INT((BIN2DEC(K71)+2*BIN2DEC(K71)+BIN2DEC(MID(K71,1,2)))/256),256),8),DEC2BIN(MOD(BIN2DEC(K71)+2*BIN2DEC(K71)+BIN2DEC(MID(K71,1,2)),256),8),MID(K71,3,6),"00")</f>
        <v>10010010001000111011010101000100</v>
      </c>
      <c r="M72" s="14" t="str">
        <f t="shared" ref="M72" si="90">CONCATENATE(MID(M71,6,8),MID(M71,30,3),MID(M71,1,5),MID(M71,22,8),MID(M71,14,8))</f>
        <v>11011101001100110100011111100011</v>
      </c>
      <c r="N72" s="14">
        <f>BIN2DEC(MID(L72,1,8))</f>
        <v>146</v>
      </c>
      <c r="O72" s="14">
        <f t="shared" si="84"/>
        <v>231</v>
      </c>
      <c r="P72" s="14">
        <f t="shared" si="85"/>
        <v>10004</v>
      </c>
      <c r="Q72" s="14"/>
      <c r="R72" s="14"/>
      <c r="S72" s="14"/>
      <c r="T72" s="14"/>
    </row>
    <row r="73" spans="1:28" x14ac:dyDescent="0.35">
      <c r="A73" s="91"/>
      <c r="B73" s="75">
        <f>B71+1</f>
        <v>36</v>
      </c>
      <c r="C73" s="4" t="s">
        <v>0</v>
      </c>
      <c r="D73" s="4" t="s">
        <v>120</v>
      </c>
      <c r="E73" s="4" t="s">
        <v>57</v>
      </c>
      <c r="F73" s="4" t="s">
        <v>36</v>
      </c>
      <c r="G73" s="4" t="s">
        <v>29</v>
      </c>
      <c r="H73" s="4" t="str">
        <f t="shared" si="78"/>
        <v>11010100110100100101111111000010</v>
      </c>
      <c r="I73" s="4">
        <f t="shared" si="79"/>
        <v>17</v>
      </c>
      <c r="J73" s="77">
        <v>42</v>
      </c>
      <c r="K73" s="79" t="str">
        <f>HEX2BIN(J73,8)</f>
        <v>01000010</v>
      </c>
      <c r="L73" s="43" t="str">
        <f t="shared" ref="L73" si="91">CONCATENATE(HEX2BIN(G73,8),HEX2BIN(F73,8),HEX2BIN(E73,8),HEX2BIN(D73,8))</f>
        <v>11000010010111111101001011010100</v>
      </c>
      <c r="M73" s="1" t="str">
        <f t="shared" si="88"/>
        <v>00000100111001001001100111011100</v>
      </c>
      <c r="N73" s="14">
        <f>MOD(BIN2DEC(MID(L73,1,8))+4*HEX2DEC(J73),256)</f>
        <v>202</v>
      </c>
      <c r="O73" s="14">
        <f t="shared" si="84"/>
        <v>132</v>
      </c>
      <c r="P73" s="14">
        <f t="shared" si="85"/>
        <v>10005</v>
      </c>
      <c r="Q73" s="14"/>
      <c r="R73" s="14"/>
      <c r="S73" s="14"/>
      <c r="T73" s="14"/>
    </row>
    <row r="74" spans="1:28" ht="18.600000000000001" thickBot="1" x14ac:dyDescent="0.4">
      <c r="A74" s="91"/>
      <c r="B74" s="76"/>
      <c r="C74" s="5" t="s">
        <v>6</v>
      </c>
      <c r="D74" s="5" t="s">
        <v>10</v>
      </c>
      <c r="E74" s="5">
        <v>80</v>
      </c>
      <c r="F74" s="5" t="s">
        <v>90</v>
      </c>
      <c r="G74" s="5">
        <v>93</v>
      </c>
      <c r="H74" s="5" t="str">
        <f t="shared" si="78"/>
        <v>10011100100000000011101110010011</v>
      </c>
      <c r="I74" s="5">
        <f t="shared" si="79"/>
        <v>14</v>
      </c>
      <c r="J74" s="78"/>
      <c r="K74" s="80"/>
      <c r="L74" s="14" t="str">
        <f t="shared" si="89"/>
        <v>01000010100001001100011100001000</v>
      </c>
      <c r="M74" s="14" t="str">
        <f t="shared" ref="M74" si="92">CONCATENATE(MID(M73,6,8),MID(M73,30,3),MID(M73,1,5),MID(M73,22,8),MID(M73,14,8))</f>
        <v>10011100100000000011101110010011</v>
      </c>
      <c r="N74" s="14">
        <f>BIN2DEC(MID(L74,1,8))</f>
        <v>66</v>
      </c>
      <c r="O74" s="14">
        <f t="shared" si="84"/>
        <v>33</v>
      </c>
      <c r="P74" s="14">
        <f t="shared" si="85"/>
        <v>10006</v>
      </c>
      <c r="Q74" s="14"/>
      <c r="R74" s="14"/>
      <c r="S74" s="14"/>
      <c r="T74" s="14"/>
    </row>
    <row r="75" spans="1:28" x14ac:dyDescent="0.35">
      <c r="A75" s="91"/>
      <c r="B75" s="75">
        <f>B73+1</f>
        <v>37</v>
      </c>
      <c r="C75" s="4" t="s">
        <v>0</v>
      </c>
      <c r="D75" s="4">
        <v>69</v>
      </c>
      <c r="E75" s="4" t="s">
        <v>121</v>
      </c>
      <c r="F75" s="4" t="s">
        <v>16</v>
      </c>
      <c r="G75" s="4" t="s">
        <v>65</v>
      </c>
      <c r="H75" s="4" t="str">
        <f t="shared" si="78"/>
        <v>01101001111001001111000010011111</v>
      </c>
      <c r="I75" s="4">
        <f t="shared" si="79"/>
        <v>18</v>
      </c>
      <c r="J75" s="77" t="s">
        <v>122</v>
      </c>
      <c r="K75" s="79" t="str">
        <f>HEX2BIN(J75,8)</f>
        <v>01001100</v>
      </c>
      <c r="L75" s="43" t="str">
        <f t="shared" ref="L75" si="93">CONCATENATE(HEX2BIN(G75,8),HEX2BIN(F75,8),HEX2BIN(E75,8),HEX2BIN(D75,8))</f>
        <v>10011111111100001110010001101001</v>
      </c>
      <c r="M75" s="1" t="str">
        <f t="shared" si="88"/>
        <v>11101100100010011100100110011001</v>
      </c>
      <c r="N75" s="14">
        <f>MOD(BIN2DEC(MID(L75,1,8))+4*HEX2DEC(J75),256)</f>
        <v>207</v>
      </c>
      <c r="O75" s="14">
        <f t="shared" si="84"/>
        <v>190</v>
      </c>
      <c r="P75" s="14">
        <f t="shared" si="85"/>
        <v>10007</v>
      </c>
      <c r="Q75" s="14"/>
      <c r="R75" s="14"/>
      <c r="S75" s="14"/>
      <c r="T75" s="14"/>
    </row>
    <row r="76" spans="1:28" ht="18.600000000000001" thickBot="1" x14ac:dyDescent="0.4">
      <c r="A76" s="91"/>
      <c r="B76" s="76"/>
      <c r="C76" s="5" t="s">
        <v>6</v>
      </c>
      <c r="D76" s="5">
        <v>91</v>
      </c>
      <c r="E76" s="5" t="s">
        <v>60</v>
      </c>
      <c r="F76" s="5">
        <v>33</v>
      </c>
      <c r="G76" s="5">
        <v>39</v>
      </c>
      <c r="H76" s="5" t="str">
        <f t="shared" si="78"/>
        <v>10010001001111010011001100111001</v>
      </c>
      <c r="I76" s="5">
        <f t="shared" si="79"/>
        <v>16</v>
      </c>
      <c r="J76" s="78"/>
      <c r="K76" s="80"/>
      <c r="L76" s="14" t="str">
        <f t="shared" si="89"/>
        <v>01001100100110001110010100110000</v>
      </c>
      <c r="M76" s="14" t="str">
        <f t="shared" ref="M76" si="94">CONCATENATE(MID(M75,6,8),MID(M75,30,3),MID(M75,1,5),MID(M75,22,8),MID(M75,14,8))</f>
        <v>10010001001111010011001100111001</v>
      </c>
      <c r="N76" s="14">
        <f>BIN2DEC(MID(L76,1,8))</f>
        <v>76</v>
      </c>
      <c r="O76" s="14">
        <f t="shared" si="84"/>
        <v>91</v>
      </c>
      <c r="P76" s="14">
        <f t="shared" si="85"/>
        <v>10008</v>
      </c>
      <c r="Q76" s="14"/>
      <c r="R76" s="14"/>
      <c r="S76" s="14"/>
      <c r="T76" s="14"/>
    </row>
    <row r="77" spans="1:28" ht="18.600000000000001" thickBot="1" x14ac:dyDescent="0.4">
      <c r="A77" s="91"/>
      <c r="B77" s="81">
        <f>B75+1</f>
        <v>38</v>
      </c>
      <c r="C77" s="4" t="s">
        <v>0</v>
      </c>
      <c r="D77" s="4">
        <v>45</v>
      </c>
      <c r="E77" s="4" t="s">
        <v>56</v>
      </c>
      <c r="F77" s="4" t="s">
        <v>17</v>
      </c>
      <c r="G77" s="4" t="s">
        <v>123</v>
      </c>
      <c r="H77" s="4" t="str">
        <f t="shared" si="78"/>
        <v>01000101111011110110110011111011</v>
      </c>
      <c r="I77" s="4">
        <f t="shared" si="79"/>
        <v>21</v>
      </c>
      <c r="J77" s="77">
        <v>6</v>
      </c>
      <c r="K77" s="79" t="str">
        <f>HEX2BIN(J77,8)</f>
        <v>00000110</v>
      </c>
      <c r="L77" s="43" t="str">
        <f t="shared" ref="L77" si="95">CONCATENATE(HEX2BIN(G77,8),HEX2BIN(F77,8),HEX2BIN(E77,8),HEX2BIN(D77,8))</f>
        <v>11111011011011001110111101000101</v>
      </c>
      <c r="M77" s="1" t="str">
        <f t="shared" si="88"/>
        <v>00000001011110010000000101011101</v>
      </c>
      <c r="N77" s="26" t="str">
        <f>MID(L77,6,3)</f>
        <v>011</v>
      </c>
      <c r="O77" s="26" t="str">
        <f>MID(L77,9,3)</f>
        <v>011</v>
      </c>
      <c r="P77" s="26" t="str">
        <f>MID(L77,12,5)</f>
        <v>01100</v>
      </c>
      <c r="Q77" s="77" t="e">
        <f>BIN2DEC(M77)-BIN2DEC(M78)</f>
        <v>#NUM!</v>
      </c>
      <c r="R77" s="77">
        <f>BIN2DEC(N77)-BIN2DEC(N78)</f>
        <v>-3</v>
      </c>
      <c r="S77" s="77">
        <f>BIN2DEC(O77)-BIN2DEC(O78)</f>
        <v>3</v>
      </c>
      <c r="T77" s="77">
        <f>BIN2DEC(P77)-BIN2DEC(P78)</f>
        <v>0</v>
      </c>
      <c r="U77" s="1" t="e">
        <f t="shared" ref="U77:AB77" si="96">BIN2DEC(M77)-BIN2DEC(M78)</f>
        <v>#NUM!</v>
      </c>
      <c r="V77" s="1">
        <f t="shared" si="96"/>
        <v>-3</v>
      </c>
      <c r="W77" s="1">
        <f t="shared" si="96"/>
        <v>3</v>
      </c>
      <c r="X77" s="1">
        <f t="shared" si="96"/>
        <v>0</v>
      </c>
      <c r="Y77" s="1" t="e">
        <f t="shared" si="96"/>
        <v>#NUM!</v>
      </c>
      <c r="Z77" s="1" t="e">
        <f t="shared" si="96"/>
        <v>#NUM!</v>
      </c>
      <c r="AA77" s="1" t="e">
        <f t="shared" si="96"/>
        <v>#NUM!</v>
      </c>
      <c r="AB77" s="1">
        <f t="shared" si="96"/>
        <v>0</v>
      </c>
    </row>
    <row r="78" spans="1:28" ht="18.600000000000001" thickBot="1" x14ac:dyDescent="0.4">
      <c r="A78" s="91"/>
      <c r="B78" s="82"/>
      <c r="C78" s="5" t="s">
        <v>6</v>
      </c>
      <c r="D78" s="5" t="s">
        <v>74</v>
      </c>
      <c r="E78" s="5" t="s">
        <v>124</v>
      </c>
      <c r="F78" s="5" t="s">
        <v>18</v>
      </c>
      <c r="G78" s="5">
        <v>20</v>
      </c>
      <c r="H78" s="5" t="str">
        <f t="shared" si="78"/>
        <v>00101111101000000010101100100000</v>
      </c>
      <c r="I78" s="5">
        <f t="shared" si="79"/>
        <v>12</v>
      </c>
      <c r="J78" s="78"/>
      <c r="K78" s="80"/>
      <c r="L78" s="14" t="str">
        <f t="shared" si="89"/>
        <v>00000110000011000001001000011000</v>
      </c>
      <c r="M78" s="14" t="str">
        <f t="shared" ref="M78" si="97">CONCATENATE(MID(M77,6,8),MID(M77,30,3),MID(M77,1,5),MID(M77,22,8),MID(M77,14,8))</f>
        <v>00101111101000000010101100100000</v>
      </c>
      <c r="N78" s="26" t="str">
        <f>MID(L78,6,3)</f>
        <v>110</v>
      </c>
      <c r="O78" s="26" t="str">
        <f>MID(L78,9,3)</f>
        <v>000</v>
      </c>
      <c r="P78" s="26" t="str">
        <f>MID(L78,12,5)</f>
        <v>01100</v>
      </c>
      <c r="Q78" s="78"/>
      <c r="R78" s="78"/>
      <c r="S78" s="78"/>
      <c r="T78" s="78"/>
    </row>
    <row r="79" spans="1:28" x14ac:dyDescent="0.35">
      <c r="A79" s="91"/>
      <c r="B79" s="75">
        <f>B77+1</f>
        <v>39</v>
      </c>
      <c r="C79" s="4" t="s">
        <v>0</v>
      </c>
      <c r="D79" s="4">
        <v>46</v>
      </c>
      <c r="E79" s="4">
        <v>44</v>
      </c>
      <c r="F79" s="4" t="s">
        <v>19</v>
      </c>
      <c r="G79" s="4" t="s">
        <v>125</v>
      </c>
      <c r="H79" s="4" t="str">
        <f t="shared" si="78"/>
        <v>01000110010001001101101110111111</v>
      </c>
      <c r="I79" s="4">
        <f t="shared" si="79"/>
        <v>18</v>
      </c>
      <c r="J79" s="77">
        <v>74</v>
      </c>
      <c r="K79" s="79" t="str">
        <f>HEX2BIN(J79,8)</f>
        <v>01110100</v>
      </c>
      <c r="L79" s="43" t="str">
        <f t="shared" ref="L79" si="98">CONCATENATE(HEX2BIN(G79,8),HEX2BIN(F79,8),HEX2BIN(E79,8),HEX2BIN(D79,8))</f>
        <v>10111111110110110100010001000110</v>
      </c>
      <c r="M79" s="1" t="str">
        <f t="shared" si="88"/>
        <v>00110100110001001010001000010110</v>
      </c>
      <c r="N79" s="14">
        <f>MOD(BIN2DEC(MID(L79,1,8))+4*HEX2DEC(J79),256)</f>
        <v>143</v>
      </c>
      <c r="O79" s="14">
        <f t="shared" si="84"/>
        <v>220</v>
      </c>
      <c r="P79" s="14">
        <f t="shared" si="85"/>
        <v>1101</v>
      </c>
      <c r="Q79" s="14"/>
      <c r="R79" s="14"/>
      <c r="S79" s="14"/>
      <c r="T79" s="14"/>
    </row>
    <row r="80" spans="1:28" ht="18.600000000000001" thickBot="1" x14ac:dyDescent="0.4">
      <c r="A80" s="91"/>
      <c r="B80" s="76"/>
      <c r="C80" s="5" t="s">
        <v>6</v>
      </c>
      <c r="D80" s="5">
        <v>98</v>
      </c>
      <c r="E80" s="5" t="s">
        <v>126</v>
      </c>
      <c r="F80" s="5">
        <v>42</v>
      </c>
      <c r="G80" s="5">
        <v>94</v>
      </c>
      <c r="H80" s="5" t="str">
        <f t="shared" si="78"/>
        <v>10011000110001100100001010010100</v>
      </c>
      <c r="I80" s="5">
        <f t="shared" si="79"/>
        <v>12</v>
      </c>
      <c r="J80" s="78"/>
      <c r="K80" s="80"/>
      <c r="L80" s="14" t="str">
        <f t="shared" si="89"/>
        <v>01110100111010010101110111010000</v>
      </c>
      <c r="M80" s="14" t="str">
        <f t="shared" ref="M80" si="99">CONCATENATE(MID(M79,6,8),MID(M79,30,3),MID(M79,1,5),MID(M79,22,8),MID(M79,14,8))</f>
        <v>10011000110001100100001010010100</v>
      </c>
      <c r="N80" s="14">
        <f>BIN2DEC(MID(L80,1,8))</f>
        <v>116</v>
      </c>
      <c r="O80" s="14">
        <f t="shared" si="84"/>
        <v>121</v>
      </c>
      <c r="P80" s="14">
        <f t="shared" si="85"/>
        <v>1102</v>
      </c>
      <c r="Q80" s="14"/>
      <c r="R80" s="14"/>
      <c r="S80" s="14"/>
      <c r="T80" s="14"/>
    </row>
    <row r="81" spans="1:20" x14ac:dyDescent="0.35">
      <c r="A81" s="91"/>
      <c r="B81" s="75">
        <f>B79+1</f>
        <v>40</v>
      </c>
      <c r="C81" s="4" t="s">
        <v>0</v>
      </c>
      <c r="D81" s="4" t="s">
        <v>14</v>
      </c>
      <c r="E81" s="4">
        <v>29</v>
      </c>
      <c r="F81" s="4" t="s">
        <v>104</v>
      </c>
      <c r="G81" s="4" t="s">
        <v>85</v>
      </c>
      <c r="H81" s="4" t="str">
        <f t="shared" si="78"/>
        <v>11011101001010010010111001101111</v>
      </c>
      <c r="I81" s="4">
        <f t="shared" si="79"/>
        <v>19</v>
      </c>
      <c r="J81" s="77" t="s">
        <v>95</v>
      </c>
      <c r="K81" s="79" t="str">
        <f>HEX2BIN(J81,8)</f>
        <v>00011110</v>
      </c>
      <c r="L81" s="43" t="str">
        <f t="shared" ref="L81" si="100">CONCATENATE(HEX2BIN(G81,8),HEX2BIN(F81,8),HEX2BIN(E81,8),HEX2BIN(D81,8))</f>
        <v>01101111001011100010100111011101</v>
      </c>
      <c r="M81" s="1" t="str">
        <f t="shared" si="88"/>
        <v>10001101011010101000010001010101</v>
      </c>
      <c r="N81" s="14">
        <f>MOD(BIN2DEC(MID(L81,1,8))+4*HEX2DEC(J81),256)</f>
        <v>231</v>
      </c>
      <c r="O81" s="14">
        <f t="shared" si="84"/>
        <v>22</v>
      </c>
      <c r="P81" s="14">
        <f t="shared" si="85"/>
        <v>1103</v>
      </c>
      <c r="Q81" s="14"/>
      <c r="R81" s="14"/>
      <c r="S81" s="14"/>
      <c r="T81" s="14"/>
    </row>
    <row r="82" spans="1:20" ht="18.600000000000001" thickBot="1" x14ac:dyDescent="0.4">
      <c r="A82" s="91"/>
      <c r="B82" s="76"/>
      <c r="C82" s="5" t="s">
        <v>6</v>
      </c>
      <c r="D82" s="5" t="s">
        <v>127</v>
      </c>
      <c r="E82" s="5" t="s">
        <v>128</v>
      </c>
      <c r="F82" s="5" t="s">
        <v>55</v>
      </c>
      <c r="G82" s="5">
        <v>50</v>
      </c>
      <c r="H82" s="5" t="str">
        <f t="shared" si="78"/>
        <v>10101101101100011000101001010000</v>
      </c>
      <c r="I82" s="5">
        <f t="shared" si="79"/>
        <v>14</v>
      </c>
      <c r="J82" s="78"/>
      <c r="K82" s="80"/>
      <c r="L82" s="14" t="str">
        <f t="shared" si="89"/>
        <v>00011110001111000101101001111000</v>
      </c>
      <c r="M82" s="14" t="str">
        <f t="shared" ref="M82" si="101">CONCATENATE(MID(M81,6,8),MID(M81,30,3),MID(M81,1,5),MID(M81,22,8),MID(M81,14,8))</f>
        <v>10101101101100011000101001010000</v>
      </c>
      <c r="N82" s="14">
        <f>BIN2DEC(MID(L82,1,8))</f>
        <v>30</v>
      </c>
      <c r="O82" s="14">
        <f t="shared" si="84"/>
        <v>179</v>
      </c>
      <c r="P82" s="14">
        <f t="shared" si="85"/>
        <v>1104</v>
      </c>
      <c r="Q82" s="14"/>
      <c r="R82" s="14"/>
      <c r="S82" s="14"/>
      <c r="T82" s="14"/>
    </row>
    <row r="83" spans="1:20" x14ac:dyDescent="0.35">
      <c r="A83" s="91">
        <f>A67+1</f>
        <v>6</v>
      </c>
      <c r="B83" s="75">
        <f>B81+1</f>
        <v>41</v>
      </c>
      <c r="C83" s="4" t="s">
        <v>0</v>
      </c>
      <c r="D83" s="4">
        <v>62</v>
      </c>
      <c r="E83" s="4" t="s">
        <v>87</v>
      </c>
      <c r="F83" s="4" t="s">
        <v>119</v>
      </c>
      <c r="G83" s="4" t="s">
        <v>129</v>
      </c>
      <c r="H83" s="4" t="str">
        <f t="shared" si="78"/>
        <v>01100010101100111100101111101100</v>
      </c>
      <c r="I83" s="4">
        <f t="shared" si="79"/>
        <v>18</v>
      </c>
      <c r="J83" s="77">
        <v>67</v>
      </c>
      <c r="K83" s="79" t="str">
        <f>HEX2BIN(J83,8)</f>
        <v>01100111</v>
      </c>
      <c r="L83" s="43" t="str">
        <f t="shared" ref="L83" si="102">CONCATENATE(HEX2BIN(G83,8),HEX2BIN(F83,8),HEX2BIN(E83,8),HEX2BIN(D83,8))</f>
        <v>11101100110010111011001101100010</v>
      </c>
      <c r="M83" s="1" t="str">
        <f t="shared" si="88"/>
        <v>01010100100110101110100111111110</v>
      </c>
      <c r="N83" s="14">
        <f>MOD(BIN2DEC(MID(L83,1,8))+4*HEX2DEC(J83),256)</f>
        <v>136</v>
      </c>
      <c r="O83" s="14">
        <f t="shared" si="84"/>
        <v>80</v>
      </c>
      <c r="P83" s="14">
        <f t="shared" si="85"/>
        <v>1105</v>
      </c>
      <c r="Q83" s="14"/>
      <c r="R83" s="14"/>
      <c r="S83" s="14"/>
      <c r="T83" s="14"/>
    </row>
    <row r="84" spans="1:20" ht="18.600000000000001" thickBot="1" x14ac:dyDescent="0.4">
      <c r="A84" s="91"/>
      <c r="B84" s="76"/>
      <c r="C84" s="5" t="s">
        <v>6</v>
      </c>
      <c r="D84" s="5">
        <v>93</v>
      </c>
      <c r="E84" s="5" t="s">
        <v>130</v>
      </c>
      <c r="F84" s="5" t="s">
        <v>31</v>
      </c>
      <c r="G84" s="5" t="s">
        <v>70</v>
      </c>
      <c r="H84" s="5" t="str">
        <f t="shared" si="78"/>
        <v>10010011110010100011111101011101</v>
      </c>
      <c r="I84" s="5">
        <f t="shared" si="79"/>
        <v>19</v>
      </c>
      <c r="J84" s="78"/>
      <c r="K84" s="80"/>
      <c r="L84" s="14" t="str">
        <f t="shared" si="89"/>
        <v>01100111110011110011011010011100</v>
      </c>
      <c r="M84" s="14" t="str">
        <f t="shared" ref="M84" si="103">CONCATENATE(MID(M83,6,8),MID(M83,30,3),MID(M83,1,5),MID(M83,22,8),MID(M83,14,8))</f>
        <v>10010011110010100011111101011101</v>
      </c>
      <c r="N84" s="14">
        <f>BIN2DEC(MID(L84,1,8))</f>
        <v>103</v>
      </c>
      <c r="O84" s="14">
        <f t="shared" si="84"/>
        <v>237</v>
      </c>
      <c r="P84" s="14">
        <f t="shared" si="85"/>
        <v>1106</v>
      </c>
      <c r="Q84" s="14"/>
      <c r="R84" s="14">
        <v>1100100</v>
      </c>
      <c r="S84" s="14"/>
      <c r="T84" s="14"/>
    </row>
    <row r="85" spans="1:20" x14ac:dyDescent="0.35">
      <c r="A85" s="91"/>
      <c r="B85" s="75">
        <f>B83+1</f>
        <v>42</v>
      </c>
      <c r="C85" s="4" t="s">
        <v>0</v>
      </c>
      <c r="D85" s="4" t="s">
        <v>55</v>
      </c>
      <c r="E85" s="4">
        <v>49</v>
      </c>
      <c r="F85" s="4" t="s">
        <v>132</v>
      </c>
      <c r="G85" s="4" t="s">
        <v>131</v>
      </c>
      <c r="H85" s="4" t="str">
        <f t="shared" si="78"/>
        <v>10001010010010011000110000011111</v>
      </c>
      <c r="I85" s="4">
        <f t="shared" si="79"/>
        <v>14</v>
      </c>
      <c r="J85" s="77" t="s">
        <v>98</v>
      </c>
      <c r="K85" s="79" t="str">
        <f>HEX2BIN(J85,8)</f>
        <v>00101010</v>
      </c>
      <c r="L85" s="43" t="str">
        <f t="shared" ref="L85" si="104">CONCATENATE(HEX2BIN(G85,8),HEX2BIN(F85,8),HEX2BIN(E85,8),HEX2BIN(D85,8))</f>
        <v>00011111100011000100100110001010</v>
      </c>
      <c r="M85" s="1" t="str">
        <f t="shared" si="88"/>
        <v>01001001111000001100100000110010</v>
      </c>
      <c r="N85" s="14">
        <f t="shared" ref="N85:N147" si="105">MOD(BIN2DEC(MID(L85,1,8))+4*HEX2DEC(J85),256)</f>
        <v>199</v>
      </c>
      <c r="O85" s="14">
        <f t="shared" si="84"/>
        <v>138</v>
      </c>
      <c r="P85" s="14">
        <f t="shared" si="85"/>
        <v>1107</v>
      </c>
      <c r="Q85" s="14"/>
      <c r="R85" s="14" t="s">
        <v>191</v>
      </c>
      <c r="S85" s="14"/>
      <c r="T85" s="14"/>
    </row>
    <row r="86" spans="1:20" ht="18.600000000000001" thickBot="1" x14ac:dyDescent="0.4">
      <c r="A86" s="91"/>
      <c r="B86" s="76"/>
      <c r="C86" s="5" t="s">
        <v>6</v>
      </c>
      <c r="D86" s="5" t="s">
        <v>84</v>
      </c>
      <c r="E86" s="5">
        <v>49</v>
      </c>
      <c r="F86" s="5">
        <v>6</v>
      </c>
      <c r="G86" s="5">
        <v>19</v>
      </c>
      <c r="H86" s="5" t="str">
        <f t="shared" si="78"/>
        <v>00111100010010010000011000011001</v>
      </c>
      <c r="I86" s="5">
        <f t="shared" si="79"/>
        <v>12</v>
      </c>
      <c r="J86" s="78"/>
      <c r="K86" s="80"/>
      <c r="L86" s="14" t="str">
        <f t="shared" si="89"/>
        <v>00101010010101000111111010101000</v>
      </c>
      <c r="M86" s="14" t="str">
        <f t="shared" ref="M86" si="106">CONCATENATE(MID(M85,6,8),MID(M85,30,3),MID(M85,1,5),MID(M85,22,8),MID(M85,14,8))</f>
        <v>00111100010010010000011000011001</v>
      </c>
      <c r="N86" s="14">
        <f t="shared" ref="N86:N148" si="107">BIN2DEC(MID(L86,1,8))</f>
        <v>42</v>
      </c>
      <c r="O86" s="14">
        <f t="shared" si="84"/>
        <v>39</v>
      </c>
      <c r="P86" s="14">
        <f t="shared" si="85"/>
        <v>1108</v>
      </c>
      <c r="Q86" s="14"/>
      <c r="R86" s="14" t="s">
        <v>191</v>
      </c>
      <c r="S86" s="14"/>
      <c r="T86" s="14"/>
    </row>
    <row r="87" spans="1:20" x14ac:dyDescent="0.35">
      <c r="A87" s="91"/>
      <c r="B87" s="75">
        <f>B85+1</f>
        <v>43</v>
      </c>
      <c r="C87" s="4" t="s">
        <v>0</v>
      </c>
      <c r="D87" s="4" t="s">
        <v>52</v>
      </c>
      <c r="E87" s="4" t="s">
        <v>21</v>
      </c>
      <c r="F87" s="4" t="s">
        <v>82</v>
      </c>
      <c r="G87" s="4" t="s">
        <v>100</v>
      </c>
      <c r="H87" s="4" t="str">
        <f t="shared" si="78"/>
        <v>01011110111110101100110111110101</v>
      </c>
      <c r="I87" s="4">
        <f t="shared" si="79"/>
        <v>22</v>
      </c>
      <c r="J87" s="77" t="s">
        <v>66</v>
      </c>
      <c r="K87" s="79" t="str">
        <f>HEX2BIN(J87,8)</f>
        <v>11111000</v>
      </c>
      <c r="L87" s="43" t="str">
        <f t="shared" ref="L87" si="108">CONCATENATE(HEX2BIN(G87,8),HEX2BIN(F87,8),HEX2BIN(E87,8),HEX2BIN(D87,8))</f>
        <v>11110101110011011111101001011110</v>
      </c>
      <c r="M87" s="1" t="str">
        <f t="shared" si="88"/>
        <v>11101111110000001110011000111110</v>
      </c>
      <c r="N87" s="14">
        <f t="shared" si="105"/>
        <v>213</v>
      </c>
      <c r="O87" s="14">
        <f t="shared" si="84"/>
        <v>196</v>
      </c>
      <c r="P87" s="14">
        <f t="shared" si="85"/>
        <v>1109</v>
      </c>
      <c r="Q87" s="14"/>
      <c r="R87" s="14" t="s">
        <v>191</v>
      </c>
      <c r="S87" s="14"/>
      <c r="T87" s="14"/>
    </row>
    <row r="88" spans="1:20" ht="18.600000000000001" thickBot="1" x14ac:dyDescent="0.4">
      <c r="A88" s="91"/>
      <c r="B88" s="76"/>
      <c r="C88" s="5" t="s">
        <v>6</v>
      </c>
      <c r="D88" s="5" t="s">
        <v>66</v>
      </c>
      <c r="E88" s="5" t="s">
        <v>14</v>
      </c>
      <c r="F88" s="5" t="s">
        <v>133</v>
      </c>
      <c r="G88" s="5" t="s">
        <v>64</v>
      </c>
      <c r="H88" s="5" t="str">
        <f t="shared" si="78"/>
        <v>11111000110111011100011100011100</v>
      </c>
      <c r="I88" s="5">
        <f t="shared" si="79"/>
        <v>19</v>
      </c>
      <c r="J88" s="78"/>
      <c r="K88" s="80"/>
      <c r="L88" s="14" t="str">
        <f t="shared" si="89"/>
        <v>11111001111100101110101111100000</v>
      </c>
      <c r="M88" s="14" t="str">
        <f t="shared" ref="M88" si="109">CONCATENATE(MID(M87,6,8),MID(M87,30,3),MID(M87,1,5),MID(M87,22,8),MID(M87,14,8))</f>
        <v>11111000110111011100011100011100</v>
      </c>
      <c r="N88" s="14">
        <f t="shared" si="107"/>
        <v>249</v>
      </c>
      <c r="O88" s="14">
        <f t="shared" si="84"/>
        <v>97</v>
      </c>
      <c r="P88" s="14">
        <f t="shared" si="85"/>
        <v>1110</v>
      </c>
      <c r="Q88" s="14"/>
      <c r="R88" s="14"/>
      <c r="S88" s="14"/>
      <c r="T88" s="14"/>
    </row>
    <row r="89" spans="1:20" x14ac:dyDescent="0.35">
      <c r="A89" s="91"/>
      <c r="B89" s="75">
        <f>B87+1</f>
        <v>44</v>
      </c>
      <c r="C89" s="4" t="s">
        <v>0</v>
      </c>
      <c r="D89" s="4">
        <v>72</v>
      </c>
      <c r="E89" s="4">
        <v>94</v>
      </c>
      <c r="F89" s="4" t="s">
        <v>69</v>
      </c>
      <c r="G89" s="4">
        <v>3</v>
      </c>
      <c r="H89" s="4" t="str">
        <f t="shared" si="78"/>
        <v>01110010100101000100101100000011</v>
      </c>
      <c r="I89" s="4">
        <f t="shared" si="79"/>
        <v>13</v>
      </c>
      <c r="J89" s="77" t="s">
        <v>67</v>
      </c>
      <c r="K89" s="79" t="str">
        <f>HEX2BIN(J89,8)</f>
        <v>11000000</v>
      </c>
      <c r="L89" s="43" t="str">
        <f t="shared" ref="L89" si="110">CONCATENATE(HEX2BIN(G89,8),HEX2BIN(F89,8),HEX2BIN(E89,8),HEX2BIN(D89,8))</f>
        <v>00000011010010111001010001110010</v>
      </c>
      <c r="M89" s="1" t="str">
        <f t="shared" si="88"/>
        <v>11000100110011011101011101110010</v>
      </c>
      <c r="N89" s="14">
        <f t="shared" si="105"/>
        <v>3</v>
      </c>
      <c r="O89" s="14">
        <f t="shared" si="84"/>
        <v>254</v>
      </c>
      <c r="P89" s="14">
        <f t="shared" si="85"/>
        <v>1111</v>
      </c>
      <c r="Q89" s="14"/>
      <c r="R89" s="14"/>
      <c r="S89" s="14"/>
      <c r="T89" s="14"/>
    </row>
    <row r="90" spans="1:20" ht="18.600000000000001" thickBot="1" x14ac:dyDescent="0.4">
      <c r="A90" s="91"/>
      <c r="B90" s="76"/>
      <c r="C90" s="5" t="s">
        <v>6</v>
      </c>
      <c r="D90" s="5">
        <v>99</v>
      </c>
      <c r="E90" s="5">
        <v>58</v>
      </c>
      <c r="F90" s="5" t="s">
        <v>134</v>
      </c>
      <c r="G90" s="5" t="s">
        <v>135</v>
      </c>
      <c r="H90" s="5" t="str">
        <f t="shared" si="78"/>
        <v>10011001010110001110111010111010</v>
      </c>
      <c r="I90" s="5">
        <f t="shared" si="79"/>
        <v>18</v>
      </c>
      <c r="J90" s="78"/>
      <c r="K90" s="80"/>
      <c r="L90" s="14" t="str">
        <f t="shared" si="89"/>
        <v>11000001100000100100001100000000</v>
      </c>
      <c r="M90" s="14" t="str">
        <f t="shared" ref="M90" si="111">CONCATENATE(MID(M89,6,8),MID(M89,30,3),MID(M89,1,5),MID(M89,22,8),MID(M89,14,8))</f>
        <v>10011001010110001110111010111010</v>
      </c>
      <c r="N90" s="14">
        <f t="shared" si="107"/>
        <v>193</v>
      </c>
      <c r="O90" s="14">
        <f t="shared" si="84"/>
        <v>155</v>
      </c>
      <c r="P90" s="14">
        <f t="shared" si="85"/>
        <v>1112</v>
      </c>
      <c r="Q90" s="14"/>
      <c r="R90" s="14"/>
      <c r="S90" s="14"/>
      <c r="T90" s="14"/>
    </row>
    <row r="91" spans="1:20" x14ac:dyDescent="0.35">
      <c r="A91" s="91"/>
      <c r="B91" s="83">
        <f>B89+1</f>
        <v>45</v>
      </c>
      <c r="C91" s="4" t="s">
        <v>0</v>
      </c>
      <c r="D91" s="4" t="s">
        <v>133</v>
      </c>
      <c r="E91" s="4" t="s">
        <v>99</v>
      </c>
      <c r="F91" s="4">
        <v>23</v>
      </c>
      <c r="G91" s="4" t="s">
        <v>136</v>
      </c>
      <c r="H91" s="4" t="str">
        <f t="shared" si="78"/>
        <v>11000111101000100010001101001111</v>
      </c>
      <c r="I91" s="4">
        <f t="shared" si="79"/>
        <v>16</v>
      </c>
      <c r="J91" s="77">
        <v>64</v>
      </c>
      <c r="K91" s="79" t="str">
        <f>HEX2BIN(J91,8)</f>
        <v>01100100</v>
      </c>
      <c r="L91" s="43" t="str">
        <f t="shared" ref="L91" si="112">CONCATENATE(HEX2BIN(G91,8),HEX2BIN(F91,8),HEX2BIN(E91,8),HEX2BIN(D91,8))</f>
        <v>01001111001000111010001011000111</v>
      </c>
      <c r="M91" s="1" t="str">
        <f t="shared" si="88"/>
        <v>10110011111011001101000001010111</v>
      </c>
      <c r="N91" s="14">
        <f t="shared" si="105"/>
        <v>223</v>
      </c>
      <c r="O91" s="14">
        <f t="shared" si="84"/>
        <v>56</v>
      </c>
      <c r="P91" s="14">
        <f t="shared" si="85"/>
        <v>1113</v>
      </c>
      <c r="Q91" s="14"/>
      <c r="R91" s="14"/>
      <c r="S91" s="14"/>
      <c r="T91" s="14"/>
    </row>
    <row r="92" spans="1:20" ht="18.600000000000001" thickBot="1" x14ac:dyDescent="0.4">
      <c r="A92" s="91"/>
      <c r="B92" s="84"/>
      <c r="C92" s="5" t="s">
        <v>6</v>
      </c>
      <c r="D92" s="5" t="s">
        <v>28</v>
      </c>
      <c r="E92" s="5" t="s">
        <v>63</v>
      </c>
      <c r="F92" s="5" t="s">
        <v>20</v>
      </c>
      <c r="G92" s="5" t="s">
        <v>137</v>
      </c>
      <c r="H92" s="5" t="str">
        <f t="shared" si="78"/>
        <v>01111101111101100000101010011010</v>
      </c>
      <c r="I92" s="5">
        <f t="shared" si="79"/>
        <v>18</v>
      </c>
      <c r="J92" s="78"/>
      <c r="K92" s="80"/>
      <c r="L92" s="14" t="str">
        <f t="shared" si="89"/>
        <v>01100100110010010010110110010000</v>
      </c>
      <c r="M92" s="14" t="str">
        <f t="shared" ref="M92" si="113">CONCATENATE(MID(M91,6,8),MID(M91,30,3),MID(M91,1,5),MID(M91,22,8),MID(M91,14,8))</f>
        <v>01111101111101100000101010011010</v>
      </c>
      <c r="N92" s="14">
        <f t="shared" si="107"/>
        <v>100</v>
      </c>
      <c r="O92" s="14">
        <f t="shared" si="84"/>
        <v>213</v>
      </c>
      <c r="P92" s="14">
        <f t="shared" si="85"/>
        <v>1114</v>
      </c>
      <c r="Q92" s="14"/>
      <c r="R92" s="14"/>
      <c r="S92" s="14"/>
      <c r="T92" s="14"/>
    </row>
    <row r="93" spans="1:20" x14ac:dyDescent="0.35">
      <c r="A93" s="91"/>
      <c r="B93" s="75">
        <f>B91+1</f>
        <v>46</v>
      </c>
      <c r="C93" s="4" t="s">
        <v>0</v>
      </c>
      <c r="D93" s="4" t="s">
        <v>33</v>
      </c>
      <c r="E93" s="4">
        <v>62</v>
      </c>
      <c r="F93" s="4">
        <v>41</v>
      </c>
      <c r="G93" s="4">
        <v>99</v>
      </c>
      <c r="H93" s="4" t="str">
        <f t="shared" si="78"/>
        <v>00001111011000100100000110011001</v>
      </c>
      <c r="I93" s="4">
        <f t="shared" si="79"/>
        <v>13</v>
      </c>
      <c r="J93" s="77">
        <v>86</v>
      </c>
      <c r="K93" s="79" t="str">
        <f>HEX2BIN(J93,8)</f>
        <v>10000110</v>
      </c>
      <c r="L93" s="43" t="str">
        <f t="shared" ref="L93" si="114">CONCATENATE(HEX2BIN(G93,8),HEX2BIN(F93,8),HEX2BIN(E93,8),HEX2BIN(D93,8))</f>
        <v>10011001010000010110001000001111</v>
      </c>
      <c r="M93" s="1" t="str">
        <f t="shared" si="88"/>
        <v>00100000010011101111011000100111</v>
      </c>
      <c r="N93" s="14">
        <f t="shared" si="105"/>
        <v>177</v>
      </c>
      <c r="O93" s="14">
        <f t="shared" si="84"/>
        <v>114</v>
      </c>
      <c r="P93" s="14">
        <f t="shared" si="85"/>
        <v>1115</v>
      </c>
      <c r="Q93" s="14"/>
      <c r="R93" s="14"/>
      <c r="S93" s="14"/>
      <c r="T93" s="14"/>
    </row>
    <row r="94" spans="1:20" ht="18.600000000000001" thickBot="1" x14ac:dyDescent="0.4">
      <c r="A94" s="91"/>
      <c r="B94" s="76"/>
      <c r="C94" s="5" t="s">
        <v>6</v>
      </c>
      <c r="D94" s="5">
        <v>9</v>
      </c>
      <c r="E94" s="5" t="s">
        <v>121</v>
      </c>
      <c r="F94" s="5" t="s">
        <v>114</v>
      </c>
      <c r="G94" s="5" t="s">
        <v>106</v>
      </c>
      <c r="H94" s="5" t="str">
        <f t="shared" si="78"/>
        <v>00001001111001001100010011011110</v>
      </c>
      <c r="I94" s="5">
        <f t="shared" si="79"/>
        <v>15</v>
      </c>
      <c r="J94" s="78"/>
      <c r="K94" s="80"/>
      <c r="L94" s="14" t="str">
        <f t="shared" si="89"/>
        <v>10000111000011011001010000011000</v>
      </c>
      <c r="M94" s="14" t="str">
        <f t="shared" ref="M94" si="115">CONCATENATE(MID(M93,6,8),MID(M93,30,3),MID(M93,1,5),MID(M93,22,8),MID(M93,14,8))</f>
        <v>00001001111001001100010011011110</v>
      </c>
      <c r="N94" s="14">
        <f t="shared" si="107"/>
        <v>135</v>
      </c>
      <c r="O94" s="14">
        <f t="shared" si="84"/>
        <v>15</v>
      </c>
      <c r="P94" s="14">
        <f t="shared" si="85"/>
        <v>1116</v>
      </c>
      <c r="Q94" s="14"/>
      <c r="R94" s="14"/>
      <c r="S94" s="14"/>
      <c r="T94" s="14"/>
    </row>
    <row r="95" spans="1:20" x14ac:dyDescent="0.35">
      <c r="A95" s="91"/>
      <c r="B95" s="75">
        <f>B93+1</f>
        <v>47</v>
      </c>
      <c r="C95" s="4" t="s">
        <v>0</v>
      </c>
      <c r="D95" s="4" t="s">
        <v>138</v>
      </c>
      <c r="E95" s="4">
        <v>46</v>
      </c>
      <c r="F95" s="4" t="s">
        <v>83</v>
      </c>
      <c r="G95" s="4">
        <v>91</v>
      </c>
      <c r="H95" s="4" t="str">
        <f t="shared" si="78"/>
        <v>11001110010001101110011110010001</v>
      </c>
      <c r="I95" s="4">
        <f t="shared" si="79"/>
        <v>17</v>
      </c>
      <c r="J95" s="77">
        <v>95</v>
      </c>
      <c r="K95" s="79" t="str">
        <f>HEX2BIN(J95,8)</f>
        <v>10010101</v>
      </c>
      <c r="L95" s="43" t="str">
        <f t="shared" ref="L95" si="116">CONCATENATE(HEX2BIN(G95,8),HEX2BIN(F95,8),HEX2BIN(E95,8),HEX2BIN(D95,8))</f>
        <v>10010001111001110100011011001110</v>
      </c>
      <c r="M95" s="1" t="str">
        <f t="shared" si="88"/>
        <v>00101000000100110000100000100010</v>
      </c>
      <c r="N95" s="14">
        <f t="shared" si="105"/>
        <v>229</v>
      </c>
      <c r="O95" s="14">
        <f t="shared" si="84"/>
        <v>172</v>
      </c>
      <c r="P95" s="14">
        <f t="shared" si="85"/>
        <v>1117</v>
      </c>
      <c r="Q95" s="14"/>
      <c r="R95" s="14"/>
      <c r="S95" s="14"/>
      <c r="T95" s="14"/>
    </row>
    <row r="96" spans="1:20" ht="18.600000000000001" thickBot="1" x14ac:dyDescent="0.4">
      <c r="A96" s="91"/>
      <c r="B96" s="76"/>
      <c r="C96" s="5" t="s">
        <v>6</v>
      </c>
      <c r="D96" s="5">
        <v>2</v>
      </c>
      <c r="E96" s="5">
        <v>45</v>
      </c>
      <c r="F96" s="5">
        <v>4</v>
      </c>
      <c r="G96" s="5">
        <v>61</v>
      </c>
      <c r="H96" s="5" t="str">
        <f t="shared" si="78"/>
        <v>00000010010001010000010001100001</v>
      </c>
      <c r="I96" s="5">
        <f t="shared" si="79"/>
        <v>8</v>
      </c>
      <c r="J96" s="78"/>
      <c r="K96" s="80"/>
      <c r="L96" s="14" t="str">
        <f t="shared" si="89"/>
        <v>10010110001010111100000101010100</v>
      </c>
      <c r="M96" s="14" t="str">
        <f t="shared" ref="M96" si="117">CONCATENATE(MID(M95,6,8),MID(M95,30,3),MID(M95,1,5),MID(M95,22,8),MID(M95,14,8))</f>
        <v>00000010010001010000010001100001</v>
      </c>
      <c r="N96" s="14">
        <f t="shared" si="107"/>
        <v>150</v>
      </c>
      <c r="O96" s="14">
        <f t="shared" si="84"/>
        <v>73</v>
      </c>
      <c r="P96" s="14">
        <f t="shared" si="85"/>
        <v>1118</v>
      </c>
      <c r="Q96" s="14"/>
      <c r="R96" s="14"/>
      <c r="S96" s="14"/>
      <c r="T96" s="14"/>
    </row>
    <row r="97" spans="1:20" x14ac:dyDescent="0.35">
      <c r="A97" s="91"/>
      <c r="B97" s="75">
        <f>B95+1</f>
        <v>48</v>
      </c>
      <c r="C97" s="4" t="s">
        <v>0</v>
      </c>
      <c r="D97" s="4" t="s">
        <v>93</v>
      </c>
      <c r="E97" s="4">
        <v>27</v>
      </c>
      <c r="F97" s="4">
        <v>45</v>
      </c>
      <c r="G97" s="4" t="s">
        <v>66</v>
      </c>
      <c r="H97" s="4" t="str">
        <f t="shared" si="78"/>
        <v>00001101001001110100010111111000</v>
      </c>
      <c r="I97" s="4">
        <f t="shared" si="79"/>
        <v>15</v>
      </c>
      <c r="J97" s="77" t="s">
        <v>87</v>
      </c>
      <c r="K97" s="79" t="str">
        <f>HEX2BIN(J97,8)</f>
        <v>10110011</v>
      </c>
      <c r="L97" s="43" t="str">
        <f t="shared" ref="L97" si="118">CONCATENATE(HEX2BIN(G97,8),HEX2BIN(F97,8),HEX2BIN(E97,8),HEX2BIN(D97,8))</f>
        <v>11111000010001010010011100001101</v>
      </c>
      <c r="M97" s="1" t="str">
        <f t="shared" si="88"/>
        <v>10101100101011010100001011011001</v>
      </c>
      <c r="N97" s="14">
        <f t="shared" si="105"/>
        <v>196</v>
      </c>
      <c r="O97" s="14">
        <f t="shared" si="84"/>
        <v>230</v>
      </c>
      <c r="P97" s="14">
        <f t="shared" si="85"/>
        <v>1119</v>
      </c>
      <c r="Q97" s="14"/>
      <c r="R97" s="14"/>
      <c r="S97" s="14"/>
      <c r="T97" s="14"/>
    </row>
    <row r="98" spans="1:20" ht="18.600000000000001" thickBot="1" x14ac:dyDescent="0.4">
      <c r="A98" s="91"/>
      <c r="B98" s="76"/>
      <c r="C98" s="5" t="s">
        <v>6</v>
      </c>
      <c r="D98" s="5">
        <v>95</v>
      </c>
      <c r="E98" s="5">
        <v>35</v>
      </c>
      <c r="F98" s="5" t="s">
        <v>139</v>
      </c>
      <c r="G98" s="5" t="s">
        <v>44</v>
      </c>
      <c r="H98" s="5" t="str">
        <f t="shared" si="78"/>
        <v>10010101001101010101101110101000</v>
      </c>
      <c r="I98" s="5">
        <f t="shared" si="79"/>
        <v>16</v>
      </c>
      <c r="J98" s="78"/>
      <c r="K98" s="80"/>
      <c r="L98" s="14" t="str">
        <f t="shared" si="89"/>
        <v>10110100011010000001101111001100</v>
      </c>
      <c r="M98" s="14" t="str">
        <f t="shared" ref="M98" si="119">CONCATENATE(MID(M97,6,8),MID(M97,30,3),MID(M97,1,5),MID(M97,22,8),MID(M97,14,8))</f>
        <v>10010101001101010101101110101000</v>
      </c>
      <c r="N98" s="14">
        <f t="shared" si="107"/>
        <v>180</v>
      </c>
      <c r="O98" s="14">
        <f t="shared" si="84"/>
        <v>131</v>
      </c>
      <c r="P98" s="14">
        <f t="shared" si="85"/>
        <v>1120</v>
      </c>
      <c r="Q98" s="14"/>
      <c r="R98" s="14"/>
      <c r="S98" s="14"/>
      <c r="T98" s="14"/>
    </row>
    <row r="99" spans="1:20" x14ac:dyDescent="0.35">
      <c r="A99" s="91">
        <f>A83+1</f>
        <v>7</v>
      </c>
      <c r="B99" s="75">
        <f>B97+1</f>
        <v>49</v>
      </c>
      <c r="C99" s="4" t="s">
        <v>0</v>
      </c>
      <c r="D99" s="4" t="s">
        <v>140</v>
      </c>
      <c r="E99" s="4">
        <v>36</v>
      </c>
      <c r="F99" s="4" t="s">
        <v>118</v>
      </c>
      <c r="G99" s="4" t="s">
        <v>26</v>
      </c>
      <c r="H99" s="4" t="str">
        <f t="shared" si="78"/>
        <v>00011101001101100000110001001101</v>
      </c>
      <c r="I99" s="4">
        <f t="shared" si="79"/>
        <v>14</v>
      </c>
      <c r="J99" s="77" t="s">
        <v>32</v>
      </c>
      <c r="K99" s="79" t="str">
        <f>HEX2BIN(J99,8)</f>
        <v>10100111</v>
      </c>
      <c r="L99" s="43" t="str">
        <f t="shared" ref="L99" si="120">CONCATENATE(HEX2BIN(G99,8),HEX2BIN(F99,8),HEX2BIN(E99,8),HEX2BIN(D99,8))</f>
        <v>01001101000011000011011000011101</v>
      </c>
      <c r="M99" s="1" t="str">
        <f t="shared" si="88"/>
        <v>11110101010111000010110110111001</v>
      </c>
      <c r="N99" s="14">
        <f t="shared" si="105"/>
        <v>233</v>
      </c>
      <c r="O99" s="14">
        <f t="shared" si="84"/>
        <v>32</v>
      </c>
      <c r="P99" s="14">
        <f t="shared" si="85"/>
        <v>1121</v>
      </c>
      <c r="Q99" s="14"/>
      <c r="R99" s="14"/>
      <c r="S99" s="14"/>
      <c r="T99" s="14"/>
    </row>
    <row r="100" spans="1:20" ht="18.600000000000001" thickBot="1" x14ac:dyDescent="0.4">
      <c r="A100" s="91"/>
      <c r="B100" s="76"/>
      <c r="C100" s="5" t="s">
        <v>6</v>
      </c>
      <c r="D100" s="5" t="s">
        <v>141</v>
      </c>
      <c r="E100" s="5" t="s">
        <v>142</v>
      </c>
      <c r="F100" s="5" t="s">
        <v>143</v>
      </c>
      <c r="G100" s="5">
        <v>85</v>
      </c>
      <c r="H100" s="5" t="str">
        <f t="shared" si="78"/>
        <v>10101011001111101011011110000101</v>
      </c>
      <c r="I100" s="5">
        <f t="shared" si="79"/>
        <v>19</v>
      </c>
      <c r="J100" s="78"/>
      <c r="K100" s="80"/>
      <c r="L100" s="14" t="str">
        <f t="shared" si="89"/>
        <v>10101000010011111111011110011100</v>
      </c>
      <c r="M100" s="14" t="str">
        <f t="shared" ref="M100" si="121">CONCATENATE(MID(M99,6,8),MID(M99,30,3),MID(M99,1,5),MID(M99,22,8),MID(M99,14,8))</f>
        <v>10101011001111101011011110000101</v>
      </c>
      <c r="N100" s="14">
        <f t="shared" si="107"/>
        <v>168</v>
      </c>
      <c r="O100" s="14">
        <f t="shared" si="84"/>
        <v>189</v>
      </c>
      <c r="P100" s="14">
        <f t="shared" si="85"/>
        <v>1122</v>
      </c>
      <c r="Q100" s="14"/>
      <c r="R100" s="14"/>
      <c r="S100" s="14"/>
      <c r="T100" s="14"/>
    </row>
    <row r="101" spans="1:20" x14ac:dyDescent="0.35">
      <c r="A101" s="91"/>
      <c r="B101" s="75">
        <f>B99+1</f>
        <v>50</v>
      </c>
      <c r="C101" s="4" t="s">
        <v>0</v>
      </c>
      <c r="D101" s="4">
        <v>3</v>
      </c>
      <c r="E101" s="4" t="s">
        <v>51</v>
      </c>
      <c r="F101" s="4">
        <v>40</v>
      </c>
      <c r="G101" s="4">
        <v>78</v>
      </c>
      <c r="H101" s="4" t="str">
        <f t="shared" si="78"/>
        <v>00000011101010100100000001111000</v>
      </c>
      <c r="I101" s="4">
        <f t="shared" si="79"/>
        <v>11</v>
      </c>
      <c r="J101" s="77" t="s">
        <v>66</v>
      </c>
      <c r="K101" s="79" t="str">
        <f>HEX2BIN(J101,8)</f>
        <v>11111000</v>
      </c>
      <c r="L101" s="43" t="str">
        <f t="shared" ref="L101" si="122">CONCATENATE(HEX2BIN(G101,8),HEX2BIN(F101,8),HEX2BIN(E101,8),HEX2BIN(D101,8))</f>
        <v>01111000010000001010101000000011</v>
      </c>
      <c r="M101" s="1" t="str">
        <f t="shared" si="88"/>
        <v>01110010001100111001010111100011</v>
      </c>
      <c r="N101" s="14">
        <f t="shared" si="105"/>
        <v>88</v>
      </c>
      <c r="O101" s="14">
        <f t="shared" si="84"/>
        <v>90</v>
      </c>
      <c r="P101" s="14">
        <f t="shared" si="85"/>
        <v>1123</v>
      </c>
      <c r="Q101" s="14"/>
      <c r="R101" s="14"/>
      <c r="S101" s="14"/>
      <c r="T101" s="14"/>
    </row>
    <row r="102" spans="1:20" ht="18.600000000000001" thickBot="1" x14ac:dyDescent="0.4">
      <c r="A102" s="91"/>
      <c r="B102" s="76"/>
      <c r="C102" s="5" t="s">
        <v>6</v>
      </c>
      <c r="D102" s="5">
        <v>46</v>
      </c>
      <c r="E102" s="5" t="s">
        <v>91</v>
      </c>
      <c r="F102" s="5" t="s">
        <v>102</v>
      </c>
      <c r="G102" s="5">
        <v>72</v>
      </c>
      <c r="H102" s="5" t="str">
        <f t="shared" si="78"/>
        <v>01000110011011101011110001110010</v>
      </c>
      <c r="I102" s="5">
        <f t="shared" si="79"/>
        <v>17</v>
      </c>
      <c r="J102" s="78"/>
      <c r="K102" s="80"/>
      <c r="L102" s="14" t="str">
        <f t="shared" si="89"/>
        <v>11111001111100101110101111100000</v>
      </c>
      <c r="M102" s="14" t="str">
        <f t="shared" ref="M102" si="123">CONCATENATE(MID(M101,6,8),MID(M101,30,3),MID(M101,1,5),MID(M101,22,8),MID(M101,14,8))</f>
        <v>01000110011011101011110001110010</v>
      </c>
      <c r="N102" s="14">
        <f t="shared" si="107"/>
        <v>249</v>
      </c>
      <c r="O102" s="14">
        <f t="shared" si="84"/>
        <v>247</v>
      </c>
      <c r="P102" s="14">
        <f t="shared" si="85"/>
        <v>1124</v>
      </c>
      <c r="Q102" s="14"/>
      <c r="R102" s="14"/>
      <c r="S102" s="14"/>
      <c r="T102" s="14"/>
    </row>
    <row r="103" spans="1:20" x14ac:dyDescent="0.35">
      <c r="A103" s="91"/>
      <c r="B103" s="75">
        <f>B101+1</f>
        <v>51</v>
      </c>
      <c r="C103" s="4" t="s">
        <v>0</v>
      </c>
      <c r="D103" s="4" t="s">
        <v>139</v>
      </c>
      <c r="E103" s="4">
        <v>58</v>
      </c>
      <c r="F103" s="4" t="s">
        <v>109</v>
      </c>
      <c r="G103" s="4" t="s">
        <v>31</v>
      </c>
      <c r="H103" s="4" t="str">
        <f t="shared" si="78"/>
        <v>01011011010110001011000000111111</v>
      </c>
      <c r="I103" s="4">
        <f t="shared" si="79"/>
        <v>17</v>
      </c>
      <c r="J103" s="77" t="s">
        <v>86</v>
      </c>
      <c r="K103" s="79" t="str">
        <f>HEX2BIN(J103,8)</f>
        <v>11111001</v>
      </c>
      <c r="L103" s="43" t="str">
        <f t="shared" ref="L103" si="124">CONCATENATE(HEX2BIN(G103,8),HEX2BIN(F103,8),HEX2BIN(E103,8),HEX2BIN(D103,8))</f>
        <v>00111111101100000101100001011011</v>
      </c>
      <c r="M103" s="1" t="str">
        <f t="shared" si="88"/>
        <v>00111010101001010100011100111111</v>
      </c>
      <c r="N103" s="14">
        <f t="shared" si="105"/>
        <v>35</v>
      </c>
      <c r="O103" s="14">
        <f t="shared" si="84"/>
        <v>148</v>
      </c>
      <c r="P103" s="14">
        <f t="shared" si="85"/>
        <v>1125</v>
      </c>
      <c r="Q103" s="14"/>
      <c r="R103" s="14"/>
      <c r="S103" s="14"/>
      <c r="T103" s="14"/>
    </row>
    <row r="104" spans="1:20" ht="18.600000000000001" thickBot="1" x14ac:dyDescent="0.4">
      <c r="A104" s="91"/>
      <c r="B104" s="76"/>
      <c r="C104" s="5" t="s">
        <v>6</v>
      </c>
      <c r="D104" s="5">
        <v>54</v>
      </c>
      <c r="E104" s="5" t="s">
        <v>83</v>
      </c>
      <c r="F104" s="5" t="s">
        <v>83</v>
      </c>
      <c r="G104" s="5" t="s">
        <v>44</v>
      </c>
      <c r="H104" s="5" t="str">
        <f t="shared" si="78"/>
        <v>01010100111001111110011110101000</v>
      </c>
      <c r="I104" s="5">
        <f t="shared" si="79"/>
        <v>18</v>
      </c>
      <c r="J104" s="78"/>
      <c r="K104" s="80"/>
      <c r="L104" s="14" t="str">
        <f t="shared" si="89"/>
        <v>11111010111101001110111011100100</v>
      </c>
      <c r="M104" s="14" t="str">
        <f t="shared" ref="M104" si="125">CONCATENATE(MID(M103,6,8),MID(M103,30,3),MID(M103,1,5),MID(M103,22,8),MID(M103,14,8))</f>
        <v>01010100111001111110011110101000</v>
      </c>
      <c r="N104" s="14">
        <f t="shared" si="107"/>
        <v>250</v>
      </c>
      <c r="O104" s="14">
        <f t="shared" si="84"/>
        <v>49</v>
      </c>
      <c r="P104" s="14">
        <f t="shared" si="85"/>
        <v>1126</v>
      </c>
      <c r="Q104" s="14"/>
      <c r="R104" s="14"/>
      <c r="S104" s="14"/>
      <c r="T104" s="14"/>
    </row>
    <row r="105" spans="1:20" x14ac:dyDescent="0.35">
      <c r="A105" s="91"/>
      <c r="B105" s="75">
        <f>B103+1</f>
        <v>52</v>
      </c>
      <c r="C105" s="4" t="s">
        <v>0</v>
      </c>
      <c r="D105" s="4">
        <v>57</v>
      </c>
      <c r="E105" s="4" t="s">
        <v>26</v>
      </c>
      <c r="F105" s="4" t="s">
        <v>32</v>
      </c>
      <c r="G105" s="4" t="s">
        <v>112</v>
      </c>
      <c r="H105" s="4" t="str">
        <f t="shared" si="78"/>
        <v>01010111010011011010011111010000</v>
      </c>
      <c r="I105" s="4">
        <f t="shared" si="79"/>
        <v>17</v>
      </c>
      <c r="J105" s="77">
        <v>23</v>
      </c>
      <c r="K105" s="79" t="str">
        <f>HEX2BIN(J105,8)</f>
        <v>00100011</v>
      </c>
      <c r="L105" s="43" t="str">
        <f t="shared" ref="L105" si="126">CONCATENATE(HEX2BIN(G105,8),HEX2BIN(F105,8),HEX2BIN(E105,8),HEX2BIN(D105,8))</f>
        <v>11010000101001110100110101010111</v>
      </c>
      <c r="M105" s="1" t="str">
        <f t="shared" si="88"/>
        <v>11110011111011011011011011100011</v>
      </c>
      <c r="N105" s="14">
        <f t="shared" si="105"/>
        <v>92</v>
      </c>
      <c r="O105" s="14">
        <f t="shared" si="84"/>
        <v>206</v>
      </c>
      <c r="P105" s="14">
        <f t="shared" si="85"/>
        <v>1127</v>
      </c>
      <c r="Q105" s="14"/>
      <c r="R105" s="14"/>
      <c r="S105" s="14"/>
      <c r="T105" s="14"/>
    </row>
    <row r="106" spans="1:20" ht="18.600000000000001" thickBot="1" x14ac:dyDescent="0.4">
      <c r="A106" s="91"/>
      <c r="B106" s="76"/>
      <c r="C106" s="5" t="s">
        <v>6</v>
      </c>
      <c r="D106" s="5" t="s">
        <v>28</v>
      </c>
      <c r="E106" s="5" t="s">
        <v>79</v>
      </c>
      <c r="F106" s="5" t="s">
        <v>101</v>
      </c>
      <c r="G106" s="5" t="s">
        <v>49</v>
      </c>
      <c r="H106" s="5" t="str">
        <f t="shared" si="78"/>
        <v>01111101011111101101110010110110</v>
      </c>
      <c r="I106" s="5">
        <f t="shared" si="79"/>
        <v>22</v>
      </c>
      <c r="J106" s="78"/>
      <c r="K106" s="80"/>
      <c r="L106" s="14" t="str">
        <f t="shared" si="89"/>
        <v>00100011010001100110100110001100</v>
      </c>
      <c r="M106" s="14" t="str">
        <f t="shared" ref="M106" si="127">CONCATENATE(MID(M105,6,8),MID(M105,30,3),MID(M105,1,5),MID(M105,22,8),MID(M105,14,8))</f>
        <v>01111101011111101101110010110110</v>
      </c>
      <c r="N106" s="14">
        <f t="shared" si="107"/>
        <v>35</v>
      </c>
      <c r="O106" s="14">
        <f t="shared" si="84"/>
        <v>107</v>
      </c>
      <c r="P106" s="14">
        <f t="shared" si="85"/>
        <v>1128</v>
      </c>
      <c r="Q106" s="14"/>
      <c r="R106" s="14"/>
      <c r="S106" s="14"/>
      <c r="T106" s="14"/>
    </row>
    <row r="107" spans="1:20" x14ac:dyDescent="0.35">
      <c r="A107" s="91"/>
      <c r="B107" s="75">
        <f>B105+1</f>
        <v>53</v>
      </c>
      <c r="C107" s="4" t="s">
        <v>0</v>
      </c>
      <c r="D107" s="4">
        <v>26</v>
      </c>
      <c r="E107" s="4">
        <v>26</v>
      </c>
      <c r="F107" s="4" t="s">
        <v>17</v>
      </c>
      <c r="G107" s="4">
        <v>89</v>
      </c>
      <c r="H107" s="4" t="str">
        <f t="shared" si="78"/>
        <v>00100110001001100110110010001001</v>
      </c>
      <c r="I107" s="4">
        <f t="shared" si="79"/>
        <v>13</v>
      </c>
      <c r="J107" s="77" t="s">
        <v>81</v>
      </c>
      <c r="K107" s="79" t="str">
        <f>HEX2BIN(J107,8)</f>
        <v>11110100</v>
      </c>
      <c r="L107" s="43" t="str">
        <f t="shared" ref="L107" si="128">CONCATENATE(HEX2BIN(G107,8),HEX2BIN(F107,8),HEX2BIN(E107,8),HEX2BIN(D107,8))</f>
        <v>10001001011011000010011000100110</v>
      </c>
      <c r="M107" s="1" t="str">
        <f t="shared" si="88"/>
        <v>01111111010101110000010111110110</v>
      </c>
      <c r="N107" s="14">
        <f t="shared" si="105"/>
        <v>89</v>
      </c>
      <c r="O107" s="14">
        <f t="shared" si="84"/>
        <v>8</v>
      </c>
      <c r="P107" s="14">
        <f t="shared" si="85"/>
        <v>1129</v>
      </c>
      <c r="Q107" s="14"/>
      <c r="R107" s="14"/>
      <c r="S107" s="14"/>
      <c r="T107" s="14"/>
    </row>
    <row r="108" spans="1:20" ht="18.600000000000001" thickBot="1" x14ac:dyDescent="0.4">
      <c r="A108" s="91"/>
      <c r="B108" s="76"/>
      <c r="C108" s="5" t="s">
        <v>6</v>
      </c>
      <c r="D108" s="5" t="s">
        <v>34</v>
      </c>
      <c r="E108" s="5" t="s">
        <v>80</v>
      </c>
      <c r="F108" s="5" t="s">
        <v>94</v>
      </c>
      <c r="G108" s="5" t="s">
        <v>144</v>
      </c>
      <c r="H108" s="5" t="str">
        <f t="shared" si="78"/>
        <v>11101010110011111011111011100000</v>
      </c>
      <c r="I108" s="5">
        <f t="shared" si="79"/>
        <v>20</v>
      </c>
      <c r="J108" s="78"/>
      <c r="K108" s="80"/>
      <c r="L108" s="14" t="str">
        <f t="shared" si="89"/>
        <v>11110101111010101101111111010000</v>
      </c>
      <c r="M108" s="14" t="str">
        <f t="shared" ref="M108" si="129">CONCATENATE(MID(M107,6,8),MID(M107,30,3),MID(M107,1,5),MID(M107,22,8),MID(M107,14,8))</f>
        <v>11101010110011111011111011100000</v>
      </c>
      <c r="N108" s="14">
        <f t="shared" si="107"/>
        <v>245</v>
      </c>
      <c r="O108" s="14">
        <f t="shared" si="84"/>
        <v>165</v>
      </c>
      <c r="P108" s="14">
        <f t="shared" si="85"/>
        <v>1130</v>
      </c>
      <c r="Q108" s="14"/>
      <c r="R108" s="14"/>
      <c r="S108" s="14"/>
      <c r="T108" s="14"/>
    </row>
    <row r="109" spans="1:20" x14ac:dyDescent="0.35">
      <c r="A109" s="91"/>
      <c r="B109" s="75">
        <f>B107+1</f>
        <v>54</v>
      </c>
      <c r="C109" s="4" t="s">
        <v>0</v>
      </c>
      <c r="D109" s="4" t="s">
        <v>25</v>
      </c>
      <c r="E109" s="4">
        <v>82</v>
      </c>
      <c r="F109" s="4">
        <v>19</v>
      </c>
      <c r="G109" s="4">
        <v>30</v>
      </c>
      <c r="H109" s="4" t="str">
        <f t="shared" si="78"/>
        <v>10111101100000100001100100110000</v>
      </c>
      <c r="I109" s="4">
        <f t="shared" si="79"/>
        <v>13</v>
      </c>
      <c r="J109" s="77">
        <v>88</v>
      </c>
      <c r="K109" s="79" t="str">
        <f>HEX2BIN(J109,8)</f>
        <v>10001000</v>
      </c>
      <c r="L109" s="43" t="str">
        <f t="shared" ref="L109" si="130">CONCATENATE(HEX2BIN(G109,8),HEX2BIN(F109,8),HEX2BIN(E109,8),HEX2BIN(D109,8))</f>
        <v>00110000000110011000001010111101</v>
      </c>
      <c r="M109" s="1" t="str">
        <f t="shared" si="88"/>
        <v>10111001001010110001110011011101</v>
      </c>
      <c r="N109" s="14">
        <f t="shared" si="105"/>
        <v>80</v>
      </c>
      <c r="O109" s="14">
        <f t="shared" si="84"/>
        <v>66</v>
      </c>
      <c r="P109" s="14">
        <f t="shared" si="85"/>
        <v>1131</v>
      </c>
      <c r="Q109" s="14"/>
      <c r="R109" s="14"/>
      <c r="S109" s="14"/>
      <c r="T109" s="14"/>
    </row>
    <row r="110" spans="1:20" ht="18.600000000000001" thickBot="1" x14ac:dyDescent="0.4">
      <c r="A110" s="91"/>
      <c r="B110" s="76"/>
      <c r="C110" s="5" t="s">
        <v>6</v>
      </c>
      <c r="D110" s="5">
        <v>25</v>
      </c>
      <c r="E110" s="5" t="s">
        <v>143</v>
      </c>
      <c r="F110" s="5" t="s">
        <v>40</v>
      </c>
      <c r="G110" s="5">
        <v>63</v>
      </c>
      <c r="H110" s="5" t="str">
        <f t="shared" si="78"/>
        <v>00100101101101111001101101100011</v>
      </c>
      <c r="I110" s="5">
        <f t="shared" si="79"/>
        <v>18</v>
      </c>
      <c r="J110" s="78"/>
      <c r="K110" s="80"/>
      <c r="L110" s="14" t="str">
        <f t="shared" si="89"/>
        <v>10001001000100011001101000100000</v>
      </c>
      <c r="M110" s="14" t="str">
        <f t="shared" ref="M110" si="131">CONCATENATE(MID(M109,6,8),MID(M109,30,3),MID(M109,1,5),MID(M109,22,8),MID(M109,14,8))</f>
        <v>00100101101101111001101101100011</v>
      </c>
      <c r="N110" s="14">
        <f t="shared" si="107"/>
        <v>137</v>
      </c>
      <c r="O110" s="14">
        <f t="shared" si="84"/>
        <v>223</v>
      </c>
      <c r="P110" s="14">
        <f t="shared" si="85"/>
        <v>1132</v>
      </c>
      <c r="Q110" s="14"/>
      <c r="R110" s="14"/>
      <c r="S110" s="14"/>
      <c r="T110" s="14"/>
    </row>
    <row r="111" spans="1:20" x14ac:dyDescent="0.35">
      <c r="A111" s="91"/>
      <c r="B111" s="75">
        <f>B109+1</f>
        <v>55</v>
      </c>
      <c r="C111" s="4" t="s">
        <v>0</v>
      </c>
      <c r="D111" s="4">
        <v>3</v>
      </c>
      <c r="E111" s="4">
        <v>91</v>
      </c>
      <c r="F111" s="4" t="s">
        <v>145</v>
      </c>
      <c r="G111" s="4" t="s">
        <v>34</v>
      </c>
      <c r="H111" s="4" t="str">
        <f t="shared" si="78"/>
        <v>00000011100100011111011111101010</v>
      </c>
      <c r="I111" s="4">
        <f t="shared" si="79"/>
        <v>17</v>
      </c>
      <c r="J111" s="77" t="s">
        <v>83</v>
      </c>
      <c r="K111" s="79" t="str">
        <f>HEX2BIN(J111,8)</f>
        <v>11100111</v>
      </c>
      <c r="L111" s="43" t="str">
        <f t="shared" ref="L111" si="132">CONCATENATE(HEX2BIN(G111,8),HEX2BIN(F111,8),HEX2BIN(E111,8),HEX2BIN(D111,8))</f>
        <v>11101010111101111001000100000011</v>
      </c>
      <c r="M111" s="1" t="str">
        <f t="shared" si="88"/>
        <v>11010011110010000100100110011111</v>
      </c>
      <c r="N111" s="14">
        <f t="shared" si="105"/>
        <v>134</v>
      </c>
      <c r="O111" s="14">
        <f t="shared" si="84"/>
        <v>124</v>
      </c>
      <c r="P111" s="14">
        <f t="shared" si="85"/>
        <v>1133</v>
      </c>
      <c r="Q111" s="14"/>
      <c r="R111" s="14"/>
      <c r="S111" s="14"/>
      <c r="T111" s="14"/>
    </row>
    <row r="112" spans="1:20" ht="18.600000000000001" thickBot="1" x14ac:dyDescent="0.4">
      <c r="A112" s="91"/>
      <c r="B112" s="76"/>
      <c r="C112" s="5" t="s">
        <v>6</v>
      </c>
      <c r="D112" s="5">
        <v>79</v>
      </c>
      <c r="E112" s="5" t="s">
        <v>21</v>
      </c>
      <c r="F112" s="5">
        <v>33</v>
      </c>
      <c r="G112" s="5">
        <v>9</v>
      </c>
      <c r="H112" s="5" t="str">
        <f t="shared" si="78"/>
        <v>01111001111110100011001100001001</v>
      </c>
      <c r="I112" s="5">
        <f t="shared" si="79"/>
        <v>17</v>
      </c>
      <c r="J112" s="78"/>
      <c r="K112" s="80"/>
      <c r="L112" s="14" t="str">
        <f t="shared" si="89"/>
        <v>11101000110100001011100010011100</v>
      </c>
      <c r="M112" s="14" t="str">
        <f t="shared" ref="M112" si="133">CONCATENATE(MID(M111,6,8),MID(M111,30,3),MID(M111,1,5),MID(M111,22,8),MID(M111,14,8))</f>
        <v>01111001111110100011001100001001</v>
      </c>
      <c r="N112" s="14">
        <f t="shared" si="107"/>
        <v>232</v>
      </c>
      <c r="O112" s="14">
        <f t="shared" si="84"/>
        <v>25</v>
      </c>
      <c r="P112" s="14">
        <f t="shared" si="85"/>
        <v>1134</v>
      </c>
      <c r="Q112" s="14"/>
      <c r="R112" s="14"/>
      <c r="S112" s="14"/>
      <c r="T112" s="14"/>
    </row>
    <row r="113" spans="1:28" x14ac:dyDescent="0.35">
      <c r="A113" s="91"/>
      <c r="B113" s="75">
        <f>B111+1</f>
        <v>56</v>
      </c>
      <c r="C113" s="4" t="s">
        <v>0</v>
      </c>
      <c r="D113" s="4" t="s">
        <v>114</v>
      </c>
      <c r="E113" s="4">
        <v>78</v>
      </c>
      <c r="F113" s="4" t="s">
        <v>98</v>
      </c>
      <c r="G113" s="4">
        <v>39</v>
      </c>
      <c r="H113" s="4" t="str">
        <f t="shared" si="78"/>
        <v>11000100011110000010101000111001</v>
      </c>
      <c r="I113" s="4">
        <f t="shared" si="79"/>
        <v>14</v>
      </c>
      <c r="J113" s="77" t="s">
        <v>119</v>
      </c>
      <c r="K113" s="79" t="str">
        <f>HEX2BIN(J113,8)</f>
        <v>11001011</v>
      </c>
      <c r="L113" s="43" t="str">
        <f t="shared" ref="L113" si="134">CONCATENATE(HEX2BIN(G113,8),HEX2BIN(F113,8),HEX2BIN(E113,8),HEX2BIN(D113,8))</f>
        <v>00111001001010100111100011000100</v>
      </c>
      <c r="M113" s="1" t="str">
        <f t="shared" si="88"/>
        <v>00000101110000101101110011110000</v>
      </c>
      <c r="N113" s="14">
        <f t="shared" si="105"/>
        <v>101</v>
      </c>
      <c r="O113" s="14">
        <f t="shared" si="84"/>
        <v>182</v>
      </c>
      <c r="P113" s="14">
        <f t="shared" si="85"/>
        <v>1135</v>
      </c>
      <c r="Q113" s="14"/>
      <c r="R113" s="14"/>
      <c r="S113" s="14"/>
      <c r="T113" s="14"/>
    </row>
    <row r="114" spans="1:28" ht="18.600000000000001" thickBot="1" x14ac:dyDescent="0.4">
      <c r="A114" s="91"/>
      <c r="B114" s="76"/>
      <c r="C114" s="5" t="s">
        <v>6</v>
      </c>
      <c r="D114" s="5" t="s">
        <v>11</v>
      </c>
      <c r="E114" s="5">
        <v>0</v>
      </c>
      <c r="F114" s="5" t="s">
        <v>13</v>
      </c>
      <c r="G114" s="5" t="s">
        <v>139</v>
      </c>
      <c r="H114" s="5" t="str">
        <f t="shared" si="78"/>
        <v>10111000000000001001111001011011</v>
      </c>
      <c r="I114" s="5">
        <f t="shared" si="79"/>
        <v>14</v>
      </c>
      <c r="J114" s="78"/>
      <c r="K114" s="80"/>
      <c r="L114" s="14" t="str">
        <f t="shared" si="89"/>
        <v>11001100100110000110010000101100</v>
      </c>
      <c r="M114" s="14" t="str">
        <f t="shared" ref="M114" si="135">CONCATENATE(MID(M113,6,8),MID(M113,30,3),MID(M113,1,5),MID(M113,22,8),MID(M113,14,8))</f>
        <v>10111000000000001001111001011011</v>
      </c>
      <c r="N114" s="14">
        <f t="shared" si="107"/>
        <v>204</v>
      </c>
      <c r="O114" s="14">
        <f t="shared" si="84"/>
        <v>83</v>
      </c>
      <c r="P114" s="14">
        <f t="shared" si="85"/>
        <v>1136</v>
      </c>
      <c r="Q114" s="14"/>
      <c r="R114" s="14"/>
      <c r="S114" s="14"/>
      <c r="T114" s="14"/>
    </row>
    <row r="115" spans="1:28" x14ac:dyDescent="0.35">
      <c r="A115" s="91">
        <f>A99+1</f>
        <v>8</v>
      </c>
      <c r="B115" s="75">
        <f>B113+1</f>
        <v>57</v>
      </c>
      <c r="C115" s="4" t="s">
        <v>0</v>
      </c>
      <c r="D115" s="4" t="s">
        <v>146</v>
      </c>
      <c r="E115" s="4" t="s">
        <v>102</v>
      </c>
      <c r="F115" s="4">
        <v>38</v>
      </c>
      <c r="G115" s="4" t="s">
        <v>110</v>
      </c>
      <c r="H115" s="4" t="str">
        <f t="shared" si="78"/>
        <v>10111011101111000011100011111100</v>
      </c>
      <c r="I115" s="4">
        <f t="shared" si="79"/>
        <v>20</v>
      </c>
      <c r="J115" s="77" t="s">
        <v>41</v>
      </c>
      <c r="K115" s="79" t="str">
        <f>HEX2BIN(J115,8)</f>
        <v>01111011</v>
      </c>
      <c r="L115" s="43" t="str">
        <f t="shared" ref="L115" si="136">CONCATENATE(HEX2BIN(G115,8),HEX2BIN(F115,8),HEX2BIN(E115,8),HEX2BIN(D115,8))</f>
        <v>11111100001110001011110010111011</v>
      </c>
      <c r="M115" s="1" t="str">
        <f t="shared" si="88"/>
        <v>01111000001100000010111110100111</v>
      </c>
      <c r="N115" s="14">
        <f t="shared" si="105"/>
        <v>232</v>
      </c>
      <c r="O115" s="14">
        <f t="shared" si="84"/>
        <v>240</v>
      </c>
      <c r="P115" s="14">
        <f t="shared" si="85"/>
        <v>1137</v>
      </c>
      <c r="Q115" s="14"/>
      <c r="R115" s="14"/>
      <c r="S115" s="14"/>
      <c r="T115" s="14"/>
    </row>
    <row r="116" spans="1:28" ht="18.600000000000001" thickBot="1" x14ac:dyDescent="0.4">
      <c r="A116" s="91"/>
      <c r="B116" s="76"/>
      <c r="C116" s="5" t="s">
        <v>6</v>
      </c>
      <c r="D116" s="5">
        <v>6</v>
      </c>
      <c r="E116" s="5" t="s">
        <v>56</v>
      </c>
      <c r="F116" s="5" t="s">
        <v>81</v>
      </c>
      <c r="G116" s="5">
        <v>5</v>
      </c>
      <c r="H116" s="5" t="str">
        <f t="shared" si="78"/>
        <v>00000110111011111111010000000101</v>
      </c>
      <c r="I116" s="5">
        <f t="shared" si="79"/>
        <v>16</v>
      </c>
      <c r="J116" s="78"/>
      <c r="K116" s="80"/>
      <c r="L116" s="14" t="str">
        <f t="shared" si="89"/>
        <v>01111011111101110111001011101100</v>
      </c>
      <c r="M116" s="14" t="str">
        <f t="shared" ref="M116" si="137">CONCATENATE(MID(M115,6,8),MID(M115,30,3),MID(M115,1,5),MID(M115,22,8),MID(M115,14,8))</f>
        <v>00000110111011111111010000000101</v>
      </c>
      <c r="N116" s="14">
        <f t="shared" si="107"/>
        <v>123</v>
      </c>
      <c r="O116" s="14">
        <f t="shared" si="84"/>
        <v>141</v>
      </c>
      <c r="P116" s="14">
        <f t="shared" si="85"/>
        <v>1138</v>
      </c>
      <c r="Q116" s="14"/>
      <c r="R116" s="14"/>
      <c r="S116" s="14"/>
      <c r="T116" s="14"/>
    </row>
    <row r="117" spans="1:28" x14ac:dyDescent="0.35">
      <c r="A117" s="91"/>
      <c r="B117" s="75">
        <f>B115+1</f>
        <v>58</v>
      </c>
      <c r="C117" s="4" t="s">
        <v>0</v>
      </c>
      <c r="D117" s="4">
        <v>5</v>
      </c>
      <c r="E117" s="4" t="s">
        <v>111</v>
      </c>
      <c r="F117" s="4">
        <v>44</v>
      </c>
      <c r="G117" s="4" t="s">
        <v>60</v>
      </c>
      <c r="H117" s="4" t="str">
        <f t="shared" si="78"/>
        <v>00000101110110100100010000111101</v>
      </c>
      <c r="I117" s="4">
        <f t="shared" si="79"/>
        <v>14</v>
      </c>
      <c r="J117" s="77" t="s">
        <v>143</v>
      </c>
      <c r="K117" s="79" t="str">
        <f>HEX2BIN(J117,8)</f>
        <v>10110111</v>
      </c>
      <c r="L117" s="43" t="str">
        <f t="shared" ref="L117" si="138">CONCATENATE(HEX2BIN(G117,8),HEX2BIN(F117,8),HEX2BIN(E117,8),HEX2BIN(D117,8))</f>
        <v>00111101010001001101101000000101</v>
      </c>
      <c r="M117" s="1" t="str">
        <f t="shared" si="88"/>
        <v>11110101101101010000000111100001</v>
      </c>
      <c r="N117" s="14">
        <f t="shared" si="105"/>
        <v>25</v>
      </c>
      <c r="O117" s="14">
        <f t="shared" si="84"/>
        <v>42</v>
      </c>
      <c r="P117" s="14">
        <f t="shared" si="85"/>
        <v>1139</v>
      </c>
      <c r="Q117" s="14"/>
      <c r="R117" s="14"/>
      <c r="S117" s="14"/>
      <c r="T117" s="14"/>
    </row>
    <row r="118" spans="1:28" ht="18.600000000000001" thickBot="1" x14ac:dyDescent="0.4">
      <c r="A118" s="91"/>
      <c r="B118" s="76"/>
      <c r="C118" s="5" t="s">
        <v>6</v>
      </c>
      <c r="D118" s="5" t="s">
        <v>49</v>
      </c>
      <c r="E118" s="5" t="s">
        <v>142</v>
      </c>
      <c r="F118" s="5" t="s">
        <v>84</v>
      </c>
      <c r="G118" s="5" t="s">
        <v>124</v>
      </c>
      <c r="H118" s="5" t="str">
        <f t="shared" si="78"/>
        <v>10110110001111100011110010100000</v>
      </c>
      <c r="I118" s="5">
        <f t="shared" si="79"/>
        <v>16</v>
      </c>
      <c r="J118" s="78"/>
      <c r="K118" s="80"/>
      <c r="L118" s="14" t="str">
        <f t="shared" si="89"/>
        <v>10111000011100000010011111011100</v>
      </c>
      <c r="M118" s="14" t="str">
        <f t="shared" ref="M118" si="139">CONCATENATE(MID(M117,6,8),MID(M117,30,3),MID(M117,1,5),MID(M117,22,8),MID(M117,14,8))</f>
        <v>10110110001111100011110010100000</v>
      </c>
      <c r="N118" s="14">
        <f t="shared" si="107"/>
        <v>184</v>
      </c>
      <c r="O118" s="14">
        <f t="shared" si="84"/>
        <v>199</v>
      </c>
      <c r="P118" s="14">
        <f t="shared" si="85"/>
        <v>1140</v>
      </c>
      <c r="Q118" s="14"/>
      <c r="R118" s="14"/>
      <c r="S118" s="14"/>
      <c r="T118" s="14"/>
    </row>
    <row r="119" spans="1:28" x14ac:dyDescent="0.35">
      <c r="A119" s="91"/>
      <c r="B119" s="83">
        <f>B117+1</f>
        <v>59</v>
      </c>
      <c r="C119" s="4" t="s">
        <v>0</v>
      </c>
      <c r="D119" s="4" t="s">
        <v>93</v>
      </c>
      <c r="E119" s="4">
        <v>82</v>
      </c>
      <c r="F119" s="4">
        <v>4</v>
      </c>
      <c r="G119" s="4" t="s">
        <v>58</v>
      </c>
      <c r="H119" s="4" t="str">
        <f t="shared" si="78"/>
        <v>00001101100000100000010001011100</v>
      </c>
      <c r="I119" s="4">
        <f t="shared" si="79"/>
        <v>10</v>
      </c>
      <c r="J119" s="77">
        <v>64</v>
      </c>
      <c r="K119" s="79" t="str">
        <f>HEX2BIN(J119,8)</f>
        <v>01100100</v>
      </c>
      <c r="L119" s="43" t="str">
        <f t="shared" ref="L119" si="140">CONCATENATE(HEX2BIN(G119,8),HEX2BIN(F119,8),HEX2BIN(E119,8),HEX2BIN(D119,8))</f>
        <v>01011100000001001000001000001101</v>
      </c>
      <c r="M119" s="1" t="str">
        <f t="shared" si="88"/>
        <v>11000000110011011010111110011101</v>
      </c>
      <c r="N119" s="14" t="str">
        <f>MID($L119,6,3)</f>
        <v>100</v>
      </c>
      <c r="O119" s="14" t="str">
        <f>MID($L119,9,3)</f>
        <v>000</v>
      </c>
      <c r="P119" s="14" t="str">
        <f>MID($L119,12,5)</f>
        <v>00100</v>
      </c>
      <c r="Q119" s="14" t="str">
        <f>MID($L119,7,5)</f>
        <v>00000</v>
      </c>
      <c r="R119" s="14" t="str">
        <f>MID($L119,22,3)</f>
        <v>010</v>
      </c>
      <c r="S119" s="14" t="str">
        <f>MID($L119,25,3)</f>
        <v>000</v>
      </c>
      <c r="T119" s="14" t="str">
        <f>MID($L119,28,5)</f>
        <v>01101</v>
      </c>
      <c r="U119" s="1" t="e">
        <f t="shared" ref="U119:AB119" si="141">BIN2DEC(M119)-BIN2DEC(M120)</f>
        <v>#NUM!</v>
      </c>
      <c r="V119" s="1">
        <f t="shared" si="141"/>
        <v>0</v>
      </c>
      <c r="W119" s="1">
        <f t="shared" si="141"/>
        <v>-6</v>
      </c>
      <c r="X119" s="1">
        <f t="shared" si="141"/>
        <v>-5</v>
      </c>
      <c r="Y119" s="1">
        <f t="shared" si="141"/>
        <v>-6</v>
      </c>
      <c r="Z119" s="1">
        <f t="shared" si="141"/>
        <v>-3</v>
      </c>
      <c r="AA119" s="1">
        <f t="shared" si="141"/>
        <v>-4</v>
      </c>
      <c r="AB119" s="1">
        <f t="shared" si="141"/>
        <v>-3</v>
      </c>
    </row>
    <row r="120" spans="1:28" ht="18.600000000000001" thickBot="1" x14ac:dyDescent="0.4">
      <c r="A120" s="91"/>
      <c r="B120" s="84"/>
      <c r="C120" s="5" t="s">
        <v>6</v>
      </c>
      <c r="D120" s="5">
        <v>19</v>
      </c>
      <c r="E120" s="5" t="s">
        <v>11</v>
      </c>
      <c r="F120" s="5" t="s">
        <v>62</v>
      </c>
      <c r="G120" s="5" t="s">
        <v>24</v>
      </c>
      <c r="H120" s="5" t="str">
        <f>CONCATENATE(HEX2BIN(D120,8),HEX2BIN(E120,8),HEX2BIN(F120,8),HEX2BIN(G120,8))</f>
        <v>00011001101110001111001110110101</v>
      </c>
      <c r="I120" s="5">
        <f t="shared" si="79"/>
        <v>18</v>
      </c>
      <c r="J120" s="78"/>
      <c r="K120" s="80"/>
      <c r="L120" s="14" t="str">
        <f t="shared" si="89"/>
        <v>01100100110010010010110110010000</v>
      </c>
      <c r="M120" s="14" t="str">
        <f t="shared" ref="M120" si="142">CONCATENATE(MID(M119,6,8),MID(M119,30,3),MID(M119,1,5),MID(M119,22,8),MID(M119,14,8))</f>
        <v>00011001101110001111001110110101</v>
      </c>
      <c r="N120" s="14" t="str">
        <f>MID($L120,6,3)</f>
        <v>100</v>
      </c>
      <c r="O120" s="14" t="str">
        <f>MID($L120,9,3)</f>
        <v>110</v>
      </c>
      <c r="P120" s="14" t="str">
        <f>MID($L120,12,5)</f>
        <v>01001</v>
      </c>
      <c r="Q120" s="14" t="str">
        <f>MID($L120,7,5)</f>
        <v>00110</v>
      </c>
      <c r="R120" s="14" t="str">
        <f>MID($L120,22,3)</f>
        <v>101</v>
      </c>
      <c r="S120" s="14" t="str">
        <f>MID($L120,25,3)</f>
        <v>100</v>
      </c>
      <c r="T120" s="14" t="str">
        <f>MID($L120,28,5)</f>
        <v>10000</v>
      </c>
    </row>
    <row r="121" spans="1:28" x14ac:dyDescent="0.35">
      <c r="A121" s="91"/>
      <c r="B121" s="75">
        <f>B119+1</f>
        <v>60</v>
      </c>
      <c r="C121" s="4" t="s">
        <v>0</v>
      </c>
      <c r="D121" s="4" t="s">
        <v>64</v>
      </c>
      <c r="E121" s="4">
        <v>62</v>
      </c>
      <c r="F121" s="4" t="s">
        <v>143</v>
      </c>
      <c r="G121" s="4">
        <v>88</v>
      </c>
      <c r="H121" s="4" t="str">
        <f t="shared" si="78"/>
        <v>00011100011000101011011110001000</v>
      </c>
      <c r="I121" s="4">
        <f t="shared" si="79"/>
        <v>14</v>
      </c>
      <c r="J121" s="77" t="s">
        <v>147</v>
      </c>
      <c r="K121" s="79" t="str">
        <f>HEX2BIN(J121,8)</f>
        <v>10011101</v>
      </c>
      <c r="L121" s="43" t="str">
        <f t="shared" ref="L121" si="143">CONCATENATE(HEX2BIN(G121,8),HEX2BIN(F121,8),HEX2BIN(E121,8),HEX2BIN(D121,8))</f>
        <v>10001000101101110110001000011100</v>
      </c>
      <c r="M121" s="1" t="str">
        <f t="shared" si="88"/>
        <v>00100110111100110011101110010000</v>
      </c>
      <c r="N121" s="14">
        <f t="shared" si="105"/>
        <v>252</v>
      </c>
      <c r="O121" s="14">
        <f t="shared" si="84"/>
        <v>37</v>
      </c>
      <c r="P121" s="14">
        <f t="shared" si="85"/>
        <v>1002</v>
      </c>
      <c r="Q121" s="14"/>
      <c r="R121" s="14"/>
      <c r="S121" s="14"/>
      <c r="T121" s="14"/>
    </row>
    <row r="122" spans="1:28" ht="18.600000000000001" thickBot="1" x14ac:dyDescent="0.4">
      <c r="A122" s="91"/>
      <c r="B122" s="76"/>
      <c r="C122" s="5" t="s">
        <v>6</v>
      </c>
      <c r="D122" s="5" t="s">
        <v>106</v>
      </c>
      <c r="E122" s="5">
        <v>4</v>
      </c>
      <c r="F122" s="5">
        <v>72</v>
      </c>
      <c r="G122" s="5">
        <v>67</v>
      </c>
      <c r="H122" s="5" t="str">
        <f t="shared" si="78"/>
        <v>11011110000001000111001001100111</v>
      </c>
      <c r="I122" s="5">
        <f t="shared" si="79"/>
        <v>16</v>
      </c>
      <c r="J122" s="78"/>
      <c r="K122" s="80"/>
      <c r="L122" s="14" t="str">
        <f t="shared" si="89"/>
        <v>10011110001110111101100101110100</v>
      </c>
      <c r="M122" s="14" t="str">
        <f t="shared" ref="M122" si="144">CONCATENATE(MID(M121,6,8),MID(M121,30,3),MID(M121,1,5),MID(M121,22,8),MID(M121,14,8))</f>
        <v>11011110000001000111001001100111</v>
      </c>
      <c r="N122" s="14">
        <f t="shared" si="107"/>
        <v>158</v>
      </c>
      <c r="O122" s="14">
        <f t="shared" si="84"/>
        <v>194</v>
      </c>
      <c r="P122" s="14">
        <f t="shared" si="85"/>
        <v>1003</v>
      </c>
      <c r="Q122" s="14"/>
      <c r="R122" s="14"/>
      <c r="S122" s="14"/>
      <c r="T122" s="14"/>
    </row>
    <row r="123" spans="1:28" x14ac:dyDescent="0.35">
      <c r="A123" s="91"/>
      <c r="B123" s="75">
        <f>B121+1</f>
        <v>61</v>
      </c>
      <c r="C123" s="4" t="s">
        <v>0</v>
      </c>
      <c r="D123" s="4" t="s">
        <v>75</v>
      </c>
      <c r="E123" s="4">
        <v>86</v>
      </c>
      <c r="F123" s="4">
        <v>76</v>
      </c>
      <c r="G123" s="4" t="s">
        <v>90</v>
      </c>
      <c r="H123" s="4" t="str">
        <f t="shared" si="78"/>
        <v>11010011100001100111011000111011</v>
      </c>
      <c r="I123" s="4">
        <f t="shared" si="79"/>
        <v>18</v>
      </c>
      <c r="J123" s="77">
        <v>63</v>
      </c>
      <c r="K123" s="79" t="str">
        <f>HEX2BIN(J123,8)</f>
        <v>01100011</v>
      </c>
      <c r="L123" s="43" t="str">
        <f t="shared" ref="L123" si="145">CONCATENATE(HEX2BIN(G123,8),HEX2BIN(F123,8),HEX2BIN(E123,8),HEX2BIN(D123,8))</f>
        <v>00111011011101101000011011010011</v>
      </c>
      <c r="M123" s="1" t="str">
        <f t="shared" si="88"/>
        <v>10011111001111011011000101011111</v>
      </c>
      <c r="N123" s="14">
        <f t="shared" si="105"/>
        <v>199</v>
      </c>
      <c r="O123" s="14">
        <f t="shared" si="84"/>
        <v>95</v>
      </c>
      <c r="P123" s="14">
        <f t="shared" si="85"/>
        <v>1004</v>
      </c>
      <c r="Q123" s="14"/>
      <c r="R123" s="14"/>
      <c r="S123" s="14"/>
      <c r="T123" s="14"/>
    </row>
    <row r="124" spans="1:28" ht="18.600000000000001" thickBot="1" x14ac:dyDescent="0.4">
      <c r="A124" s="91"/>
      <c r="B124" s="76"/>
      <c r="C124" s="5" t="s">
        <v>6</v>
      </c>
      <c r="D124" s="5" t="s">
        <v>83</v>
      </c>
      <c r="E124" s="5" t="s">
        <v>62</v>
      </c>
      <c r="F124" s="5" t="s">
        <v>18</v>
      </c>
      <c r="G124" s="5" t="s">
        <v>49</v>
      </c>
      <c r="H124" s="5" t="str">
        <f t="shared" si="78"/>
        <v>11100111111100110010101110110110</v>
      </c>
      <c r="I124" s="5">
        <f t="shared" si="79"/>
        <v>21</v>
      </c>
      <c r="J124" s="78"/>
      <c r="K124" s="80"/>
      <c r="L124" s="14" t="str">
        <f t="shared" si="89"/>
        <v>01100011110001110010101010001100</v>
      </c>
      <c r="M124" s="14" t="str">
        <f t="shared" ref="M124" si="146">CONCATENATE(MID(M123,6,8),MID(M123,30,3),MID(M123,1,5),MID(M123,22,8),MID(M123,14,8))</f>
        <v>11100111111100110010101110110110</v>
      </c>
      <c r="N124" s="14">
        <f t="shared" si="107"/>
        <v>99</v>
      </c>
      <c r="O124" s="14">
        <f t="shared" si="84"/>
        <v>252</v>
      </c>
      <c r="P124" s="14">
        <f t="shared" si="85"/>
        <v>1005</v>
      </c>
      <c r="Q124" s="14"/>
      <c r="R124" s="14"/>
      <c r="S124" s="14"/>
      <c r="T124" s="14"/>
    </row>
    <row r="125" spans="1:28" x14ac:dyDescent="0.35">
      <c r="A125" s="91"/>
      <c r="B125" s="83">
        <f>B123+1</f>
        <v>62</v>
      </c>
      <c r="C125" s="4" t="s">
        <v>0</v>
      </c>
      <c r="D125" s="4" t="s">
        <v>123</v>
      </c>
      <c r="E125" s="4">
        <v>91</v>
      </c>
      <c r="F125" s="4" t="s">
        <v>10</v>
      </c>
      <c r="G125" s="4" t="s">
        <v>142</v>
      </c>
      <c r="H125" s="4" t="str">
        <f t="shared" si="78"/>
        <v>11111011100100011001110000111110</v>
      </c>
      <c r="I125" s="4">
        <f t="shared" si="79"/>
        <v>19</v>
      </c>
      <c r="J125" s="77">
        <v>64</v>
      </c>
      <c r="K125" s="79" t="str">
        <f>HEX2BIN(J125,8)</f>
        <v>01100100</v>
      </c>
      <c r="L125" s="43" t="str">
        <f t="shared" ref="L125" si="147">CONCATENATE(HEX2BIN(G125,8),HEX2BIN(F125,8),HEX2BIN(E125,8),HEX2BIN(D125,8))</f>
        <v>00111110100111001001000111111011</v>
      </c>
      <c r="M125" s="1" t="str">
        <f t="shared" si="88"/>
        <v>10100011011001011011111110001011</v>
      </c>
      <c r="N125" s="14">
        <f t="shared" si="105"/>
        <v>206</v>
      </c>
      <c r="O125" s="14">
        <f t="shared" si="84"/>
        <v>153</v>
      </c>
      <c r="P125" s="14">
        <f t="shared" si="85"/>
        <v>1006</v>
      </c>
      <c r="Q125" s="14"/>
      <c r="R125" s="14"/>
      <c r="S125" s="14"/>
      <c r="T125" s="14"/>
    </row>
    <row r="126" spans="1:28" ht="18.600000000000001" thickBot="1" x14ac:dyDescent="0.4">
      <c r="A126" s="91"/>
      <c r="B126" s="84"/>
      <c r="C126" s="5" t="s">
        <v>6</v>
      </c>
      <c r="D126" s="5" t="s">
        <v>17</v>
      </c>
      <c r="E126" s="5">
        <v>74</v>
      </c>
      <c r="F126" s="5" t="s">
        <v>148</v>
      </c>
      <c r="G126" s="5" t="s">
        <v>143</v>
      </c>
      <c r="H126" s="5" t="str">
        <f t="shared" si="78"/>
        <v>01101100011101001111000110110111</v>
      </c>
      <c r="I126" s="5">
        <f t="shared" si="79"/>
        <v>19</v>
      </c>
      <c r="J126" s="78"/>
      <c r="K126" s="80"/>
      <c r="L126" s="14" t="str">
        <f t="shared" si="89"/>
        <v>01100100110010010010110110010000</v>
      </c>
      <c r="M126" s="14" t="str">
        <f t="shared" ref="M126" si="148">CONCATENATE(MID(M125,6,8),MID(M125,30,3),MID(M125,1,5),MID(M125,22,8),MID(M125,14,8))</f>
        <v>01101100011101001111000110110111</v>
      </c>
      <c r="N126" s="14">
        <f t="shared" si="107"/>
        <v>100</v>
      </c>
      <c r="O126" s="14">
        <f t="shared" si="84"/>
        <v>54</v>
      </c>
      <c r="P126" s="14">
        <f t="shared" si="85"/>
        <v>1007</v>
      </c>
      <c r="Q126" s="14"/>
      <c r="R126" s="14"/>
      <c r="S126" s="14"/>
      <c r="T126" s="14"/>
    </row>
    <row r="127" spans="1:28" x14ac:dyDescent="0.35">
      <c r="A127" s="91"/>
      <c r="B127" s="75">
        <f>B125+1</f>
        <v>63</v>
      </c>
      <c r="C127" s="4" t="s">
        <v>0</v>
      </c>
      <c r="D127" s="4" t="s">
        <v>125</v>
      </c>
      <c r="E127" s="4" t="s">
        <v>96</v>
      </c>
      <c r="F127" s="4">
        <v>87</v>
      </c>
      <c r="G127" s="4" t="s">
        <v>132</v>
      </c>
      <c r="H127" s="4" t="str">
        <f t="shared" si="78"/>
        <v>10111111111100101000011110001100</v>
      </c>
      <c r="I127" s="4">
        <f t="shared" si="79"/>
        <v>19</v>
      </c>
      <c r="J127" s="77" t="s">
        <v>38</v>
      </c>
      <c r="K127" s="79" t="str">
        <f>HEX2BIN(J127,8)</f>
        <v>10100100</v>
      </c>
      <c r="L127" s="43" t="str">
        <f t="shared" ref="L127" si="149">CONCATENATE(HEX2BIN(G127,8),HEX2BIN(F127,8),HEX2BIN(E127,8),HEX2BIN(D127,8))</f>
        <v>10001100100001111111001010111111</v>
      </c>
      <c r="M127" s="1" t="str">
        <f t="shared" si="88"/>
        <v>00110001110100011110000101001111</v>
      </c>
      <c r="N127" s="14">
        <f t="shared" si="105"/>
        <v>28</v>
      </c>
      <c r="O127" s="14">
        <f t="shared" si="84"/>
        <v>211</v>
      </c>
      <c r="P127" s="14">
        <f t="shared" si="85"/>
        <v>1008</v>
      </c>
      <c r="Q127" s="14"/>
      <c r="R127" s="14"/>
      <c r="S127" s="14"/>
      <c r="T127" s="14"/>
    </row>
    <row r="128" spans="1:28" ht="18.600000000000001" thickBot="1" x14ac:dyDescent="0.4">
      <c r="A128" s="91"/>
      <c r="B128" s="76"/>
      <c r="C128" s="5" t="s">
        <v>6</v>
      </c>
      <c r="D128" s="5" t="s">
        <v>115</v>
      </c>
      <c r="E128" s="5" t="s">
        <v>77</v>
      </c>
      <c r="F128" s="5">
        <v>29</v>
      </c>
      <c r="G128" s="5" t="s">
        <v>84</v>
      </c>
      <c r="H128" s="5" t="str">
        <f t="shared" si="78"/>
        <v>00111010111001100010100100111100</v>
      </c>
      <c r="I128" s="5">
        <f t="shared" si="79"/>
        <v>16</v>
      </c>
      <c r="J128" s="78"/>
      <c r="K128" s="80"/>
      <c r="L128" s="14" t="str">
        <f t="shared" si="89"/>
        <v>10100101010010011110111010010000</v>
      </c>
      <c r="M128" s="14" t="str">
        <f t="shared" ref="M128" si="150">CONCATENATE(MID(M127,6,8),MID(M127,30,3),MID(M127,1,5),MID(M127,22,8),MID(M127,14,8))</f>
        <v>00111010111001100010100100111100</v>
      </c>
      <c r="N128" s="14">
        <f t="shared" si="107"/>
        <v>165</v>
      </c>
      <c r="O128" s="14">
        <f t="shared" si="84"/>
        <v>112</v>
      </c>
      <c r="P128" s="14">
        <f t="shared" si="85"/>
        <v>1009</v>
      </c>
      <c r="Q128" s="14"/>
      <c r="R128" s="14"/>
      <c r="S128" s="14"/>
      <c r="T128" s="14"/>
    </row>
    <row r="129" spans="1:20" x14ac:dyDescent="0.35">
      <c r="A129" s="91"/>
      <c r="B129" s="75">
        <f>B127+1</f>
        <v>64</v>
      </c>
      <c r="C129" s="4" t="s">
        <v>0</v>
      </c>
      <c r="D129" s="4" t="s">
        <v>117</v>
      </c>
      <c r="E129" s="4">
        <v>77</v>
      </c>
      <c r="F129" s="4" t="s">
        <v>24</v>
      </c>
      <c r="G129" s="4">
        <v>2</v>
      </c>
      <c r="H129" s="4" t="str">
        <f t="shared" si="78"/>
        <v>11000001011101111011010100000010</v>
      </c>
      <c r="I129" s="4">
        <f t="shared" si="79"/>
        <v>15</v>
      </c>
      <c r="J129" s="77">
        <v>47</v>
      </c>
      <c r="K129" s="79" t="str">
        <f>HEX2BIN(J129,8)</f>
        <v>01000111</v>
      </c>
      <c r="L129" s="43" t="str">
        <f t="shared" ref="L129" si="151">CONCATENATE(HEX2BIN(G129,8),HEX2BIN(F129,8),HEX2BIN(E129,8),HEX2BIN(D129,8))</f>
        <v>00000010101101010111011111000001</v>
      </c>
      <c r="M129" s="1" t="str">
        <f t="shared" si="88"/>
        <v>01001010010001000100110111011101</v>
      </c>
      <c r="N129" s="14">
        <f t="shared" si="105"/>
        <v>30</v>
      </c>
      <c r="O129" s="14">
        <f t="shared" si="84"/>
        <v>13</v>
      </c>
      <c r="P129" s="14">
        <f t="shared" si="85"/>
        <v>1010</v>
      </c>
      <c r="Q129" s="14"/>
      <c r="R129" s="14"/>
      <c r="S129" s="14"/>
      <c r="T129" s="14"/>
    </row>
    <row r="130" spans="1:20" ht="18.600000000000001" thickBot="1" x14ac:dyDescent="0.4">
      <c r="A130" s="91"/>
      <c r="B130" s="76"/>
      <c r="C130" s="5" t="s">
        <v>6</v>
      </c>
      <c r="D130" s="5">
        <v>48</v>
      </c>
      <c r="E130" s="5" t="s">
        <v>149</v>
      </c>
      <c r="F130" s="5" t="s">
        <v>146</v>
      </c>
      <c r="G130" s="5">
        <v>89</v>
      </c>
      <c r="H130" s="5" t="str">
        <f t="shared" si="78"/>
        <v>01001000101010011011101110001001</v>
      </c>
      <c r="I130" s="5">
        <f t="shared" si="79"/>
        <v>15</v>
      </c>
      <c r="J130" s="78"/>
      <c r="K130" s="80"/>
      <c r="L130" s="14" t="str">
        <f t="shared" si="89"/>
        <v>01000111100011101101011000011100</v>
      </c>
      <c r="M130" s="14" t="str">
        <f t="shared" ref="M130" si="152">CONCATENATE(MID(M129,6,8),MID(M129,30,3),MID(M129,1,5),MID(M129,22,8),MID(M129,14,8))</f>
        <v>01001000101010011011101110001001</v>
      </c>
      <c r="N130" s="14">
        <f t="shared" si="107"/>
        <v>71</v>
      </c>
      <c r="O130" s="14">
        <f t="shared" si="84"/>
        <v>170</v>
      </c>
      <c r="P130" s="14">
        <f t="shared" si="85"/>
        <v>1011</v>
      </c>
      <c r="Q130" s="14"/>
      <c r="R130" s="14"/>
      <c r="S130" s="14"/>
      <c r="T130" s="14"/>
    </row>
    <row r="131" spans="1:20" x14ac:dyDescent="0.35">
      <c r="A131" s="91">
        <f>A115+1</f>
        <v>9</v>
      </c>
      <c r="B131" s="75">
        <f>B129+1</f>
        <v>65</v>
      </c>
      <c r="C131" s="4" t="s">
        <v>0</v>
      </c>
      <c r="D131" s="4" t="s">
        <v>74</v>
      </c>
      <c r="E131" s="4" t="s">
        <v>77</v>
      </c>
      <c r="F131" s="4">
        <v>24</v>
      </c>
      <c r="G131" s="4">
        <v>66</v>
      </c>
      <c r="H131" s="4" t="str">
        <f t="shared" ref="H131:H194" si="153">CONCATENATE(HEX2BIN(D131,8),HEX2BIN(E131,8),HEX2BIN(F131,8),HEX2BIN(G131,8))</f>
        <v>00101111111001100010010001100110</v>
      </c>
      <c r="I131" s="4">
        <f t="shared" ref="I131:I194" si="154">MID(H131,1,1)+MID(H131,2,1)+MID(H131,3,1)+MID(H131,4,1)+MID(H131,5,1)+MID(H131,6,1)+MID(H131,7,1)+MID(H131,8,1)+MID(H131,9,1)+MID(H131,10,1)+MID(H131,11,1)+MID(H131,12,1)+MID(H131,13,1)+MID(H131,14,1)+MID(H131,15,1)+MID(H131,16,1)+MID(H131,17,1)+MID(H131,18,1)+MID(H131,19,1)+MID(H131,20,1)+MID(H131,21,1)+MID(H131,22,1)+MID(H131,23,1)+MID(H131,24,1)+MID(H131,25,1)+MID(H131,26,1)+MID(H131,27,1)+MID(H131,28,1)+MID(H131,29,1)+MID(H131,30,1)+MID(H131,31,1)+MID(H131,32,1)</f>
        <v>16</v>
      </c>
      <c r="J131" s="77" t="s">
        <v>72</v>
      </c>
      <c r="K131" s="79" t="str">
        <f>HEX2BIN(J131,8)</f>
        <v>01011010</v>
      </c>
      <c r="L131" s="43" t="str">
        <f t="shared" ref="L131" si="155">CONCATENATE(HEX2BIN(G131,8),HEX2BIN(F131,8),HEX2BIN(E131,8),HEX2BIN(D131,8))</f>
        <v>01100110001001001110011000101111</v>
      </c>
      <c r="M131" s="1" t="str">
        <f t="shared" si="88"/>
        <v>11000000110110011111010110010111</v>
      </c>
      <c r="N131" s="14">
        <f t="shared" si="105"/>
        <v>206</v>
      </c>
      <c r="O131" s="14">
        <f t="shared" si="84"/>
        <v>71</v>
      </c>
      <c r="P131" s="14">
        <f t="shared" si="85"/>
        <v>1012</v>
      </c>
      <c r="Q131" s="14"/>
      <c r="R131" s="14"/>
      <c r="S131" s="14"/>
      <c r="T131" s="14"/>
    </row>
    <row r="132" spans="1:20" ht="18.600000000000001" thickBot="1" x14ac:dyDescent="0.4">
      <c r="A132" s="91"/>
      <c r="B132" s="76"/>
      <c r="C132" s="5" t="s">
        <v>6</v>
      </c>
      <c r="D132" s="5" t="s">
        <v>113</v>
      </c>
      <c r="E132" s="5" t="s">
        <v>66</v>
      </c>
      <c r="F132" s="5" t="s">
        <v>23</v>
      </c>
      <c r="G132" s="5" t="s">
        <v>142</v>
      </c>
      <c r="H132" s="5" t="str">
        <f t="shared" si="153"/>
        <v>00011011111110001011001000111110</v>
      </c>
      <c r="I132" s="5">
        <f t="shared" si="154"/>
        <v>18</v>
      </c>
      <c r="J132" s="78"/>
      <c r="K132" s="80"/>
      <c r="L132" s="14" t="str">
        <f t="shared" si="89"/>
        <v>01011010101101010000111101101000</v>
      </c>
      <c r="M132" s="14" t="str">
        <f t="shared" ref="M132" si="156">CONCATENATE(MID(M131,6,8),MID(M131,30,3),MID(M131,1,5),MID(M131,22,8),MID(M131,14,8))</f>
        <v>00011011111110001011001000111110</v>
      </c>
      <c r="N132" s="14">
        <f t="shared" si="107"/>
        <v>90</v>
      </c>
      <c r="O132" s="14">
        <f t="shared" ref="O132:O195" si="157">MOD(BIN2DEC(MID($L$3,9,8))+P132*HEX2DEC($J$3)*HEX2DEC($J$3)*HEX2DEC($J$3),256)</f>
        <v>228</v>
      </c>
      <c r="P132" s="14">
        <f t="shared" si="85"/>
        <v>1013</v>
      </c>
      <c r="Q132" s="14"/>
      <c r="R132" s="14"/>
      <c r="S132" s="14"/>
      <c r="T132" s="14"/>
    </row>
    <row r="133" spans="1:20" x14ac:dyDescent="0.35">
      <c r="A133" s="91"/>
      <c r="B133" s="75">
        <f>B131+1</f>
        <v>66</v>
      </c>
      <c r="C133" s="4" t="s">
        <v>0</v>
      </c>
      <c r="D133" s="4">
        <v>84</v>
      </c>
      <c r="E133" s="4">
        <v>8</v>
      </c>
      <c r="F133" s="4">
        <v>66</v>
      </c>
      <c r="G133" s="4">
        <v>19</v>
      </c>
      <c r="H133" s="4" t="str">
        <f t="shared" si="153"/>
        <v>10000100000010000110011000011001</v>
      </c>
      <c r="I133" s="4">
        <f t="shared" si="154"/>
        <v>10</v>
      </c>
      <c r="J133" s="77">
        <v>82</v>
      </c>
      <c r="K133" s="79" t="str">
        <f>HEX2BIN(J133,8)</f>
        <v>10000010</v>
      </c>
      <c r="L133" s="43" t="str">
        <f t="shared" ref="L133" si="158">CONCATENATE(HEX2BIN(G133,8),HEX2BIN(F133,8),HEX2BIN(E133,8),HEX2BIN(D133,8))</f>
        <v>00011001011001100000100010000100</v>
      </c>
      <c r="M133" s="1" t="str">
        <f t="shared" si="88"/>
        <v>10011100011010111001000010001100</v>
      </c>
      <c r="N133" s="14">
        <f t="shared" si="105"/>
        <v>33</v>
      </c>
      <c r="O133" s="14">
        <f t="shared" si="157"/>
        <v>129</v>
      </c>
      <c r="P133" s="14">
        <f t="shared" ref="P133:P171" si="159">P132+1</f>
        <v>1014</v>
      </c>
      <c r="Q133" s="14"/>
      <c r="R133" s="14"/>
      <c r="S133" s="14"/>
      <c r="T133" s="14"/>
    </row>
    <row r="134" spans="1:20" ht="18.600000000000001" thickBot="1" x14ac:dyDescent="0.4">
      <c r="A134" s="91"/>
      <c r="B134" s="76"/>
      <c r="C134" s="5" t="s">
        <v>6</v>
      </c>
      <c r="D134" s="5" t="s">
        <v>15</v>
      </c>
      <c r="E134" s="5">
        <v>93</v>
      </c>
      <c r="F134" s="5">
        <v>11</v>
      </c>
      <c r="G134" s="5">
        <v>72</v>
      </c>
      <c r="H134" s="5" t="str">
        <f t="shared" si="153"/>
        <v>10001101100100110001000101110010</v>
      </c>
      <c r="I134" s="5">
        <f t="shared" si="154"/>
        <v>14</v>
      </c>
      <c r="J134" s="78"/>
      <c r="K134" s="80"/>
      <c r="L134" s="14" t="str">
        <f t="shared" si="89"/>
        <v>10000011000001011000100000001000</v>
      </c>
      <c r="M134" s="14" t="str">
        <f t="shared" ref="M134" si="160">CONCATENATE(MID(M133,6,8),MID(M133,30,3),MID(M133,1,5),MID(M133,22,8),MID(M133,14,8))</f>
        <v>10001101100100110001000101110010</v>
      </c>
      <c r="N134" s="14">
        <f t="shared" si="107"/>
        <v>131</v>
      </c>
      <c r="O134" s="14">
        <f t="shared" si="157"/>
        <v>30</v>
      </c>
      <c r="P134" s="14">
        <f t="shared" si="159"/>
        <v>1015</v>
      </c>
      <c r="Q134" s="14"/>
      <c r="R134" s="14"/>
      <c r="S134" s="14"/>
      <c r="T134" s="14"/>
    </row>
    <row r="135" spans="1:20" x14ac:dyDescent="0.35">
      <c r="A135" s="91"/>
      <c r="B135" s="75">
        <f>B133+1</f>
        <v>67</v>
      </c>
      <c r="C135" s="4" t="s">
        <v>0</v>
      </c>
      <c r="D135" s="4" t="s">
        <v>99</v>
      </c>
      <c r="E135" s="4">
        <v>75</v>
      </c>
      <c r="F135" s="4">
        <v>35</v>
      </c>
      <c r="G135" s="4">
        <v>14</v>
      </c>
      <c r="H135" s="4" t="str">
        <f t="shared" si="153"/>
        <v>10100010011101010011010100010100</v>
      </c>
      <c r="I135" s="4">
        <f t="shared" si="154"/>
        <v>14</v>
      </c>
      <c r="J135" s="77">
        <v>46</v>
      </c>
      <c r="K135" s="79" t="str">
        <f>HEX2BIN(J135,8)</f>
        <v>01000110</v>
      </c>
      <c r="L135" s="43" t="str">
        <f t="shared" ref="L135" si="161">CONCATENATE(HEX2BIN(G135,8),HEX2BIN(F135,8),HEX2BIN(E135,8),HEX2BIN(D135,8))</f>
        <v>00010100001101010111010110100010</v>
      </c>
      <c r="M135" s="1" t="str">
        <f t="shared" ref="M135:M197" si="162">CONCATENATE(DEC2BIN(MOD(BIN2DEC(MID(L135,1,8))+BIN2DEC(MID(L136,1,8))+INT((BIN2DEC(MID(L135,9,8))+BIN2DEC(MID(L136,9,8))+INT((BIN2DEC(MID(L135,17,8))+BIN2DEC(MID(L136,17,8))+INT((BIN2DEC(MID(L135,25,8))+BIN2DEC(MID(L136,25,8)))/256))/256))/256),256),8),DEC2BIN(MOD(BIN2DEC(MID(L135,9,8))+BIN2DEC(MID(L136,9,8))+INT((BIN2DEC(MID(L135,17,8))+BIN2DEC(MID(L136,17,8))+INT((BIN2DEC(MID(L135,25,8))+BIN2DEC(MID(L136,25,8)))/256))/256),256),8),DEC2BIN(MOD(BIN2DEC(MID(L135,17,8))+BIN2DEC(MID(L136,17,8))+INT((BIN2DEC(MID(L135,25,8))+BIN2DEC(MID(L136,25,8)))/256),256),8),DEC2BIN(MOD(BIN2DEC(MID(L135,25,8))+BIN2DEC(MID(L136,25,8)),256),8))</f>
        <v>01011010110000100100100010111010</v>
      </c>
      <c r="N135" s="14">
        <f t="shared" si="105"/>
        <v>44</v>
      </c>
      <c r="O135" s="14">
        <f t="shared" si="157"/>
        <v>187</v>
      </c>
      <c r="P135" s="14">
        <f t="shared" si="159"/>
        <v>1016</v>
      </c>
      <c r="Q135" s="14"/>
      <c r="R135" s="14"/>
      <c r="S135" s="14"/>
      <c r="T135" s="14"/>
    </row>
    <row r="136" spans="1:20" ht="18.600000000000001" thickBot="1" x14ac:dyDescent="0.4">
      <c r="A136" s="91"/>
      <c r="B136" s="76"/>
      <c r="C136" s="5" t="s">
        <v>6</v>
      </c>
      <c r="D136" s="5">
        <v>58</v>
      </c>
      <c r="E136" s="5" t="s">
        <v>69</v>
      </c>
      <c r="F136" s="5">
        <v>17</v>
      </c>
      <c r="G136" s="5">
        <v>49</v>
      </c>
      <c r="H136" s="5" t="str">
        <f t="shared" si="153"/>
        <v>01011000010010110001011101001001</v>
      </c>
      <c r="I136" s="5">
        <f t="shared" si="154"/>
        <v>14</v>
      </c>
      <c r="J136" s="78"/>
      <c r="K136" s="80"/>
      <c r="L136" s="14" t="str">
        <f t="shared" ref="L136:L198" si="163">CONCATENATE(DEC2BIN(MOD(BIN2DEC(K135)+INT((2*BIN2DEC(K135)+INT((BIN2DEC(K135)+2*BIN2DEC(K135)+BIN2DEC(MID(K135,1,2)))/256))/256),256),8),DEC2BIN(MOD(2*BIN2DEC(K135)+INT((BIN2DEC(K135)+2*BIN2DEC(K135)+BIN2DEC(MID(K135,1,2)))/256),256),8),DEC2BIN(MOD(BIN2DEC(K135)+2*BIN2DEC(K135)+BIN2DEC(MID(K135,1,2)),256),8),MID(K135,3,6),"00")</f>
        <v>01000110100011001101001100011000</v>
      </c>
      <c r="M136" s="14" t="str">
        <f t="shared" ref="M136" si="164">CONCATENATE(MID(M135,6,8),MID(M135,30,3),MID(M135,1,5),MID(M135,22,8),MID(M135,14,8))</f>
        <v>01011000010010110001011101001001</v>
      </c>
      <c r="N136" s="14">
        <f t="shared" si="107"/>
        <v>70</v>
      </c>
      <c r="O136" s="14">
        <f t="shared" si="157"/>
        <v>88</v>
      </c>
      <c r="P136" s="14">
        <f t="shared" si="159"/>
        <v>1017</v>
      </c>
      <c r="Q136" s="14"/>
      <c r="R136" s="14"/>
      <c r="S136" s="14"/>
      <c r="T136" s="14"/>
    </row>
    <row r="137" spans="1:20" x14ac:dyDescent="0.35">
      <c r="A137" s="91"/>
      <c r="B137" s="75">
        <f>B135+1</f>
        <v>68</v>
      </c>
      <c r="C137" s="4" t="s">
        <v>0</v>
      </c>
      <c r="D137" s="4" t="s">
        <v>101</v>
      </c>
      <c r="E137" s="4">
        <v>43</v>
      </c>
      <c r="F137" s="4">
        <v>71</v>
      </c>
      <c r="G137" s="4">
        <v>50</v>
      </c>
      <c r="H137" s="4" t="str">
        <f t="shared" si="153"/>
        <v>11011100010000110111000101010000</v>
      </c>
      <c r="I137" s="4">
        <f t="shared" si="154"/>
        <v>14</v>
      </c>
      <c r="J137" s="77">
        <v>29</v>
      </c>
      <c r="K137" s="79" t="str">
        <f>HEX2BIN(J137,8)</f>
        <v>00101001</v>
      </c>
      <c r="L137" s="43" t="str">
        <f t="shared" ref="L137" si="165">CONCATENATE(HEX2BIN(G137,8),HEX2BIN(F137,8),HEX2BIN(E137,8),HEX2BIN(D137,8))</f>
        <v>01010000011100010100001111011100</v>
      </c>
      <c r="M137" s="1" t="str">
        <f t="shared" si="162"/>
        <v>01111001110000111011111110000000</v>
      </c>
      <c r="N137" s="14">
        <f t="shared" si="105"/>
        <v>244</v>
      </c>
      <c r="O137" s="14">
        <f t="shared" si="157"/>
        <v>245</v>
      </c>
      <c r="P137" s="14">
        <f t="shared" si="159"/>
        <v>1018</v>
      </c>
      <c r="Q137" s="14"/>
      <c r="R137" s="14"/>
      <c r="S137" s="14"/>
      <c r="T137" s="14"/>
    </row>
    <row r="138" spans="1:20" ht="18.600000000000001" thickBot="1" x14ac:dyDescent="0.4">
      <c r="A138" s="91"/>
      <c r="B138" s="76"/>
      <c r="C138" s="5" t="s">
        <v>6</v>
      </c>
      <c r="D138" s="5">
        <v>38</v>
      </c>
      <c r="E138" s="5" t="s">
        <v>33</v>
      </c>
      <c r="F138" s="5" t="s">
        <v>16</v>
      </c>
      <c r="G138" s="5">
        <v>77</v>
      </c>
      <c r="H138" s="5" t="str">
        <f t="shared" si="153"/>
        <v>00111000000011111111000001110111</v>
      </c>
      <c r="I138" s="5">
        <f t="shared" si="154"/>
        <v>17</v>
      </c>
      <c r="J138" s="78"/>
      <c r="K138" s="80"/>
      <c r="L138" s="14" t="str">
        <f t="shared" si="163"/>
        <v>00101001010100100111101110100100</v>
      </c>
      <c r="M138" s="14" t="str">
        <f t="shared" ref="M138" si="166">CONCATENATE(MID(M137,6,8),MID(M137,30,3),MID(M137,1,5),MID(M137,22,8),MID(M137,14,8))</f>
        <v>00111000000011111111000001110111</v>
      </c>
      <c r="N138" s="14">
        <f t="shared" si="107"/>
        <v>41</v>
      </c>
      <c r="O138" s="14">
        <f t="shared" si="157"/>
        <v>146</v>
      </c>
      <c r="P138" s="14">
        <f t="shared" si="159"/>
        <v>1019</v>
      </c>
      <c r="Q138" s="14"/>
      <c r="R138" s="14"/>
      <c r="S138" s="14"/>
      <c r="T138" s="14"/>
    </row>
    <row r="139" spans="1:20" x14ac:dyDescent="0.35">
      <c r="A139" s="91"/>
      <c r="B139" s="75">
        <f>B137+1</f>
        <v>69</v>
      </c>
      <c r="C139" s="4" t="s">
        <v>0</v>
      </c>
      <c r="D139" s="4" t="s">
        <v>137</v>
      </c>
      <c r="E139" s="4" t="s">
        <v>150</v>
      </c>
      <c r="F139" s="4" t="s">
        <v>48</v>
      </c>
      <c r="G139" s="4">
        <v>63</v>
      </c>
      <c r="H139" s="4" t="str">
        <f t="shared" si="153"/>
        <v>10011010011110101100010101100011</v>
      </c>
      <c r="I139" s="4">
        <f t="shared" si="154"/>
        <v>17</v>
      </c>
      <c r="J139" s="77" t="s">
        <v>83</v>
      </c>
      <c r="K139" s="79" t="str">
        <f>HEX2BIN(J139,8)</f>
        <v>11100111</v>
      </c>
      <c r="L139" s="43" t="str">
        <f t="shared" ref="L139" si="167">CONCATENATE(HEX2BIN(G139,8),HEX2BIN(F139,8),HEX2BIN(E139,8),HEX2BIN(D139,8))</f>
        <v>01100011110001010111101010011010</v>
      </c>
      <c r="M139" s="1" t="str">
        <f t="shared" si="162"/>
        <v>01001100100101100011001100110110</v>
      </c>
      <c r="N139" s="14">
        <f t="shared" si="105"/>
        <v>255</v>
      </c>
      <c r="O139" s="14">
        <f t="shared" si="157"/>
        <v>47</v>
      </c>
      <c r="P139" s="14">
        <f t="shared" si="159"/>
        <v>1020</v>
      </c>
      <c r="Q139" s="14"/>
      <c r="R139" s="14"/>
      <c r="S139" s="14"/>
      <c r="T139" s="14"/>
    </row>
    <row r="140" spans="1:20" ht="18.600000000000001" thickBot="1" x14ac:dyDescent="0.4">
      <c r="A140" s="91"/>
      <c r="B140" s="76"/>
      <c r="C140" s="5" t="s">
        <v>6</v>
      </c>
      <c r="D140" s="5">
        <v>92</v>
      </c>
      <c r="E140" s="5" t="s">
        <v>151</v>
      </c>
      <c r="F140" s="5">
        <v>66</v>
      </c>
      <c r="G140" s="5" t="s">
        <v>126</v>
      </c>
      <c r="H140" s="5" t="str">
        <f t="shared" si="153"/>
        <v>10010010110010010110011011000110</v>
      </c>
      <c r="I140" s="5">
        <f t="shared" si="154"/>
        <v>15</v>
      </c>
      <c r="J140" s="78"/>
      <c r="K140" s="80"/>
      <c r="L140" s="14" t="str">
        <f t="shared" si="163"/>
        <v>11101000110100001011100010011100</v>
      </c>
      <c r="M140" s="14" t="str">
        <f t="shared" ref="M140" si="168">CONCATENATE(MID(M139,6,8),MID(M139,30,3),MID(M139,1,5),MID(M139,22,8),MID(M139,14,8))</f>
        <v>10010010110010010110011011000110</v>
      </c>
      <c r="N140" s="14">
        <f t="shared" si="107"/>
        <v>232</v>
      </c>
      <c r="O140" s="14">
        <f t="shared" si="157"/>
        <v>204</v>
      </c>
      <c r="P140" s="14">
        <f t="shared" si="159"/>
        <v>1021</v>
      </c>
      <c r="Q140" s="14"/>
      <c r="R140" s="14"/>
      <c r="S140" s="14"/>
      <c r="T140" s="14"/>
    </row>
    <row r="141" spans="1:20" x14ac:dyDescent="0.35">
      <c r="A141" s="91"/>
      <c r="B141" s="75">
        <f>B139+1</f>
        <v>70</v>
      </c>
      <c r="C141" s="4" t="s">
        <v>0</v>
      </c>
      <c r="D141" s="4" t="s">
        <v>54</v>
      </c>
      <c r="E141" s="4" t="s">
        <v>55</v>
      </c>
      <c r="F141" s="4">
        <v>17</v>
      </c>
      <c r="G141" s="4">
        <v>96</v>
      </c>
      <c r="H141" s="4" t="str">
        <f t="shared" si="153"/>
        <v>01001110100010100001011110010110</v>
      </c>
      <c r="I141" s="4">
        <f t="shared" si="154"/>
        <v>15</v>
      </c>
      <c r="J141" s="77">
        <v>48</v>
      </c>
      <c r="K141" s="79" t="str">
        <f>HEX2BIN(J141,8)</f>
        <v>01001000</v>
      </c>
      <c r="L141" s="43" t="str">
        <f t="shared" ref="L141" si="169">CONCATENATE(HEX2BIN(G141,8),HEX2BIN(F141,8),HEX2BIN(E141,8),HEX2BIN(D141,8))</f>
        <v>10010110000101111000101001001110</v>
      </c>
      <c r="M141" s="1" t="str">
        <f t="shared" si="162"/>
        <v>11011110101010000110001101101110</v>
      </c>
      <c r="N141" s="14">
        <f t="shared" si="105"/>
        <v>182</v>
      </c>
      <c r="O141" s="14">
        <f t="shared" si="157"/>
        <v>105</v>
      </c>
      <c r="P141" s="14">
        <f t="shared" si="159"/>
        <v>1022</v>
      </c>
      <c r="Q141" s="14"/>
      <c r="R141" s="14"/>
      <c r="S141" s="14"/>
      <c r="T141" s="14"/>
    </row>
    <row r="142" spans="1:20" ht="18.600000000000001" thickBot="1" x14ac:dyDescent="0.4">
      <c r="A142" s="91"/>
      <c r="B142" s="76"/>
      <c r="C142" s="5" t="s">
        <v>6</v>
      </c>
      <c r="D142" s="5" t="s">
        <v>22</v>
      </c>
      <c r="E142" s="5" t="s">
        <v>19</v>
      </c>
      <c r="F142" s="5" t="s">
        <v>108</v>
      </c>
      <c r="G142" s="5" t="s">
        <v>118</v>
      </c>
      <c r="H142" s="5" t="str">
        <f t="shared" si="153"/>
        <v>11010101110110110110110100001100</v>
      </c>
      <c r="I142" s="5">
        <f t="shared" si="154"/>
        <v>18</v>
      </c>
      <c r="J142" s="78"/>
      <c r="K142" s="80"/>
      <c r="L142" s="14" t="str">
        <f t="shared" si="163"/>
        <v>01001000100100001101100100100000</v>
      </c>
      <c r="M142" s="14" t="str">
        <f t="shared" ref="M142" si="170">CONCATENATE(MID(M141,6,8),MID(M141,30,3),MID(M141,1,5),MID(M141,22,8),MID(M141,14,8))</f>
        <v>11010101110110110110110100001100</v>
      </c>
      <c r="N142" s="14">
        <f t="shared" si="107"/>
        <v>72</v>
      </c>
      <c r="O142" s="14">
        <f t="shared" si="157"/>
        <v>6</v>
      </c>
      <c r="P142" s="14">
        <f t="shared" si="159"/>
        <v>1023</v>
      </c>
      <c r="Q142" s="14"/>
      <c r="R142" s="14"/>
      <c r="S142" s="14"/>
      <c r="T142" s="14"/>
    </row>
    <row r="143" spans="1:20" x14ac:dyDescent="0.35">
      <c r="A143" s="91"/>
      <c r="B143" s="75">
        <f>B141+1</f>
        <v>71</v>
      </c>
      <c r="C143" s="4" t="s">
        <v>0</v>
      </c>
      <c r="D143" s="4" t="s">
        <v>136</v>
      </c>
      <c r="E143" s="4" t="s">
        <v>71</v>
      </c>
      <c r="F143" s="4" t="s">
        <v>44</v>
      </c>
      <c r="G143" s="4" t="s">
        <v>85</v>
      </c>
      <c r="H143" s="4" t="str">
        <f t="shared" si="153"/>
        <v>01001111101000011010100001101111</v>
      </c>
      <c r="I143" s="4">
        <f t="shared" si="154"/>
        <v>17</v>
      </c>
      <c r="J143" s="77" t="s">
        <v>121</v>
      </c>
      <c r="K143" s="79" t="str">
        <f>HEX2BIN(J143,8)</f>
        <v>11100100</v>
      </c>
      <c r="L143" s="43" t="str">
        <f t="shared" ref="L143" si="171">CONCATENATE(HEX2BIN(G143,8),HEX2BIN(F143,8),HEX2BIN(E143,8),HEX2BIN(D143,8))</f>
        <v>01101111101010001010000101001111</v>
      </c>
      <c r="M143" s="1" t="str">
        <f t="shared" si="162"/>
        <v>01010101011100110101000011011111</v>
      </c>
      <c r="N143" s="14">
        <f t="shared" si="105"/>
        <v>255</v>
      </c>
      <c r="O143" s="14">
        <f t="shared" si="157"/>
        <v>163</v>
      </c>
      <c r="P143" s="14">
        <f t="shared" si="159"/>
        <v>1024</v>
      </c>
      <c r="Q143" s="14"/>
      <c r="R143" s="14"/>
      <c r="S143" s="14"/>
      <c r="T143" s="14"/>
    </row>
    <row r="144" spans="1:20" ht="18.600000000000001" thickBot="1" x14ac:dyDescent="0.4">
      <c r="A144" s="91"/>
      <c r="B144" s="76"/>
      <c r="C144" s="5" t="s">
        <v>6</v>
      </c>
      <c r="D144" s="5" t="s">
        <v>116</v>
      </c>
      <c r="E144" s="5" t="s">
        <v>34</v>
      </c>
      <c r="F144" s="5" t="s">
        <v>113</v>
      </c>
      <c r="G144" s="5" t="s">
        <v>59</v>
      </c>
      <c r="H144" s="5" t="str">
        <f t="shared" si="153"/>
        <v>10101110111010100001101101101010</v>
      </c>
      <c r="I144" s="5">
        <f t="shared" si="154"/>
        <v>18</v>
      </c>
      <c r="J144" s="78"/>
      <c r="K144" s="80"/>
      <c r="L144" s="14" t="str">
        <f t="shared" si="163"/>
        <v>11100101110010101010111110010000</v>
      </c>
      <c r="M144" s="14" t="str">
        <f t="shared" ref="M144" si="172">CONCATENATE(MID(M143,6,8),MID(M143,30,3),MID(M143,1,5),MID(M143,22,8),MID(M143,14,8))</f>
        <v>10101110111010100001101101101010</v>
      </c>
      <c r="N144" s="14">
        <f t="shared" si="107"/>
        <v>229</v>
      </c>
      <c r="O144" s="14">
        <f t="shared" si="157"/>
        <v>64</v>
      </c>
      <c r="P144" s="14">
        <f t="shared" si="159"/>
        <v>1025</v>
      </c>
      <c r="Q144" s="14"/>
      <c r="R144" s="14"/>
      <c r="S144" s="14"/>
      <c r="T144" s="14"/>
    </row>
    <row r="145" spans="1:20" x14ac:dyDescent="0.35">
      <c r="A145" s="91"/>
      <c r="B145" s="75">
        <f>B143+1</f>
        <v>72</v>
      </c>
      <c r="C145" s="4" t="s">
        <v>0</v>
      </c>
      <c r="D145" s="4" t="s">
        <v>144</v>
      </c>
      <c r="E145" s="4">
        <v>60</v>
      </c>
      <c r="F145" s="4" t="s">
        <v>118</v>
      </c>
      <c r="G145" s="4" t="s">
        <v>110</v>
      </c>
      <c r="H145" s="4" t="str">
        <f t="shared" si="153"/>
        <v>11100000011000000000110011111100</v>
      </c>
      <c r="I145" s="4">
        <f t="shared" si="154"/>
        <v>13</v>
      </c>
      <c r="J145" s="77">
        <v>56</v>
      </c>
      <c r="K145" s="79" t="str">
        <f>HEX2BIN(J145,8)</f>
        <v>01010110</v>
      </c>
      <c r="L145" s="43" t="str">
        <f t="shared" ref="L145" si="173">CONCATENATE(HEX2BIN(G145,8),HEX2BIN(F145,8),HEX2BIN(E145,8),HEX2BIN(D145,8))</f>
        <v>11111100000011000110000011100000</v>
      </c>
      <c r="M145" s="1" t="str">
        <f t="shared" si="162"/>
        <v>01010010101110010110010000111000</v>
      </c>
      <c r="N145" s="14">
        <f t="shared" si="105"/>
        <v>84</v>
      </c>
      <c r="O145" s="14">
        <f t="shared" si="157"/>
        <v>221</v>
      </c>
      <c r="P145" s="14">
        <f t="shared" si="159"/>
        <v>1026</v>
      </c>
      <c r="Q145" s="14"/>
      <c r="R145" s="14"/>
      <c r="S145" s="14"/>
      <c r="T145" s="14"/>
    </row>
    <row r="146" spans="1:20" ht="18.600000000000001" thickBot="1" x14ac:dyDescent="0.4">
      <c r="A146" s="91"/>
      <c r="B146" s="76"/>
      <c r="C146" s="5" t="s">
        <v>6</v>
      </c>
      <c r="D146" s="5">
        <v>57</v>
      </c>
      <c r="E146" s="5" t="s">
        <v>20</v>
      </c>
      <c r="F146" s="5">
        <v>87</v>
      </c>
      <c r="G146" s="5" t="s">
        <v>152</v>
      </c>
      <c r="H146" s="5" t="str">
        <f t="shared" si="153"/>
        <v>01010111000010101000011100101100</v>
      </c>
      <c r="I146" s="5">
        <f t="shared" si="154"/>
        <v>14</v>
      </c>
      <c r="J146" s="78"/>
      <c r="K146" s="80"/>
      <c r="L146" s="14" t="str">
        <f t="shared" si="163"/>
        <v>01010110101011010000001101011000</v>
      </c>
      <c r="M146" s="14" t="str">
        <f t="shared" ref="M146" si="174">CONCATENATE(MID(M145,6,8),MID(M145,30,3),MID(M145,1,5),MID(M145,22,8),MID(M145,14,8))</f>
        <v>01010111000010101000011100101100</v>
      </c>
      <c r="N146" s="14">
        <f t="shared" si="107"/>
        <v>86</v>
      </c>
      <c r="O146" s="14">
        <f t="shared" si="157"/>
        <v>122</v>
      </c>
      <c r="P146" s="14">
        <f t="shared" si="159"/>
        <v>1027</v>
      </c>
      <c r="Q146" s="14"/>
      <c r="R146" s="14"/>
      <c r="S146" s="14"/>
      <c r="T146" s="14"/>
    </row>
    <row r="147" spans="1:20" x14ac:dyDescent="0.35">
      <c r="A147" s="91">
        <f>A131+1</f>
        <v>10</v>
      </c>
      <c r="B147" s="75">
        <f>B145+1</f>
        <v>73</v>
      </c>
      <c r="C147" s="4" t="s">
        <v>0</v>
      </c>
      <c r="D147" s="4" t="s">
        <v>133</v>
      </c>
      <c r="E147" s="4" t="s">
        <v>135</v>
      </c>
      <c r="F147" s="4" t="s">
        <v>46</v>
      </c>
      <c r="G147" s="4" t="s">
        <v>114</v>
      </c>
      <c r="H147" s="4" t="str">
        <f t="shared" si="153"/>
        <v>11000111101110101101100011000100</v>
      </c>
      <c r="I147" s="4">
        <f t="shared" si="154"/>
        <v>17</v>
      </c>
      <c r="J147" s="77" t="s">
        <v>153</v>
      </c>
      <c r="K147" s="79" t="str">
        <f>HEX2BIN(J147,8)</f>
        <v>10001111</v>
      </c>
      <c r="L147" s="43" t="str">
        <f t="shared" ref="L147" si="175">CONCATENATE(HEX2BIN(G147,8),HEX2BIN(F147,8),HEX2BIN(E147,8),HEX2BIN(D147,8))</f>
        <v>11000100110110001011101011000111</v>
      </c>
      <c r="M147" s="1" t="str">
        <f t="shared" si="162"/>
        <v>01010100111110000110101000000011</v>
      </c>
      <c r="N147" s="14">
        <f t="shared" si="105"/>
        <v>0</v>
      </c>
      <c r="O147" s="14">
        <f t="shared" si="157"/>
        <v>23</v>
      </c>
      <c r="P147" s="14">
        <f t="shared" si="159"/>
        <v>1028</v>
      </c>
      <c r="Q147" s="14"/>
      <c r="R147" s="14" t="s">
        <v>201</v>
      </c>
      <c r="S147" s="14"/>
      <c r="T147" s="14"/>
    </row>
    <row r="148" spans="1:20" ht="18.600000000000001" thickBot="1" x14ac:dyDescent="0.4">
      <c r="A148" s="91"/>
      <c r="B148" s="76"/>
      <c r="C148" s="5" t="s">
        <v>6</v>
      </c>
      <c r="D148" s="5" t="s">
        <v>65</v>
      </c>
      <c r="E148" s="5" t="s">
        <v>59</v>
      </c>
      <c r="F148" s="5">
        <v>40</v>
      </c>
      <c r="G148" s="5" t="s">
        <v>93</v>
      </c>
      <c r="H148" s="5" t="str">
        <f t="shared" si="153"/>
        <v>10011111011010100100000000001101</v>
      </c>
      <c r="I148" s="5">
        <f t="shared" si="154"/>
        <v>14</v>
      </c>
      <c r="J148" s="78"/>
      <c r="K148" s="80"/>
      <c r="L148" s="14" t="str">
        <f t="shared" si="163"/>
        <v>10010000000111111010111100111100</v>
      </c>
      <c r="M148" s="14" t="str">
        <f t="shared" ref="M148" si="176">CONCATENATE(MID(M147,6,8),MID(M147,30,3),MID(M147,1,5),MID(M147,22,8),MID(M147,14,8))</f>
        <v>10011111011010100100000000001101</v>
      </c>
      <c r="N148" s="14">
        <f t="shared" si="107"/>
        <v>144</v>
      </c>
      <c r="O148" s="14">
        <f t="shared" si="157"/>
        <v>180</v>
      </c>
      <c r="P148" s="14">
        <f t="shared" si="159"/>
        <v>1029</v>
      </c>
      <c r="Q148" s="14"/>
      <c r="R148" s="14" t="s">
        <v>206</v>
      </c>
      <c r="S148" s="14"/>
      <c r="T148" s="14"/>
    </row>
    <row r="149" spans="1:20" x14ac:dyDescent="0.35">
      <c r="A149" s="91"/>
      <c r="B149" s="75">
        <f>B147+1</f>
        <v>74</v>
      </c>
      <c r="C149" s="4" t="s">
        <v>0</v>
      </c>
      <c r="D149" s="4" t="s">
        <v>90</v>
      </c>
      <c r="E149" s="4" t="s">
        <v>99</v>
      </c>
      <c r="F149" s="4" t="s">
        <v>118</v>
      </c>
      <c r="G149" s="4" t="s">
        <v>124</v>
      </c>
      <c r="H149" s="4" t="str">
        <f t="shared" si="153"/>
        <v>00111011101000100000110010100000</v>
      </c>
      <c r="I149" s="4">
        <f t="shared" si="154"/>
        <v>12</v>
      </c>
      <c r="J149" s="77" t="s">
        <v>127</v>
      </c>
      <c r="K149" s="79" t="str">
        <f>HEX2BIN(J149,8)</f>
        <v>10101101</v>
      </c>
      <c r="L149" s="43" t="str">
        <f t="shared" ref="L149" si="177">CONCATENATE(HEX2BIN(G149,8),HEX2BIN(F149,8),HEX2BIN(E149,8),HEX2BIN(D149,8))</f>
        <v>10100000000011001010001000111011</v>
      </c>
      <c r="M149" s="1" t="str">
        <f t="shared" si="162"/>
        <v>01001110011010001010101111101111</v>
      </c>
      <c r="N149" s="14">
        <f>MOD(BIN2DEC(MID(L149,1,8))+4*HEX2DEC(J149),256)</f>
        <v>84</v>
      </c>
      <c r="O149" s="14">
        <f t="shared" si="157"/>
        <v>81</v>
      </c>
      <c r="P149" s="14">
        <f t="shared" si="159"/>
        <v>1030</v>
      </c>
      <c r="Q149" s="14"/>
      <c r="R149" s="14" t="s">
        <v>180</v>
      </c>
      <c r="S149" s="14"/>
      <c r="T149" s="14"/>
    </row>
    <row r="150" spans="1:20" ht="18.600000000000001" thickBot="1" x14ac:dyDescent="0.4">
      <c r="A150" s="91"/>
      <c r="B150" s="76"/>
      <c r="C150" s="5" t="s">
        <v>6</v>
      </c>
      <c r="D150" s="5" t="s">
        <v>82</v>
      </c>
      <c r="E150" s="5" t="s">
        <v>37</v>
      </c>
      <c r="F150" s="5" t="s">
        <v>28</v>
      </c>
      <c r="G150" s="5">
        <v>15</v>
      </c>
      <c r="H150" s="5" t="str">
        <f t="shared" si="153"/>
        <v>11001101111010010111110100010101</v>
      </c>
      <c r="I150" s="5">
        <f t="shared" si="154"/>
        <v>19</v>
      </c>
      <c r="J150" s="78"/>
      <c r="K150" s="80"/>
      <c r="L150" s="14" t="str">
        <f t="shared" si="163"/>
        <v>10101110010111000000100110110100</v>
      </c>
      <c r="M150" s="14" t="str">
        <f t="shared" ref="M150" si="178">CONCATENATE(MID(M149,6,8),MID(M149,30,3),MID(M149,1,5),MID(M149,22,8),MID(M149,14,8))</f>
        <v>11001101111010010111110100010101</v>
      </c>
      <c r="N150" s="14">
        <f>BIN2DEC(MID(L150,1,8))</f>
        <v>174</v>
      </c>
      <c r="O150" s="14">
        <f t="shared" si="157"/>
        <v>238</v>
      </c>
      <c r="P150" s="14">
        <f t="shared" si="159"/>
        <v>1031</v>
      </c>
      <c r="Q150" s="14"/>
      <c r="R150" s="14" t="s">
        <v>202</v>
      </c>
      <c r="S150" s="14"/>
      <c r="T150" s="14"/>
    </row>
    <row r="151" spans="1:20" x14ac:dyDescent="0.35">
      <c r="A151" s="91"/>
      <c r="B151" s="75">
        <f>B149+1</f>
        <v>75</v>
      </c>
      <c r="C151" s="4" t="s">
        <v>0</v>
      </c>
      <c r="D151" s="4" t="s">
        <v>20</v>
      </c>
      <c r="E151" s="4">
        <v>53</v>
      </c>
      <c r="F151" s="4" t="s">
        <v>154</v>
      </c>
      <c r="G151" s="4" t="s">
        <v>27</v>
      </c>
      <c r="H151" s="4" t="str">
        <f t="shared" si="153"/>
        <v>00001010010100111010010111010001</v>
      </c>
      <c r="I151" s="4">
        <f t="shared" si="154"/>
        <v>14</v>
      </c>
      <c r="J151" s="77">
        <v>0</v>
      </c>
      <c r="K151" s="79" t="str">
        <f>HEX2BIN(J151,8)</f>
        <v>00000000</v>
      </c>
      <c r="L151" s="43" t="str">
        <f t="shared" ref="L151" si="179">CONCATENATE(HEX2BIN(G151,8),HEX2BIN(F151,8),HEX2BIN(E151,8),HEX2BIN(D151,8))</f>
        <v>11010001101001010101001100001010</v>
      </c>
      <c r="M151" s="1" t="str">
        <f t="shared" si="162"/>
        <v>11010001101001010101001100001010</v>
      </c>
      <c r="N151" s="14">
        <f>MOD(BIN2DEC(MID(L151,1,8))+4*HEX2DEC(J151),256)</f>
        <v>209</v>
      </c>
      <c r="O151" s="14">
        <f t="shared" si="157"/>
        <v>139</v>
      </c>
      <c r="P151" s="14">
        <f t="shared" si="159"/>
        <v>1032</v>
      </c>
      <c r="Q151" s="14"/>
      <c r="R151" s="14" t="s">
        <v>190</v>
      </c>
      <c r="S151" s="14"/>
      <c r="T151" s="14"/>
    </row>
    <row r="152" spans="1:20" ht="18.600000000000001" thickBot="1" x14ac:dyDescent="0.4">
      <c r="A152" s="91"/>
      <c r="B152" s="76"/>
      <c r="C152" s="5" t="s">
        <v>6</v>
      </c>
      <c r="D152" s="5">
        <v>34</v>
      </c>
      <c r="E152" s="5" t="s">
        <v>72</v>
      </c>
      <c r="F152" s="5">
        <v>61</v>
      </c>
      <c r="G152" s="5" t="s">
        <v>51</v>
      </c>
      <c r="H152" s="5" t="str">
        <f t="shared" si="153"/>
        <v>00110100010110100110000110101010</v>
      </c>
      <c r="I152" s="5">
        <f t="shared" si="154"/>
        <v>14</v>
      </c>
      <c r="J152" s="78"/>
      <c r="K152" s="80"/>
      <c r="L152" s="14" t="str">
        <f t="shared" si="163"/>
        <v>00000000000000000000000000000000</v>
      </c>
      <c r="M152" s="14" t="str">
        <f t="shared" ref="M152" si="180">CONCATENATE(MID(M151,6,8),MID(M151,30,3),MID(M151,1,5),MID(M151,22,8),MID(M151,14,8))</f>
        <v>00110100010110100110000110101010</v>
      </c>
      <c r="N152" s="14">
        <f>BIN2DEC(MID(L152,1,8))</f>
        <v>0</v>
      </c>
      <c r="O152" s="14">
        <f t="shared" si="157"/>
        <v>40</v>
      </c>
      <c r="P152" s="14">
        <f t="shared" si="159"/>
        <v>1033</v>
      </c>
      <c r="Q152" s="14"/>
      <c r="R152" s="14" t="s">
        <v>190</v>
      </c>
      <c r="S152" s="14"/>
      <c r="T152" s="14"/>
    </row>
    <row r="153" spans="1:20" x14ac:dyDescent="0.35">
      <c r="A153" s="91"/>
      <c r="B153" s="75">
        <f>B151+1</f>
        <v>76</v>
      </c>
      <c r="C153" s="4" t="s">
        <v>0</v>
      </c>
      <c r="D153" s="4" t="s">
        <v>33</v>
      </c>
      <c r="E153" s="4" t="s">
        <v>66</v>
      </c>
      <c r="F153" s="4" t="s">
        <v>108</v>
      </c>
      <c r="G153" s="4" t="s">
        <v>20</v>
      </c>
      <c r="H153" s="4" t="str">
        <f t="shared" si="153"/>
        <v>00001111111110000110110100001010</v>
      </c>
      <c r="I153" s="4">
        <f t="shared" si="154"/>
        <v>16</v>
      </c>
      <c r="J153" s="77" t="s">
        <v>32</v>
      </c>
      <c r="K153" s="79" t="str">
        <f>HEX2BIN(J153,8)</f>
        <v>10100111</v>
      </c>
      <c r="L153" s="43" t="str">
        <f t="shared" ref="L153" si="181">CONCATENATE(HEX2BIN(G153,8),HEX2BIN(F153,8),HEX2BIN(E153,8),HEX2BIN(D153,8))</f>
        <v>00001010011011011111100000001111</v>
      </c>
      <c r="M153" s="1" t="str">
        <f t="shared" si="162"/>
        <v>10110010101111011110111110101011</v>
      </c>
      <c r="N153" s="14">
        <f>MOD(BIN2DEC(MID(L153,1,8))+4*HEX2DEC(J153),256)</f>
        <v>166</v>
      </c>
      <c r="O153" s="14">
        <f t="shared" si="157"/>
        <v>197</v>
      </c>
      <c r="P153" s="14">
        <f t="shared" si="159"/>
        <v>1034</v>
      </c>
      <c r="Q153" s="14"/>
      <c r="R153" s="14" t="s">
        <v>209</v>
      </c>
      <c r="S153" s="14"/>
      <c r="T153" s="14"/>
    </row>
    <row r="154" spans="1:20" ht="18.600000000000001" thickBot="1" x14ac:dyDescent="0.4">
      <c r="A154" s="91"/>
      <c r="B154" s="76"/>
      <c r="C154" s="5" t="s">
        <v>6</v>
      </c>
      <c r="D154" s="5">
        <v>57</v>
      </c>
      <c r="E154" s="5">
        <v>76</v>
      </c>
      <c r="F154" s="5" t="s">
        <v>100</v>
      </c>
      <c r="G154" s="5" t="s">
        <v>25</v>
      </c>
      <c r="H154" s="5" t="str">
        <f t="shared" si="153"/>
        <v>01010111011101101111010110111101</v>
      </c>
      <c r="I154" s="5">
        <f t="shared" si="154"/>
        <v>22</v>
      </c>
      <c r="J154" s="78"/>
      <c r="K154" s="80"/>
      <c r="L154" s="14" t="str">
        <f t="shared" si="163"/>
        <v>10101000010011111111011110011100</v>
      </c>
      <c r="M154" s="14" t="str">
        <f t="shared" ref="M154" si="182">CONCATENATE(MID(M153,6,8),MID(M153,30,3),MID(M153,1,5),MID(M153,22,8),MID(M153,14,8))</f>
        <v>01010111011101101111010110111101</v>
      </c>
      <c r="N154" s="14">
        <f>BIN2DEC(MID(L154,1,8))</f>
        <v>168</v>
      </c>
      <c r="O154" s="14">
        <f t="shared" si="157"/>
        <v>98</v>
      </c>
      <c r="P154" s="14">
        <f t="shared" si="159"/>
        <v>1035</v>
      </c>
      <c r="Q154" s="14"/>
      <c r="R154" s="14" t="s">
        <v>209</v>
      </c>
      <c r="S154" s="14"/>
      <c r="T154" s="14"/>
    </row>
    <row r="155" spans="1:20" x14ac:dyDescent="0.35">
      <c r="A155" s="91"/>
      <c r="B155" s="75">
        <f>B153+1</f>
        <v>77</v>
      </c>
      <c r="C155" s="4" t="s">
        <v>0</v>
      </c>
      <c r="D155" s="4" t="s">
        <v>70</v>
      </c>
      <c r="E155" s="4">
        <v>25</v>
      </c>
      <c r="F155" s="4">
        <v>50</v>
      </c>
      <c r="G155" s="4" t="s">
        <v>17</v>
      </c>
      <c r="H155" s="4" t="str">
        <f t="shared" si="153"/>
        <v>01011101001001010101000001101100</v>
      </c>
      <c r="I155" s="4">
        <f t="shared" si="154"/>
        <v>14</v>
      </c>
      <c r="J155" s="77" t="s">
        <v>33</v>
      </c>
      <c r="K155" s="79" t="str">
        <f>HEX2BIN(J155,8)</f>
        <v>00001111</v>
      </c>
      <c r="L155" s="43" t="str">
        <f t="shared" ref="L155" si="183">CONCATENATE(HEX2BIN(G155,8),HEX2BIN(F155,8),HEX2BIN(E155,8),HEX2BIN(D155,8))</f>
        <v>01101100010100000010010101011101</v>
      </c>
      <c r="M155" s="1" t="str">
        <f t="shared" si="162"/>
        <v>01111011011011100101001010011001</v>
      </c>
      <c r="N155" s="14">
        <f>MOD(BIN2DEC(MID(L155,1,8))+4*HEX2DEC(J155),256)</f>
        <v>168</v>
      </c>
      <c r="O155" s="14">
        <f t="shared" si="157"/>
        <v>255</v>
      </c>
      <c r="P155" s="14">
        <f t="shared" si="159"/>
        <v>1036</v>
      </c>
      <c r="Q155" s="14"/>
      <c r="R155" s="14" t="s">
        <v>210</v>
      </c>
      <c r="S155" s="14"/>
      <c r="T155" s="14"/>
    </row>
    <row r="156" spans="1:20" ht="18.600000000000001" thickBot="1" x14ac:dyDescent="0.4">
      <c r="A156" s="91"/>
      <c r="B156" s="76"/>
      <c r="C156" s="5" t="s">
        <v>6</v>
      </c>
      <c r="D156" s="5" t="s">
        <v>108</v>
      </c>
      <c r="E156" s="5" t="s">
        <v>74</v>
      </c>
      <c r="F156" s="5">
        <v>53</v>
      </c>
      <c r="G156" s="5" t="s">
        <v>130</v>
      </c>
      <c r="H156" s="5" t="str">
        <f t="shared" si="153"/>
        <v>01101101001011110101001111001010</v>
      </c>
      <c r="I156" s="5">
        <f t="shared" si="154"/>
        <v>18</v>
      </c>
      <c r="J156" s="78"/>
      <c r="K156" s="80"/>
      <c r="L156" s="14" t="str">
        <f t="shared" si="163"/>
        <v>00001111000111100010110100111100</v>
      </c>
      <c r="M156" s="14" t="str">
        <f t="shared" ref="M156" si="184">CONCATENATE(MID(M155,6,8),MID(M155,30,3),MID(M155,1,5),MID(M155,22,8),MID(M155,14,8))</f>
        <v>01101101001011110101001111001010</v>
      </c>
      <c r="N156" s="14">
        <f>BIN2DEC(MID(L156,1,8))</f>
        <v>15</v>
      </c>
      <c r="O156" s="14">
        <f t="shared" si="157"/>
        <v>156</v>
      </c>
      <c r="P156" s="14">
        <f t="shared" si="159"/>
        <v>1037</v>
      </c>
      <c r="Q156" s="14"/>
      <c r="R156" s="14" t="s">
        <v>196</v>
      </c>
      <c r="S156" s="14"/>
      <c r="T156" s="14"/>
    </row>
    <row r="157" spans="1:20" x14ac:dyDescent="0.35">
      <c r="A157" s="91"/>
      <c r="B157" s="75">
        <f>B155+1</f>
        <v>78</v>
      </c>
      <c r="C157" s="4" t="s">
        <v>0</v>
      </c>
      <c r="D157" s="4">
        <v>62</v>
      </c>
      <c r="E157" s="4" t="s">
        <v>53</v>
      </c>
      <c r="F157" s="4" t="s">
        <v>142</v>
      </c>
      <c r="G157" s="4" t="s">
        <v>67</v>
      </c>
      <c r="H157" s="4" t="str">
        <f t="shared" si="153"/>
        <v>01100010110101110011111011000000</v>
      </c>
      <c r="I157" s="4">
        <f t="shared" si="154"/>
        <v>16</v>
      </c>
      <c r="J157" s="77" t="s">
        <v>60</v>
      </c>
      <c r="K157" s="79" t="str">
        <f>HEX2BIN(J157,8)</f>
        <v>00111101</v>
      </c>
      <c r="L157" s="43" t="str">
        <f t="shared" ref="L157" si="185">CONCATENATE(HEX2BIN(G157,8),HEX2BIN(F157,8),HEX2BIN(E157,8),HEX2BIN(D157,8))</f>
        <v>11000000001111101101011101100010</v>
      </c>
      <c r="M157" s="1" t="str">
        <f t="shared" si="162"/>
        <v>11111101101110011000111101010110</v>
      </c>
      <c r="N157" s="14">
        <f>MOD(BIN2DEC(MID(L157,1,8))+4*HEX2DEC(J157),256)</f>
        <v>180</v>
      </c>
      <c r="O157" s="14">
        <f t="shared" si="157"/>
        <v>57</v>
      </c>
      <c r="P157" s="14">
        <f t="shared" si="159"/>
        <v>1038</v>
      </c>
      <c r="Q157" s="14"/>
      <c r="R157" s="14" t="s">
        <v>196</v>
      </c>
      <c r="S157" s="14"/>
      <c r="T157" s="14"/>
    </row>
    <row r="158" spans="1:20" ht="18.600000000000001" thickBot="1" x14ac:dyDescent="0.4">
      <c r="A158" s="91"/>
      <c r="B158" s="76"/>
      <c r="C158" s="5" t="s">
        <v>6</v>
      </c>
      <c r="D158" s="5" t="s">
        <v>143</v>
      </c>
      <c r="E158" s="5" t="s">
        <v>30</v>
      </c>
      <c r="F158" s="5" t="s">
        <v>34</v>
      </c>
      <c r="G158" s="5">
        <v>31</v>
      </c>
      <c r="H158" s="5" t="str">
        <f t="shared" si="153"/>
        <v>10110111110111111110101000110001</v>
      </c>
      <c r="I158" s="5">
        <f t="shared" si="154"/>
        <v>21</v>
      </c>
      <c r="J158" s="78"/>
      <c r="K158" s="80"/>
      <c r="L158" s="14" t="str">
        <f t="shared" si="163"/>
        <v>00111101011110101011011111110100</v>
      </c>
      <c r="M158" s="14" t="str">
        <f t="shared" ref="M158" si="186">CONCATENATE(MID(M157,6,8),MID(M157,30,3),MID(M157,1,5),MID(M157,22,8),MID(M157,14,8))</f>
        <v>10110111110111111110101000110001</v>
      </c>
      <c r="N158" s="14">
        <f>BIN2DEC(MID(L158,1,8))</f>
        <v>61</v>
      </c>
      <c r="O158" s="14">
        <f t="shared" si="157"/>
        <v>214</v>
      </c>
      <c r="P158" s="14">
        <f t="shared" si="159"/>
        <v>1039</v>
      </c>
      <c r="Q158" s="14"/>
      <c r="R158" s="14" t="s">
        <v>196</v>
      </c>
      <c r="S158" s="14"/>
      <c r="T158" s="14"/>
    </row>
    <row r="159" spans="1:20" x14ac:dyDescent="0.35">
      <c r="A159" s="91"/>
      <c r="B159" s="75">
        <f>B157+1</f>
        <v>79</v>
      </c>
      <c r="C159" s="4" t="s">
        <v>0</v>
      </c>
      <c r="D159" s="4" t="s">
        <v>34</v>
      </c>
      <c r="E159" s="4" t="s">
        <v>21</v>
      </c>
      <c r="F159" s="4" t="s">
        <v>135</v>
      </c>
      <c r="G159" s="4" t="s">
        <v>70</v>
      </c>
      <c r="H159" s="4" t="str">
        <f t="shared" si="153"/>
        <v>11101010111110101011101001011101</v>
      </c>
      <c r="I159" s="4">
        <f t="shared" si="154"/>
        <v>21</v>
      </c>
      <c r="J159" s="77" t="s">
        <v>133</v>
      </c>
      <c r="K159" s="79" t="str">
        <f>HEX2BIN(J159,8)</f>
        <v>11000111</v>
      </c>
      <c r="L159" s="43" t="str">
        <f t="shared" ref="L159" si="187">CONCATENATE(HEX2BIN(G159,8),HEX2BIN(F159,8),HEX2BIN(E159,8),HEX2BIN(D159,8))</f>
        <v>01011101101110101111101011101010</v>
      </c>
      <c r="M159" s="1" t="str">
        <f t="shared" si="162"/>
        <v>00100110010010110101001100000110</v>
      </c>
      <c r="N159" s="14">
        <f>MOD(BIN2DEC(MID(L159,1,8))+4*HEX2DEC(J159),256)</f>
        <v>121</v>
      </c>
      <c r="O159" s="14">
        <f t="shared" si="157"/>
        <v>115</v>
      </c>
      <c r="P159" s="14">
        <f t="shared" si="159"/>
        <v>1040</v>
      </c>
      <c r="Q159" s="14"/>
      <c r="R159" s="14" t="s">
        <v>205</v>
      </c>
      <c r="S159" s="14"/>
      <c r="T159" s="14"/>
    </row>
    <row r="160" spans="1:20" ht="18.600000000000001" thickBot="1" x14ac:dyDescent="0.4">
      <c r="A160" s="91"/>
      <c r="B160" s="76"/>
      <c r="C160" s="5" t="s">
        <v>6</v>
      </c>
      <c r="D160" s="5" t="s">
        <v>151</v>
      </c>
      <c r="E160" s="5" t="s">
        <v>114</v>
      </c>
      <c r="F160" s="5">
        <v>60</v>
      </c>
      <c r="G160" s="5" t="s">
        <v>59</v>
      </c>
      <c r="H160" s="5" t="str">
        <f t="shared" si="153"/>
        <v>11001001110001000110000001101010</v>
      </c>
      <c r="I160" s="5">
        <f t="shared" si="154"/>
        <v>13</v>
      </c>
      <c r="J160" s="78"/>
      <c r="K160" s="80"/>
      <c r="L160" s="14" t="str">
        <f t="shared" si="163"/>
        <v>11001000100100000101100000011100</v>
      </c>
      <c r="M160" s="14" t="str">
        <f t="shared" ref="M160" si="188">CONCATENATE(MID(M159,6,8),MID(M159,30,3),MID(M159,1,5),MID(M159,22,8),MID(M159,14,8))</f>
        <v>11001001110001000110000001101010</v>
      </c>
      <c r="N160" s="14">
        <f>BIN2DEC(MID(L160,1,8))</f>
        <v>200</v>
      </c>
      <c r="O160" s="14">
        <f t="shared" si="157"/>
        <v>16</v>
      </c>
      <c r="P160" s="14">
        <f t="shared" si="159"/>
        <v>1041</v>
      </c>
      <c r="Q160" s="14"/>
      <c r="R160" s="14" t="s">
        <v>194</v>
      </c>
      <c r="S160" s="14"/>
      <c r="T160" s="14"/>
    </row>
    <row r="161" spans="1:28" x14ac:dyDescent="0.35">
      <c r="A161" s="91"/>
      <c r="B161" s="75">
        <f>B159+1</f>
        <v>80</v>
      </c>
      <c r="C161" s="4" t="s">
        <v>0</v>
      </c>
      <c r="D161" s="4" t="s">
        <v>141</v>
      </c>
      <c r="E161" s="4">
        <v>13</v>
      </c>
      <c r="F161" s="4" t="s">
        <v>52</v>
      </c>
      <c r="G161" s="4" t="s">
        <v>51</v>
      </c>
      <c r="H161" s="4" t="str">
        <f t="shared" si="153"/>
        <v>10101011000100110101111010101010</v>
      </c>
      <c r="I161" s="4">
        <f t="shared" si="154"/>
        <v>17</v>
      </c>
      <c r="J161" s="77">
        <v>12</v>
      </c>
      <c r="K161" s="79" t="str">
        <f>HEX2BIN(J161,8)</f>
        <v>00010010</v>
      </c>
      <c r="L161" s="43" t="str">
        <f t="shared" ref="L161" si="189">CONCATENATE(HEX2BIN(G161,8),HEX2BIN(F161,8),HEX2BIN(E161,8),HEX2BIN(D161,8))</f>
        <v>10101010010111100001001110101011</v>
      </c>
      <c r="M161" s="1" t="str">
        <f t="shared" si="162"/>
        <v>10111100100000100100100111110011</v>
      </c>
      <c r="N161" s="14">
        <f>MOD(BIN2DEC(MID(L161,1,8))+4*HEX2DEC(J161),256)</f>
        <v>242</v>
      </c>
      <c r="O161" s="14">
        <f t="shared" si="157"/>
        <v>173</v>
      </c>
      <c r="P161" s="14">
        <f t="shared" si="159"/>
        <v>1042</v>
      </c>
      <c r="Q161" s="14"/>
      <c r="R161" s="14" t="s">
        <v>182</v>
      </c>
      <c r="S161" s="14"/>
      <c r="T161" s="14"/>
    </row>
    <row r="162" spans="1:28" ht="18.600000000000001" thickBot="1" x14ac:dyDescent="0.4">
      <c r="A162" s="91"/>
      <c r="B162" s="76"/>
      <c r="C162" s="5" t="s">
        <v>6</v>
      </c>
      <c r="D162" s="5">
        <v>90</v>
      </c>
      <c r="E162" s="5">
        <v>77</v>
      </c>
      <c r="F162" s="5" t="s">
        <v>142</v>
      </c>
      <c r="G162" s="5">
        <v>49</v>
      </c>
      <c r="H162" s="5" t="str">
        <f t="shared" si="153"/>
        <v>10010000011101110011111001001001</v>
      </c>
      <c r="I162" s="5">
        <f t="shared" si="154"/>
        <v>16</v>
      </c>
      <c r="J162" s="78"/>
      <c r="K162" s="80"/>
      <c r="L162" s="14" t="str">
        <f t="shared" si="163"/>
        <v>00010010001001000011011001001000</v>
      </c>
      <c r="M162" s="14" t="str">
        <f t="shared" ref="M162" si="190">CONCATENATE(MID(M161,6,8),MID(M161,30,3),MID(M161,1,5),MID(M161,22,8),MID(M161,14,8))</f>
        <v>10010000011101110011111001001001</v>
      </c>
      <c r="N162" s="14">
        <f>BIN2DEC(MID(L162,1,8))</f>
        <v>18</v>
      </c>
      <c r="O162" s="14">
        <f t="shared" si="157"/>
        <v>74</v>
      </c>
      <c r="P162" s="14">
        <f t="shared" si="159"/>
        <v>1043</v>
      </c>
      <c r="Q162" s="14"/>
      <c r="R162" s="14" t="s">
        <v>212</v>
      </c>
      <c r="S162" s="14"/>
      <c r="T162" s="14"/>
    </row>
    <row r="163" spans="1:28" x14ac:dyDescent="0.35">
      <c r="A163" s="91">
        <f>A147+1</f>
        <v>11</v>
      </c>
      <c r="B163" s="75">
        <f>B161+1</f>
        <v>81</v>
      </c>
      <c r="C163" s="4" t="s">
        <v>0</v>
      </c>
      <c r="D163" s="4" t="s">
        <v>64</v>
      </c>
      <c r="E163" s="4" t="s">
        <v>131</v>
      </c>
      <c r="F163" s="4" t="s">
        <v>135</v>
      </c>
      <c r="G163" s="4">
        <v>25</v>
      </c>
      <c r="H163" s="4" t="str">
        <f t="shared" si="153"/>
        <v>00011100000111111011101000100101</v>
      </c>
      <c r="I163" s="4">
        <f t="shared" si="154"/>
        <v>16</v>
      </c>
      <c r="J163" s="77" t="s">
        <v>104</v>
      </c>
      <c r="K163" s="79" t="str">
        <f>HEX2BIN(J163,8)</f>
        <v>00101110</v>
      </c>
      <c r="L163" s="43" t="str">
        <f t="shared" ref="L163" si="191">CONCATENATE(HEX2BIN(G163,8),HEX2BIN(F163,8),HEX2BIN(E163,8),HEX2BIN(D163,8))</f>
        <v>00100101101110100001111100011100</v>
      </c>
      <c r="M163" s="1" t="str">
        <f t="shared" si="162"/>
        <v>01010100000101101010100111010100</v>
      </c>
      <c r="N163" s="14">
        <f>MOD(BIN2DEC(MID(L163,1,8))+4*HEX2DEC(J163),256)</f>
        <v>221</v>
      </c>
      <c r="O163" s="14">
        <f t="shared" si="157"/>
        <v>231</v>
      </c>
      <c r="P163" s="14">
        <f t="shared" si="159"/>
        <v>1044</v>
      </c>
      <c r="Q163" s="14"/>
      <c r="R163" s="14" t="s">
        <v>184</v>
      </c>
      <c r="S163" s="14"/>
      <c r="T163" s="14"/>
    </row>
    <row r="164" spans="1:28" ht="18.600000000000001" thickBot="1" x14ac:dyDescent="0.4">
      <c r="A164" s="91"/>
      <c r="B164" s="76"/>
      <c r="C164" s="5" t="s">
        <v>6</v>
      </c>
      <c r="D164" s="5">
        <v>82</v>
      </c>
      <c r="E164" s="5" t="s">
        <v>55</v>
      </c>
      <c r="F164" s="5" t="s">
        <v>115</v>
      </c>
      <c r="G164" s="5" t="s">
        <v>22</v>
      </c>
      <c r="H164" s="5" t="str">
        <f t="shared" si="153"/>
        <v>10000010100010100011101011010101</v>
      </c>
      <c r="I164" s="5">
        <f t="shared" si="154"/>
        <v>14</v>
      </c>
      <c r="J164" s="78"/>
      <c r="K164" s="80"/>
      <c r="L164" s="14" t="str">
        <f t="shared" si="163"/>
        <v>00101110010111001000101010111000</v>
      </c>
      <c r="M164" s="14" t="str">
        <f t="shared" ref="M164" si="192">CONCATENATE(MID(M163,6,8),MID(M163,30,3),MID(M163,1,5),MID(M163,22,8),MID(M163,14,8))</f>
        <v>10000010100010100011101011010101</v>
      </c>
      <c r="N164" s="14">
        <f>BIN2DEC(MID(L164,1,8))</f>
        <v>46</v>
      </c>
      <c r="O164" s="14">
        <f t="shared" si="157"/>
        <v>132</v>
      </c>
      <c r="P164" s="14">
        <f t="shared" si="159"/>
        <v>1045</v>
      </c>
      <c r="Q164" s="14"/>
      <c r="R164" s="14" t="s">
        <v>213</v>
      </c>
      <c r="S164" s="14"/>
      <c r="T164" s="14"/>
    </row>
    <row r="165" spans="1:28" x14ac:dyDescent="0.35">
      <c r="A165" s="91"/>
      <c r="B165" s="75">
        <f>B163+1</f>
        <v>82</v>
      </c>
      <c r="C165" s="4" t="s">
        <v>0</v>
      </c>
      <c r="D165" s="4" t="s">
        <v>146</v>
      </c>
      <c r="E165" s="4" t="s">
        <v>138</v>
      </c>
      <c r="F165" s="4" t="s">
        <v>85</v>
      </c>
      <c r="G165" s="4">
        <v>5</v>
      </c>
      <c r="H165" s="4" t="str">
        <f t="shared" si="153"/>
        <v>10111011110011100110111100000101</v>
      </c>
      <c r="I165" s="4">
        <f t="shared" si="154"/>
        <v>19</v>
      </c>
      <c r="J165" s="77" t="s">
        <v>141</v>
      </c>
      <c r="K165" s="79" t="str">
        <f>HEX2BIN(J165,8)</f>
        <v>10101011</v>
      </c>
      <c r="L165" s="43" t="str">
        <f t="shared" ref="L165" si="193">CONCATENATE(HEX2BIN(G165,8),HEX2BIN(F165,8),HEX2BIN(E165,8),HEX2BIN(D165,8))</f>
        <v>00000101011011111100111010111011</v>
      </c>
      <c r="M165" s="1" t="str">
        <f t="shared" si="162"/>
        <v>10110001110001111101001001100111</v>
      </c>
      <c r="N165" s="14">
        <f>MOD(BIN2DEC(MID(L165,1,8))+4*HEX2DEC(J165),256)</f>
        <v>177</v>
      </c>
      <c r="O165" s="14">
        <f t="shared" si="157"/>
        <v>33</v>
      </c>
      <c r="P165" s="14">
        <f t="shared" si="159"/>
        <v>1046</v>
      </c>
      <c r="Q165" s="14"/>
      <c r="R165" s="14" t="s">
        <v>181</v>
      </c>
      <c r="S165" s="14"/>
      <c r="T165" s="14"/>
    </row>
    <row r="166" spans="1:28" ht="18.600000000000001" thickBot="1" x14ac:dyDescent="0.4">
      <c r="A166" s="91"/>
      <c r="B166" s="76"/>
      <c r="C166" s="5" t="s">
        <v>6</v>
      </c>
      <c r="D166" s="5">
        <v>38</v>
      </c>
      <c r="E166" s="5" t="s">
        <v>63</v>
      </c>
      <c r="F166" s="5" t="s">
        <v>122</v>
      </c>
      <c r="G166" s="5" t="s">
        <v>21</v>
      </c>
      <c r="H166" s="5" t="str">
        <f t="shared" si="153"/>
        <v>00111000111101100100110011111010</v>
      </c>
      <c r="I166" s="5">
        <f t="shared" si="154"/>
        <v>18</v>
      </c>
      <c r="J166" s="78"/>
      <c r="K166" s="80"/>
      <c r="L166" s="14" t="str">
        <f t="shared" si="163"/>
        <v>10101100010110000000001110101100</v>
      </c>
      <c r="M166" s="14" t="str">
        <f t="shared" ref="M166" si="194">CONCATENATE(MID(M165,6,8),MID(M165,30,3),MID(M165,1,5),MID(M165,22,8),MID(M165,14,8))</f>
        <v>00111000111101100100110011111010</v>
      </c>
      <c r="N166" s="14">
        <f>BIN2DEC(MID(L166,1,8))</f>
        <v>172</v>
      </c>
      <c r="O166" s="14">
        <f t="shared" si="157"/>
        <v>190</v>
      </c>
      <c r="P166" s="14">
        <f t="shared" si="159"/>
        <v>1047</v>
      </c>
      <c r="Q166" s="14"/>
      <c r="R166" s="14" t="s">
        <v>185</v>
      </c>
      <c r="S166" s="14"/>
      <c r="T166" s="14"/>
    </row>
    <row r="167" spans="1:28" x14ac:dyDescent="0.35">
      <c r="A167" s="91"/>
      <c r="B167" s="75">
        <f>B165+1</f>
        <v>83</v>
      </c>
      <c r="C167" s="4" t="s">
        <v>0</v>
      </c>
      <c r="D167" s="4">
        <v>24</v>
      </c>
      <c r="E167" s="4" t="s">
        <v>37</v>
      </c>
      <c r="F167" s="4" t="s">
        <v>63</v>
      </c>
      <c r="G167" s="4" t="s">
        <v>30</v>
      </c>
      <c r="H167" s="4" t="str">
        <f t="shared" si="153"/>
        <v>00100100111010011111011011011111</v>
      </c>
      <c r="I167" s="4">
        <f t="shared" si="154"/>
        <v>20</v>
      </c>
      <c r="J167" s="77">
        <v>49</v>
      </c>
      <c r="K167" s="79" t="str">
        <f>HEX2BIN(J167,8)</f>
        <v>01001001</v>
      </c>
      <c r="L167" s="43" t="str">
        <f t="shared" ref="L167" si="195">CONCATENATE(HEX2BIN(G167,8),HEX2BIN(F167,8),HEX2BIN(E167,8),HEX2BIN(D167,8))</f>
        <v>11011111111101101110100100100100</v>
      </c>
      <c r="M167" s="1" t="str">
        <f t="shared" si="162"/>
        <v>00101001100010011100010101001000</v>
      </c>
      <c r="N167" s="14">
        <f>MOD(BIN2DEC(MID(L167,1,8))+4*HEX2DEC(J167),256)</f>
        <v>3</v>
      </c>
      <c r="O167" s="14">
        <f t="shared" si="157"/>
        <v>91</v>
      </c>
      <c r="P167" s="14">
        <f t="shared" si="159"/>
        <v>1048</v>
      </c>
      <c r="Q167" s="14"/>
      <c r="R167" s="14" t="s">
        <v>186</v>
      </c>
      <c r="S167" s="14"/>
      <c r="T167" s="14"/>
    </row>
    <row r="168" spans="1:28" ht="18.600000000000001" thickBot="1" x14ac:dyDescent="0.4">
      <c r="A168" s="91"/>
      <c r="B168" s="76"/>
      <c r="C168" s="5" t="s">
        <v>6</v>
      </c>
      <c r="D168" s="5">
        <v>31</v>
      </c>
      <c r="E168" s="5">
        <v>5</v>
      </c>
      <c r="F168" s="5" t="s">
        <v>149</v>
      </c>
      <c r="G168" s="5">
        <v>38</v>
      </c>
      <c r="H168" s="5" t="str">
        <f t="shared" si="153"/>
        <v>00110001000001011010100100111000</v>
      </c>
      <c r="I168" s="5">
        <f t="shared" si="154"/>
        <v>12</v>
      </c>
      <c r="J168" s="78"/>
      <c r="K168" s="80"/>
      <c r="L168" s="14" t="str">
        <f t="shared" si="163"/>
        <v>01001001100100101101110000100100</v>
      </c>
      <c r="M168" s="14" t="str">
        <f t="shared" ref="M168" si="196">CONCATENATE(MID(M167,6,8),MID(M167,30,3),MID(M167,1,5),MID(M167,22,8),MID(M167,14,8))</f>
        <v>00110001000001011010100100111000</v>
      </c>
      <c r="N168" s="14">
        <f>BIN2DEC(MID(L168,1,8))</f>
        <v>73</v>
      </c>
      <c r="O168" s="14">
        <f t="shared" si="157"/>
        <v>248</v>
      </c>
      <c r="P168" s="14">
        <f t="shared" si="159"/>
        <v>1049</v>
      </c>
      <c r="Q168" s="14"/>
      <c r="R168" s="14" t="s">
        <v>186</v>
      </c>
      <c r="S168" s="14"/>
      <c r="T168" s="14"/>
    </row>
    <row r="169" spans="1:28" x14ac:dyDescent="0.35">
      <c r="A169" s="91"/>
      <c r="B169" s="75">
        <f>B167+1</f>
        <v>84</v>
      </c>
      <c r="C169" s="4" t="s">
        <v>0</v>
      </c>
      <c r="D169" s="4" t="s">
        <v>55</v>
      </c>
      <c r="E169" s="4" t="s">
        <v>119</v>
      </c>
      <c r="F169" s="4" t="s">
        <v>126</v>
      </c>
      <c r="G169" s="4" t="s">
        <v>60</v>
      </c>
      <c r="H169" s="4" t="str">
        <f t="shared" si="153"/>
        <v>10001010110010111100011000111101</v>
      </c>
      <c r="I169" s="4">
        <f t="shared" si="154"/>
        <v>17</v>
      </c>
      <c r="J169" s="77" t="s">
        <v>143</v>
      </c>
      <c r="K169" s="79" t="str">
        <f>HEX2BIN(J169,8)</f>
        <v>10110111</v>
      </c>
      <c r="L169" s="43" t="str">
        <f t="shared" ref="L169" si="197">CONCATENATE(HEX2BIN(G169,8),HEX2BIN(F169,8),HEX2BIN(E169,8),HEX2BIN(D169,8))</f>
        <v>00111101110001101100101110001010</v>
      </c>
      <c r="M169" s="1" t="str">
        <f t="shared" si="162"/>
        <v>11110110001101101111001101100110</v>
      </c>
      <c r="N169" s="14">
        <f>MOD(BIN2DEC(MID(L169,1,8))+4*HEX2DEC(J169),256)</f>
        <v>25</v>
      </c>
      <c r="O169" s="14">
        <f t="shared" si="157"/>
        <v>149</v>
      </c>
      <c r="P169" s="14">
        <f t="shared" si="159"/>
        <v>1050</v>
      </c>
      <c r="Q169" s="14"/>
      <c r="R169" s="14" t="s">
        <v>188</v>
      </c>
      <c r="S169" s="14"/>
      <c r="T169" s="14"/>
    </row>
    <row r="170" spans="1:28" ht="18.600000000000001" thickBot="1" x14ac:dyDescent="0.4">
      <c r="A170" s="91"/>
      <c r="B170" s="76"/>
      <c r="C170" s="5" t="s">
        <v>6</v>
      </c>
      <c r="D170" s="5" t="s">
        <v>126</v>
      </c>
      <c r="E170" s="5" t="s">
        <v>106</v>
      </c>
      <c r="F170" s="5" t="s">
        <v>17</v>
      </c>
      <c r="G170" s="5" t="s">
        <v>106</v>
      </c>
      <c r="H170" s="5" t="str">
        <f t="shared" si="153"/>
        <v>11000110110111100110110011011110</v>
      </c>
      <c r="I170" s="5">
        <f t="shared" si="154"/>
        <v>20</v>
      </c>
      <c r="J170" s="78"/>
      <c r="K170" s="80"/>
      <c r="L170" s="14" t="str">
        <f t="shared" si="163"/>
        <v>10111000011100000010011111011100</v>
      </c>
      <c r="M170" s="14" t="str">
        <f t="shared" ref="M170" si="198">CONCATENATE(MID(M169,6,8),MID(M169,30,3),MID(M169,1,5),MID(M169,22,8),MID(M169,14,8))</f>
        <v>11000110110111100110110011011110</v>
      </c>
      <c r="N170" s="14">
        <f>BIN2DEC(MID(L170,1,8))</f>
        <v>184</v>
      </c>
      <c r="O170" s="14">
        <f t="shared" si="157"/>
        <v>50</v>
      </c>
      <c r="P170" s="14">
        <f t="shared" si="159"/>
        <v>1051</v>
      </c>
      <c r="Q170" s="14"/>
      <c r="R170" s="14" t="s">
        <v>188</v>
      </c>
      <c r="S170" s="14"/>
      <c r="T170" s="14"/>
    </row>
    <row r="171" spans="1:28" x14ac:dyDescent="0.35">
      <c r="A171" s="91"/>
      <c r="B171" s="75">
        <f>B169+1</f>
        <v>85</v>
      </c>
      <c r="C171" s="4" t="s">
        <v>0</v>
      </c>
      <c r="D171" s="4" t="s">
        <v>50</v>
      </c>
      <c r="E171" s="4">
        <v>37</v>
      </c>
      <c r="F171" s="4" t="s">
        <v>137</v>
      </c>
      <c r="G171" s="4">
        <v>1</v>
      </c>
      <c r="H171" s="4" t="str">
        <f t="shared" si="153"/>
        <v>11100010001101111001101000000001</v>
      </c>
      <c r="I171" s="4">
        <f t="shared" si="154"/>
        <v>14</v>
      </c>
      <c r="J171" s="77" t="s">
        <v>62</v>
      </c>
      <c r="K171" s="79" t="str">
        <f>HEX2BIN(J171,8)</f>
        <v>11110011</v>
      </c>
      <c r="L171" s="43" t="str">
        <f t="shared" ref="L171" si="199">CONCATENATE(HEX2BIN(G171,8),HEX2BIN(F171,8),HEX2BIN(E171,8),HEX2BIN(D171,8))</f>
        <v>00000001100110100011011111100010</v>
      </c>
      <c r="M171" s="1" t="str">
        <f t="shared" si="162"/>
        <v>11110110100000110001010010101110</v>
      </c>
      <c r="N171" s="14">
        <f>MOD(BIN2DEC(MID(L171,1,8))+4*HEX2DEC(J171),256)</f>
        <v>205</v>
      </c>
      <c r="O171" s="14">
        <f t="shared" si="157"/>
        <v>207</v>
      </c>
      <c r="P171" s="14">
        <f t="shared" si="159"/>
        <v>1052</v>
      </c>
      <c r="Q171" s="14"/>
      <c r="R171" s="14" t="s">
        <v>195</v>
      </c>
      <c r="S171" s="14"/>
      <c r="T171" s="14"/>
    </row>
    <row r="172" spans="1:28" ht="18.600000000000001" thickBot="1" x14ac:dyDescent="0.4">
      <c r="A172" s="91"/>
      <c r="B172" s="76"/>
      <c r="C172" s="5" t="s">
        <v>6</v>
      </c>
      <c r="D172" s="5" t="s">
        <v>112</v>
      </c>
      <c r="E172" s="5" t="s">
        <v>106</v>
      </c>
      <c r="F172" s="5">
        <v>95</v>
      </c>
      <c r="G172" s="5">
        <v>62</v>
      </c>
      <c r="H172" s="5" t="str">
        <f t="shared" si="153"/>
        <v>11010000110111101001010101100010</v>
      </c>
      <c r="I172" s="5">
        <f t="shared" si="154"/>
        <v>16</v>
      </c>
      <c r="J172" s="78"/>
      <c r="K172" s="80"/>
      <c r="L172" s="14" t="str">
        <f t="shared" si="163"/>
        <v>11110100111010001101110011001100</v>
      </c>
      <c r="M172" s="14" t="str">
        <f t="shared" ref="M172" si="200">CONCATENATE(MID(M171,6,8),MID(M171,30,3),MID(M171,1,5),MID(M171,22,8),MID(M171,14,8))</f>
        <v>11010000110111101001010101100010</v>
      </c>
      <c r="N172" s="14">
        <f>BIN2DEC(MID(L172,1,8))</f>
        <v>244</v>
      </c>
      <c r="O172" s="14">
        <f t="shared" si="157"/>
        <v>108</v>
      </c>
      <c r="P172" s="14">
        <f t="shared" ref="P172:P235" si="201">P171+1</f>
        <v>1053</v>
      </c>
      <c r="Q172" s="14"/>
      <c r="R172" s="14" t="s">
        <v>198</v>
      </c>
      <c r="S172" s="14"/>
      <c r="T172" s="14"/>
    </row>
    <row r="173" spans="1:28" x14ac:dyDescent="0.35">
      <c r="A173" s="91"/>
      <c r="B173" s="75">
        <f>B171+1</f>
        <v>86</v>
      </c>
      <c r="C173" s="4" t="s">
        <v>0</v>
      </c>
      <c r="D173" s="4" t="s">
        <v>72</v>
      </c>
      <c r="E173" s="4">
        <v>15</v>
      </c>
      <c r="F173" s="4">
        <v>53</v>
      </c>
      <c r="G173" s="4" t="s">
        <v>36</v>
      </c>
      <c r="H173" s="4" t="str">
        <f t="shared" si="153"/>
        <v>01011010000101010101001101011111</v>
      </c>
      <c r="I173" s="4">
        <f t="shared" si="154"/>
        <v>17</v>
      </c>
      <c r="J173" s="77" t="s">
        <v>116</v>
      </c>
      <c r="K173" s="79" t="str">
        <f>HEX2BIN(J173,8)</f>
        <v>10101110</v>
      </c>
      <c r="L173" s="43" t="str">
        <f t="shared" ref="L173" si="202">CONCATENATE(HEX2BIN(G173,8),HEX2BIN(F173,8),HEX2BIN(E173,8),HEX2BIN(D173,8))</f>
        <v>01011111010100110001010101011010</v>
      </c>
      <c r="M173" s="1" t="str">
        <f t="shared" si="162"/>
        <v>00001110101100010010001000010010</v>
      </c>
      <c r="N173" s="14">
        <f>MOD(BIN2DEC(MID(L173,1,8))+4*HEX2DEC(J173),256)</f>
        <v>23</v>
      </c>
      <c r="O173" s="14">
        <f t="shared" si="157"/>
        <v>9</v>
      </c>
      <c r="P173" s="14">
        <f t="shared" si="201"/>
        <v>1054</v>
      </c>
      <c r="Q173" s="14"/>
      <c r="R173" s="14" t="s">
        <v>193</v>
      </c>
      <c r="S173" s="14"/>
      <c r="T173" s="14"/>
    </row>
    <row r="174" spans="1:28" ht="18.600000000000001" thickBot="1" x14ac:dyDescent="0.4">
      <c r="A174" s="91"/>
      <c r="B174" s="76"/>
      <c r="C174" s="5" t="s">
        <v>6</v>
      </c>
      <c r="D174" s="5" t="s">
        <v>35</v>
      </c>
      <c r="E174" s="5">
        <v>41</v>
      </c>
      <c r="F174" s="5">
        <v>42</v>
      </c>
      <c r="G174" s="5">
        <v>24</v>
      </c>
      <c r="H174" s="5" t="str">
        <f t="shared" si="153"/>
        <v>11010110010000010100001000100100</v>
      </c>
      <c r="I174" s="5">
        <f t="shared" si="154"/>
        <v>11</v>
      </c>
      <c r="J174" s="78"/>
      <c r="K174" s="80"/>
      <c r="L174" s="14" t="str">
        <f t="shared" si="163"/>
        <v>10101111010111100000110010111000</v>
      </c>
      <c r="M174" s="14" t="str">
        <f t="shared" ref="M174" si="203">CONCATENATE(MID(M173,6,8),MID(M173,30,3),MID(M173,1,5),MID(M173,22,8),MID(M173,14,8))</f>
        <v>11010110010000010100001000100100</v>
      </c>
      <c r="N174" s="14">
        <f>BIN2DEC(MID(L174,1,8))</f>
        <v>175</v>
      </c>
      <c r="O174" s="14">
        <f t="shared" si="157"/>
        <v>166</v>
      </c>
      <c r="P174" s="14">
        <f t="shared" si="201"/>
        <v>1055</v>
      </c>
      <c r="Q174" s="14"/>
      <c r="R174" s="14" t="s">
        <v>193</v>
      </c>
      <c r="S174" s="14"/>
      <c r="T174" s="14"/>
    </row>
    <row r="175" spans="1:28" ht="18.600000000000001" thickBot="1" x14ac:dyDescent="0.4">
      <c r="A175" s="91"/>
      <c r="B175" s="81">
        <f>B173+1</f>
        <v>87</v>
      </c>
      <c r="C175" s="4" t="s">
        <v>0</v>
      </c>
      <c r="D175" s="4">
        <v>34</v>
      </c>
      <c r="E175" s="4">
        <v>76</v>
      </c>
      <c r="F175" s="4" t="s">
        <v>46</v>
      </c>
      <c r="G175" s="4">
        <v>25</v>
      </c>
      <c r="H175" s="4" t="str">
        <f t="shared" si="153"/>
        <v>00110100011101101101100000100101</v>
      </c>
      <c r="I175" s="4">
        <f t="shared" si="154"/>
        <v>15</v>
      </c>
      <c r="J175" s="77">
        <v>6</v>
      </c>
      <c r="K175" s="79" t="str">
        <f>HEX2BIN(J175,8)</f>
        <v>00000110</v>
      </c>
      <c r="L175" s="43" t="str">
        <f t="shared" ref="L175" si="204">CONCATENATE(HEX2BIN(G175,8),HEX2BIN(F175,8),HEX2BIN(E175,8),HEX2BIN(D175,8))</f>
        <v>00100101110110000111011000110100</v>
      </c>
      <c r="M175" s="1" t="str">
        <f t="shared" si="162"/>
        <v>00101011111001001000100001001100</v>
      </c>
      <c r="N175" s="26" t="str">
        <f>MID(L175,6,3)</f>
        <v>101</v>
      </c>
      <c r="O175" s="26" t="str">
        <f>MID(L175,9,3)</f>
        <v>110</v>
      </c>
      <c r="P175" s="26" t="str">
        <f>MID(L175,12,5)</f>
        <v>11000</v>
      </c>
      <c r="Q175" s="77" t="e">
        <f>BIN2DEC(M175)-BIN2DEC(M176)</f>
        <v>#NUM!</v>
      </c>
      <c r="R175" s="77">
        <f>BIN2DEC(N175)-BIN2DEC(N176)</f>
        <v>-1</v>
      </c>
      <c r="S175" s="77">
        <f>BIN2DEC(O175)-BIN2DEC(O176)</f>
        <v>6</v>
      </c>
      <c r="T175" s="77">
        <f>BIN2DEC(P175)-BIN2DEC(P176)</f>
        <v>12</v>
      </c>
      <c r="U175" s="1" t="e">
        <f t="shared" ref="U175:AB175" si="205">BIN2DEC(M175)-BIN2DEC(M176)</f>
        <v>#NUM!</v>
      </c>
      <c r="V175" s="1">
        <f t="shared" si="205"/>
        <v>-1</v>
      </c>
      <c r="W175" s="1">
        <f t="shared" si="205"/>
        <v>6</v>
      </c>
      <c r="X175" s="1">
        <f t="shared" si="205"/>
        <v>12</v>
      </c>
      <c r="Y175" s="1" t="e">
        <f t="shared" si="205"/>
        <v>#NUM!</v>
      </c>
      <c r="Z175" s="1" t="e">
        <f t="shared" si="205"/>
        <v>#NUM!</v>
      </c>
      <c r="AA175" s="1" t="e">
        <f t="shared" si="205"/>
        <v>#NUM!</v>
      </c>
      <c r="AB175" s="1" t="e">
        <f t="shared" si="205"/>
        <v>#NUM!</v>
      </c>
    </row>
    <row r="176" spans="1:28" ht="18.600000000000001" thickBot="1" x14ac:dyDescent="0.4">
      <c r="A176" s="91"/>
      <c r="B176" s="82"/>
      <c r="C176" s="5" t="s">
        <v>6</v>
      </c>
      <c r="D176" s="5" t="s">
        <v>45</v>
      </c>
      <c r="E176" s="5">
        <v>85</v>
      </c>
      <c r="F176" s="5">
        <v>9</v>
      </c>
      <c r="G176" s="5">
        <v>91</v>
      </c>
      <c r="H176" s="5" t="str">
        <f t="shared" si="153"/>
        <v>01111100100001010000100110010001</v>
      </c>
      <c r="I176" s="5">
        <f t="shared" si="154"/>
        <v>13</v>
      </c>
      <c r="J176" s="78"/>
      <c r="K176" s="80"/>
      <c r="L176" s="14" t="str">
        <f t="shared" si="163"/>
        <v>00000110000011000001001000011000</v>
      </c>
      <c r="M176" s="14" t="str">
        <f t="shared" ref="M176" si="206">CONCATENATE(MID(M175,6,8),MID(M175,30,3),MID(M175,1,5),MID(M175,22,8),MID(M175,14,8))</f>
        <v>01111100100001010000100110010001</v>
      </c>
      <c r="N176" s="26" t="str">
        <f>MID(L176,6,3)</f>
        <v>110</v>
      </c>
      <c r="O176" s="26" t="str">
        <f>MID(L176,9,3)</f>
        <v>000</v>
      </c>
      <c r="P176" s="26" t="str">
        <f>MID(L176,12,5)</f>
        <v>01100</v>
      </c>
      <c r="Q176" s="78"/>
      <c r="R176" s="78"/>
      <c r="S176" s="78"/>
      <c r="T176" s="78"/>
    </row>
    <row r="177" spans="1:27" x14ac:dyDescent="0.35">
      <c r="A177" s="91"/>
      <c r="B177" s="75">
        <f>B175+1</f>
        <v>88</v>
      </c>
      <c r="C177" s="4" t="s">
        <v>0</v>
      </c>
      <c r="D177" s="4">
        <v>26</v>
      </c>
      <c r="E177" s="4">
        <v>90</v>
      </c>
      <c r="F177" s="4" t="s">
        <v>72</v>
      </c>
      <c r="G177" s="4" t="s">
        <v>138</v>
      </c>
      <c r="H177" s="4" t="str">
        <f t="shared" si="153"/>
        <v>00100110100100000101101011001110</v>
      </c>
      <c r="I177" s="4">
        <f t="shared" si="154"/>
        <v>14</v>
      </c>
      <c r="J177" s="77">
        <v>61</v>
      </c>
      <c r="K177" s="79" t="str">
        <f>HEX2BIN(J177,8)</f>
        <v>01100001</v>
      </c>
      <c r="L177" s="43" t="str">
        <f t="shared" ref="L177" si="207">CONCATENATE(HEX2BIN(G177,8),HEX2BIN(F177,8),HEX2BIN(E177,8),HEX2BIN(D177,8))</f>
        <v>11001110010110101001000000100110</v>
      </c>
      <c r="M177" s="1" t="str">
        <f t="shared" si="162"/>
        <v>00110000000111011011010010101010</v>
      </c>
      <c r="N177" s="14">
        <f>MOD(BIN2DEC(MID(L177,1,8))+4*HEX2DEC(J177),256)</f>
        <v>82</v>
      </c>
      <c r="O177" s="14">
        <f t="shared" si="157"/>
        <v>220</v>
      </c>
      <c r="P177" s="14">
        <f t="shared" si="201"/>
        <v>1101</v>
      </c>
      <c r="Q177" s="14"/>
      <c r="R177" s="14" t="s">
        <v>207</v>
      </c>
      <c r="S177" s="14"/>
      <c r="T177" s="14"/>
    </row>
    <row r="178" spans="1:27" ht="18.600000000000001" thickBot="1" x14ac:dyDescent="0.4">
      <c r="A178" s="91"/>
      <c r="B178" s="76"/>
      <c r="C178" s="5" t="s">
        <v>6</v>
      </c>
      <c r="D178" s="5">
        <v>3</v>
      </c>
      <c r="E178" s="5">
        <v>46</v>
      </c>
      <c r="F178" s="5">
        <v>95</v>
      </c>
      <c r="G178" s="5" t="s">
        <v>49</v>
      </c>
      <c r="H178" s="5" t="str">
        <f t="shared" si="153"/>
        <v>00000011010001101001010110110110</v>
      </c>
      <c r="I178" s="5">
        <f t="shared" si="154"/>
        <v>14</v>
      </c>
      <c r="J178" s="78"/>
      <c r="K178" s="80"/>
      <c r="L178" s="14" t="str">
        <f t="shared" si="163"/>
        <v>01100001110000110010010010000100</v>
      </c>
      <c r="M178" s="14" t="str">
        <f t="shared" ref="M178" si="208">CONCATENATE(MID(M177,6,8),MID(M177,30,3),MID(M177,1,5),MID(M177,22,8),MID(M177,14,8))</f>
        <v>00000011010001101001010110110110</v>
      </c>
      <c r="N178" s="14">
        <f>BIN2DEC(MID(L178,1,8))</f>
        <v>97</v>
      </c>
      <c r="O178" s="14">
        <f t="shared" si="157"/>
        <v>121</v>
      </c>
      <c r="P178" s="14">
        <f t="shared" si="201"/>
        <v>1102</v>
      </c>
      <c r="Q178" s="14"/>
      <c r="R178" s="14" t="s">
        <v>200</v>
      </c>
      <c r="S178" s="14"/>
      <c r="T178" s="14"/>
    </row>
    <row r="179" spans="1:27" x14ac:dyDescent="0.35">
      <c r="A179" s="91">
        <f>A163+1</f>
        <v>12</v>
      </c>
      <c r="B179" s="75">
        <f>B177+1</f>
        <v>89</v>
      </c>
      <c r="C179" s="4" t="s">
        <v>0</v>
      </c>
      <c r="D179" s="4" t="s">
        <v>150</v>
      </c>
      <c r="E179" s="4">
        <v>31</v>
      </c>
      <c r="F179" s="4" t="s">
        <v>77</v>
      </c>
      <c r="G179" s="4" t="s">
        <v>20</v>
      </c>
      <c r="H179" s="4" t="str">
        <f t="shared" si="153"/>
        <v>01111010001100011110011000001010</v>
      </c>
      <c r="I179" s="4">
        <f t="shared" si="154"/>
        <v>15</v>
      </c>
      <c r="J179" s="77" t="s">
        <v>84</v>
      </c>
      <c r="K179" s="79" t="str">
        <f>HEX2BIN(J179,8)</f>
        <v>00111100</v>
      </c>
      <c r="L179" s="43" t="str">
        <f t="shared" ref="L179" si="209">CONCATENATE(HEX2BIN(G179,8),HEX2BIN(F179,8),HEX2BIN(E179,8),HEX2BIN(D179,8))</f>
        <v>00001010111001100011000101111010</v>
      </c>
      <c r="M179" s="1" t="str">
        <f t="shared" si="162"/>
        <v>01000111010111101110011001101010</v>
      </c>
      <c r="N179" s="14">
        <f>MOD(BIN2DEC(MID(L179,1,8))+4*HEX2DEC(J179),256)</f>
        <v>250</v>
      </c>
      <c r="O179" s="14">
        <f t="shared" si="157"/>
        <v>22</v>
      </c>
      <c r="P179" s="14">
        <f t="shared" si="201"/>
        <v>1103</v>
      </c>
      <c r="Q179" s="14"/>
      <c r="R179" s="14" t="s">
        <v>211</v>
      </c>
      <c r="S179" s="14"/>
      <c r="T179" s="14"/>
    </row>
    <row r="180" spans="1:27" ht="18.600000000000001" thickBot="1" x14ac:dyDescent="0.4">
      <c r="A180" s="91"/>
      <c r="B180" s="76"/>
      <c r="C180" s="5" t="s">
        <v>6</v>
      </c>
      <c r="D180" s="5" t="s">
        <v>73</v>
      </c>
      <c r="E180" s="5">
        <v>48</v>
      </c>
      <c r="F180" s="5" t="s">
        <v>82</v>
      </c>
      <c r="G180" s="5" t="s">
        <v>101</v>
      </c>
      <c r="H180" s="5" t="str">
        <f t="shared" si="153"/>
        <v>11101011010010001100110111011100</v>
      </c>
      <c r="I180" s="5">
        <f t="shared" si="154"/>
        <v>18</v>
      </c>
      <c r="J180" s="78"/>
      <c r="K180" s="80"/>
      <c r="L180" s="14" t="str">
        <f t="shared" si="163"/>
        <v>00111100011110001011010011110000</v>
      </c>
      <c r="M180" s="14" t="str">
        <f t="shared" ref="M180" si="210">CONCATENATE(MID(M179,6,8),MID(M179,30,3),MID(M179,1,5),MID(M179,22,8),MID(M179,14,8))</f>
        <v>11101011010010001100110111011100</v>
      </c>
      <c r="N180" s="14">
        <f>BIN2DEC(MID(L180,1,8))</f>
        <v>60</v>
      </c>
      <c r="O180" s="14">
        <f t="shared" si="157"/>
        <v>179</v>
      </c>
      <c r="P180" s="14">
        <f t="shared" si="201"/>
        <v>1104</v>
      </c>
      <c r="Q180" s="14"/>
      <c r="R180" s="14" t="s">
        <v>199</v>
      </c>
      <c r="S180" s="14"/>
      <c r="T180" s="14"/>
    </row>
    <row r="181" spans="1:27" s="7" customFormat="1" x14ac:dyDescent="0.35">
      <c r="A181" s="91"/>
      <c r="B181" s="85">
        <f>B179+1</f>
        <v>90</v>
      </c>
      <c r="C181" s="52" t="s">
        <v>0</v>
      </c>
      <c r="D181" s="52" t="s">
        <v>61</v>
      </c>
      <c r="E181" s="52" t="s">
        <v>55</v>
      </c>
      <c r="F181" s="52" t="s">
        <v>70</v>
      </c>
      <c r="G181" s="52" t="s">
        <v>88</v>
      </c>
      <c r="H181" s="52" t="str">
        <f t="shared" si="153"/>
        <v>00101101100010100101110111100001</v>
      </c>
      <c r="I181" s="52">
        <f t="shared" si="154"/>
        <v>16</v>
      </c>
      <c r="J181" s="87" t="s">
        <v>21</v>
      </c>
      <c r="K181" s="89" t="str">
        <f>HEX2BIN(J181,8)</f>
        <v>11111010</v>
      </c>
      <c r="L181" s="43" t="str">
        <f t="shared" ref="L181" si="211">CONCATENATE(HEX2BIN(G181,8),HEX2BIN(F181,8),HEX2BIN(E181,8),HEX2BIN(D181,8))</f>
        <v>11100001010111011000101000101101</v>
      </c>
      <c r="M181" s="1" t="str">
        <f t="shared" si="162"/>
        <v>11011101010101000111110000010101</v>
      </c>
      <c r="N181" s="14" t="str">
        <f>MID($L181,6,3)</f>
        <v>001</v>
      </c>
      <c r="O181" s="14" t="str">
        <f>MID($L181,9,3)</f>
        <v>010</v>
      </c>
      <c r="P181" s="14" t="str">
        <f>MID($L181,12,5)</f>
        <v>11101</v>
      </c>
      <c r="Q181" s="14" t="str">
        <f>MID($L181,7,5)</f>
        <v>01010</v>
      </c>
      <c r="R181" s="14" t="str">
        <f>MID($L181,22,3)</f>
        <v>010</v>
      </c>
      <c r="S181" s="14" t="str">
        <f>MID($L181,25,3)</f>
        <v>001</v>
      </c>
      <c r="T181" s="14" t="str">
        <f>MID($L181,28,5)</f>
        <v>01101</v>
      </c>
      <c r="U181" s="1" t="e">
        <f t="shared" ref="U181:AA181" si="212">BIN2DEC(M181)-BIN2DEC(M182)</f>
        <v>#NUM!</v>
      </c>
      <c r="V181" s="1">
        <f t="shared" si="212"/>
        <v>-2</v>
      </c>
      <c r="W181" s="1">
        <f t="shared" si="212"/>
        <v>-5</v>
      </c>
      <c r="X181" s="1">
        <f t="shared" si="212"/>
        <v>7</v>
      </c>
      <c r="Y181" s="1">
        <f t="shared" si="212"/>
        <v>-21</v>
      </c>
      <c r="Z181" s="1">
        <f t="shared" si="212"/>
        <v>1</v>
      </c>
      <c r="AA181" s="1">
        <f t="shared" si="212"/>
        <v>-6</v>
      </c>
    </row>
    <row r="182" spans="1:27" s="7" customFormat="1" ht="18.600000000000001" thickBot="1" x14ac:dyDescent="0.4">
      <c r="A182" s="91"/>
      <c r="B182" s="86"/>
      <c r="C182" s="53" t="s">
        <v>6</v>
      </c>
      <c r="D182" s="53" t="s">
        <v>51</v>
      </c>
      <c r="E182" s="53" t="s">
        <v>146</v>
      </c>
      <c r="F182" s="53">
        <v>82</v>
      </c>
      <c r="G182" s="53" t="s">
        <v>153</v>
      </c>
      <c r="H182" s="53" t="str">
        <f t="shared" si="153"/>
        <v>10101010101110111000001010001111</v>
      </c>
      <c r="I182" s="53">
        <f t="shared" si="154"/>
        <v>17</v>
      </c>
      <c r="J182" s="88"/>
      <c r="K182" s="90"/>
      <c r="L182" s="14" t="str">
        <f t="shared" si="163"/>
        <v>11111011111101101111000111101000</v>
      </c>
      <c r="M182" s="14" t="str">
        <f t="shared" ref="M182" si="213">CONCATENATE(MID(M181,6,8),MID(M181,30,3),MID(M181,1,5),MID(M181,22,8),MID(M181,14,8))</f>
        <v>10101010101110111000001010001111</v>
      </c>
      <c r="N182" s="14" t="str">
        <f>MID($L182,6,3)</f>
        <v>011</v>
      </c>
      <c r="O182" s="14" t="str">
        <f>MID($L182,9,3)</f>
        <v>111</v>
      </c>
      <c r="P182" s="14" t="str">
        <f>MID($L182,12,5)</f>
        <v>10110</v>
      </c>
      <c r="Q182" s="14" t="str">
        <f>MID($L182,7,5)</f>
        <v>11111</v>
      </c>
      <c r="R182" s="14" t="str">
        <f>MID($L182,22,3)</f>
        <v>001</v>
      </c>
      <c r="S182" s="14" t="str">
        <f>MID($L182,25,3)</f>
        <v>111</v>
      </c>
      <c r="T182" s="14" t="str">
        <f>MID($L182,28,5)</f>
        <v>01000</v>
      </c>
      <c r="U182" s="1"/>
      <c r="V182" s="1"/>
      <c r="W182" s="1"/>
      <c r="X182" s="1"/>
      <c r="Y182" s="1"/>
      <c r="Z182" s="1"/>
      <c r="AA182" s="1"/>
    </row>
    <row r="183" spans="1:27" x14ac:dyDescent="0.35">
      <c r="A183" s="91"/>
      <c r="B183" s="75">
        <f>B181+1</f>
        <v>91</v>
      </c>
      <c r="C183" s="4" t="s">
        <v>0</v>
      </c>
      <c r="D183" s="4" t="s">
        <v>112</v>
      </c>
      <c r="E183" s="4" t="s">
        <v>55</v>
      </c>
      <c r="F183" s="4">
        <v>64</v>
      </c>
      <c r="G183" s="4">
        <v>85</v>
      </c>
      <c r="H183" s="4" t="str">
        <f t="shared" si="153"/>
        <v>11010000100010100110010010000101</v>
      </c>
      <c r="I183" s="4">
        <f t="shared" si="154"/>
        <v>12</v>
      </c>
      <c r="J183" s="77" t="s">
        <v>43</v>
      </c>
      <c r="K183" s="79" t="str">
        <f>HEX2BIN(J183,8)</f>
        <v>00001011</v>
      </c>
      <c r="L183" s="43" t="str">
        <f t="shared" ref="L183" si="214">CONCATENATE(HEX2BIN(G183,8),HEX2BIN(F183,8),HEX2BIN(E183,8),HEX2BIN(D183,8))</f>
        <v>10000101011001001000101011010000</v>
      </c>
      <c r="M183" s="1" t="str">
        <f t="shared" si="162"/>
        <v>10010000011110101010101111111100</v>
      </c>
      <c r="N183" s="14">
        <f>MOD(BIN2DEC(MID(L183,1,8))+4*HEX2DEC(J183),256)</f>
        <v>177</v>
      </c>
      <c r="O183" s="14">
        <f t="shared" si="157"/>
        <v>134</v>
      </c>
      <c r="P183" s="14">
        <f t="shared" si="201"/>
        <v>10111</v>
      </c>
      <c r="Q183" s="14"/>
      <c r="R183" s="14" t="s">
        <v>197</v>
      </c>
      <c r="S183" s="14"/>
      <c r="T183" s="14"/>
    </row>
    <row r="184" spans="1:27" ht="18.600000000000001" thickBot="1" x14ac:dyDescent="0.4">
      <c r="A184" s="91"/>
      <c r="B184" s="76"/>
      <c r="C184" s="5" t="s">
        <v>6</v>
      </c>
      <c r="D184" s="5" t="s">
        <v>33</v>
      </c>
      <c r="E184" s="5">
        <v>92</v>
      </c>
      <c r="F184" s="5" t="s">
        <v>42</v>
      </c>
      <c r="G184" s="5">
        <v>55</v>
      </c>
      <c r="H184" s="5" t="str">
        <f t="shared" si="153"/>
        <v>00001111100100100111111101010101</v>
      </c>
      <c r="I184" s="5">
        <f t="shared" si="154"/>
        <v>18</v>
      </c>
      <c r="J184" s="78"/>
      <c r="K184" s="80"/>
      <c r="L184" s="14" t="str">
        <f t="shared" si="163"/>
        <v>00001011000101100010000100101100</v>
      </c>
      <c r="M184" s="14" t="str">
        <f t="shared" ref="M184" si="215">CONCATENATE(MID(M183,6,8),MID(M183,30,3),MID(M183,1,5),MID(M183,22,8),MID(M183,14,8))</f>
        <v>00001111100100100111111101010101</v>
      </c>
      <c r="N184" s="14">
        <f>BIN2DEC(MID(L184,1,8))</f>
        <v>11</v>
      </c>
      <c r="O184" s="14">
        <f t="shared" si="157"/>
        <v>35</v>
      </c>
      <c r="P184" s="14">
        <f t="shared" si="201"/>
        <v>10112</v>
      </c>
      <c r="Q184" s="14"/>
      <c r="R184" s="14" t="s">
        <v>192</v>
      </c>
      <c r="S184" s="14"/>
      <c r="T184" s="14"/>
    </row>
    <row r="185" spans="1:27" x14ac:dyDescent="0.35">
      <c r="A185" s="91"/>
      <c r="B185" s="75">
        <f>B183+1</f>
        <v>92</v>
      </c>
      <c r="C185" s="4" t="s">
        <v>0</v>
      </c>
      <c r="D185" s="4">
        <v>22</v>
      </c>
      <c r="E185" s="4">
        <v>18</v>
      </c>
      <c r="F185" s="4">
        <v>22</v>
      </c>
      <c r="G185" s="4" t="s">
        <v>155</v>
      </c>
      <c r="H185" s="4" t="str">
        <f t="shared" si="153"/>
        <v>00100010000110000010001010110100</v>
      </c>
      <c r="I185" s="4">
        <f t="shared" si="154"/>
        <v>10</v>
      </c>
      <c r="J185" s="77">
        <v>63</v>
      </c>
      <c r="K185" s="79" t="str">
        <f>HEX2BIN(J185,8)</f>
        <v>01100011</v>
      </c>
      <c r="L185" s="43" t="str">
        <f t="shared" ref="L185" si="216">CONCATENATE(HEX2BIN(G185,8),HEX2BIN(F185,8),HEX2BIN(E185,8),HEX2BIN(D185,8))</f>
        <v>10110100001000100001100000100010</v>
      </c>
      <c r="M185" s="1" t="str">
        <f t="shared" si="162"/>
        <v>00010111111010010100001010101110</v>
      </c>
      <c r="N185" s="14">
        <f>MOD(BIN2DEC(MID(L185,1,8))+4*HEX2DEC(J185),256)</f>
        <v>64</v>
      </c>
      <c r="O185" s="14">
        <f t="shared" si="157"/>
        <v>192</v>
      </c>
      <c r="P185" s="14">
        <f t="shared" si="201"/>
        <v>10113</v>
      </c>
      <c r="Q185" s="14"/>
      <c r="R185" s="14" t="s">
        <v>208</v>
      </c>
      <c r="S185" s="14"/>
      <c r="T185" s="14"/>
    </row>
    <row r="186" spans="1:27" ht="18.600000000000001" thickBot="1" x14ac:dyDescent="0.4">
      <c r="A186" s="91"/>
      <c r="B186" s="76"/>
      <c r="C186" s="5" t="s">
        <v>6</v>
      </c>
      <c r="D186" s="5" t="s">
        <v>156</v>
      </c>
      <c r="E186" s="5" t="s">
        <v>29</v>
      </c>
      <c r="F186" s="5">
        <v>55</v>
      </c>
      <c r="G186" s="5">
        <v>28</v>
      </c>
      <c r="H186" s="5" t="str">
        <f t="shared" si="153"/>
        <v>11111101110000100101010100101000</v>
      </c>
      <c r="I186" s="5">
        <f t="shared" si="154"/>
        <v>16</v>
      </c>
      <c r="J186" s="78"/>
      <c r="K186" s="80"/>
      <c r="L186" s="14" t="str">
        <f t="shared" si="163"/>
        <v>01100011110001110010101010001100</v>
      </c>
      <c r="M186" s="14" t="str">
        <f t="shared" ref="M186" si="217">CONCATENATE(MID(M185,6,8),MID(M185,30,3),MID(M185,1,5),MID(M185,22,8),MID(M185,14,8))</f>
        <v>11111101110000100101010100101000</v>
      </c>
      <c r="N186" s="14">
        <f>BIN2DEC(MID(L186,1,8))</f>
        <v>99</v>
      </c>
      <c r="O186" s="14">
        <f t="shared" si="157"/>
        <v>93</v>
      </c>
      <c r="P186" s="14">
        <f t="shared" si="201"/>
        <v>10114</v>
      </c>
      <c r="Q186" s="14"/>
      <c r="R186" s="14" t="s">
        <v>204</v>
      </c>
      <c r="S186" s="14"/>
      <c r="T186" s="14"/>
    </row>
    <row r="187" spans="1:27" x14ac:dyDescent="0.35">
      <c r="A187" s="91"/>
      <c r="B187" s="75">
        <f>B185+1</f>
        <v>93</v>
      </c>
      <c r="C187" s="4" t="s">
        <v>0</v>
      </c>
      <c r="D187" s="4" t="s">
        <v>61</v>
      </c>
      <c r="E187" s="4">
        <v>48</v>
      </c>
      <c r="F187" s="4">
        <v>31</v>
      </c>
      <c r="G187" s="4" t="s">
        <v>127</v>
      </c>
      <c r="H187" s="4" t="str">
        <f t="shared" si="153"/>
        <v>00101101010010000011000110101101</v>
      </c>
      <c r="I187" s="4">
        <f t="shared" si="154"/>
        <v>14</v>
      </c>
      <c r="J187" s="77">
        <v>7</v>
      </c>
      <c r="K187" s="79" t="str">
        <f>HEX2BIN(J187,8)</f>
        <v>00000111</v>
      </c>
      <c r="L187" s="43" t="str">
        <f t="shared" ref="L187" si="218">CONCATENATE(HEX2BIN(G187,8),HEX2BIN(F187,8),HEX2BIN(E187,8),HEX2BIN(D187,8))</f>
        <v>10101101001100010100100000101101</v>
      </c>
      <c r="M187" s="1" t="str">
        <f t="shared" si="162"/>
        <v>10110100001111110101110101001001</v>
      </c>
      <c r="N187" s="14">
        <f>MOD(BIN2DEC(MID(L187,1,8))+4*HEX2DEC(J187),256)</f>
        <v>201</v>
      </c>
      <c r="O187" s="14">
        <f t="shared" si="157"/>
        <v>250</v>
      </c>
      <c r="P187" s="14">
        <f t="shared" si="201"/>
        <v>10115</v>
      </c>
      <c r="Q187" s="14"/>
      <c r="R187" s="14" t="s">
        <v>189</v>
      </c>
      <c r="S187" s="14"/>
      <c r="T187" s="14"/>
    </row>
    <row r="188" spans="1:27" ht="18.600000000000001" thickBot="1" x14ac:dyDescent="0.4">
      <c r="A188" s="91"/>
      <c r="B188" s="76"/>
      <c r="C188" s="5" t="s">
        <v>6</v>
      </c>
      <c r="D188" s="5">
        <v>87</v>
      </c>
      <c r="E188" s="5">
        <v>36</v>
      </c>
      <c r="F188" s="5" t="s">
        <v>149</v>
      </c>
      <c r="G188" s="5" t="s">
        <v>73</v>
      </c>
      <c r="H188" s="5" t="str">
        <f t="shared" si="153"/>
        <v>10000111001101101010100111101011</v>
      </c>
      <c r="I188" s="5">
        <f t="shared" si="154"/>
        <v>18</v>
      </c>
      <c r="J188" s="78"/>
      <c r="K188" s="80"/>
      <c r="L188" s="14" t="str">
        <f t="shared" si="163"/>
        <v>00000111000011100001010100011100</v>
      </c>
      <c r="M188" s="14" t="str">
        <f t="shared" ref="M188" si="219">CONCATENATE(MID(M187,6,8),MID(M187,30,3),MID(M187,1,5),MID(M187,22,8),MID(M187,14,8))</f>
        <v>10000111001101101010100111101011</v>
      </c>
      <c r="N188" s="14">
        <f>BIN2DEC(MID(L188,1,8))</f>
        <v>7</v>
      </c>
      <c r="O188" s="14">
        <f t="shared" si="157"/>
        <v>151</v>
      </c>
      <c r="P188" s="14">
        <f t="shared" si="201"/>
        <v>10116</v>
      </c>
      <c r="Q188" s="14"/>
      <c r="R188" s="14" t="s">
        <v>189</v>
      </c>
      <c r="S188" s="14"/>
      <c r="T188" s="14"/>
    </row>
    <row r="189" spans="1:27" x14ac:dyDescent="0.35">
      <c r="A189" s="91"/>
      <c r="B189" s="75">
        <f>B187+1</f>
        <v>94</v>
      </c>
      <c r="C189" s="4" t="s">
        <v>0</v>
      </c>
      <c r="D189" s="4" t="s">
        <v>154</v>
      </c>
      <c r="E189" s="4" t="s">
        <v>104</v>
      </c>
      <c r="F189" s="4" t="s">
        <v>157</v>
      </c>
      <c r="G189" s="4" t="s">
        <v>36</v>
      </c>
      <c r="H189" s="4" t="str">
        <f t="shared" si="153"/>
        <v>10100101001011101000101101011111</v>
      </c>
      <c r="I189" s="4">
        <f t="shared" si="154"/>
        <v>18</v>
      </c>
      <c r="J189" s="77" t="s">
        <v>150</v>
      </c>
      <c r="K189" s="79" t="str">
        <f>HEX2BIN(J189,8)</f>
        <v>01111010</v>
      </c>
      <c r="L189" s="43" t="str">
        <f t="shared" ref="L189" si="220">CONCATENATE(HEX2BIN(G189,8),HEX2BIN(F189,8),HEX2BIN(E189,8),HEX2BIN(D189,8))</f>
        <v>01011111100010110010111010100101</v>
      </c>
      <c r="M189" s="1" t="str">
        <f t="shared" si="162"/>
        <v>11011010100000001001111010001101</v>
      </c>
      <c r="N189" s="14">
        <f>MOD(BIN2DEC(MID(L189,1,8))+4*HEX2DEC(J189),256)</f>
        <v>71</v>
      </c>
      <c r="O189" s="14">
        <f t="shared" si="157"/>
        <v>52</v>
      </c>
      <c r="P189" s="14">
        <f t="shared" si="201"/>
        <v>10117</v>
      </c>
      <c r="Q189" s="14"/>
      <c r="R189" s="14" t="s">
        <v>183</v>
      </c>
      <c r="S189" s="14"/>
      <c r="T189" s="14"/>
    </row>
    <row r="190" spans="1:27" ht="18.600000000000001" thickBot="1" x14ac:dyDescent="0.4">
      <c r="A190" s="91"/>
      <c r="B190" s="76"/>
      <c r="C190" s="5" t="s">
        <v>6</v>
      </c>
      <c r="D190" s="5">
        <v>50</v>
      </c>
      <c r="E190" s="5" t="s">
        <v>146</v>
      </c>
      <c r="F190" s="5" t="s">
        <v>27</v>
      </c>
      <c r="G190" s="5">
        <v>13</v>
      </c>
      <c r="H190" s="5" t="str">
        <f t="shared" si="153"/>
        <v>01010000101110111101000100010011</v>
      </c>
      <c r="I190" s="5">
        <f t="shared" si="154"/>
        <v>15</v>
      </c>
      <c r="J190" s="78"/>
      <c r="K190" s="80"/>
      <c r="L190" s="14" t="str">
        <f t="shared" si="163"/>
        <v>01111010111101010110111111101000</v>
      </c>
      <c r="M190" s="14" t="str">
        <f t="shared" ref="M190" si="221">CONCATENATE(MID(M189,6,8),MID(M189,30,3),MID(M189,1,5),MID(M189,22,8),MID(M189,14,8))</f>
        <v>01010000101110111101000100010011</v>
      </c>
      <c r="N190" s="14">
        <f>BIN2DEC(MID(L190,1,8))</f>
        <v>122</v>
      </c>
      <c r="O190" s="14">
        <f t="shared" si="157"/>
        <v>209</v>
      </c>
      <c r="P190" s="14">
        <f t="shared" si="201"/>
        <v>10118</v>
      </c>
      <c r="Q190" s="14"/>
      <c r="R190" s="14" t="s">
        <v>183</v>
      </c>
      <c r="S190" s="14"/>
      <c r="T190" s="14"/>
    </row>
    <row r="191" spans="1:27" x14ac:dyDescent="0.35">
      <c r="A191" s="91"/>
      <c r="B191" s="75">
        <f>B189+1</f>
        <v>95</v>
      </c>
      <c r="C191" s="4" t="s">
        <v>0</v>
      </c>
      <c r="D191" s="4" t="s">
        <v>28</v>
      </c>
      <c r="E191" s="4" t="s">
        <v>62</v>
      </c>
      <c r="F191" s="4" t="s">
        <v>144</v>
      </c>
      <c r="G191" s="4" t="s">
        <v>94</v>
      </c>
      <c r="H191" s="4" t="str">
        <f t="shared" si="153"/>
        <v>01111101111100111110000010111110</v>
      </c>
      <c r="I191" s="4">
        <f t="shared" si="154"/>
        <v>21</v>
      </c>
      <c r="J191" s="77" t="s">
        <v>158</v>
      </c>
      <c r="K191" s="79" t="str">
        <f>HEX2BIN(J191,8)</f>
        <v>11100101</v>
      </c>
      <c r="L191" s="43" t="str">
        <f t="shared" ref="L191" si="222">CONCATENATE(HEX2BIN(G191,8),HEX2BIN(F191,8),HEX2BIN(E191,8),HEX2BIN(D191,8))</f>
        <v>10111110111000001111001101111101</v>
      </c>
      <c r="M191" s="1" t="str">
        <f t="shared" si="162"/>
        <v>10100101101011011010011000010001</v>
      </c>
      <c r="N191" s="14">
        <f>MOD(BIN2DEC(MID(L191,1,8))+4*HEX2DEC(J191),256)</f>
        <v>82</v>
      </c>
      <c r="O191" s="14">
        <f t="shared" si="157"/>
        <v>110</v>
      </c>
      <c r="P191" s="14">
        <f t="shared" si="201"/>
        <v>10119</v>
      </c>
      <c r="Q191" s="14"/>
      <c r="R191" s="14" t="s">
        <v>179</v>
      </c>
      <c r="S191" s="14"/>
      <c r="T191" s="14"/>
    </row>
    <row r="192" spans="1:27" ht="18.600000000000001" thickBot="1" x14ac:dyDescent="0.4">
      <c r="A192" s="91"/>
      <c r="B192" s="76"/>
      <c r="C192" s="5" t="s">
        <v>6</v>
      </c>
      <c r="D192" s="5" t="s">
        <v>24</v>
      </c>
      <c r="E192" s="5">
        <v>34</v>
      </c>
      <c r="F192" s="5" t="s">
        <v>29</v>
      </c>
      <c r="G192" s="5" t="s">
        <v>155</v>
      </c>
      <c r="H192" s="5" t="str">
        <f t="shared" si="153"/>
        <v>10110101001101001100001010110100</v>
      </c>
      <c r="I192" s="5">
        <f t="shared" si="154"/>
        <v>15</v>
      </c>
      <c r="J192" s="78"/>
      <c r="K192" s="80"/>
      <c r="L192" s="14" t="str">
        <f t="shared" si="163"/>
        <v>11100110110011001011001010010100</v>
      </c>
      <c r="M192" s="14" t="str">
        <f t="shared" ref="M192" si="223">CONCATENATE(MID(M191,6,8),MID(M191,30,3),MID(M191,1,5),MID(M191,22,8),MID(M191,14,8))</f>
        <v>10110101001101001100001010110100</v>
      </c>
      <c r="N192" s="14">
        <f>BIN2DEC(MID(L192,1,8))</f>
        <v>230</v>
      </c>
      <c r="O192" s="14">
        <f t="shared" si="157"/>
        <v>11</v>
      </c>
      <c r="P192" s="14">
        <f t="shared" si="201"/>
        <v>10120</v>
      </c>
      <c r="Q192" s="14"/>
      <c r="R192" s="14" t="s">
        <v>179</v>
      </c>
      <c r="S192" s="14"/>
      <c r="T192" s="14"/>
    </row>
    <row r="193" spans="1:20" x14ac:dyDescent="0.35">
      <c r="A193" s="91"/>
      <c r="B193" s="75">
        <f>B191+1</f>
        <v>96</v>
      </c>
      <c r="C193" s="4" t="s">
        <v>0</v>
      </c>
      <c r="D193" s="4">
        <v>10</v>
      </c>
      <c r="E193" s="4" t="s">
        <v>159</v>
      </c>
      <c r="F193" s="4">
        <v>49</v>
      </c>
      <c r="G193" s="4" t="s">
        <v>73</v>
      </c>
      <c r="H193" s="4" t="str">
        <f t="shared" si="153"/>
        <v>00010000000110100100100111101011</v>
      </c>
      <c r="I193" s="4">
        <f t="shared" si="154"/>
        <v>13</v>
      </c>
      <c r="J193" s="77" t="s">
        <v>140</v>
      </c>
      <c r="K193" s="79" t="str">
        <f>HEX2BIN(J193,8)</f>
        <v>00011101</v>
      </c>
      <c r="L193" s="43" t="str">
        <f t="shared" ref="L193" si="224">CONCATENATE(HEX2BIN(G193,8),HEX2BIN(F193,8),HEX2BIN(E193,8),HEX2BIN(D193,8))</f>
        <v>11101011010010010001101000010000</v>
      </c>
      <c r="M193" s="1" t="str">
        <f t="shared" si="162"/>
        <v>00001000100000110111000110000100</v>
      </c>
      <c r="N193" s="14">
        <f>MOD(BIN2DEC(MID(L193,1,8))+4*HEX2DEC(J193),256)</f>
        <v>95</v>
      </c>
      <c r="O193" s="14">
        <f t="shared" si="157"/>
        <v>168</v>
      </c>
      <c r="P193" s="14">
        <f t="shared" si="201"/>
        <v>10121</v>
      </c>
      <c r="Q193" s="14"/>
      <c r="R193" s="14" t="s">
        <v>187</v>
      </c>
      <c r="S193" s="14"/>
      <c r="T193" s="14"/>
    </row>
    <row r="194" spans="1:20" ht="18.600000000000001" thickBot="1" x14ac:dyDescent="0.4">
      <c r="A194" s="91"/>
      <c r="B194" s="76"/>
      <c r="C194" s="5" t="s">
        <v>6</v>
      </c>
      <c r="D194" s="5">
        <v>10</v>
      </c>
      <c r="E194" s="5">
        <v>81</v>
      </c>
      <c r="F194" s="5">
        <v>30</v>
      </c>
      <c r="G194" s="5" t="s">
        <v>91</v>
      </c>
      <c r="H194" s="5" t="str">
        <f t="shared" si="153"/>
        <v>00010000100000010011000001101110</v>
      </c>
      <c r="I194" s="5">
        <f t="shared" si="154"/>
        <v>10</v>
      </c>
      <c r="J194" s="78"/>
      <c r="K194" s="80"/>
      <c r="L194" s="14" t="str">
        <f t="shared" si="163"/>
        <v>00011101001110100101011101110100</v>
      </c>
      <c r="M194" s="14" t="str">
        <f t="shared" ref="M194" si="225">CONCATENATE(MID(M193,6,8),MID(M193,30,3),MID(M193,1,5),MID(M193,22,8),MID(M193,14,8))</f>
        <v>00010000100000010011000001101110</v>
      </c>
      <c r="N194" s="14">
        <f>BIN2DEC(MID(L194,1,8))</f>
        <v>29</v>
      </c>
      <c r="O194" s="14">
        <f t="shared" si="157"/>
        <v>69</v>
      </c>
      <c r="P194" s="14">
        <f t="shared" si="201"/>
        <v>10122</v>
      </c>
      <c r="Q194" s="14"/>
      <c r="R194" s="14" t="s">
        <v>203</v>
      </c>
      <c r="S194" s="14"/>
      <c r="T194" s="14"/>
    </row>
    <row r="195" spans="1:20" x14ac:dyDescent="0.35">
      <c r="A195" s="91">
        <f>A179+1</f>
        <v>13</v>
      </c>
      <c r="B195" s="75">
        <f>B193+1</f>
        <v>97</v>
      </c>
      <c r="C195" s="4" t="s">
        <v>0</v>
      </c>
      <c r="D195" s="4" t="s">
        <v>23</v>
      </c>
      <c r="E195" s="4">
        <v>66</v>
      </c>
      <c r="F195" s="4" t="s">
        <v>135</v>
      </c>
      <c r="G195" s="4">
        <v>99</v>
      </c>
      <c r="H195" s="4" t="str">
        <f t="shared" ref="H195:H258" si="226">CONCATENATE(HEX2BIN(D195,8),HEX2BIN(E195,8),HEX2BIN(F195,8),HEX2BIN(G195,8))</f>
        <v>10110010011001101011101010011001</v>
      </c>
      <c r="I195" s="4">
        <f t="shared" ref="I195:I258" si="227">MID(H195,1,1)+MID(H195,2,1)+MID(H195,3,1)+MID(H195,4,1)+MID(H195,5,1)+MID(H195,6,1)+MID(H195,7,1)+MID(H195,8,1)+MID(H195,9,1)+MID(H195,10,1)+MID(H195,11,1)+MID(H195,12,1)+MID(H195,13,1)+MID(H195,14,1)+MID(H195,15,1)+MID(H195,16,1)+MID(H195,17,1)+MID(H195,18,1)+MID(H195,19,1)+MID(H195,20,1)+MID(H195,21,1)+MID(H195,22,1)+MID(H195,23,1)+MID(H195,24,1)+MID(H195,25,1)+MID(H195,26,1)+MID(H195,27,1)+MID(H195,28,1)+MID(H195,29,1)+MID(H195,30,1)+MID(H195,31,1)+MID(H195,32,1)</f>
        <v>17</v>
      </c>
      <c r="J195" s="77" t="s">
        <v>134</v>
      </c>
      <c r="K195" s="79" t="str">
        <f>HEX2BIN(J195,8)</f>
        <v>11101110</v>
      </c>
      <c r="L195" s="43" t="str">
        <f t="shared" ref="L195" si="228">CONCATENATE(HEX2BIN(G195,8),HEX2BIN(F195,8),HEX2BIN(E195,8),HEX2BIN(D195,8))</f>
        <v>10011001101110100110011010110010</v>
      </c>
      <c r="M195" s="1" t="str">
        <f t="shared" si="162"/>
        <v>10001001100110010011010001101010</v>
      </c>
      <c r="N195" s="14">
        <f>MOD(BIN2DEC(MID(L195,1,8))+4*HEX2DEC(J195),256)</f>
        <v>81</v>
      </c>
      <c r="O195" s="14">
        <f t="shared" si="157"/>
        <v>226</v>
      </c>
      <c r="P195" s="14">
        <f t="shared" si="201"/>
        <v>10123</v>
      </c>
      <c r="Q195" s="14"/>
      <c r="R195" s="14"/>
      <c r="S195" s="14"/>
      <c r="T195" s="14"/>
    </row>
    <row r="196" spans="1:20" ht="18.600000000000001" thickBot="1" x14ac:dyDescent="0.4">
      <c r="A196" s="91"/>
      <c r="B196" s="76"/>
      <c r="C196" s="5" t="s">
        <v>6</v>
      </c>
      <c r="D196" s="5">
        <v>33</v>
      </c>
      <c r="E196" s="5">
        <v>51</v>
      </c>
      <c r="F196" s="5" t="s">
        <v>15</v>
      </c>
      <c r="G196" s="5">
        <v>26</v>
      </c>
      <c r="H196" s="5" t="str">
        <f t="shared" si="226"/>
        <v>00110011010100011000110100100110</v>
      </c>
      <c r="I196" s="5">
        <f t="shared" si="227"/>
        <v>14</v>
      </c>
      <c r="J196" s="78"/>
      <c r="K196" s="80"/>
      <c r="L196" s="14" t="str">
        <f t="shared" si="163"/>
        <v>11101111110111101100110110111000</v>
      </c>
      <c r="M196" s="14" t="str">
        <f t="shared" ref="M196" si="229">CONCATENATE(MID(M195,6,8),MID(M195,30,3),MID(M195,1,5),MID(M195,22,8),MID(M195,14,8))</f>
        <v>00110011010100011000110100100110</v>
      </c>
      <c r="N196" s="14">
        <f>BIN2DEC(MID(L196,1,8))</f>
        <v>239</v>
      </c>
      <c r="O196" s="14">
        <f t="shared" ref="O196:O257" si="230">MOD(BIN2DEC(MID($L$3,9,8))+P196*HEX2DEC($J$3)*HEX2DEC($J$3)*HEX2DEC($J$3),256)</f>
        <v>127</v>
      </c>
      <c r="P196" s="14">
        <f t="shared" si="201"/>
        <v>10124</v>
      </c>
      <c r="Q196" s="14"/>
      <c r="R196" s="14"/>
      <c r="S196" s="14"/>
      <c r="T196" s="14"/>
    </row>
    <row r="197" spans="1:20" x14ac:dyDescent="0.35">
      <c r="A197" s="91"/>
      <c r="B197" s="75">
        <f>B195+1</f>
        <v>98</v>
      </c>
      <c r="C197" s="4" t="s">
        <v>0</v>
      </c>
      <c r="D197" s="4">
        <v>13</v>
      </c>
      <c r="E197" s="4" t="s">
        <v>79</v>
      </c>
      <c r="F197" s="4">
        <v>41</v>
      </c>
      <c r="G197" s="4" t="s">
        <v>117</v>
      </c>
      <c r="H197" s="4" t="str">
        <f t="shared" si="226"/>
        <v>00010011011111100100000111000001</v>
      </c>
      <c r="I197" s="4">
        <f t="shared" si="227"/>
        <v>14</v>
      </c>
      <c r="J197" s="77">
        <v>10</v>
      </c>
      <c r="K197" s="79" t="str">
        <f>HEX2BIN(J197,8)</f>
        <v>00010000</v>
      </c>
      <c r="L197" s="43" t="str">
        <f t="shared" ref="L197" si="231">CONCATENATE(HEX2BIN(G197,8),HEX2BIN(F197,8),HEX2BIN(E197,8),HEX2BIN(D197,8))</f>
        <v>11000001010000010111111000010011</v>
      </c>
      <c r="M197" s="1" t="str">
        <f t="shared" si="162"/>
        <v>11010001011000011010111001010011</v>
      </c>
      <c r="N197" s="14">
        <f>MOD(BIN2DEC(MID(L197,1,8))+4*HEX2DEC(J197),256)</f>
        <v>1</v>
      </c>
      <c r="O197" s="14">
        <f t="shared" si="230"/>
        <v>28</v>
      </c>
      <c r="P197" s="14">
        <f t="shared" si="201"/>
        <v>10125</v>
      </c>
      <c r="Q197" s="14"/>
      <c r="R197" s="14"/>
      <c r="S197" s="14"/>
      <c r="T197" s="14"/>
    </row>
    <row r="198" spans="1:20" ht="18.600000000000001" thickBot="1" x14ac:dyDescent="0.4">
      <c r="A198" s="91"/>
      <c r="B198" s="76"/>
      <c r="C198" s="5" t="s">
        <v>6</v>
      </c>
      <c r="D198" s="5" t="s">
        <v>152</v>
      </c>
      <c r="E198" s="5" t="s">
        <v>150</v>
      </c>
      <c r="F198" s="5" t="s">
        <v>130</v>
      </c>
      <c r="G198" s="5">
        <v>35</v>
      </c>
      <c r="H198" s="5" t="str">
        <f t="shared" si="226"/>
        <v>00101100011110101100101000110101</v>
      </c>
      <c r="I198" s="5">
        <f t="shared" si="227"/>
        <v>16</v>
      </c>
      <c r="J198" s="78"/>
      <c r="K198" s="80"/>
      <c r="L198" s="14" t="str">
        <f t="shared" si="163"/>
        <v>00010000001000000011000001000000</v>
      </c>
      <c r="M198" s="14" t="str">
        <f t="shared" ref="M198" si="232">CONCATENATE(MID(M197,6,8),MID(M197,30,3),MID(M197,1,5),MID(M197,22,8),MID(M197,14,8))</f>
        <v>00101100011110101100101000110101</v>
      </c>
      <c r="N198" s="14">
        <f>BIN2DEC(MID(L198,1,8))</f>
        <v>16</v>
      </c>
      <c r="O198" s="14">
        <f t="shared" si="230"/>
        <v>185</v>
      </c>
      <c r="P198" s="14">
        <f t="shared" si="201"/>
        <v>10126</v>
      </c>
      <c r="Q198" s="14"/>
      <c r="R198" s="14"/>
      <c r="S198" s="14"/>
      <c r="T198" s="14"/>
    </row>
    <row r="199" spans="1:20" x14ac:dyDescent="0.35">
      <c r="A199" s="91"/>
      <c r="B199" s="75">
        <f>B197+1</f>
        <v>99</v>
      </c>
      <c r="C199" s="4" t="s">
        <v>0</v>
      </c>
      <c r="D199" s="4" t="s">
        <v>13</v>
      </c>
      <c r="E199" s="4" t="s">
        <v>64</v>
      </c>
      <c r="F199" s="4">
        <v>70</v>
      </c>
      <c r="G199" s="4" t="s">
        <v>160</v>
      </c>
      <c r="H199" s="4" t="str">
        <f t="shared" si="226"/>
        <v>10011110000111000111000010101100</v>
      </c>
      <c r="I199" s="4">
        <f t="shared" si="227"/>
        <v>15</v>
      </c>
      <c r="J199" s="77" t="s">
        <v>104</v>
      </c>
      <c r="K199" s="79" t="str">
        <f>HEX2BIN(J199,8)</f>
        <v>00101110</v>
      </c>
      <c r="L199" s="43" t="str">
        <f t="shared" ref="L199" si="233">CONCATENATE(HEX2BIN(G199,8),HEX2BIN(F199,8),HEX2BIN(E199,8),HEX2BIN(D199,8))</f>
        <v>10101100011100000001110010011110</v>
      </c>
      <c r="M199" s="1" t="str">
        <f t="shared" ref="M199:M261" si="234">CONCATENATE(DEC2BIN(MOD(BIN2DEC(MID(L199,1,8))+BIN2DEC(MID(L200,1,8))+INT((BIN2DEC(MID(L199,9,8))+BIN2DEC(MID(L200,9,8))+INT((BIN2DEC(MID(L199,17,8))+BIN2DEC(MID(L200,17,8))+INT((BIN2DEC(MID(L199,25,8))+BIN2DEC(MID(L200,25,8)))/256))/256))/256),256),8),DEC2BIN(MOD(BIN2DEC(MID(L199,9,8))+BIN2DEC(MID(L200,9,8))+INT((BIN2DEC(MID(L199,17,8))+BIN2DEC(MID(L200,17,8))+INT((BIN2DEC(MID(L199,25,8))+BIN2DEC(MID(L200,25,8)))/256))/256),256),8),DEC2BIN(MOD(BIN2DEC(MID(L199,17,8))+BIN2DEC(MID(L200,17,8))+INT((BIN2DEC(MID(L199,25,8))+BIN2DEC(MID(L200,25,8)))/256),256),8),DEC2BIN(MOD(BIN2DEC(MID(L199,25,8))+BIN2DEC(MID(L200,25,8)),256),8))</f>
        <v>11011010110011001010011101010110</v>
      </c>
      <c r="N199" s="14">
        <f>MOD(BIN2DEC(MID(L199,1,8))+4*HEX2DEC(J199),256)</f>
        <v>100</v>
      </c>
      <c r="O199" s="14">
        <f t="shared" si="230"/>
        <v>86</v>
      </c>
      <c r="P199" s="14">
        <f t="shared" si="201"/>
        <v>10127</v>
      </c>
      <c r="Q199" s="14"/>
      <c r="R199" s="14"/>
      <c r="S199" s="14"/>
      <c r="T199" s="14"/>
    </row>
    <row r="200" spans="1:20" ht="18.600000000000001" thickBot="1" x14ac:dyDescent="0.4">
      <c r="A200" s="91"/>
      <c r="B200" s="76"/>
      <c r="C200" s="5" t="s">
        <v>6</v>
      </c>
      <c r="D200" s="5">
        <v>59</v>
      </c>
      <c r="E200" s="5" t="s">
        <v>19</v>
      </c>
      <c r="F200" s="5" t="s">
        <v>34</v>
      </c>
      <c r="G200" s="5">
        <v>94</v>
      </c>
      <c r="H200" s="5" t="str">
        <f t="shared" si="226"/>
        <v>01011001110110111110101010010100</v>
      </c>
      <c r="I200" s="5">
        <f t="shared" si="227"/>
        <v>18</v>
      </c>
      <c r="J200" s="78"/>
      <c r="K200" s="80"/>
      <c r="L200" s="14" t="str">
        <f t="shared" ref="L200:L262" si="235">CONCATENATE(DEC2BIN(MOD(BIN2DEC(K199)+INT((2*BIN2DEC(K199)+INT((BIN2DEC(K199)+2*BIN2DEC(K199)+BIN2DEC(MID(K199,1,2)))/256))/256),256),8),DEC2BIN(MOD(2*BIN2DEC(K199)+INT((BIN2DEC(K199)+2*BIN2DEC(K199)+BIN2DEC(MID(K199,1,2)))/256),256),8),DEC2BIN(MOD(BIN2DEC(K199)+2*BIN2DEC(K199)+BIN2DEC(MID(K199,1,2)),256),8),MID(K199,3,6),"00")</f>
        <v>00101110010111001000101010111000</v>
      </c>
      <c r="M200" s="14" t="str">
        <f t="shared" ref="M200" si="236">CONCATENATE(MID(M199,6,8),MID(M199,30,3),MID(M199,1,5),MID(M199,22,8),MID(M199,14,8))</f>
        <v>01011001110110111110101010010100</v>
      </c>
      <c r="N200" s="14">
        <f>BIN2DEC(MID(L200,1,8))</f>
        <v>46</v>
      </c>
      <c r="O200" s="14">
        <f t="shared" si="230"/>
        <v>243</v>
      </c>
      <c r="P200" s="14">
        <f t="shared" si="201"/>
        <v>10128</v>
      </c>
      <c r="Q200" s="14"/>
      <c r="R200" s="14"/>
      <c r="S200" s="14"/>
      <c r="T200" s="14"/>
    </row>
    <row r="201" spans="1:20" x14ac:dyDescent="0.35">
      <c r="A201" s="91"/>
      <c r="B201" s="75">
        <f>B199+1</f>
        <v>100</v>
      </c>
      <c r="C201" s="4" t="s">
        <v>0</v>
      </c>
      <c r="D201" s="4" t="s">
        <v>161</v>
      </c>
      <c r="E201" s="4" t="s">
        <v>154</v>
      </c>
      <c r="F201" s="4" t="s">
        <v>141</v>
      </c>
      <c r="G201" s="4">
        <v>55</v>
      </c>
      <c r="H201" s="4" t="str">
        <f t="shared" si="226"/>
        <v>01001010101001011010101101010101</v>
      </c>
      <c r="I201" s="4">
        <f t="shared" si="227"/>
        <v>16</v>
      </c>
      <c r="J201" s="77">
        <v>83</v>
      </c>
      <c r="K201" s="79" t="str">
        <f>HEX2BIN(J201,8)</f>
        <v>10000011</v>
      </c>
      <c r="L201" s="43" t="str">
        <f t="shared" ref="L201" si="237">CONCATENATE(HEX2BIN(G201,8),HEX2BIN(F201,8),HEX2BIN(E201,8),HEX2BIN(D201,8))</f>
        <v>01010101101010111010010101001010</v>
      </c>
      <c r="M201" s="1" t="str">
        <f t="shared" si="234"/>
        <v>11011001101100110011000001010110</v>
      </c>
      <c r="N201" s="14">
        <f>MOD(BIN2DEC(MID(L201,1,8))+4*HEX2DEC(J201),256)</f>
        <v>97</v>
      </c>
      <c r="O201" s="14">
        <f t="shared" si="230"/>
        <v>144</v>
      </c>
      <c r="P201" s="14">
        <f t="shared" si="201"/>
        <v>10129</v>
      </c>
      <c r="Q201" s="14"/>
      <c r="R201" s="14"/>
      <c r="S201" s="14"/>
      <c r="T201" s="14"/>
    </row>
    <row r="202" spans="1:20" ht="18.600000000000001" thickBot="1" x14ac:dyDescent="0.4">
      <c r="A202" s="91"/>
      <c r="B202" s="76"/>
      <c r="C202" s="5" t="s">
        <v>6</v>
      </c>
      <c r="D202" s="5">
        <v>36</v>
      </c>
      <c r="E202" s="5" t="s">
        <v>19</v>
      </c>
      <c r="F202" s="5" t="s">
        <v>20</v>
      </c>
      <c r="G202" s="5">
        <v>66</v>
      </c>
      <c r="H202" s="5" t="str">
        <f t="shared" si="226"/>
        <v>00110110110110110000101001100110</v>
      </c>
      <c r="I202" s="5">
        <f t="shared" si="227"/>
        <v>16</v>
      </c>
      <c r="J202" s="78"/>
      <c r="K202" s="80"/>
      <c r="L202" s="14" t="str">
        <f t="shared" si="235"/>
        <v>10000100000001111000101100001100</v>
      </c>
      <c r="M202" s="14" t="str">
        <f t="shared" ref="M202" si="238">CONCATENATE(MID(M201,6,8),MID(M201,30,3),MID(M201,1,5),MID(M201,22,8),MID(M201,14,8))</f>
        <v>00110110110110110000101001100110</v>
      </c>
      <c r="N202" s="14">
        <f>BIN2DEC(MID(L202,1,8))</f>
        <v>132</v>
      </c>
      <c r="O202" s="14">
        <f t="shared" si="230"/>
        <v>45</v>
      </c>
      <c r="P202" s="14">
        <f t="shared" si="201"/>
        <v>10130</v>
      </c>
      <c r="Q202" s="14"/>
      <c r="R202" s="14"/>
      <c r="S202" s="14"/>
      <c r="T202" s="14"/>
    </row>
    <row r="203" spans="1:20" x14ac:dyDescent="0.35">
      <c r="A203" s="91"/>
      <c r="B203" s="75">
        <f>B201+1</f>
        <v>101</v>
      </c>
      <c r="C203" s="4" t="s">
        <v>0</v>
      </c>
      <c r="D203" s="4" t="s">
        <v>44</v>
      </c>
      <c r="E203" s="4" t="s">
        <v>133</v>
      </c>
      <c r="F203" s="4" t="s">
        <v>150</v>
      </c>
      <c r="G203" s="4" t="s">
        <v>130</v>
      </c>
      <c r="H203" s="4" t="str">
        <f t="shared" si="226"/>
        <v>10101000110001110111101011001010</v>
      </c>
      <c r="I203" s="4">
        <f t="shared" si="227"/>
        <v>17</v>
      </c>
      <c r="J203" s="77">
        <v>92</v>
      </c>
      <c r="K203" s="79" t="str">
        <f>HEX2BIN(J203,8)</f>
        <v>10010010</v>
      </c>
      <c r="L203" s="43" t="str">
        <f t="shared" ref="L203" si="239">CONCATENATE(HEX2BIN(G203,8),HEX2BIN(F203,8),HEX2BIN(E203,8),HEX2BIN(D203,8))</f>
        <v>11001010011110101100011110101000</v>
      </c>
      <c r="M203" s="1" t="str">
        <f t="shared" si="234"/>
        <v>01011101101000000111111111110000</v>
      </c>
      <c r="N203" s="14">
        <f>MOD(BIN2DEC(MID(L203,1,8))+4*HEX2DEC(J203),256)</f>
        <v>18</v>
      </c>
      <c r="O203" s="14">
        <f t="shared" si="230"/>
        <v>202</v>
      </c>
      <c r="P203" s="14">
        <f t="shared" si="201"/>
        <v>10131</v>
      </c>
      <c r="Q203" s="14"/>
      <c r="R203" s="14"/>
      <c r="S203" s="14"/>
      <c r="T203" s="14"/>
    </row>
    <row r="204" spans="1:20" ht="18.600000000000001" thickBot="1" x14ac:dyDescent="0.4">
      <c r="A204" s="91"/>
      <c r="B204" s="76"/>
      <c r="C204" s="5" t="s">
        <v>6</v>
      </c>
      <c r="D204" s="5" t="s">
        <v>155</v>
      </c>
      <c r="E204" s="5" t="s">
        <v>43</v>
      </c>
      <c r="F204" s="5" t="s">
        <v>68</v>
      </c>
      <c r="G204" s="5" t="s">
        <v>33</v>
      </c>
      <c r="H204" s="5" t="str">
        <f t="shared" si="226"/>
        <v>10110100000010111111111000001111</v>
      </c>
      <c r="I204" s="5">
        <f t="shared" si="227"/>
        <v>18</v>
      </c>
      <c r="J204" s="78"/>
      <c r="K204" s="80"/>
      <c r="L204" s="14" t="str">
        <f t="shared" si="235"/>
        <v>10010011001001011011100001001000</v>
      </c>
      <c r="M204" s="14" t="str">
        <f t="shared" ref="M204" si="240">CONCATENATE(MID(M203,6,8),MID(M203,30,3),MID(M203,1,5),MID(M203,22,8),MID(M203,14,8))</f>
        <v>10110100000010111111111000001111</v>
      </c>
      <c r="N204" s="14">
        <f>BIN2DEC(MID(L204,1,8))</f>
        <v>147</v>
      </c>
      <c r="O204" s="14">
        <f t="shared" si="230"/>
        <v>103</v>
      </c>
      <c r="P204" s="14">
        <f t="shared" si="201"/>
        <v>10132</v>
      </c>
      <c r="Q204" s="14"/>
      <c r="R204" s="14"/>
      <c r="S204" s="14"/>
      <c r="T204" s="14"/>
    </row>
    <row r="205" spans="1:20" x14ac:dyDescent="0.35">
      <c r="A205" s="91"/>
      <c r="B205" s="75">
        <f>B203+1</f>
        <v>102</v>
      </c>
      <c r="C205" s="4" t="s">
        <v>0</v>
      </c>
      <c r="D205" s="4" t="s">
        <v>68</v>
      </c>
      <c r="E205" s="4" t="s">
        <v>116</v>
      </c>
      <c r="F205" s="4">
        <v>55</v>
      </c>
      <c r="G205" s="4" t="s">
        <v>72</v>
      </c>
      <c r="H205" s="4" t="str">
        <f t="shared" si="226"/>
        <v>11111110101011100101010101011010</v>
      </c>
      <c r="I205" s="4">
        <f t="shared" si="227"/>
        <v>20</v>
      </c>
      <c r="J205" s="77">
        <v>80</v>
      </c>
      <c r="K205" s="79" t="str">
        <f>HEX2BIN(J205,8)</f>
        <v>10000000</v>
      </c>
      <c r="L205" s="43" t="str">
        <f t="shared" ref="L205" si="241">CONCATENATE(HEX2BIN(G205,8),HEX2BIN(F205,8),HEX2BIN(E205,8),HEX2BIN(D205,8))</f>
        <v>01011010010101011010111011111110</v>
      </c>
      <c r="M205" s="1" t="str">
        <f t="shared" si="234"/>
        <v>11011011010101110011000011111110</v>
      </c>
      <c r="N205" s="14">
        <f>MOD(BIN2DEC(MID(L205,1,8))+4*HEX2DEC(J205),256)</f>
        <v>90</v>
      </c>
      <c r="O205" s="14">
        <f t="shared" si="230"/>
        <v>4</v>
      </c>
      <c r="P205" s="14">
        <f t="shared" si="201"/>
        <v>10133</v>
      </c>
      <c r="Q205" s="14"/>
      <c r="R205" s="14"/>
      <c r="S205" s="14"/>
      <c r="T205" s="14"/>
    </row>
    <row r="206" spans="1:20" ht="18.600000000000001" thickBot="1" x14ac:dyDescent="0.4">
      <c r="A206" s="91"/>
      <c r="B206" s="76"/>
      <c r="C206" s="5" t="s">
        <v>6</v>
      </c>
      <c r="D206" s="5" t="s">
        <v>59</v>
      </c>
      <c r="E206" s="5" t="s">
        <v>19</v>
      </c>
      <c r="F206" s="5" t="s">
        <v>131</v>
      </c>
      <c r="G206" s="5" t="s">
        <v>77</v>
      </c>
      <c r="H206" s="5" t="str">
        <f t="shared" si="226"/>
        <v>01101010110110110001111111100110</v>
      </c>
      <c r="I206" s="5">
        <f t="shared" si="227"/>
        <v>20</v>
      </c>
      <c r="J206" s="78"/>
      <c r="K206" s="80"/>
      <c r="L206" s="14" t="str">
        <f t="shared" si="235"/>
        <v>10000001000000011000001000000000</v>
      </c>
      <c r="M206" s="14" t="str">
        <f t="shared" ref="M206" si="242">CONCATENATE(MID(M205,6,8),MID(M205,30,3),MID(M205,1,5),MID(M205,22,8),MID(M205,14,8))</f>
        <v>01101010110110110001111111100110</v>
      </c>
      <c r="N206" s="14">
        <f>BIN2DEC(MID(L206,1,8))</f>
        <v>129</v>
      </c>
      <c r="O206" s="14">
        <f t="shared" si="230"/>
        <v>161</v>
      </c>
      <c r="P206" s="14">
        <f t="shared" si="201"/>
        <v>10134</v>
      </c>
      <c r="Q206" s="14"/>
      <c r="R206" s="14"/>
      <c r="S206" s="14"/>
      <c r="T206" s="14"/>
    </row>
    <row r="207" spans="1:20" x14ac:dyDescent="0.35">
      <c r="A207" s="91"/>
      <c r="B207" s="75">
        <f>B205+1</f>
        <v>103</v>
      </c>
      <c r="C207" s="4" t="s">
        <v>0</v>
      </c>
      <c r="D207" s="4" t="s">
        <v>29</v>
      </c>
      <c r="E207" s="4" t="s">
        <v>64</v>
      </c>
      <c r="F207" s="4">
        <v>65</v>
      </c>
      <c r="G207" s="4" t="s">
        <v>152</v>
      </c>
      <c r="H207" s="4" t="str">
        <f t="shared" si="226"/>
        <v>11000010000111000110010100101100</v>
      </c>
      <c r="I207" s="4">
        <f t="shared" si="227"/>
        <v>13</v>
      </c>
      <c r="J207" s="77" t="s">
        <v>157</v>
      </c>
      <c r="K207" s="79" t="str">
        <f>HEX2BIN(J207,8)</f>
        <v>10001011</v>
      </c>
      <c r="L207" s="43" t="str">
        <f t="shared" ref="L207" si="243">CONCATENATE(HEX2BIN(G207,8),HEX2BIN(F207,8),HEX2BIN(E207,8),HEX2BIN(D207,8))</f>
        <v>00101100011001010001110011000010</v>
      </c>
      <c r="M207" s="1" t="str">
        <f t="shared" si="234"/>
        <v>10111000011111001011111111101110</v>
      </c>
      <c r="N207" s="14">
        <f>MOD(BIN2DEC(MID(L207,1,8))+4*HEX2DEC(J207),256)</f>
        <v>88</v>
      </c>
      <c r="O207" s="14">
        <f t="shared" si="230"/>
        <v>62</v>
      </c>
      <c r="P207" s="14">
        <f t="shared" si="201"/>
        <v>10135</v>
      </c>
      <c r="Q207" s="14"/>
      <c r="R207" s="14"/>
      <c r="S207" s="14"/>
      <c r="T207" s="14"/>
    </row>
    <row r="208" spans="1:20" ht="18.600000000000001" thickBot="1" x14ac:dyDescent="0.4">
      <c r="A208" s="91"/>
      <c r="B208" s="76"/>
      <c r="C208" s="5" t="s">
        <v>6</v>
      </c>
      <c r="D208" s="5" t="s">
        <v>33</v>
      </c>
      <c r="E208" s="5" t="s">
        <v>53</v>
      </c>
      <c r="F208" s="5" t="s">
        <v>156</v>
      </c>
      <c r="G208" s="5">
        <v>97</v>
      </c>
      <c r="H208" s="5" t="str">
        <f t="shared" si="226"/>
        <v>00001111110101111111110110010111</v>
      </c>
      <c r="I208" s="5">
        <f t="shared" si="227"/>
        <v>22</v>
      </c>
      <c r="J208" s="78"/>
      <c r="K208" s="80"/>
      <c r="L208" s="14" t="str">
        <f t="shared" si="235"/>
        <v>10001100000101111010001100101100</v>
      </c>
      <c r="M208" s="14" t="str">
        <f t="shared" ref="M208" si="244">CONCATENATE(MID(M207,6,8),MID(M207,30,3),MID(M207,1,5),MID(M207,22,8),MID(M207,14,8))</f>
        <v>00001111110101111111110110010111</v>
      </c>
      <c r="N208" s="14">
        <f>BIN2DEC(MID(L208,1,8))</f>
        <v>140</v>
      </c>
      <c r="O208" s="14">
        <f t="shared" si="230"/>
        <v>219</v>
      </c>
      <c r="P208" s="14">
        <f t="shared" si="201"/>
        <v>10136</v>
      </c>
      <c r="Q208" s="14"/>
      <c r="R208" s="14"/>
      <c r="S208" s="14"/>
      <c r="T208" s="14"/>
    </row>
    <row r="209" spans="1:20" x14ac:dyDescent="0.35">
      <c r="A209" s="91"/>
      <c r="B209" s="75">
        <f>B207+1</f>
        <v>104</v>
      </c>
      <c r="C209" s="4" t="s">
        <v>0</v>
      </c>
      <c r="D209" s="4" t="s">
        <v>148</v>
      </c>
      <c r="E209" s="4">
        <v>79</v>
      </c>
      <c r="F209" s="4" t="s">
        <v>44</v>
      </c>
      <c r="G209" s="4" t="s">
        <v>82</v>
      </c>
      <c r="H209" s="4" t="str">
        <f t="shared" si="226"/>
        <v>11110001011110011010100011001101</v>
      </c>
      <c r="I209" s="4">
        <f t="shared" si="227"/>
        <v>18</v>
      </c>
      <c r="J209" s="77" t="s">
        <v>45</v>
      </c>
      <c r="K209" s="79" t="str">
        <f>HEX2BIN(J209,8)</f>
        <v>01111100</v>
      </c>
      <c r="L209" s="43" t="str">
        <f t="shared" ref="L209" si="245">CONCATENATE(HEX2BIN(G209,8),HEX2BIN(F209,8),HEX2BIN(E209,8),HEX2BIN(D209,8))</f>
        <v>11001101101010000111100111110001</v>
      </c>
      <c r="M209" s="1" t="str">
        <f t="shared" si="234"/>
        <v>01001010101000011110111111100001</v>
      </c>
      <c r="N209" s="14">
        <f>MOD(BIN2DEC(MID(L209,1,8))+4*HEX2DEC(J209),256)</f>
        <v>189</v>
      </c>
      <c r="O209" s="14">
        <f t="shared" si="230"/>
        <v>120</v>
      </c>
      <c r="P209" s="14">
        <f t="shared" si="201"/>
        <v>10137</v>
      </c>
      <c r="Q209" s="14"/>
      <c r="R209" s="14"/>
      <c r="S209" s="14"/>
      <c r="T209" s="14"/>
    </row>
    <row r="210" spans="1:20" ht="18.600000000000001" thickBot="1" x14ac:dyDescent="0.4">
      <c r="A210" s="91"/>
      <c r="B210" s="76"/>
      <c r="C210" s="5" t="s">
        <v>6</v>
      </c>
      <c r="D210" s="5">
        <v>54</v>
      </c>
      <c r="E210" s="5">
        <v>29</v>
      </c>
      <c r="F210" s="5" t="s">
        <v>110</v>
      </c>
      <c r="G210" s="5" t="s">
        <v>60</v>
      </c>
      <c r="H210" s="5" t="str">
        <f t="shared" si="226"/>
        <v>01010100001010011111110000111101</v>
      </c>
      <c r="I210" s="5">
        <f t="shared" si="227"/>
        <v>17</v>
      </c>
      <c r="J210" s="78"/>
      <c r="K210" s="80"/>
      <c r="L210" s="14" t="str">
        <f t="shared" si="235"/>
        <v>01111100111110010111010111110000</v>
      </c>
      <c r="M210" s="14" t="str">
        <f t="shared" ref="M210" si="246">CONCATENATE(MID(M209,6,8),MID(M209,30,3),MID(M209,1,5),MID(M209,22,8),MID(M209,14,8))</f>
        <v>01010100001010011111110000111101</v>
      </c>
      <c r="N210" s="14">
        <f>BIN2DEC(MID(L210,1,8))</f>
        <v>124</v>
      </c>
      <c r="O210" s="14">
        <f t="shared" si="230"/>
        <v>21</v>
      </c>
      <c r="P210" s="14">
        <f t="shared" si="201"/>
        <v>10138</v>
      </c>
      <c r="Q210" s="14"/>
      <c r="R210" s="14"/>
      <c r="S210" s="14"/>
      <c r="T210" s="14"/>
    </row>
    <row r="211" spans="1:20" x14ac:dyDescent="0.35">
      <c r="A211" s="91">
        <f>A195+1</f>
        <v>14</v>
      </c>
      <c r="B211" s="75">
        <f>B209+1</f>
        <v>105</v>
      </c>
      <c r="C211" s="4" t="s">
        <v>0</v>
      </c>
      <c r="D211" s="4" t="s">
        <v>108</v>
      </c>
      <c r="E211" s="4">
        <v>83</v>
      </c>
      <c r="F211" s="4">
        <v>96</v>
      </c>
      <c r="G211" s="4">
        <v>62</v>
      </c>
      <c r="H211" s="4" t="str">
        <f t="shared" si="226"/>
        <v>01101101100000111001011001100010</v>
      </c>
      <c r="I211" s="4">
        <f t="shared" si="227"/>
        <v>15</v>
      </c>
      <c r="J211" s="77">
        <v>15</v>
      </c>
      <c r="K211" s="79" t="str">
        <f>HEX2BIN(J211,8)</f>
        <v>00010101</v>
      </c>
      <c r="L211" s="43" t="str">
        <f t="shared" ref="L211" si="247">CONCATENATE(HEX2BIN(G211,8),HEX2BIN(F211,8),HEX2BIN(E211,8),HEX2BIN(D211,8))</f>
        <v>01100010100101101000001101101101</v>
      </c>
      <c r="M211" s="1" t="str">
        <f t="shared" si="234"/>
        <v>01110111110000001100001011000001</v>
      </c>
      <c r="N211" s="14">
        <f>MOD(BIN2DEC(MID(L211,1,8))+4*HEX2DEC(J211),256)</f>
        <v>182</v>
      </c>
      <c r="O211" s="14">
        <f t="shared" si="230"/>
        <v>178</v>
      </c>
      <c r="P211" s="14">
        <f t="shared" si="201"/>
        <v>10139</v>
      </c>
      <c r="Q211" s="14"/>
      <c r="R211" s="14"/>
      <c r="S211" s="14"/>
      <c r="T211" s="14"/>
    </row>
    <row r="212" spans="1:20" ht="18.600000000000001" thickBot="1" x14ac:dyDescent="0.4">
      <c r="A212" s="91"/>
      <c r="B212" s="76"/>
      <c r="C212" s="5" t="s">
        <v>6</v>
      </c>
      <c r="D212" s="5" t="s">
        <v>66</v>
      </c>
      <c r="E212" s="5" t="s">
        <v>104</v>
      </c>
      <c r="F212" s="5">
        <v>58</v>
      </c>
      <c r="G212" s="5">
        <v>18</v>
      </c>
      <c r="H212" s="5" t="str">
        <f t="shared" si="226"/>
        <v>11111000001011100101100000011000</v>
      </c>
      <c r="I212" s="5">
        <f t="shared" si="227"/>
        <v>14</v>
      </c>
      <c r="J212" s="78"/>
      <c r="K212" s="80"/>
      <c r="L212" s="14" t="str">
        <f t="shared" si="235"/>
        <v>00010101001010100011111101010100</v>
      </c>
      <c r="M212" s="14" t="str">
        <f t="shared" ref="M212" si="248">CONCATENATE(MID(M211,6,8),MID(M211,30,3),MID(M211,1,5),MID(M211,22,8),MID(M211,14,8))</f>
        <v>11111000001011100101100000011000</v>
      </c>
      <c r="N212" s="14">
        <f>BIN2DEC(MID(L212,1,8))</f>
        <v>21</v>
      </c>
      <c r="O212" s="14">
        <f t="shared" si="230"/>
        <v>79</v>
      </c>
      <c r="P212" s="14">
        <f t="shared" si="201"/>
        <v>10140</v>
      </c>
      <c r="Q212" s="14"/>
      <c r="R212" s="14"/>
      <c r="S212" s="14"/>
      <c r="T212" s="14"/>
    </row>
    <row r="213" spans="1:20" x14ac:dyDescent="0.35">
      <c r="A213" s="91"/>
      <c r="B213" s="75">
        <f>B211+1</f>
        <v>106</v>
      </c>
      <c r="C213" s="4" t="s">
        <v>0</v>
      </c>
      <c r="D213" s="4" t="s">
        <v>26</v>
      </c>
      <c r="E213" s="4" t="s">
        <v>61</v>
      </c>
      <c r="F213" s="4">
        <v>27</v>
      </c>
      <c r="G213" s="4" t="s">
        <v>124</v>
      </c>
      <c r="H213" s="4" t="str">
        <f t="shared" si="226"/>
        <v>01001101001011010010011110100000</v>
      </c>
      <c r="I213" s="4">
        <f t="shared" si="227"/>
        <v>14</v>
      </c>
      <c r="J213" s="77">
        <v>50</v>
      </c>
      <c r="K213" s="79" t="str">
        <f>HEX2BIN(J213,8)</f>
        <v>01010000</v>
      </c>
      <c r="L213" s="43" t="str">
        <f t="shared" ref="L213" si="249">CONCATENATE(HEX2BIN(G213,8),HEX2BIN(F213,8),HEX2BIN(E213,8),HEX2BIN(D213,8))</f>
        <v>10100000001001110010110101001101</v>
      </c>
      <c r="M213" s="1" t="str">
        <f t="shared" si="234"/>
        <v>11110000110010000001111010001101</v>
      </c>
      <c r="N213" s="14">
        <f t="shared" ref="N213:N275" si="250">MOD(BIN2DEC(MID(L213,1,8))+4*HEX2DEC(J213),256)</f>
        <v>224</v>
      </c>
      <c r="O213" s="14">
        <f t="shared" si="230"/>
        <v>236</v>
      </c>
      <c r="P213" s="14">
        <f t="shared" si="201"/>
        <v>10141</v>
      </c>
      <c r="Q213" s="14"/>
      <c r="R213" s="14"/>
      <c r="S213" s="14"/>
      <c r="T213" s="14"/>
    </row>
    <row r="214" spans="1:20" ht="18.600000000000001" thickBot="1" x14ac:dyDescent="0.4">
      <c r="A214" s="91"/>
      <c r="B214" s="76"/>
      <c r="C214" s="5" t="s">
        <v>6</v>
      </c>
      <c r="D214" s="5">
        <v>19</v>
      </c>
      <c r="E214" s="5" t="s">
        <v>94</v>
      </c>
      <c r="F214" s="5" t="s">
        <v>27</v>
      </c>
      <c r="G214" s="5">
        <v>3</v>
      </c>
      <c r="H214" s="5" t="str">
        <f t="shared" si="226"/>
        <v>00011001101111101101000100000011</v>
      </c>
      <c r="I214" s="5">
        <f t="shared" si="227"/>
        <v>15</v>
      </c>
      <c r="J214" s="78"/>
      <c r="K214" s="80"/>
      <c r="L214" s="14" t="str">
        <f t="shared" si="235"/>
        <v>01010000101000001111000101000000</v>
      </c>
      <c r="M214" s="14" t="str">
        <f t="shared" ref="M214" si="251">CONCATENATE(MID(M213,6,8),MID(M213,30,3),MID(M213,1,5),MID(M213,22,8),MID(M213,14,8))</f>
        <v>00011001101111101101000100000011</v>
      </c>
      <c r="N214" s="14">
        <f t="shared" ref="N214:N276" si="252">BIN2DEC(MID(L214,1,8))</f>
        <v>80</v>
      </c>
      <c r="O214" s="14">
        <f t="shared" si="230"/>
        <v>137</v>
      </c>
      <c r="P214" s="14">
        <f t="shared" si="201"/>
        <v>10142</v>
      </c>
      <c r="Q214" s="14"/>
      <c r="R214" s="14"/>
      <c r="S214" s="14"/>
      <c r="T214" s="14"/>
    </row>
    <row r="215" spans="1:20" x14ac:dyDescent="0.35">
      <c r="A215" s="91"/>
      <c r="B215" s="75">
        <f>B213+1</f>
        <v>107</v>
      </c>
      <c r="C215" s="4" t="s">
        <v>0</v>
      </c>
      <c r="D215" s="4">
        <v>74</v>
      </c>
      <c r="E215" s="4" t="s">
        <v>60</v>
      </c>
      <c r="F215" s="4">
        <v>47</v>
      </c>
      <c r="G215" s="4">
        <v>61</v>
      </c>
      <c r="H215" s="4" t="str">
        <f t="shared" si="226"/>
        <v>01110100001111010100011101100001</v>
      </c>
      <c r="I215" s="4">
        <f t="shared" si="227"/>
        <v>16</v>
      </c>
      <c r="J215" s="77" t="s">
        <v>60</v>
      </c>
      <c r="K215" s="79" t="str">
        <f>HEX2BIN(J215,8)</f>
        <v>00111101</v>
      </c>
      <c r="L215" s="43" t="str">
        <f t="shared" ref="L215" si="253">CONCATENATE(HEX2BIN(G215,8),HEX2BIN(F215,8),HEX2BIN(E215,8),HEX2BIN(D215,8))</f>
        <v>01100001010001110011110101110100</v>
      </c>
      <c r="M215" s="1" t="str">
        <f t="shared" si="234"/>
        <v>10011110110000011111010101101000</v>
      </c>
      <c r="N215" s="14">
        <f t="shared" si="250"/>
        <v>85</v>
      </c>
      <c r="O215" s="14">
        <f t="shared" si="230"/>
        <v>38</v>
      </c>
      <c r="P215" s="14">
        <f t="shared" si="201"/>
        <v>10143</v>
      </c>
      <c r="Q215" s="14"/>
      <c r="R215" s="14"/>
      <c r="S215" s="14"/>
      <c r="T215" s="14"/>
    </row>
    <row r="216" spans="1:20" ht="18.600000000000001" thickBot="1" x14ac:dyDescent="0.4">
      <c r="A216" s="91"/>
      <c r="B216" s="76"/>
      <c r="C216" s="5" t="s">
        <v>6</v>
      </c>
      <c r="D216" s="5" t="s">
        <v>46</v>
      </c>
      <c r="E216" s="5">
        <v>13</v>
      </c>
      <c r="F216" s="5" t="s">
        <v>127</v>
      </c>
      <c r="G216" s="5" t="s">
        <v>142</v>
      </c>
      <c r="H216" s="5" t="str">
        <f t="shared" si="226"/>
        <v>11011000000100111010110100111110</v>
      </c>
      <c r="I216" s="5">
        <f t="shared" si="227"/>
        <v>17</v>
      </c>
      <c r="J216" s="78"/>
      <c r="K216" s="80"/>
      <c r="L216" s="14" t="str">
        <f t="shared" si="235"/>
        <v>00111101011110101011011111110100</v>
      </c>
      <c r="M216" s="14" t="str">
        <f t="shared" ref="M216" si="254">CONCATENATE(MID(M215,6,8),MID(M215,30,3),MID(M215,1,5),MID(M215,22,8),MID(M215,14,8))</f>
        <v>11011000000100111010110100111110</v>
      </c>
      <c r="N216" s="14">
        <f t="shared" si="252"/>
        <v>61</v>
      </c>
      <c r="O216" s="14">
        <f t="shared" si="230"/>
        <v>195</v>
      </c>
      <c r="P216" s="14">
        <f t="shared" si="201"/>
        <v>10144</v>
      </c>
      <c r="Q216" s="14"/>
      <c r="R216" s="14"/>
      <c r="S216" s="14"/>
      <c r="T216" s="14"/>
    </row>
    <row r="217" spans="1:20" x14ac:dyDescent="0.35">
      <c r="A217" s="91"/>
      <c r="B217" s="75">
        <f>B215+1</f>
        <v>108</v>
      </c>
      <c r="C217" s="4" t="s">
        <v>0</v>
      </c>
      <c r="D217" s="4">
        <v>95</v>
      </c>
      <c r="E217" s="4" t="s">
        <v>142</v>
      </c>
      <c r="F217" s="4" t="s">
        <v>55</v>
      </c>
      <c r="G217" s="4" t="s">
        <v>13</v>
      </c>
      <c r="H217" s="4" t="str">
        <f t="shared" si="226"/>
        <v>10010101001111101000101010011110</v>
      </c>
      <c r="I217" s="4">
        <f t="shared" si="227"/>
        <v>17</v>
      </c>
      <c r="J217" s="77" t="s">
        <v>73</v>
      </c>
      <c r="K217" s="79" t="str">
        <f>HEX2BIN(J217,8)</f>
        <v>11101011</v>
      </c>
      <c r="L217" s="43" t="str">
        <f t="shared" ref="L217" si="255">CONCATENATE(HEX2BIN(G217,8),HEX2BIN(F217,8),HEX2BIN(E217,8),HEX2BIN(D217,8))</f>
        <v>10011110100010100011111010010101</v>
      </c>
      <c r="M217" s="1" t="str">
        <f t="shared" si="234"/>
        <v>10001011011000110000001101000001</v>
      </c>
      <c r="N217" s="14">
        <f t="shared" si="250"/>
        <v>74</v>
      </c>
      <c r="O217" s="14">
        <f t="shared" si="230"/>
        <v>96</v>
      </c>
      <c r="P217" s="14">
        <f t="shared" si="201"/>
        <v>10145</v>
      </c>
      <c r="Q217" s="14"/>
      <c r="R217" s="14"/>
      <c r="S217" s="14"/>
      <c r="T217" s="14"/>
    </row>
    <row r="218" spans="1:20" ht="18.600000000000001" thickBot="1" x14ac:dyDescent="0.4">
      <c r="A218" s="91"/>
      <c r="B218" s="76"/>
      <c r="C218" s="5" t="s">
        <v>6</v>
      </c>
      <c r="D218" s="5" t="s">
        <v>17</v>
      </c>
      <c r="E218" s="5">
        <v>31</v>
      </c>
      <c r="F218" s="5">
        <v>68</v>
      </c>
      <c r="G218" s="5">
        <v>60</v>
      </c>
      <c r="H218" s="5" t="str">
        <f t="shared" si="226"/>
        <v>01101100001100010110100001100000</v>
      </c>
      <c r="I218" s="5">
        <f t="shared" si="227"/>
        <v>12</v>
      </c>
      <c r="J218" s="78"/>
      <c r="K218" s="80"/>
      <c r="L218" s="14" t="str">
        <f t="shared" si="235"/>
        <v>11101100110110001100010010101100</v>
      </c>
      <c r="M218" s="14" t="str">
        <f t="shared" ref="M218" si="256">CONCATENATE(MID(M217,6,8),MID(M217,30,3),MID(M217,1,5),MID(M217,22,8),MID(M217,14,8))</f>
        <v>01101100001100010110100001100000</v>
      </c>
      <c r="N218" s="14">
        <f t="shared" si="252"/>
        <v>236</v>
      </c>
      <c r="O218" s="14">
        <f t="shared" si="230"/>
        <v>253</v>
      </c>
      <c r="P218" s="14">
        <f t="shared" si="201"/>
        <v>10146</v>
      </c>
      <c r="Q218" s="14"/>
      <c r="R218" s="14"/>
      <c r="S218" s="14"/>
      <c r="T218" s="14"/>
    </row>
    <row r="219" spans="1:20" x14ac:dyDescent="0.35">
      <c r="A219" s="91"/>
      <c r="B219" s="75">
        <f>B217+1</f>
        <v>109</v>
      </c>
      <c r="C219" s="4" t="s">
        <v>0</v>
      </c>
      <c r="D219" s="4">
        <v>18</v>
      </c>
      <c r="E219" s="4" t="s">
        <v>118</v>
      </c>
      <c r="F219" s="4" t="s">
        <v>74</v>
      </c>
      <c r="G219" s="4">
        <v>1</v>
      </c>
      <c r="H219" s="4" t="str">
        <f t="shared" si="226"/>
        <v>00011000000011000010111100000001</v>
      </c>
      <c r="I219" s="4">
        <f t="shared" si="227"/>
        <v>10</v>
      </c>
      <c r="J219" s="77" t="s">
        <v>133</v>
      </c>
      <c r="K219" s="79" t="str">
        <f>HEX2BIN(J219,8)</f>
        <v>11000111</v>
      </c>
      <c r="L219" s="43" t="str">
        <f t="shared" ref="L219" si="257">CONCATENATE(HEX2BIN(G219,8),HEX2BIN(F219,8),HEX2BIN(E219,8),HEX2BIN(D219,8))</f>
        <v>00000001001011110000110000011000</v>
      </c>
      <c r="M219" s="1" t="str">
        <f t="shared" si="234"/>
        <v>11001001101111110110010000110100</v>
      </c>
      <c r="N219" s="14">
        <f t="shared" si="250"/>
        <v>29</v>
      </c>
      <c r="O219" s="14">
        <f t="shared" si="230"/>
        <v>154</v>
      </c>
      <c r="P219" s="14">
        <f t="shared" si="201"/>
        <v>10147</v>
      </c>
      <c r="Q219" s="14"/>
      <c r="R219" s="14"/>
      <c r="S219" s="14"/>
      <c r="T219" s="14"/>
    </row>
    <row r="220" spans="1:20" ht="18.600000000000001" thickBot="1" x14ac:dyDescent="0.4">
      <c r="A220" s="91"/>
      <c r="B220" s="76"/>
      <c r="C220" s="5" t="s">
        <v>6</v>
      </c>
      <c r="D220" s="5">
        <v>37</v>
      </c>
      <c r="E220" s="5">
        <v>99</v>
      </c>
      <c r="F220" s="5">
        <v>86</v>
      </c>
      <c r="G220" s="5" t="s">
        <v>129</v>
      </c>
      <c r="H220" s="5" t="str">
        <f t="shared" si="226"/>
        <v>00110111100110011000011011101100</v>
      </c>
      <c r="I220" s="5">
        <f t="shared" si="227"/>
        <v>17</v>
      </c>
      <c r="J220" s="78"/>
      <c r="K220" s="80"/>
      <c r="L220" s="14" t="str">
        <f t="shared" si="235"/>
        <v>11001000100100000101100000011100</v>
      </c>
      <c r="M220" s="14" t="str">
        <f t="shared" ref="M220" si="258">CONCATENATE(MID(M219,6,8),MID(M219,30,3),MID(M219,1,5),MID(M219,22,8),MID(M219,14,8))</f>
        <v>00110111100110011000011011101100</v>
      </c>
      <c r="N220" s="14">
        <f t="shared" si="252"/>
        <v>200</v>
      </c>
      <c r="O220" s="14">
        <f t="shared" si="230"/>
        <v>55</v>
      </c>
      <c r="P220" s="14">
        <f t="shared" si="201"/>
        <v>10148</v>
      </c>
      <c r="Q220" s="14"/>
      <c r="R220" s="14"/>
      <c r="S220" s="14"/>
      <c r="T220" s="14"/>
    </row>
    <row r="221" spans="1:20" x14ac:dyDescent="0.35">
      <c r="A221" s="91"/>
      <c r="B221" s="75">
        <f>B219+1</f>
        <v>110</v>
      </c>
      <c r="C221" s="4" t="s">
        <v>0</v>
      </c>
      <c r="D221" s="4" t="s">
        <v>99</v>
      </c>
      <c r="E221" s="4" t="s">
        <v>32</v>
      </c>
      <c r="F221" s="4" t="s">
        <v>118</v>
      </c>
      <c r="G221" s="4">
        <v>72</v>
      </c>
      <c r="H221" s="4" t="str">
        <f t="shared" si="226"/>
        <v>10100010101001110000110001110010</v>
      </c>
      <c r="I221" s="4">
        <f t="shared" si="227"/>
        <v>14</v>
      </c>
      <c r="J221" s="77" t="s">
        <v>11</v>
      </c>
      <c r="K221" s="79" t="str">
        <f>HEX2BIN(J221,8)</f>
        <v>10111000</v>
      </c>
      <c r="L221" s="43" t="str">
        <f t="shared" ref="L221" si="259">CONCATENATE(HEX2BIN(G221,8),HEX2BIN(F221,8),HEX2BIN(E221,8),HEX2BIN(D221,8))</f>
        <v>01110010000011001010011110100010</v>
      </c>
      <c r="M221" s="1" t="str">
        <f t="shared" si="234"/>
        <v>00101011011111101101001010000010</v>
      </c>
      <c r="N221" s="14">
        <f t="shared" si="250"/>
        <v>82</v>
      </c>
      <c r="O221" s="14">
        <f t="shared" si="230"/>
        <v>212</v>
      </c>
      <c r="P221" s="14">
        <f t="shared" si="201"/>
        <v>10149</v>
      </c>
      <c r="Q221" s="14"/>
      <c r="R221" s="14"/>
      <c r="S221" s="14"/>
      <c r="T221" s="14"/>
    </row>
    <row r="222" spans="1:20" ht="18.600000000000001" thickBot="1" x14ac:dyDescent="0.4">
      <c r="A222" s="91"/>
      <c r="B222" s="76"/>
      <c r="C222" s="5" t="s">
        <v>6</v>
      </c>
      <c r="D222" s="5" t="s">
        <v>85</v>
      </c>
      <c r="E222" s="5">
        <v>45</v>
      </c>
      <c r="F222" s="5">
        <v>50</v>
      </c>
      <c r="G222" s="5" t="s">
        <v>111</v>
      </c>
      <c r="H222" s="5" t="str">
        <f t="shared" si="226"/>
        <v>01101111010001010101000011011010</v>
      </c>
      <c r="I222" s="5">
        <f t="shared" si="227"/>
        <v>16</v>
      </c>
      <c r="J222" s="78"/>
      <c r="K222" s="80"/>
      <c r="L222" s="14" t="str">
        <f t="shared" si="235"/>
        <v>10111001011100100010101011100000</v>
      </c>
      <c r="M222" s="14" t="str">
        <f t="shared" ref="M222" si="260">CONCATENATE(MID(M221,6,8),MID(M221,30,3),MID(M221,1,5),MID(M221,22,8),MID(M221,14,8))</f>
        <v>01101111010001010101000011011010</v>
      </c>
      <c r="N222" s="14">
        <f t="shared" si="252"/>
        <v>185</v>
      </c>
      <c r="O222" s="14">
        <f t="shared" si="230"/>
        <v>113</v>
      </c>
      <c r="P222" s="14">
        <f t="shared" si="201"/>
        <v>10150</v>
      </c>
      <c r="Q222" s="14"/>
      <c r="R222" s="14"/>
      <c r="S222" s="14"/>
      <c r="T222" s="14"/>
    </row>
    <row r="223" spans="1:20" x14ac:dyDescent="0.35">
      <c r="A223" s="91"/>
      <c r="B223" s="75">
        <f>B221+1</f>
        <v>111</v>
      </c>
      <c r="C223" s="4" t="s">
        <v>0</v>
      </c>
      <c r="D223" s="4">
        <v>77</v>
      </c>
      <c r="E223" s="4">
        <v>49</v>
      </c>
      <c r="F223" s="4" t="s">
        <v>42</v>
      </c>
      <c r="G223" s="4" t="s">
        <v>19</v>
      </c>
      <c r="H223" s="4" t="str">
        <f t="shared" si="226"/>
        <v>01110111010010010111111111011011</v>
      </c>
      <c r="I223" s="4">
        <f t="shared" si="227"/>
        <v>22</v>
      </c>
      <c r="J223" s="77" t="s">
        <v>94</v>
      </c>
      <c r="K223" s="79" t="str">
        <f>HEX2BIN(J223,8)</f>
        <v>10111110</v>
      </c>
      <c r="L223" s="43" t="str">
        <f t="shared" ref="L223" si="261">CONCATENATE(HEX2BIN(G223,8),HEX2BIN(F223,8),HEX2BIN(E223,8),HEX2BIN(D223,8))</f>
        <v>11011011011111110100100101110111</v>
      </c>
      <c r="M223" s="1" t="str">
        <f t="shared" si="234"/>
        <v>10011010111111011000011001101111</v>
      </c>
      <c r="N223" s="14">
        <f t="shared" si="250"/>
        <v>211</v>
      </c>
      <c r="O223" s="14">
        <f t="shared" si="230"/>
        <v>14</v>
      </c>
      <c r="P223" s="14">
        <f t="shared" si="201"/>
        <v>10151</v>
      </c>
      <c r="Q223" s="14"/>
      <c r="R223" s="14"/>
      <c r="S223" s="14"/>
      <c r="T223" s="14"/>
    </row>
    <row r="224" spans="1:20" ht="18.600000000000001" thickBot="1" x14ac:dyDescent="0.4">
      <c r="A224" s="91"/>
      <c r="B224" s="76"/>
      <c r="C224" s="5" t="s">
        <v>6</v>
      </c>
      <c r="D224" s="5" t="s">
        <v>36</v>
      </c>
      <c r="E224" s="5" t="s">
        <v>62</v>
      </c>
      <c r="F224" s="5" t="s">
        <v>82</v>
      </c>
      <c r="G224" s="5" t="s">
        <v>109</v>
      </c>
      <c r="H224" s="5" t="str">
        <f t="shared" si="226"/>
        <v>01011111111100111100110110110000</v>
      </c>
      <c r="I224" s="5">
        <f t="shared" si="227"/>
        <v>20</v>
      </c>
      <c r="J224" s="78"/>
      <c r="K224" s="80"/>
      <c r="L224" s="14" t="str">
        <f t="shared" si="235"/>
        <v>10111111011111100011110011111000</v>
      </c>
      <c r="M224" s="14" t="str">
        <f t="shared" ref="M224" si="262">CONCATENATE(MID(M223,6,8),MID(M223,30,3),MID(M223,1,5),MID(M223,22,8),MID(M223,14,8))</f>
        <v>01011111111100111100110110110000</v>
      </c>
      <c r="N224" s="14">
        <f t="shared" si="252"/>
        <v>191</v>
      </c>
      <c r="O224" s="14">
        <f t="shared" si="230"/>
        <v>171</v>
      </c>
      <c r="P224" s="14">
        <f t="shared" si="201"/>
        <v>10152</v>
      </c>
      <c r="Q224" s="14"/>
      <c r="R224" s="14"/>
      <c r="S224" s="14"/>
      <c r="T224" s="14"/>
    </row>
    <row r="225" spans="1:28" x14ac:dyDescent="0.35">
      <c r="A225" s="91"/>
      <c r="B225" s="75">
        <f>B223+1</f>
        <v>112</v>
      </c>
      <c r="C225" s="4" t="s">
        <v>0</v>
      </c>
      <c r="D225" s="4" t="s">
        <v>156</v>
      </c>
      <c r="E225" s="4">
        <v>54</v>
      </c>
      <c r="F225" s="4" t="s">
        <v>117</v>
      </c>
      <c r="G225" s="4" t="s">
        <v>29</v>
      </c>
      <c r="H225" s="4" t="str">
        <f t="shared" si="226"/>
        <v>11111101010101001100000111000010</v>
      </c>
      <c r="I225" s="4">
        <f t="shared" si="227"/>
        <v>16</v>
      </c>
      <c r="J225" s="77" t="s">
        <v>67</v>
      </c>
      <c r="K225" s="79" t="str">
        <f>HEX2BIN(J225,8)</f>
        <v>11000000</v>
      </c>
      <c r="L225" s="43" t="str">
        <f t="shared" ref="L225" si="263">CONCATENATE(HEX2BIN(G225,8),HEX2BIN(F225,8),HEX2BIN(E225,8),HEX2BIN(D225,8))</f>
        <v>11000010110000010101010011111101</v>
      </c>
      <c r="M225" s="1" t="str">
        <f t="shared" si="234"/>
        <v>10000100010000111001011111111101</v>
      </c>
      <c r="N225" s="14">
        <f t="shared" si="250"/>
        <v>194</v>
      </c>
      <c r="O225" s="14">
        <f t="shared" si="230"/>
        <v>72</v>
      </c>
      <c r="P225" s="14">
        <f t="shared" si="201"/>
        <v>10153</v>
      </c>
      <c r="Q225" s="14"/>
      <c r="R225" s="14"/>
      <c r="S225" s="14"/>
      <c r="T225" s="14"/>
    </row>
    <row r="226" spans="1:28" ht="18.600000000000001" thickBot="1" x14ac:dyDescent="0.4">
      <c r="A226" s="91"/>
      <c r="B226" s="76"/>
      <c r="C226" s="5" t="s">
        <v>6</v>
      </c>
      <c r="D226" s="5">
        <v>88</v>
      </c>
      <c r="E226" s="5" t="s">
        <v>109</v>
      </c>
      <c r="F226" s="5" t="s">
        <v>47</v>
      </c>
      <c r="G226" s="5">
        <v>72</v>
      </c>
      <c r="H226" s="5" t="str">
        <f t="shared" si="226"/>
        <v>10001000101100001111111101110010</v>
      </c>
      <c r="I226" s="5">
        <f t="shared" si="227"/>
        <v>17</v>
      </c>
      <c r="J226" s="78"/>
      <c r="K226" s="80"/>
      <c r="L226" s="14" t="str">
        <f t="shared" si="235"/>
        <v>11000001100000100100001100000000</v>
      </c>
      <c r="M226" s="14" t="str">
        <f t="shared" ref="M226" si="264">CONCATENATE(MID(M225,6,8),MID(M225,30,3),MID(M225,1,5),MID(M225,22,8),MID(M225,14,8))</f>
        <v>10001000101100001111111101110010</v>
      </c>
      <c r="N226" s="14">
        <f t="shared" si="252"/>
        <v>193</v>
      </c>
      <c r="O226" s="14">
        <f t="shared" si="230"/>
        <v>229</v>
      </c>
      <c r="P226" s="14">
        <f t="shared" si="201"/>
        <v>10154</v>
      </c>
      <c r="Q226" s="14"/>
      <c r="R226" s="14"/>
      <c r="S226" s="14"/>
      <c r="T226" s="14"/>
    </row>
    <row r="227" spans="1:28" x14ac:dyDescent="0.35">
      <c r="A227" s="91">
        <f>A211+1</f>
        <v>15</v>
      </c>
      <c r="B227" s="75">
        <f>B225+1</f>
        <v>113</v>
      </c>
      <c r="C227" s="4" t="s">
        <v>0</v>
      </c>
      <c r="D227" s="4" t="s">
        <v>83</v>
      </c>
      <c r="E227" s="4" t="s">
        <v>108</v>
      </c>
      <c r="F227" s="4" t="s">
        <v>46</v>
      </c>
      <c r="G227" s="4" t="s">
        <v>146</v>
      </c>
      <c r="H227" s="4" t="str">
        <f t="shared" si="226"/>
        <v>11100111011011011101100010111011</v>
      </c>
      <c r="I227" s="4">
        <f t="shared" si="227"/>
        <v>21</v>
      </c>
      <c r="J227" s="77" t="s">
        <v>51</v>
      </c>
      <c r="K227" s="79" t="str">
        <f>HEX2BIN(J227,8)</f>
        <v>10101010</v>
      </c>
      <c r="L227" s="43" t="str">
        <f t="shared" ref="L227" si="265">CONCATENATE(HEX2BIN(G227,8),HEX2BIN(F227,8),HEX2BIN(E227,8),HEX2BIN(D227,8))</f>
        <v>10111011110110000110110111100111</v>
      </c>
      <c r="M227" s="1" t="str">
        <f t="shared" si="234"/>
        <v>01100111001011100110111010001111</v>
      </c>
      <c r="N227" s="14">
        <f t="shared" si="250"/>
        <v>99</v>
      </c>
      <c r="O227" s="14">
        <f t="shared" si="230"/>
        <v>130</v>
      </c>
      <c r="P227" s="14">
        <f t="shared" si="201"/>
        <v>10155</v>
      </c>
      <c r="Q227" s="14"/>
      <c r="R227" s="14"/>
      <c r="S227" s="14"/>
      <c r="T227" s="14"/>
    </row>
    <row r="228" spans="1:28" ht="18.600000000000001" thickBot="1" x14ac:dyDescent="0.4">
      <c r="A228" s="91"/>
      <c r="B228" s="76"/>
      <c r="C228" s="5" t="s">
        <v>6</v>
      </c>
      <c r="D228" s="5" t="s">
        <v>158</v>
      </c>
      <c r="E228" s="5" t="s">
        <v>129</v>
      </c>
      <c r="F228" s="5" t="s">
        <v>27</v>
      </c>
      <c r="G228" s="5" t="s">
        <v>82</v>
      </c>
      <c r="H228" s="5" t="str">
        <f t="shared" si="226"/>
        <v>11100101111011001101000111001101</v>
      </c>
      <c r="I228" s="5">
        <f t="shared" si="227"/>
        <v>19</v>
      </c>
      <c r="J228" s="78"/>
      <c r="K228" s="80"/>
      <c r="L228" s="14" t="str">
        <f t="shared" si="235"/>
        <v>10101011010101100000000010101000</v>
      </c>
      <c r="M228" s="14" t="str">
        <f t="shared" ref="M228" si="266">CONCATENATE(MID(M227,6,8),MID(M227,30,3),MID(M227,1,5),MID(M227,22,8),MID(M227,14,8))</f>
        <v>11100101111011001101000111001101</v>
      </c>
      <c r="N228" s="14">
        <f t="shared" si="252"/>
        <v>171</v>
      </c>
      <c r="O228" s="14">
        <f t="shared" si="230"/>
        <v>31</v>
      </c>
      <c r="P228" s="14">
        <f t="shared" si="201"/>
        <v>10156</v>
      </c>
      <c r="Q228" s="14"/>
      <c r="R228" s="14"/>
      <c r="S228" s="14"/>
      <c r="T228" s="14"/>
    </row>
    <row r="229" spans="1:28" x14ac:dyDescent="0.35">
      <c r="A229" s="91"/>
      <c r="B229" s="75">
        <f>B227+1</f>
        <v>114</v>
      </c>
      <c r="C229" s="4" t="s">
        <v>0</v>
      </c>
      <c r="D229" s="4">
        <v>46</v>
      </c>
      <c r="E229" s="4">
        <v>76</v>
      </c>
      <c r="F229" s="4">
        <v>28</v>
      </c>
      <c r="G229" s="4" t="s">
        <v>10</v>
      </c>
      <c r="H229" s="4" t="str">
        <f t="shared" si="226"/>
        <v>01000110011101100010100010011100</v>
      </c>
      <c r="I229" s="4">
        <f t="shared" si="227"/>
        <v>14</v>
      </c>
      <c r="J229" s="77" t="s">
        <v>47</v>
      </c>
      <c r="K229" s="79" t="str">
        <f>HEX2BIN(J229,8)</f>
        <v>11111111</v>
      </c>
      <c r="L229" s="43" t="str">
        <f t="shared" ref="L229" si="267">CONCATENATE(HEX2BIN(G229,8),HEX2BIN(F229,8),HEX2BIN(E229,8),HEX2BIN(D229,8))</f>
        <v>10011100001010000111011001000110</v>
      </c>
      <c r="M229" s="1" t="str">
        <f t="shared" si="234"/>
        <v>10011101001010010111011101000010</v>
      </c>
      <c r="N229" s="14">
        <f t="shared" si="250"/>
        <v>152</v>
      </c>
      <c r="O229" s="14">
        <f t="shared" si="230"/>
        <v>188</v>
      </c>
      <c r="P229" s="14">
        <f t="shared" si="201"/>
        <v>10157</v>
      </c>
      <c r="Q229" s="14" t="s">
        <v>10</v>
      </c>
      <c r="R229" s="14">
        <v>28</v>
      </c>
      <c r="S229" s="14">
        <v>76</v>
      </c>
      <c r="T229" s="14">
        <v>46</v>
      </c>
      <c r="U229" s="71" t="str">
        <f>CONCATENATE(HEX2BIN(Q229,8),HEX2BIN(R229,8),HEX2BIN(S229,8),HEX2BIN(T229,8))</f>
        <v>10011100001010000111011001000110</v>
      </c>
    </row>
    <row r="230" spans="1:28" ht="18.600000000000001" thickBot="1" x14ac:dyDescent="0.4">
      <c r="A230" s="91"/>
      <c r="B230" s="76"/>
      <c r="C230" s="5" t="s">
        <v>6</v>
      </c>
      <c r="D230" s="5" t="s">
        <v>154</v>
      </c>
      <c r="E230" s="5">
        <v>53</v>
      </c>
      <c r="F230" s="5" t="s">
        <v>76</v>
      </c>
      <c r="G230" s="5" t="s">
        <v>104</v>
      </c>
      <c r="H230" s="5" t="str">
        <f t="shared" si="226"/>
        <v>10100101010100111110100000101110</v>
      </c>
      <c r="I230" s="5">
        <f t="shared" si="227"/>
        <v>16</v>
      </c>
      <c r="J230" s="78"/>
      <c r="K230" s="80"/>
      <c r="L230" s="14" t="str">
        <f t="shared" si="235"/>
        <v>00000001000000010000000011111100</v>
      </c>
      <c r="M230" s="14" t="str">
        <f t="shared" ref="M230" si="268">CONCATENATE(MID(M229,6,8),MID(M229,30,3),MID(M229,1,5),MID(M229,22,8),MID(M229,14,8))</f>
        <v>10100101010100111110100000101110</v>
      </c>
      <c r="N230" s="14">
        <f t="shared" si="252"/>
        <v>1</v>
      </c>
      <c r="O230" s="14">
        <f t="shared" si="230"/>
        <v>89</v>
      </c>
      <c r="P230" s="14">
        <f t="shared" si="201"/>
        <v>10158</v>
      </c>
    </row>
    <row r="231" spans="1:28" x14ac:dyDescent="0.35">
      <c r="A231" s="91"/>
      <c r="B231" s="75">
        <f>B229+1</f>
        <v>115</v>
      </c>
      <c r="C231" s="4" t="s">
        <v>0</v>
      </c>
      <c r="D231" s="4">
        <v>42</v>
      </c>
      <c r="E231" s="4" t="s">
        <v>142</v>
      </c>
      <c r="F231" s="4">
        <v>30</v>
      </c>
      <c r="G231" s="4">
        <v>95</v>
      </c>
      <c r="H231" s="4" t="str">
        <f t="shared" si="226"/>
        <v>01000010001111100011000010010101</v>
      </c>
      <c r="I231" s="4">
        <f t="shared" si="227"/>
        <v>13</v>
      </c>
      <c r="J231" s="77" t="s">
        <v>63</v>
      </c>
      <c r="K231" s="79" t="str">
        <f>HEX2BIN(J231,8)</f>
        <v>11110110</v>
      </c>
      <c r="L231" s="43" t="str">
        <f t="shared" ref="L231" si="269">CONCATENATE(HEX2BIN(G231,8),HEX2BIN(F231,8),HEX2BIN(E231,8),HEX2BIN(D231,8))</f>
        <v>10010101001100000011111001000010</v>
      </c>
      <c r="M231" s="1" t="str">
        <f t="shared" si="234"/>
        <v>10001101000111110010010000011010</v>
      </c>
      <c r="N231" s="14">
        <f t="shared" si="250"/>
        <v>109</v>
      </c>
      <c r="O231" s="14">
        <f t="shared" si="230"/>
        <v>246</v>
      </c>
      <c r="P231" s="14">
        <f t="shared" si="201"/>
        <v>10159</v>
      </c>
      <c r="Q231" s="14"/>
      <c r="R231" s="14"/>
      <c r="S231" s="14"/>
      <c r="T231" s="14"/>
    </row>
    <row r="232" spans="1:28" ht="18.600000000000001" thickBot="1" x14ac:dyDescent="0.4">
      <c r="A232" s="91"/>
      <c r="B232" s="76"/>
      <c r="C232" s="5" t="s">
        <v>6</v>
      </c>
      <c r="D232" s="5" t="s">
        <v>12</v>
      </c>
      <c r="E232" s="5">
        <v>51</v>
      </c>
      <c r="F232" s="5">
        <v>83</v>
      </c>
      <c r="G232" s="5" t="s">
        <v>121</v>
      </c>
      <c r="H232" s="5" t="str">
        <f t="shared" si="226"/>
        <v>10100011010100011000001111100100</v>
      </c>
      <c r="I232" s="5">
        <f t="shared" si="227"/>
        <v>14</v>
      </c>
      <c r="J232" s="78"/>
      <c r="K232" s="80"/>
      <c r="L232" s="14" t="str">
        <f t="shared" si="235"/>
        <v>11110111111011101110010111011000</v>
      </c>
      <c r="M232" s="14" t="str">
        <f t="shared" ref="M232" si="270">CONCATENATE(MID(M231,6,8),MID(M231,30,3),MID(M231,1,5),MID(M231,22,8),MID(M231,14,8))</f>
        <v>10100011010100011000001111100100</v>
      </c>
      <c r="N232" s="14">
        <f t="shared" si="252"/>
        <v>247</v>
      </c>
      <c r="O232" s="14">
        <f t="shared" si="230"/>
        <v>147</v>
      </c>
      <c r="P232" s="14">
        <f t="shared" si="201"/>
        <v>10160</v>
      </c>
      <c r="Q232" s="14"/>
      <c r="R232" s="14"/>
      <c r="S232" s="14"/>
      <c r="T232" s="14"/>
    </row>
    <row r="233" spans="1:28" x14ac:dyDescent="0.35">
      <c r="A233" s="91"/>
      <c r="B233" s="75">
        <f>B231+1</f>
        <v>116</v>
      </c>
      <c r="C233" s="4" t="s">
        <v>0</v>
      </c>
      <c r="D233" s="4" t="s">
        <v>158</v>
      </c>
      <c r="E233" s="4">
        <v>27</v>
      </c>
      <c r="F233" s="4" t="s">
        <v>141</v>
      </c>
      <c r="G233" s="4">
        <v>78</v>
      </c>
      <c r="H233" s="4" t="str">
        <f t="shared" si="226"/>
        <v>11100101001001111010101101111000</v>
      </c>
      <c r="I233" s="4">
        <f t="shared" si="227"/>
        <v>18</v>
      </c>
      <c r="J233" s="77" t="s">
        <v>70</v>
      </c>
      <c r="K233" s="79" t="str">
        <f>HEX2BIN(J233,8)</f>
        <v>01011101</v>
      </c>
      <c r="L233" s="43" t="str">
        <f t="shared" ref="L233" si="271">CONCATENATE(HEX2BIN(G233,8),HEX2BIN(F233,8),HEX2BIN(E233,8),HEX2BIN(D233,8))</f>
        <v>01111000101010110010011111100101</v>
      </c>
      <c r="M233" s="1" t="str">
        <f t="shared" si="234"/>
        <v>11010110011001100100000001011001</v>
      </c>
      <c r="N233" s="14">
        <f t="shared" si="250"/>
        <v>236</v>
      </c>
      <c r="O233" s="14">
        <f t="shared" si="230"/>
        <v>48</v>
      </c>
      <c r="P233" s="14">
        <f t="shared" si="201"/>
        <v>10161</v>
      </c>
      <c r="Q233" s="14"/>
      <c r="R233" s="14"/>
      <c r="S233" s="14"/>
      <c r="T233" s="14"/>
    </row>
    <row r="234" spans="1:28" ht="18.600000000000001" thickBot="1" x14ac:dyDescent="0.4">
      <c r="A234" s="91"/>
      <c r="B234" s="76"/>
      <c r="C234" s="5" t="s">
        <v>6</v>
      </c>
      <c r="D234" s="5" t="s">
        <v>107</v>
      </c>
      <c r="E234" s="5" t="s">
        <v>115</v>
      </c>
      <c r="F234" s="5" t="s">
        <v>43</v>
      </c>
      <c r="G234" s="5" t="s">
        <v>92</v>
      </c>
      <c r="H234" s="5" t="str">
        <f t="shared" si="226"/>
        <v>11001100001110100000101111001000</v>
      </c>
      <c r="I234" s="5">
        <f t="shared" si="227"/>
        <v>14</v>
      </c>
      <c r="J234" s="78"/>
      <c r="K234" s="80"/>
      <c r="L234" s="14" t="str">
        <f t="shared" si="235"/>
        <v>01011101101110110001100001110100</v>
      </c>
      <c r="M234" s="14" t="str">
        <f t="shared" ref="M234" si="272">CONCATENATE(MID(M233,6,8),MID(M233,30,3),MID(M233,1,5),MID(M233,22,8),MID(M233,14,8))</f>
        <v>11001100001110100000101111001000</v>
      </c>
      <c r="N234" s="14">
        <f t="shared" si="252"/>
        <v>93</v>
      </c>
      <c r="O234" s="14">
        <f t="shared" si="230"/>
        <v>205</v>
      </c>
      <c r="P234" s="14">
        <f t="shared" si="201"/>
        <v>10162</v>
      </c>
      <c r="Q234" s="14"/>
      <c r="R234" s="14"/>
      <c r="S234" s="14"/>
      <c r="T234" s="14"/>
    </row>
    <row r="235" spans="1:28" x14ac:dyDescent="0.35">
      <c r="A235" s="91"/>
      <c r="B235" s="75">
        <f>B233+1</f>
        <v>117</v>
      </c>
      <c r="C235" s="4" t="s">
        <v>0</v>
      </c>
      <c r="D235" s="4" t="s">
        <v>39</v>
      </c>
      <c r="E235" s="4">
        <v>4</v>
      </c>
      <c r="F235" s="4" t="s">
        <v>90</v>
      </c>
      <c r="G235" s="4" t="s">
        <v>70</v>
      </c>
      <c r="H235" s="4" t="str">
        <f t="shared" si="226"/>
        <v>10001110000001000011101101011101</v>
      </c>
      <c r="I235" s="4">
        <f t="shared" si="227"/>
        <v>15</v>
      </c>
      <c r="J235" s="77">
        <v>83</v>
      </c>
      <c r="K235" s="79" t="str">
        <f>HEX2BIN(J235,8)</f>
        <v>10000011</v>
      </c>
      <c r="L235" s="43" t="str">
        <f t="shared" ref="L235" si="273">CONCATENATE(HEX2BIN(G235,8),HEX2BIN(F235,8),HEX2BIN(E235,8),HEX2BIN(D235,8))</f>
        <v>01011101001110110000010010001110</v>
      </c>
      <c r="M235" s="1" t="str">
        <f t="shared" si="234"/>
        <v>11100001010000101000111110011010</v>
      </c>
      <c r="N235" s="14">
        <f t="shared" si="250"/>
        <v>105</v>
      </c>
      <c r="O235" s="14">
        <f t="shared" si="230"/>
        <v>106</v>
      </c>
      <c r="P235" s="14">
        <f t="shared" si="201"/>
        <v>10163</v>
      </c>
      <c r="Q235" s="14"/>
      <c r="R235" s="14"/>
      <c r="S235" s="14"/>
      <c r="T235" s="14"/>
    </row>
    <row r="236" spans="1:28" ht="18.600000000000001" thickBot="1" x14ac:dyDescent="0.4">
      <c r="A236" s="91"/>
      <c r="B236" s="76"/>
      <c r="C236" s="5" t="s">
        <v>6</v>
      </c>
      <c r="D236" s="5">
        <v>28</v>
      </c>
      <c r="E236" s="5" t="s">
        <v>58</v>
      </c>
      <c r="F236" s="5" t="s">
        <v>62</v>
      </c>
      <c r="G236" s="5">
        <v>51</v>
      </c>
      <c r="H236" s="5" t="str">
        <f t="shared" si="226"/>
        <v>00101000010111001111001101010001</v>
      </c>
      <c r="I236" s="5">
        <f t="shared" si="227"/>
        <v>15</v>
      </c>
      <c r="J236" s="78"/>
      <c r="K236" s="80"/>
      <c r="L236" s="14" t="str">
        <f t="shared" si="235"/>
        <v>10000100000001111000101100001100</v>
      </c>
      <c r="M236" s="14" t="str">
        <f t="shared" ref="M236" si="274">CONCATENATE(MID(M235,6,8),MID(M235,30,3),MID(M235,1,5),MID(M235,22,8),MID(M235,14,8))</f>
        <v>00101000010111001111001101010001</v>
      </c>
      <c r="N236" s="14">
        <f t="shared" si="252"/>
        <v>132</v>
      </c>
      <c r="O236" s="14">
        <f t="shared" si="230"/>
        <v>7</v>
      </c>
      <c r="P236" s="14">
        <f t="shared" ref="P236:P266" si="275">P235+1</f>
        <v>10164</v>
      </c>
      <c r="Q236" s="14"/>
      <c r="R236" s="14"/>
      <c r="S236" s="14"/>
      <c r="T236" s="14"/>
    </row>
    <row r="237" spans="1:28" x14ac:dyDescent="0.35">
      <c r="A237" s="91"/>
      <c r="B237" s="75">
        <f>B235+1</f>
        <v>118</v>
      </c>
      <c r="C237" s="4" t="s">
        <v>0</v>
      </c>
      <c r="D237" s="4" t="s">
        <v>82</v>
      </c>
      <c r="E237" s="4" t="s">
        <v>41</v>
      </c>
      <c r="F237" s="4">
        <v>58</v>
      </c>
      <c r="G237" s="4">
        <v>29</v>
      </c>
      <c r="H237" s="4" t="str">
        <f t="shared" si="226"/>
        <v>11001101011110110101100000101001</v>
      </c>
      <c r="I237" s="4">
        <f t="shared" si="227"/>
        <v>17</v>
      </c>
      <c r="J237" s="77" t="s">
        <v>130</v>
      </c>
      <c r="K237" s="79" t="str">
        <f>HEX2BIN(J237,8)</f>
        <v>11001010</v>
      </c>
      <c r="L237" s="43" t="str">
        <f t="shared" ref="L237" si="276">CONCATENATE(HEX2BIN(G237,8),HEX2BIN(F237,8),HEX2BIN(E237,8),HEX2BIN(D237,8))</f>
        <v>00101001010110000111101111001101</v>
      </c>
      <c r="M237" s="1" t="str">
        <f t="shared" si="234"/>
        <v>11110100111011101101110011110101</v>
      </c>
      <c r="N237" s="14">
        <f t="shared" si="250"/>
        <v>81</v>
      </c>
      <c r="O237" s="14">
        <f t="shared" si="230"/>
        <v>164</v>
      </c>
      <c r="P237" s="14">
        <f t="shared" si="275"/>
        <v>10165</v>
      </c>
      <c r="Q237" s="14"/>
      <c r="R237" s="14"/>
      <c r="S237" s="14"/>
      <c r="T237" s="14"/>
    </row>
    <row r="238" spans="1:28" ht="18.600000000000001" thickBot="1" x14ac:dyDescent="0.4">
      <c r="A238" s="91"/>
      <c r="B238" s="76"/>
      <c r="C238" s="5" t="s">
        <v>6</v>
      </c>
      <c r="D238" s="5" t="s">
        <v>147</v>
      </c>
      <c r="E238" s="5" t="s">
        <v>94</v>
      </c>
      <c r="F238" s="5" t="s">
        <v>13</v>
      </c>
      <c r="G238" s="5" t="s">
        <v>19</v>
      </c>
      <c r="H238" s="5" t="str">
        <f t="shared" si="226"/>
        <v>10011101101111101001111011011011</v>
      </c>
      <c r="I238" s="5">
        <f t="shared" si="227"/>
        <v>22</v>
      </c>
      <c r="J238" s="78"/>
      <c r="K238" s="80"/>
      <c r="L238" s="14" t="str">
        <f t="shared" si="235"/>
        <v>11001011100101100110000100101000</v>
      </c>
      <c r="M238" s="14" t="str">
        <f t="shared" ref="M238" si="277">CONCATENATE(MID(M237,6,8),MID(M237,30,3),MID(M237,1,5),MID(M237,22,8),MID(M237,14,8))</f>
        <v>10011101101111101001111011011011</v>
      </c>
      <c r="N238" s="14">
        <f t="shared" si="252"/>
        <v>203</v>
      </c>
      <c r="O238" s="14">
        <f t="shared" si="230"/>
        <v>65</v>
      </c>
      <c r="P238" s="14">
        <f t="shared" si="275"/>
        <v>10166</v>
      </c>
      <c r="Q238" s="14"/>
      <c r="R238" s="14"/>
      <c r="S238" s="14"/>
      <c r="T238" s="14"/>
    </row>
    <row r="239" spans="1:28" ht="18.600000000000001" thickBot="1" x14ac:dyDescent="0.4">
      <c r="A239" s="91"/>
      <c r="B239" s="81">
        <f>B237+1</f>
        <v>119</v>
      </c>
      <c r="C239" s="4" t="s">
        <v>0</v>
      </c>
      <c r="D239" s="4">
        <v>13</v>
      </c>
      <c r="E239" s="4" t="s">
        <v>135</v>
      </c>
      <c r="F239" s="4" t="s">
        <v>154</v>
      </c>
      <c r="G239" s="4">
        <v>86</v>
      </c>
      <c r="H239" s="4" t="str">
        <f t="shared" si="226"/>
        <v>00010011101110101010010110000110</v>
      </c>
      <c r="I239" s="4">
        <f t="shared" si="227"/>
        <v>15</v>
      </c>
      <c r="J239" s="77">
        <v>6</v>
      </c>
      <c r="K239" s="79" t="str">
        <f>HEX2BIN(J239,8)</f>
        <v>00000110</v>
      </c>
      <c r="L239" s="43" t="str">
        <f t="shared" ref="L239" si="278">CONCATENATE(HEX2BIN(G239,8),HEX2BIN(F239,8),HEX2BIN(E239,8),HEX2BIN(D239,8))</f>
        <v>10000110101001011011101000010011</v>
      </c>
      <c r="M239" s="1" t="str">
        <f t="shared" si="234"/>
        <v>10001100101100011100110000101011</v>
      </c>
      <c r="N239" s="26" t="str">
        <f>MID(L239,6,3)</f>
        <v>110</v>
      </c>
      <c r="O239" s="26" t="str">
        <f>MID(L239,9,3)</f>
        <v>101</v>
      </c>
      <c r="P239" s="26" t="str">
        <f>MID(L239,12,5)</f>
        <v>00101</v>
      </c>
      <c r="Q239" s="77" t="e">
        <f>BIN2DEC(M239)-BIN2DEC(M240)</f>
        <v>#NUM!</v>
      </c>
      <c r="R239" s="77">
        <f>BIN2DEC(N239)-BIN2DEC(N240)</f>
        <v>0</v>
      </c>
      <c r="S239" s="77">
        <f>BIN2DEC(O239)-BIN2DEC(O240)</f>
        <v>5</v>
      </c>
      <c r="T239" s="77">
        <f>BIN2DEC(P239)-BIN2DEC(P240)</f>
        <v>-7</v>
      </c>
      <c r="U239" s="1" t="e">
        <f t="shared" ref="U239:AB239" si="279">BIN2DEC(M239)-BIN2DEC(M240)</f>
        <v>#NUM!</v>
      </c>
      <c r="V239" s="1">
        <f t="shared" si="279"/>
        <v>0</v>
      </c>
      <c r="W239" s="1">
        <f t="shared" si="279"/>
        <v>5</v>
      </c>
      <c r="X239" s="1">
        <f t="shared" si="279"/>
        <v>-7</v>
      </c>
      <c r="Y239" s="1" t="e">
        <f t="shared" si="279"/>
        <v>#NUM!</v>
      </c>
      <c r="Z239" s="1">
        <f t="shared" si="279"/>
        <v>0</v>
      </c>
      <c r="AA239" s="1" t="e">
        <f t="shared" si="279"/>
        <v>#NUM!</v>
      </c>
      <c r="AB239" s="1" t="e">
        <f t="shared" si="279"/>
        <v>#NUM!</v>
      </c>
    </row>
    <row r="240" spans="1:28" ht="18.600000000000001" thickBot="1" x14ac:dyDescent="0.4">
      <c r="A240" s="91"/>
      <c r="B240" s="82"/>
      <c r="C240" s="5" t="s">
        <v>6</v>
      </c>
      <c r="D240" s="5">
        <v>96</v>
      </c>
      <c r="E240" s="5">
        <v>71</v>
      </c>
      <c r="F240" s="5">
        <v>85</v>
      </c>
      <c r="G240" s="5">
        <v>39</v>
      </c>
      <c r="H240" s="5" t="str">
        <f t="shared" si="226"/>
        <v>10010110011100011000010100111001</v>
      </c>
      <c r="I240" s="5">
        <f t="shared" si="227"/>
        <v>15</v>
      </c>
      <c r="J240" s="78"/>
      <c r="K240" s="80"/>
      <c r="L240" s="14" t="str">
        <f t="shared" si="235"/>
        <v>00000110000011000001001000011000</v>
      </c>
      <c r="M240" s="14" t="str">
        <f t="shared" ref="M240" si="280">CONCATENATE(MID(M239,6,8),MID(M239,30,3),MID(M239,1,5),MID(M239,22,8),MID(M239,14,8))</f>
        <v>10010110011100011000010100111001</v>
      </c>
      <c r="N240" s="26" t="str">
        <f>MID(L240,6,3)</f>
        <v>110</v>
      </c>
      <c r="O240" s="26" t="str">
        <f>MID(L240,9,3)</f>
        <v>000</v>
      </c>
      <c r="P240" s="26" t="str">
        <f>MID(L240,12,5)</f>
        <v>01100</v>
      </c>
      <c r="Q240" s="78"/>
      <c r="R240" s="78"/>
      <c r="S240" s="78"/>
      <c r="T240" s="78"/>
    </row>
    <row r="241" spans="1:20" x14ac:dyDescent="0.35">
      <c r="A241" s="91"/>
      <c r="B241" s="75">
        <f>B239+1</f>
        <v>120</v>
      </c>
      <c r="C241" s="4" t="s">
        <v>0</v>
      </c>
      <c r="D241" s="4" t="s">
        <v>139</v>
      </c>
      <c r="E241" s="4" t="s">
        <v>20</v>
      </c>
      <c r="F241" s="4" t="s">
        <v>14</v>
      </c>
      <c r="G241" s="4">
        <v>10</v>
      </c>
      <c r="H241" s="4" t="str">
        <f t="shared" si="226"/>
        <v>01011011000010101101110100010000</v>
      </c>
      <c r="I241" s="4">
        <f t="shared" si="227"/>
        <v>14</v>
      </c>
      <c r="J241" s="77" t="s">
        <v>98</v>
      </c>
      <c r="K241" s="79" t="str">
        <f>HEX2BIN(J241,8)</f>
        <v>00101010</v>
      </c>
      <c r="L241" s="43" t="str">
        <f t="shared" ref="L241" si="281">CONCATENATE(HEX2BIN(G241,8),HEX2BIN(F241,8),HEX2BIN(E241,8),HEX2BIN(D241,8))</f>
        <v>00010000110111010000101001011011</v>
      </c>
      <c r="M241" s="1" t="str">
        <f t="shared" si="234"/>
        <v>00111011001100011000100100000011</v>
      </c>
      <c r="N241" s="14">
        <f t="shared" si="250"/>
        <v>184</v>
      </c>
      <c r="O241" s="14">
        <f t="shared" si="230"/>
        <v>220</v>
      </c>
      <c r="P241" s="14">
        <f t="shared" si="275"/>
        <v>1101</v>
      </c>
      <c r="Q241" s="14"/>
      <c r="R241" s="14"/>
      <c r="S241" s="14"/>
      <c r="T241" s="14"/>
    </row>
    <row r="242" spans="1:20" ht="18.600000000000001" thickBot="1" x14ac:dyDescent="0.4">
      <c r="A242" s="91"/>
      <c r="B242" s="76"/>
      <c r="C242" s="5" t="s">
        <v>6</v>
      </c>
      <c r="D242" s="5">
        <v>66</v>
      </c>
      <c r="E242" s="5">
        <v>67</v>
      </c>
      <c r="F242" s="5">
        <v>20</v>
      </c>
      <c r="G242" s="5">
        <v>31</v>
      </c>
      <c r="H242" s="5" t="str">
        <f t="shared" si="226"/>
        <v>01100110011001110010000000110001</v>
      </c>
      <c r="I242" s="5">
        <f t="shared" si="227"/>
        <v>13</v>
      </c>
      <c r="J242" s="78"/>
      <c r="K242" s="80"/>
      <c r="L242" s="14" t="str">
        <f t="shared" si="235"/>
        <v>00101010010101000111111010101000</v>
      </c>
      <c r="M242" s="14" t="str">
        <f t="shared" ref="M242" si="282">CONCATENATE(MID(M241,6,8),MID(M241,30,3),MID(M241,1,5),MID(M241,22,8),MID(M241,14,8))</f>
        <v>01100110011001110010000000110001</v>
      </c>
      <c r="N242" s="14">
        <f t="shared" si="252"/>
        <v>42</v>
      </c>
      <c r="O242" s="14">
        <f t="shared" si="230"/>
        <v>121</v>
      </c>
      <c r="P242" s="14">
        <f t="shared" si="275"/>
        <v>1102</v>
      </c>
      <c r="Q242" s="14"/>
      <c r="R242" s="14"/>
      <c r="S242" s="14"/>
      <c r="T242" s="14"/>
    </row>
    <row r="243" spans="1:20" x14ac:dyDescent="0.35">
      <c r="A243" s="91">
        <f>A227+1</f>
        <v>16</v>
      </c>
      <c r="B243" s="75">
        <f>B241+1</f>
        <v>121</v>
      </c>
      <c r="C243" s="4" t="s">
        <v>0</v>
      </c>
      <c r="D243" s="4">
        <v>28</v>
      </c>
      <c r="E243" s="4" t="s">
        <v>92</v>
      </c>
      <c r="F243" s="4" t="s">
        <v>156</v>
      </c>
      <c r="G243" s="4" t="s">
        <v>160</v>
      </c>
      <c r="H243" s="4" t="str">
        <f t="shared" si="226"/>
        <v>00101000110010001111110110101100</v>
      </c>
      <c r="I243" s="4">
        <f t="shared" si="227"/>
        <v>16</v>
      </c>
      <c r="J243" s="77" t="s">
        <v>42</v>
      </c>
      <c r="K243" s="79" t="str">
        <f>HEX2BIN(J243,8)</f>
        <v>01111111</v>
      </c>
      <c r="L243" s="43" t="str">
        <f t="shared" ref="L243" si="283">CONCATENATE(HEX2BIN(G243,8),HEX2BIN(F243,8),HEX2BIN(E243,8),HEX2BIN(D243,8))</f>
        <v>10101100111111011100100000101000</v>
      </c>
      <c r="M243" s="1" t="str">
        <f t="shared" si="234"/>
        <v>00101100111111010100011100100100</v>
      </c>
      <c r="N243" s="14">
        <f t="shared" si="250"/>
        <v>168</v>
      </c>
      <c r="O243" s="14">
        <f t="shared" si="230"/>
        <v>22</v>
      </c>
      <c r="P243" s="14">
        <f t="shared" si="275"/>
        <v>1103</v>
      </c>
      <c r="Q243" s="14"/>
      <c r="R243" s="14"/>
      <c r="S243" s="14"/>
      <c r="T243" s="14"/>
    </row>
    <row r="244" spans="1:20" ht="18.600000000000001" thickBot="1" x14ac:dyDescent="0.4">
      <c r="A244" s="91"/>
      <c r="B244" s="76"/>
      <c r="C244" s="5" t="s">
        <v>6</v>
      </c>
      <c r="D244" s="5" t="s">
        <v>65</v>
      </c>
      <c r="E244" s="5">
        <v>85</v>
      </c>
      <c r="F244" s="5" t="s">
        <v>121</v>
      </c>
      <c r="G244" s="5" t="s">
        <v>44</v>
      </c>
      <c r="H244" s="5" t="str">
        <f t="shared" si="226"/>
        <v>10011111100001011110010010101000</v>
      </c>
      <c r="I244" s="5">
        <f t="shared" si="227"/>
        <v>16</v>
      </c>
      <c r="J244" s="78"/>
      <c r="K244" s="80"/>
      <c r="L244" s="14" t="str">
        <f t="shared" si="235"/>
        <v>01111111111111110111111011111100</v>
      </c>
      <c r="M244" s="14" t="str">
        <f t="shared" ref="M244" si="284">CONCATENATE(MID(M243,6,8),MID(M243,30,3),MID(M243,1,5),MID(M243,22,8),MID(M243,14,8))</f>
        <v>10011111100001011110010010101000</v>
      </c>
      <c r="N244" s="14">
        <f t="shared" si="252"/>
        <v>127</v>
      </c>
      <c r="O244" s="14">
        <f t="shared" si="230"/>
        <v>179</v>
      </c>
      <c r="P244" s="14">
        <f t="shared" si="275"/>
        <v>1104</v>
      </c>
      <c r="Q244" s="14"/>
      <c r="R244" s="14"/>
      <c r="S244" s="14"/>
      <c r="T244" s="14"/>
    </row>
    <row r="245" spans="1:20" x14ac:dyDescent="0.35">
      <c r="A245" s="91"/>
      <c r="B245" s="75">
        <f>B243+1</f>
        <v>122</v>
      </c>
      <c r="C245" s="4" t="s">
        <v>0</v>
      </c>
      <c r="D245" s="4">
        <v>57</v>
      </c>
      <c r="E245" s="4">
        <v>65</v>
      </c>
      <c r="F245" s="4" t="s">
        <v>32</v>
      </c>
      <c r="G245" s="4" t="s">
        <v>26</v>
      </c>
      <c r="H245" s="4" t="str">
        <f t="shared" si="226"/>
        <v>01010111011001011010011101001101</v>
      </c>
      <c r="I245" s="4">
        <f t="shared" si="227"/>
        <v>18</v>
      </c>
      <c r="J245" s="77">
        <v>44</v>
      </c>
      <c r="K245" s="79" t="str">
        <f>HEX2BIN(J245,8)</f>
        <v>01000100</v>
      </c>
      <c r="L245" s="43" t="str">
        <f t="shared" ref="L245" si="285">CONCATENATE(HEX2BIN(G245,8),HEX2BIN(F245,8),HEX2BIN(E245,8),HEX2BIN(D245,8))</f>
        <v>01001101101001110110010101010111</v>
      </c>
      <c r="M245" s="1" t="str">
        <f t="shared" si="234"/>
        <v>10010010001100000011001001100111</v>
      </c>
      <c r="N245" s="14">
        <f t="shared" si="250"/>
        <v>93</v>
      </c>
      <c r="O245" s="14">
        <f t="shared" si="230"/>
        <v>80</v>
      </c>
      <c r="P245" s="14">
        <f t="shared" si="275"/>
        <v>1105</v>
      </c>
      <c r="Q245" s="14"/>
      <c r="R245" s="14"/>
      <c r="S245" s="14"/>
      <c r="T245" s="14"/>
    </row>
    <row r="246" spans="1:20" ht="18.600000000000001" thickBot="1" x14ac:dyDescent="0.4">
      <c r="A246" s="91"/>
      <c r="B246" s="76"/>
      <c r="C246" s="5" t="s">
        <v>6</v>
      </c>
      <c r="D246" s="5">
        <v>46</v>
      </c>
      <c r="E246" s="5" t="s">
        <v>96</v>
      </c>
      <c r="F246" s="5" t="s">
        <v>122</v>
      </c>
      <c r="G246" s="5">
        <v>6</v>
      </c>
      <c r="H246" s="5" t="str">
        <f t="shared" si="226"/>
        <v>01000110111100100100110000000110</v>
      </c>
      <c r="I246" s="5">
        <f t="shared" si="227"/>
        <v>13</v>
      </c>
      <c r="J246" s="78"/>
      <c r="K246" s="80"/>
      <c r="L246" s="14" t="str">
        <f t="shared" si="235"/>
        <v>01000100100010001100110100010000</v>
      </c>
      <c r="M246" s="14" t="str">
        <f t="shared" ref="M246" si="286">CONCATENATE(MID(M245,6,8),MID(M245,30,3),MID(M245,1,5),MID(M245,22,8),MID(M245,14,8))</f>
        <v>01000110111100100100110000000110</v>
      </c>
      <c r="N246" s="14">
        <f t="shared" si="252"/>
        <v>68</v>
      </c>
      <c r="O246" s="14">
        <f t="shared" si="230"/>
        <v>237</v>
      </c>
      <c r="P246" s="14">
        <f t="shared" si="275"/>
        <v>1106</v>
      </c>
      <c r="Q246" s="14"/>
      <c r="R246" s="14"/>
      <c r="S246" s="14"/>
      <c r="T246" s="14"/>
    </row>
    <row r="247" spans="1:20" x14ac:dyDescent="0.35">
      <c r="A247" s="91"/>
      <c r="B247" s="75">
        <f>B245+1</f>
        <v>123</v>
      </c>
      <c r="C247" s="4" t="s">
        <v>0</v>
      </c>
      <c r="D247" s="4" t="s">
        <v>91</v>
      </c>
      <c r="E247" s="4" t="s">
        <v>115</v>
      </c>
      <c r="F247" s="4" t="s">
        <v>128</v>
      </c>
      <c r="G247" s="4" t="s">
        <v>51</v>
      </c>
      <c r="H247" s="4" t="str">
        <f t="shared" si="226"/>
        <v>01101110001110101011000110101010</v>
      </c>
      <c r="I247" s="4">
        <f t="shared" si="227"/>
        <v>17</v>
      </c>
      <c r="J247" s="77" t="s">
        <v>102</v>
      </c>
      <c r="K247" s="79" t="str">
        <f>HEX2BIN(J247,8)</f>
        <v>10111100</v>
      </c>
      <c r="L247" s="43" t="str">
        <f t="shared" ref="L247" si="287">CONCATENATE(HEX2BIN(G247,8),HEX2BIN(F247,8),HEX2BIN(E247,8),HEX2BIN(D247,8))</f>
        <v>10101010101100010011101001101110</v>
      </c>
      <c r="M247" s="1" t="str">
        <f t="shared" si="234"/>
        <v>01101000001010110111000101011110</v>
      </c>
      <c r="N247" s="14">
        <f t="shared" si="250"/>
        <v>154</v>
      </c>
      <c r="O247" s="14">
        <f t="shared" si="230"/>
        <v>138</v>
      </c>
      <c r="P247" s="14">
        <f t="shared" si="275"/>
        <v>1107</v>
      </c>
      <c r="Q247" s="14"/>
      <c r="R247" s="14"/>
      <c r="S247" s="14"/>
      <c r="T247" s="14"/>
    </row>
    <row r="248" spans="1:20" ht="18.600000000000001" thickBot="1" x14ac:dyDescent="0.4">
      <c r="A248" s="91"/>
      <c r="B248" s="76"/>
      <c r="C248" s="5" t="s">
        <v>6</v>
      </c>
      <c r="D248" s="5">
        <v>5</v>
      </c>
      <c r="E248" s="5" t="s">
        <v>82</v>
      </c>
      <c r="F248" s="5" t="s">
        <v>18</v>
      </c>
      <c r="G248" s="5" t="s">
        <v>91</v>
      </c>
      <c r="H248" s="5" t="str">
        <f t="shared" si="226"/>
        <v>00000101110011010010101101101110</v>
      </c>
      <c r="I248" s="5">
        <f t="shared" si="227"/>
        <v>16</v>
      </c>
      <c r="J248" s="78"/>
      <c r="K248" s="80"/>
      <c r="L248" s="14" t="str">
        <f t="shared" si="235"/>
        <v>10111101011110100011011011110000</v>
      </c>
      <c r="M248" s="14" t="str">
        <f t="shared" ref="M248" si="288">CONCATENATE(MID(M247,6,8),MID(M247,30,3),MID(M247,1,5),MID(M247,22,8),MID(M247,14,8))</f>
        <v>00000101110011010010101101101110</v>
      </c>
      <c r="N248" s="14">
        <f t="shared" si="252"/>
        <v>189</v>
      </c>
      <c r="O248" s="14">
        <f t="shared" si="230"/>
        <v>39</v>
      </c>
      <c r="P248" s="14">
        <f t="shared" si="275"/>
        <v>1108</v>
      </c>
      <c r="Q248" s="14"/>
      <c r="R248" s="14"/>
      <c r="S248" s="14"/>
      <c r="T248" s="14"/>
    </row>
    <row r="249" spans="1:20" x14ac:dyDescent="0.35">
      <c r="A249" s="91"/>
      <c r="B249" s="75">
        <f>B247+1</f>
        <v>124</v>
      </c>
      <c r="C249" s="4" t="s">
        <v>0</v>
      </c>
      <c r="D249" s="4">
        <v>52</v>
      </c>
      <c r="E249" s="4" t="s">
        <v>44</v>
      </c>
      <c r="F249" s="4" t="s">
        <v>132</v>
      </c>
      <c r="G249" s="4">
        <v>23</v>
      </c>
      <c r="H249" s="4" t="str">
        <f t="shared" si="226"/>
        <v>01010010101010001000110000100011</v>
      </c>
      <c r="I249" s="4">
        <f t="shared" si="227"/>
        <v>12</v>
      </c>
      <c r="J249" s="77">
        <v>38</v>
      </c>
      <c r="K249" s="79" t="str">
        <f>HEX2BIN(J249,8)</f>
        <v>00111000</v>
      </c>
      <c r="L249" s="43" t="str">
        <f t="shared" ref="L249" si="289">CONCATENATE(HEX2BIN(G249,8),HEX2BIN(F249,8),HEX2BIN(E249,8),HEX2BIN(D249,8))</f>
        <v>00100011100011001010100001010010</v>
      </c>
      <c r="M249" s="1" t="str">
        <f t="shared" si="234"/>
        <v>01011011111111010101000100110010</v>
      </c>
      <c r="N249" s="14">
        <f t="shared" si="250"/>
        <v>3</v>
      </c>
      <c r="O249" s="14">
        <f t="shared" si="230"/>
        <v>196</v>
      </c>
      <c r="P249" s="14">
        <f t="shared" si="275"/>
        <v>1109</v>
      </c>
      <c r="Q249" s="14"/>
      <c r="R249" s="14"/>
      <c r="S249" s="14"/>
      <c r="T249" s="14"/>
    </row>
    <row r="250" spans="1:20" ht="18.600000000000001" thickBot="1" x14ac:dyDescent="0.4">
      <c r="A250" s="91"/>
      <c r="B250" s="76"/>
      <c r="C250" s="5" t="s">
        <v>6</v>
      </c>
      <c r="D250" s="5" t="s">
        <v>42</v>
      </c>
      <c r="E250" s="5" t="s">
        <v>69</v>
      </c>
      <c r="F250" s="5">
        <v>26</v>
      </c>
      <c r="G250" s="5" t="s">
        <v>51</v>
      </c>
      <c r="H250" s="5" t="str">
        <f t="shared" si="226"/>
        <v>01111111010010110010011010101010</v>
      </c>
      <c r="I250" s="5">
        <f t="shared" si="227"/>
        <v>18</v>
      </c>
      <c r="J250" s="78"/>
      <c r="K250" s="80"/>
      <c r="L250" s="14" t="str">
        <f t="shared" si="235"/>
        <v>00111000011100001010100011100000</v>
      </c>
      <c r="M250" s="14" t="str">
        <f t="shared" ref="M250" si="290">CONCATENATE(MID(M249,6,8),MID(M249,30,3),MID(M249,1,5),MID(M249,22,8),MID(M249,14,8))</f>
        <v>01111111010010110010011010101010</v>
      </c>
      <c r="N250" s="14">
        <f t="shared" si="252"/>
        <v>56</v>
      </c>
      <c r="O250" s="14">
        <f t="shared" si="230"/>
        <v>97</v>
      </c>
      <c r="P250" s="14">
        <f t="shared" si="275"/>
        <v>1110</v>
      </c>
      <c r="Q250" s="14"/>
      <c r="R250" s="14"/>
      <c r="S250" s="14"/>
      <c r="T250" s="14"/>
    </row>
    <row r="251" spans="1:20" x14ac:dyDescent="0.35">
      <c r="A251" s="91"/>
      <c r="B251" s="75">
        <f>B249+1</f>
        <v>125</v>
      </c>
      <c r="C251" s="4" t="s">
        <v>0</v>
      </c>
      <c r="D251" s="4">
        <v>11</v>
      </c>
      <c r="E251" s="4">
        <v>71</v>
      </c>
      <c r="F251" s="4">
        <v>97</v>
      </c>
      <c r="G251" s="4">
        <v>0</v>
      </c>
      <c r="H251" s="4" t="str">
        <f t="shared" si="226"/>
        <v>00010001011100011001011100000000</v>
      </c>
      <c r="I251" s="4">
        <f t="shared" si="227"/>
        <v>11</v>
      </c>
      <c r="J251" s="77" t="s">
        <v>24</v>
      </c>
      <c r="K251" s="79" t="str">
        <f>HEX2BIN(J251,8)</f>
        <v>10110101</v>
      </c>
      <c r="L251" s="43" t="str">
        <f t="shared" ref="L251" si="291">CONCATENATE(HEX2BIN(G251,8),HEX2BIN(F251,8),HEX2BIN(E251,8),HEX2BIN(D251,8))</f>
        <v>00000000100101110111000100010001</v>
      </c>
      <c r="M251" s="1" t="str">
        <f t="shared" si="234"/>
        <v>10110111000000111001001011100101</v>
      </c>
      <c r="N251" s="14">
        <f t="shared" si="250"/>
        <v>212</v>
      </c>
      <c r="O251" s="14">
        <f t="shared" si="230"/>
        <v>254</v>
      </c>
      <c r="P251" s="14">
        <f t="shared" si="275"/>
        <v>1111</v>
      </c>
      <c r="Q251" s="14"/>
      <c r="R251" s="14"/>
      <c r="S251" s="14"/>
      <c r="T251" s="14"/>
    </row>
    <row r="252" spans="1:20" ht="18.600000000000001" thickBot="1" x14ac:dyDescent="0.4">
      <c r="A252" s="91"/>
      <c r="B252" s="76"/>
      <c r="C252" s="5" t="s">
        <v>6</v>
      </c>
      <c r="D252" s="5" t="s">
        <v>144</v>
      </c>
      <c r="E252" s="5" t="s">
        <v>49</v>
      </c>
      <c r="F252" s="5" t="s">
        <v>58</v>
      </c>
      <c r="G252" s="5">
        <v>72</v>
      </c>
      <c r="H252" s="5" t="str">
        <f t="shared" si="226"/>
        <v>11100000101101100101110001110010</v>
      </c>
      <c r="I252" s="5">
        <f t="shared" si="227"/>
        <v>16</v>
      </c>
      <c r="J252" s="78"/>
      <c r="K252" s="80"/>
      <c r="L252" s="14" t="str">
        <f t="shared" si="235"/>
        <v>10110110011011000010000111010100</v>
      </c>
      <c r="M252" s="14" t="str">
        <f t="shared" ref="M252" si="292">CONCATENATE(MID(M251,6,8),MID(M251,30,3),MID(M251,1,5),MID(M251,22,8),MID(M251,14,8))</f>
        <v>11100000101101100101110001110010</v>
      </c>
      <c r="N252" s="14">
        <f t="shared" si="252"/>
        <v>182</v>
      </c>
      <c r="O252" s="14">
        <f t="shared" si="230"/>
        <v>155</v>
      </c>
      <c r="P252" s="14">
        <f t="shared" si="275"/>
        <v>1112</v>
      </c>
      <c r="Q252" s="14"/>
      <c r="R252" s="14"/>
      <c r="S252" s="14"/>
      <c r="T252" s="14"/>
    </row>
    <row r="253" spans="1:20" x14ac:dyDescent="0.35">
      <c r="A253" s="91"/>
      <c r="B253" s="75">
        <f>B251+1</f>
        <v>126</v>
      </c>
      <c r="C253" s="4" t="s">
        <v>0</v>
      </c>
      <c r="D253" s="4" t="s">
        <v>23</v>
      </c>
      <c r="E253" s="4" t="s">
        <v>95</v>
      </c>
      <c r="F253" s="4" t="s">
        <v>112</v>
      </c>
      <c r="G253" s="4">
        <v>51</v>
      </c>
      <c r="H253" s="4" t="str">
        <f t="shared" si="226"/>
        <v>10110010000111101101000001010001</v>
      </c>
      <c r="I253" s="4">
        <f t="shared" si="227"/>
        <v>14</v>
      </c>
      <c r="J253" s="77" t="s">
        <v>18</v>
      </c>
      <c r="K253" s="79" t="str">
        <f>HEX2BIN(J253,8)</f>
        <v>00101011</v>
      </c>
      <c r="L253" s="43" t="str">
        <f t="shared" ref="L253" si="293">CONCATENATE(HEX2BIN(G253,8),HEX2BIN(F253,8),HEX2BIN(E253,8),HEX2BIN(D253,8))</f>
        <v>01010001110100000001111010110010</v>
      </c>
      <c r="M253" s="1" t="str">
        <f t="shared" si="234"/>
        <v>01111101001001101010000001011110</v>
      </c>
      <c r="N253" s="14">
        <f t="shared" si="250"/>
        <v>253</v>
      </c>
      <c r="O253" s="14">
        <f t="shared" si="230"/>
        <v>56</v>
      </c>
      <c r="P253" s="14">
        <f t="shared" si="275"/>
        <v>1113</v>
      </c>
      <c r="Q253" s="14"/>
      <c r="R253" s="14"/>
      <c r="S253" s="14"/>
      <c r="T253" s="14"/>
    </row>
    <row r="254" spans="1:20" ht="18.600000000000001" thickBot="1" x14ac:dyDescent="0.4">
      <c r="A254" s="91"/>
      <c r="B254" s="76"/>
      <c r="C254" s="5" t="s">
        <v>6</v>
      </c>
      <c r="D254" s="5" t="s">
        <v>38</v>
      </c>
      <c r="E254" s="5" t="s">
        <v>80</v>
      </c>
      <c r="F254" s="5" t="s">
        <v>43</v>
      </c>
      <c r="G254" s="5" t="s">
        <v>120</v>
      </c>
      <c r="H254" s="5" t="str">
        <f t="shared" si="226"/>
        <v>10100100110011110000101111010100</v>
      </c>
      <c r="I254" s="5">
        <f t="shared" si="227"/>
        <v>16</v>
      </c>
      <c r="J254" s="78"/>
      <c r="K254" s="80"/>
      <c r="L254" s="14" t="str">
        <f t="shared" si="235"/>
        <v>00101011010101101000000110101100</v>
      </c>
      <c r="M254" s="14" t="str">
        <f t="shared" ref="M254" si="294">CONCATENATE(MID(M253,6,8),MID(M253,30,3),MID(M253,1,5),MID(M253,22,8),MID(M253,14,8))</f>
        <v>10100100110011110000101111010100</v>
      </c>
      <c r="N254" s="14">
        <f t="shared" si="252"/>
        <v>43</v>
      </c>
      <c r="O254" s="14">
        <f t="shared" si="230"/>
        <v>213</v>
      </c>
      <c r="P254" s="14">
        <f t="shared" si="275"/>
        <v>1114</v>
      </c>
      <c r="Q254" s="14"/>
      <c r="R254" s="14"/>
      <c r="S254" s="14"/>
      <c r="T254" s="14"/>
    </row>
    <row r="255" spans="1:20" x14ac:dyDescent="0.35">
      <c r="A255" s="91"/>
      <c r="B255" s="75">
        <f>B253+1</f>
        <v>127</v>
      </c>
      <c r="C255" s="4" t="s">
        <v>0</v>
      </c>
      <c r="D255" s="4" t="s">
        <v>24</v>
      </c>
      <c r="E255" s="4" t="s">
        <v>94</v>
      </c>
      <c r="F255" s="4" t="s">
        <v>10</v>
      </c>
      <c r="G255" s="4" t="s">
        <v>120</v>
      </c>
      <c r="H255" s="4" t="str">
        <f t="shared" si="226"/>
        <v>10110101101111101001110011010100</v>
      </c>
      <c r="I255" s="4">
        <f t="shared" si="227"/>
        <v>19</v>
      </c>
      <c r="J255" s="77">
        <v>29</v>
      </c>
      <c r="K255" s="79" t="str">
        <f>HEX2BIN(J255,8)</f>
        <v>00101001</v>
      </c>
      <c r="L255" s="43" t="str">
        <f t="shared" ref="L255" si="295">CONCATENATE(HEX2BIN(G255,8),HEX2BIN(F255,8),HEX2BIN(E255,8),HEX2BIN(D255,8))</f>
        <v>11010100100111001011111010110101</v>
      </c>
      <c r="M255" s="1" t="str">
        <f t="shared" si="234"/>
        <v>11111101111011110011101001011001</v>
      </c>
      <c r="N255" s="14">
        <f t="shared" si="250"/>
        <v>120</v>
      </c>
      <c r="O255" s="14">
        <f t="shared" si="230"/>
        <v>114</v>
      </c>
      <c r="P255" s="14">
        <f t="shared" si="275"/>
        <v>1115</v>
      </c>
      <c r="Q255" s="14"/>
      <c r="R255" s="14"/>
      <c r="S255" s="14"/>
      <c r="T255" s="14"/>
    </row>
    <row r="256" spans="1:20" ht="18.600000000000001" thickBot="1" x14ac:dyDescent="0.4">
      <c r="A256" s="91"/>
      <c r="B256" s="76"/>
      <c r="C256" s="5" t="s">
        <v>6</v>
      </c>
      <c r="D256" s="5" t="s">
        <v>25</v>
      </c>
      <c r="E256" s="5" t="s">
        <v>31</v>
      </c>
      <c r="F256" s="5" t="s">
        <v>69</v>
      </c>
      <c r="G256" s="5" t="s">
        <v>83</v>
      </c>
      <c r="H256" s="5" t="str">
        <f t="shared" si="226"/>
        <v>10111101001111110100101111100111</v>
      </c>
      <c r="I256" s="5">
        <f t="shared" si="227"/>
        <v>22</v>
      </c>
      <c r="J256" s="78"/>
      <c r="K256" s="80"/>
      <c r="L256" s="14" t="str">
        <f t="shared" si="235"/>
        <v>00101001010100100111101110100100</v>
      </c>
      <c r="M256" s="14" t="str">
        <f t="shared" ref="M256" si="296">CONCATENATE(MID(M255,6,8),MID(M255,30,3),MID(M255,1,5),MID(M255,22,8),MID(M255,14,8))</f>
        <v>10111101001111110100101111100111</v>
      </c>
      <c r="N256" s="14">
        <f t="shared" si="252"/>
        <v>41</v>
      </c>
      <c r="O256" s="14">
        <f t="shared" si="230"/>
        <v>15</v>
      </c>
      <c r="P256" s="14">
        <f t="shared" si="275"/>
        <v>1116</v>
      </c>
      <c r="Q256" s="14"/>
      <c r="R256" s="14"/>
      <c r="S256" s="14"/>
      <c r="T256" s="14"/>
    </row>
    <row r="257" spans="1:20" x14ac:dyDescent="0.35">
      <c r="A257" s="91"/>
      <c r="B257" s="75">
        <f>B255+1</f>
        <v>128</v>
      </c>
      <c r="C257" s="4" t="s">
        <v>0</v>
      </c>
      <c r="D257" s="4" t="s">
        <v>33</v>
      </c>
      <c r="E257" s="4">
        <v>21</v>
      </c>
      <c r="F257" s="4" t="s">
        <v>40</v>
      </c>
      <c r="G257" s="4" t="s">
        <v>49</v>
      </c>
      <c r="H257" s="4" t="str">
        <f t="shared" si="226"/>
        <v>00001111001000011001101110110110</v>
      </c>
      <c r="I257" s="4">
        <f t="shared" si="227"/>
        <v>16</v>
      </c>
      <c r="J257" s="77" t="s">
        <v>61</v>
      </c>
      <c r="K257" s="79" t="str">
        <f>HEX2BIN(J257,8)</f>
        <v>00101101</v>
      </c>
      <c r="L257" s="43" t="str">
        <f t="shared" ref="L257" si="297">CONCATENATE(HEX2BIN(G257,8),HEX2BIN(F257,8),HEX2BIN(E257,8),HEX2BIN(D257,8))</f>
        <v>10110110100110110010000100001111</v>
      </c>
      <c r="M257" s="1" t="str">
        <f t="shared" si="234"/>
        <v>11100011111101011010100011000011</v>
      </c>
      <c r="N257" s="14">
        <f t="shared" si="250"/>
        <v>106</v>
      </c>
      <c r="O257" s="14">
        <f t="shared" si="230"/>
        <v>172</v>
      </c>
      <c r="P257" s="14">
        <f t="shared" si="275"/>
        <v>1117</v>
      </c>
      <c r="Q257" s="14"/>
      <c r="R257" s="14"/>
      <c r="S257" s="14"/>
      <c r="T257" s="14"/>
    </row>
    <row r="258" spans="1:20" ht="18.600000000000001" thickBot="1" x14ac:dyDescent="0.4">
      <c r="A258" s="91"/>
      <c r="B258" s="76"/>
      <c r="C258" s="5" t="s">
        <v>6</v>
      </c>
      <c r="D258" s="5" t="s">
        <v>79</v>
      </c>
      <c r="E258" s="5" t="s">
        <v>45</v>
      </c>
      <c r="F258" s="5">
        <v>18</v>
      </c>
      <c r="G258" s="5" t="s">
        <v>24</v>
      </c>
      <c r="H258" s="5" t="str">
        <f t="shared" si="226"/>
        <v>01111110011111000001100010110101</v>
      </c>
      <c r="I258" s="5">
        <f t="shared" si="227"/>
        <v>18</v>
      </c>
      <c r="J258" s="78"/>
      <c r="K258" s="80"/>
      <c r="L258" s="14" t="str">
        <f t="shared" si="235"/>
        <v>00101101010110101000011110110100</v>
      </c>
      <c r="M258" s="14" t="str">
        <f t="shared" ref="M258" si="298">CONCATENATE(MID(M257,6,8),MID(M257,30,3),MID(M257,1,5),MID(M257,22,8),MID(M257,14,8))</f>
        <v>01111110011111000001100010110101</v>
      </c>
      <c r="N258" s="14">
        <f t="shared" si="252"/>
        <v>45</v>
      </c>
      <c r="O258" s="14"/>
      <c r="P258" s="14">
        <f t="shared" si="275"/>
        <v>1118</v>
      </c>
      <c r="Q258" s="14"/>
      <c r="R258" s="14"/>
      <c r="S258" s="14"/>
      <c r="T258" s="14"/>
    </row>
    <row r="259" spans="1:20" x14ac:dyDescent="0.35">
      <c r="A259" s="91">
        <f>A243+1</f>
        <v>17</v>
      </c>
      <c r="B259" s="75">
        <f>B257+1</f>
        <v>129</v>
      </c>
      <c r="C259" s="4" t="s">
        <v>0</v>
      </c>
      <c r="D259" s="4" t="s">
        <v>44</v>
      </c>
      <c r="E259" s="4" t="s">
        <v>97</v>
      </c>
      <c r="F259" s="4">
        <v>6</v>
      </c>
      <c r="G259" s="4">
        <v>72</v>
      </c>
      <c r="H259" s="4" t="str">
        <f t="shared" ref="H259:H322" si="299">CONCATENATE(HEX2BIN(D259,8),HEX2BIN(E259,8),HEX2BIN(F259,8),HEX2BIN(G259,8))</f>
        <v>10101000011010110000011001110010</v>
      </c>
      <c r="I259" s="4">
        <f t="shared" ref="I259:I322" si="300">MID(H259,1,1)+MID(H259,2,1)+MID(H259,3,1)+MID(H259,4,1)+MID(H259,5,1)+MID(H259,6,1)+MID(H259,7,1)+MID(H259,8,1)+MID(H259,9,1)+MID(H259,10,1)+MID(H259,11,1)+MID(H259,12,1)+MID(H259,13,1)+MID(H259,14,1)+MID(H259,15,1)+MID(H259,16,1)+MID(H259,17,1)+MID(H259,18,1)+MID(H259,19,1)+MID(H259,20,1)+MID(H259,21,1)+MID(H259,22,1)+MID(H259,23,1)+MID(H259,24,1)+MID(H259,25,1)+MID(H259,26,1)+MID(H259,27,1)+MID(H259,28,1)+MID(H259,29,1)+MID(H259,30,1)+MID(H259,31,1)+MID(H259,32,1)</f>
        <v>14</v>
      </c>
      <c r="J259" s="77">
        <v>11</v>
      </c>
      <c r="K259" s="79" t="str">
        <f>HEX2BIN(J259,8)</f>
        <v>00010001</v>
      </c>
      <c r="L259" s="43" t="str">
        <f t="shared" ref="L259" si="301">CONCATENATE(HEX2BIN(G259,8),HEX2BIN(F259,8),HEX2BIN(E259,8),HEX2BIN(D259,8))</f>
        <v>01110010000001100110101110101000</v>
      </c>
      <c r="M259" s="1" t="str">
        <f t="shared" si="234"/>
        <v>10000011001010001001111011101100</v>
      </c>
      <c r="N259" s="14">
        <f t="shared" si="250"/>
        <v>182</v>
      </c>
      <c r="O259" s="14"/>
      <c r="P259" s="14">
        <f t="shared" si="275"/>
        <v>1119</v>
      </c>
      <c r="Q259" s="14"/>
      <c r="R259" s="14"/>
      <c r="S259" s="14"/>
      <c r="T259" s="14"/>
    </row>
    <row r="260" spans="1:20" ht="18.600000000000001" thickBot="1" x14ac:dyDescent="0.4">
      <c r="A260" s="91"/>
      <c r="B260" s="76"/>
      <c r="C260" s="5" t="s">
        <v>6</v>
      </c>
      <c r="D260" s="5">
        <v>65</v>
      </c>
      <c r="E260" s="5">
        <v>90</v>
      </c>
      <c r="F260" s="5" t="s">
        <v>14</v>
      </c>
      <c r="G260" s="5">
        <v>13</v>
      </c>
      <c r="H260" s="5" t="str">
        <f t="shared" si="299"/>
        <v>01100101100100001101110100010011</v>
      </c>
      <c r="I260" s="5">
        <f t="shared" si="300"/>
        <v>15</v>
      </c>
      <c r="J260" s="78"/>
      <c r="K260" s="80"/>
      <c r="L260" s="14" t="str">
        <f t="shared" si="235"/>
        <v>00010001001000100011001101000100</v>
      </c>
      <c r="M260" s="14" t="str">
        <f t="shared" ref="M260" si="302">CONCATENATE(MID(M259,6,8),MID(M259,30,3),MID(M259,1,5),MID(M259,22,8),MID(M259,14,8))</f>
        <v>01100101100100001101110100010011</v>
      </c>
      <c r="N260" s="14">
        <f t="shared" si="252"/>
        <v>17</v>
      </c>
      <c r="O260" s="14"/>
      <c r="P260" s="14">
        <f t="shared" si="275"/>
        <v>1120</v>
      </c>
      <c r="Q260" s="14"/>
      <c r="R260" s="14"/>
      <c r="S260" s="14"/>
      <c r="T260" s="14"/>
    </row>
    <row r="261" spans="1:20" x14ac:dyDescent="0.35">
      <c r="A261" s="91"/>
      <c r="B261" s="75">
        <f>B259+1</f>
        <v>130</v>
      </c>
      <c r="C261" s="4" t="s">
        <v>0</v>
      </c>
      <c r="D261" s="4" t="s">
        <v>162</v>
      </c>
      <c r="E261" s="4" t="s">
        <v>117</v>
      </c>
      <c r="F261" s="4">
        <v>61</v>
      </c>
      <c r="G261" s="4">
        <v>36</v>
      </c>
      <c r="H261" s="4" t="str">
        <f t="shared" si="299"/>
        <v>10100110110000010110000100110110</v>
      </c>
      <c r="I261" s="4">
        <f t="shared" si="300"/>
        <v>14</v>
      </c>
      <c r="J261" s="77">
        <v>20</v>
      </c>
      <c r="K261" s="79" t="str">
        <f>HEX2BIN(J261,8)</f>
        <v>00100000</v>
      </c>
      <c r="L261" s="43" t="str">
        <f t="shared" ref="L261" si="303">CONCATENATE(HEX2BIN(G261,8),HEX2BIN(F261,8),HEX2BIN(E261,8),HEX2BIN(D261,8))</f>
        <v>00110110011000011100000110100110</v>
      </c>
      <c r="M261" s="1" t="str">
        <f t="shared" si="234"/>
        <v>01010110101000100010001000100110</v>
      </c>
      <c r="N261" s="14">
        <f t="shared" si="250"/>
        <v>182</v>
      </c>
      <c r="O261" s="14"/>
      <c r="P261" s="14">
        <f t="shared" si="275"/>
        <v>1121</v>
      </c>
      <c r="Q261" s="14"/>
      <c r="R261" s="14"/>
      <c r="S261" s="14"/>
      <c r="T261" s="14"/>
    </row>
    <row r="262" spans="1:20" ht="18.600000000000001" thickBot="1" x14ac:dyDescent="0.4">
      <c r="A262" s="91"/>
      <c r="B262" s="76"/>
      <c r="C262" s="5" t="s">
        <v>6</v>
      </c>
      <c r="D262" s="5" t="s">
        <v>120</v>
      </c>
      <c r="E262" s="5" t="s">
        <v>130</v>
      </c>
      <c r="F262" s="5">
        <v>44</v>
      </c>
      <c r="G262" s="5">
        <v>44</v>
      </c>
      <c r="H262" s="5" t="str">
        <f t="shared" si="299"/>
        <v>11010100110010100100010001000100</v>
      </c>
      <c r="I262" s="5">
        <f t="shared" si="300"/>
        <v>12</v>
      </c>
      <c r="J262" s="78"/>
      <c r="K262" s="80"/>
      <c r="L262" s="14" t="str">
        <f t="shared" si="235"/>
        <v>00100000010000000110000010000000</v>
      </c>
      <c r="M262" s="14" t="str">
        <f t="shared" ref="M262" si="304">CONCATENATE(MID(M261,6,8),MID(M261,30,3),MID(M261,1,5),MID(M261,22,8),MID(M261,14,8))</f>
        <v>11010100110010100100010001000100</v>
      </c>
      <c r="N262" s="14">
        <f t="shared" si="252"/>
        <v>32</v>
      </c>
      <c r="O262" s="14"/>
      <c r="P262" s="14">
        <f t="shared" si="275"/>
        <v>1122</v>
      </c>
      <c r="Q262" s="14"/>
      <c r="R262" s="14"/>
      <c r="S262" s="14"/>
      <c r="T262" s="14"/>
    </row>
    <row r="263" spans="1:20" x14ac:dyDescent="0.35">
      <c r="A263" s="91"/>
      <c r="B263" s="75">
        <f>B261+1</f>
        <v>131</v>
      </c>
      <c r="C263" s="4" t="s">
        <v>0</v>
      </c>
      <c r="D263" s="4" t="s">
        <v>45</v>
      </c>
      <c r="E263" s="4" t="s">
        <v>71</v>
      </c>
      <c r="F263" s="4">
        <v>42</v>
      </c>
      <c r="G263" s="4">
        <v>36</v>
      </c>
      <c r="H263" s="4" t="str">
        <f t="shared" si="299"/>
        <v>01111100101000010100001000110110</v>
      </c>
      <c r="I263" s="4">
        <f t="shared" si="300"/>
        <v>14</v>
      </c>
      <c r="J263" s="77" t="s">
        <v>34</v>
      </c>
      <c r="K263" s="79" t="str">
        <f>HEX2BIN(J263,8)</f>
        <v>11101010</v>
      </c>
      <c r="L263" s="43" t="str">
        <f t="shared" ref="L263" si="305">CONCATENATE(HEX2BIN(G263,8),HEX2BIN(F263,8),HEX2BIN(E263,8),HEX2BIN(D263,8))</f>
        <v>00110110010000101010000101111100</v>
      </c>
      <c r="M263" s="1" t="str">
        <f t="shared" ref="M263:M325" si="306">CONCATENATE(DEC2BIN(MOD(BIN2DEC(MID(L263,1,8))+BIN2DEC(MID(L264,1,8))+INT((BIN2DEC(MID(L263,9,8))+BIN2DEC(MID(L264,9,8))+INT((BIN2DEC(MID(L263,17,8))+BIN2DEC(MID(L264,17,8))+INT((BIN2DEC(MID(L263,25,8))+BIN2DEC(MID(L264,25,8)))/256))/256))/256),256),8),DEC2BIN(MOD(BIN2DEC(MID(L263,9,8))+BIN2DEC(MID(L264,9,8))+INT((BIN2DEC(MID(L263,17,8))+BIN2DEC(MID(L264,17,8))+INT((BIN2DEC(MID(L263,25,8))+BIN2DEC(MID(L264,25,8)))/256))/256),256),8),DEC2BIN(MOD(BIN2DEC(MID(L263,17,8))+BIN2DEC(MID(L264,17,8))+INT((BIN2DEC(MID(L263,25,8))+BIN2DEC(MID(L264,25,8)))/256),256),8),DEC2BIN(MOD(BIN2DEC(MID(L263,25,8))+BIN2DEC(MID(L264,25,8)),256),8))</f>
        <v>00100010000110010110001100100100</v>
      </c>
      <c r="N263" s="14">
        <f t="shared" si="250"/>
        <v>222</v>
      </c>
      <c r="O263" s="14"/>
      <c r="P263" s="14">
        <f t="shared" si="275"/>
        <v>1123</v>
      </c>
      <c r="Q263" s="14"/>
      <c r="R263" s="14"/>
      <c r="S263" s="14"/>
      <c r="T263" s="14"/>
    </row>
    <row r="264" spans="1:20" ht="18.600000000000001" thickBot="1" x14ac:dyDescent="0.4">
      <c r="A264" s="91"/>
      <c r="B264" s="76"/>
      <c r="C264" s="5" t="s">
        <v>6</v>
      </c>
      <c r="D264" s="5">
        <v>43</v>
      </c>
      <c r="E264" s="5">
        <v>84</v>
      </c>
      <c r="F264" s="5">
        <v>64</v>
      </c>
      <c r="G264" s="5" t="s">
        <v>152</v>
      </c>
      <c r="H264" s="5" t="str">
        <f t="shared" si="299"/>
        <v>01000011100001000110010000101100</v>
      </c>
      <c r="I264" s="5">
        <f t="shared" si="300"/>
        <v>11</v>
      </c>
      <c r="J264" s="78"/>
      <c r="K264" s="80"/>
      <c r="L264" s="14" t="str">
        <f t="shared" ref="L264:L326" si="307">CONCATENATE(DEC2BIN(MOD(BIN2DEC(K263)+INT((2*BIN2DEC(K263)+INT((BIN2DEC(K263)+2*BIN2DEC(K263)+BIN2DEC(MID(K263,1,2)))/256))/256),256),8),DEC2BIN(MOD(2*BIN2DEC(K263)+INT((BIN2DEC(K263)+2*BIN2DEC(K263)+BIN2DEC(MID(K263,1,2)))/256),256),8),DEC2BIN(MOD(BIN2DEC(K263)+2*BIN2DEC(K263)+BIN2DEC(MID(K263,1,2)),256),8),MID(K263,3,6),"00")</f>
        <v>11101011110101101100000110101000</v>
      </c>
      <c r="M264" s="14" t="str">
        <f t="shared" ref="M264" si="308">CONCATENATE(MID(M263,6,8),MID(M263,30,3),MID(M263,1,5),MID(M263,22,8),MID(M263,14,8))</f>
        <v>01000011100001000110010000101100</v>
      </c>
      <c r="N264" s="14">
        <f t="shared" si="252"/>
        <v>235</v>
      </c>
      <c r="O264" s="14"/>
      <c r="P264" s="14">
        <f t="shared" si="275"/>
        <v>1124</v>
      </c>
      <c r="Q264" s="14"/>
      <c r="R264" s="14"/>
      <c r="S264" s="14"/>
      <c r="T264" s="14"/>
    </row>
    <row r="265" spans="1:20" x14ac:dyDescent="0.35">
      <c r="A265" s="91"/>
      <c r="B265" s="75">
        <f>B263+1</f>
        <v>132</v>
      </c>
      <c r="C265" s="4" t="s">
        <v>0</v>
      </c>
      <c r="D265" s="4" t="s">
        <v>158</v>
      </c>
      <c r="E265" s="4">
        <v>45</v>
      </c>
      <c r="F265" s="4">
        <v>5</v>
      </c>
      <c r="G265" s="4" t="s">
        <v>159</v>
      </c>
      <c r="H265" s="4" t="str">
        <f t="shared" si="299"/>
        <v>11100101010001010000010100011010</v>
      </c>
      <c r="I265" s="4">
        <f t="shared" si="300"/>
        <v>13</v>
      </c>
      <c r="J265" s="77" t="s">
        <v>100</v>
      </c>
      <c r="K265" s="79" t="str">
        <f>HEX2BIN(J265,8)</f>
        <v>11110101</v>
      </c>
      <c r="L265" s="43" t="str">
        <f t="shared" ref="L265" si="309">CONCATENATE(HEX2BIN(G265,8),HEX2BIN(F265,8),HEX2BIN(E265,8),HEX2BIN(D265,8))</f>
        <v>00011010000001010100010111100101</v>
      </c>
      <c r="M265" s="1" t="str">
        <f t="shared" si="306"/>
        <v>00010000111100100010100010111001</v>
      </c>
      <c r="N265" s="14">
        <f t="shared" si="250"/>
        <v>238</v>
      </c>
      <c r="O265" s="14"/>
      <c r="P265" s="14">
        <f t="shared" si="275"/>
        <v>1125</v>
      </c>
      <c r="Q265" s="14"/>
      <c r="R265" s="14"/>
      <c r="S265" s="14"/>
      <c r="T265" s="14"/>
    </row>
    <row r="266" spans="1:20" ht="18.600000000000001" thickBot="1" x14ac:dyDescent="0.4">
      <c r="A266" s="91"/>
      <c r="B266" s="76"/>
      <c r="C266" s="5" t="s">
        <v>6</v>
      </c>
      <c r="D266" s="5" t="s">
        <v>95</v>
      </c>
      <c r="E266" s="5">
        <v>22</v>
      </c>
      <c r="F266" s="5">
        <v>17</v>
      </c>
      <c r="G266" s="5">
        <v>45</v>
      </c>
      <c r="H266" s="5" t="str">
        <f t="shared" si="299"/>
        <v>00011110001000100001011101000101</v>
      </c>
      <c r="I266" s="5">
        <f t="shared" si="300"/>
        <v>13</v>
      </c>
      <c r="J266" s="78"/>
      <c r="K266" s="80"/>
      <c r="L266" s="14" t="str">
        <f t="shared" si="307"/>
        <v>11110110111011001110001011010100</v>
      </c>
      <c r="M266" s="14" t="str">
        <f t="shared" ref="M266" si="310">CONCATENATE(MID(M265,6,8),MID(M265,30,3),MID(M265,1,5),MID(M265,22,8),MID(M265,14,8))</f>
        <v>00011110001000100001011101000101</v>
      </c>
      <c r="N266" s="14">
        <f t="shared" si="252"/>
        <v>246</v>
      </c>
      <c r="O266" s="14"/>
      <c r="P266" s="14">
        <f t="shared" si="275"/>
        <v>1126</v>
      </c>
      <c r="Q266" s="14"/>
      <c r="R266" s="14"/>
      <c r="S266" s="14"/>
      <c r="T266" s="14"/>
    </row>
    <row r="267" spans="1:20" x14ac:dyDescent="0.35">
      <c r="A267" s="91"/>
      <c r="B267" s="75">
        <f>B265+1</f>
        <v>133</v>
      </c>
      <c r="C267" s="4" t="s">
        <v>0</v>
      </c>
      <c r="D267" s="4">
        <v>62</v>
      </c>
      <c r="E267" s="4">
        <v>83</v>
      </c>
      <c r="F267" s="4">
        <v>55</v>
      </c>
      <c r="G267" s="4">
        <v>73</v>
      </c>
      <c r="H267" s="4" t="str">
        <f t="shared" si="299"/>
        <v>01100010100000110101010101110011</v>
      </c>
      <c r="I267" s="4">
        <f t="shared" si="300"/>
        <v>15</v>
      </c>
      <c r="J267" s="77" t="s">
        <v>52</v>
      </c>
      <c r="K267" s="79" t="str">
        <f>HEX2BIN(J267,8)</f>
        <v>01011110</v>
      </c>
      <c r="L267" s="43" t="str">
        <f t="shared" ref="L267" si="311">CONCATENATE(HEX2BIN(G267,8),HEX2BIN(F267,8),HEX2BIN(E267,8),HEX2BIN(D267,8))</f>
        <v>01110011010101011000001101100010</v>
      </c>
      <c r="M267" s="1" t="str">
        <f t="shared" si="306"/>
        <v>11010010000100101001111011011010</v>
      </c>
      <c r="N267" s="14">
        <f t="shared" si="250"/>
        <v>235</v>
      </c>
      <c r="O267" s="14"/>
      <c r="P267" s="14"/>
      <c r="Q267" s="14"/>
      <c r="R267" s="14"/>
      <c r="S267" s="14"/>
      <c r="T267" s="14"/>
    </row>
    <row r="268" spans="1:20" ht="18.600000000000001" thickBot="1" x14ac:dyDescent="0.4">
      <c r="A268" s="91"/>
      <c r="B268" s="76"/>
      <c r="C268" s="5" t="s">
        <v>6</v>
      </c>
      <c r="D268" s="5">
        <v>42</v>
      </c>
      <c r="E268" s="5" t="s">
        <v>72</v>
      </c>
      <c r="F268" s="5" t="s">
        <v>19</v>
      </c>
      <c r="G268" s="5">
        <v>53</v>
      </c>
      <c r="H268" s="5" t="str">
        <f t="shared" si="299"/>
        <v>01000010010110101101101101010011</v>
      </c>
      <c r="I268" s="5">
        <f t="shared" si="300"/>
        <v>16</v>
      </c>
      <c r="J268" s="78"/>
      <c r="K268" s="80"/>
      <c r="L268" s="14" t="str">
        <f t="shared" si="307"/>
        <v>01011110101111010001101101111000</v>
      </c>
      <c r="M268" s="14" t="str">
        <f t="shared" ref="M268" si="312">CONCATENATE(MID(M267,6,8),MID(M267,30,3),MID(M267,1,5),MID(M267,22,8),MID(M267,14,8))</f>
        <v>01000010010110101101101101010011</v>
      </c>
      <c r="N268" s="14">
        <f t="shared" si="252"/>
        <v>94</v>
      </c>
      <c r="O268" s="14"/>
      <c r="P268" s="14"/>
      <c r="Q268" s="14"/>
      <c r="R268" s="14"/>
      <c r="S268" s="14"/>
      <c r="T268" s="14"/>
    </row>
    <row r="269" spans="1:20" x14ac:dyDescent="0.35">
      <c r="A269" s="91"/>
      <c r="B269" s="75">
        <f>B267+1</f>
        <v>134</v>
      </c>
      <c r="C269" s="4" t="s">
        <v>0</v>
      </c>
      <c r="D269" s="4" t="s">
        <v>32</v>
      </c>
      <c r="E269" s="4" t="s">
        <v>131</v>
      </c>
      <c r="F269" s="4" t="s">
        <v>106</v>
      </c>
      <c r="G269" s="4">
        <v>49</v>
      </c>
      <c r="H269" s="4" t="str">
        <f t="shared" si="299"/>
        <v>10100111000111111101111001001001</v>
      </c>
      <c r="I269" s="4">
        <f t="shared" si="300"/>
        <v>19</v>
      </c>
      <c r="J269" s="77" t="s">
        <v>117</v>
      </c>
      <c r="K269" s="79" t="str">
        <f>HEX2BIN(J269,8)</f>
        <v>11000001</v>
      </c>
      <c r="L269" s="43" t="str">
        <f t="shared" ref="L269" si="313">CONCATENATE(HEX2BIN(G269,8),HEX2BIN(F269,8),HEX2BIN(E269,8),HEX2BIN(D269,8))</f>
        <v>01001001110111100001111110100111</v>
      </c>
      <c r="M269" s="1" t="str">
        <f t="shared" si="306"/>
        <v>00001100011000100110010110101011</v>
      </c>
      <c r="N269" s="14">
        <f t="shared" si="250"/>
        <v>77</v>
      </c>
      <c r="O269" s="14"/>
      <c r="P269" s="14"/>
      <c r="Q269" s="14"/>
      <c r="R269" s="14"/>
      <c r="S269" s="14"/>
      <c r="T269" s="14"/>
    </row>
    <row r="270" spans="1:20" ht="18.600000000000001" thickBot="1" x14ac:dyDescent="0.4">
      <c r="A270" s="91"/>
      <c r="B270" s="76"/>
      <c r="C270" s="5" t="s">
        <v>6</v>
      </c>
      <c r="D270" s="5" t="s">
        <v>132</v>
      </c>
      <c r="E270" s="5">
        <v>61</v>
      </c>
      <c r="F270" s="5" t="s">
        <v>24</v>
      </c>
      <c r="G270" s="5" t="s">
        <v>122</v>
      </c>
      <c r="H270" s="5" t="str">
        <f t="shared" si="299"/>
        <v>10001100011000011011010101001100</v>
      </c>
      <c r="I270" s="5">
        <f t="shared" si="300"/>
        <v>14</v>
      </c>
      <c r="J270" s="78"/>
      <c r="K270" s="80"/>
      <c r="L270" s="14" t="str">
        <f t="shared" si="307"/>
        <v>11000010100001000100011000000100</v>
      </c>
      <c r="M270" s="14" t="str">
        <f t="shared" ref="M270" si="314">CONCATENATE(MID(M269,6,8),MID(M269,30,3),MID(M269,1,5),MID(M269,22,8),MID(M269,14,8))</f>
        <v>10001100011000011011010101001100</v>
      </c>
      <c r="N270" s="14">
        <f t="shared" si="252"/>
        <v>194</v>
      </c>
      <c r="O270" s="14"/>
      <c r="P270" s="14"/>
      <c r="Q270" s="14"/>
      <c r="R270" s="14"/>
      <c r="S270" s="14"/>
      <c r="T270" s="14"/>
    </row>
    <row r="271" spans="1:20" x14ac:dyDescent="0.35">
      <c r="A271" s="91"/>
      <c r="B271" s="75">
        <f>B269+1</f>
        <v>135</v>
      </c>
      <c r="C271" s="4" t="s">
        <v>0</v>
      </c>
      <c r="D271" s="4" t="s">
        <v>134</v>
      </c>
      <c r="E271" s="4" t="s">
        <v>50</v>
      </c>
      <c r="F271" s="4" t="s">
        <v>144</v>
      </c>
      <c r="G271" s="4" t="s">
        <v>31</v>
      </c>
      <c r="H271" s="4" t="str">
        <f t="shared" si="299"/>
        <v>11101110111000101110000000111111</v>
      </c>
      <c r="I271" s="4">
        <f t="shared" si="300"/>
        <v>19</v>
      </c>
      <c r="J271" s="77" t="s">
        <v>159</v>
      </c>
      <c r="K271" s="79" t="str">
        <f>HEX2BIN(J271,8)</f>
        <v>00011010</v>
      </c>
      <c r="L271" s="43" t="str">
        <f t="shared" ref="L271" si="315">CONCATENATE(HEX2BIN(G271,8),HEX2BIN(F271,8),HEX2BIN(E271,8),HEX2BIN(D271,8))</f>
        <v>00111111111000001110001011101110</v>
      </c>
      <c r="M271" s="1" t="str">
        <f t="shared" si="306"/>
        <v>01011010000101010011000101010110</v>
      </c>
      <c r="N271" s="14">
        <f t="shared" si="250"/>
        <v>167</v>
      </c>
      <c r="O271" s="14"/>
      <c r="P271" s="14"/>
      <c r="Q271" s="14"/>
      <c r="R271" s="14"/>
      <c r="S271" s="14"/>
      <c r="T271" s="14"/>
    </row>
    <row r="272" spans="1:20" ht="18.600000000000001" thickBot="1" x14ac:dyDescent="0.4">
      <c r="A272" s="91"/>
      <c r="B272" s="76"/>
      <c r="C272" s="5" t="s">
        <v>6</v>
      </c>
      <c r="D272" s="5">
        <v>42</v>
      </c>
      <c r="E272" s="5" t="s">
        <v>119</v>
      </c>
      <c r="F272" s="5" t="s">
        <v>98</v>
      </c>
      <c r="G272" s="5" t="s">
        <v>162</v>
      </c>
      <c r="H272" s="5" t="str">
        <f t="shared" si="299"/>
        <v>01000010110010110010101010100110</v>
      </c>
      <c r="I272" s="5">
        <f t="shared" si="300"/>
        <v>14</v>
      </c>
      <c r="J272" s="78"/>
      <c r="K272" s="80"/>
      <c r="L272" s="14" t="str">
        <f t="shared" si="307"/>
        <v>00011010001101000100111001101000</v>
      </c>
      <c r="M272" s="14" t="str">
        <f t="shared" ref="M272" si="316">CONCATENATE(MID(M271,6,8),MID(M271,30,3),MID(M271,1,5),MID(M271,22,8),MID(M271,14,8))</f>
        <v>01000010110010110010101010100110</v>
      </c>
      <c r="N272" s="14">
        <f t="shared" si="252"/>
        <v>26</v>
      </c>
      <c r="O272" s="14"/>
      <c r="P272" s="14"/>
      <c r="Q272" s="14"/>
      <c r="R272" s="14"/>
      <c r="S272" s="14"/>
      <c r="T272" s="14"/>
    </row>
    <row r="273" spans="1:28" x14ac:dyDescent="0.35">
      <c r="A273" s="91"/>
      <c r="B273" s="75">
        <f>B271+1</f>
        <v>136</v>
      </c>
      <c r="C273" s="4" t="s">
        <v>0</v>
      </c>
      <c r="D273" s="4" t="s">
        <v>158</v>
      </c>
      <c r="E273" s="4" t="s">
        <v>120</v>
      </c>
      <c r="F273" s="4" t="s">
        <v>81</v>
      </c>
      <c r="G273" s="4" t="s">
        <v>56</v>
      </c>
      <c r="H273" s="4" t="str">
        <f t="shared" si="299"/>
        <v>11100101110101001111010011101111</v>
      </c>
      <c r="I273" s="4">
        <f t="shared" si="300"/>
        <v>21</v>
      </c>
      <c r="J273" s="77" t="s">
        <v>34</v>
      </c>
      <c r="K273" s="79" t="str">
        <f>HEX2BIN(J273,8)</f>
        <v>11101010</v>
      </c>
      <c r="L273" s="43" t="str">
        <f t="shared" ref="L273" si="317">CONCATENATE(HEX2BIN(G273,8),HEX2BIN(F273,8),HEX2BIN(E273,8),HEX2BIN(D273,8))</f>
        <v>11101111111101001101010011100101</v>
      </c>
      <c r="M273" s="1" t="str">
        <f t="shared" si="306"/>
        <v>11011011110010111001011010001101</v>
      </c>
      <c r="N273" s="14">
        <f t="shared" si="250"/>
        <v>151</v>
      </c>
      <c r="O273" s="14"/>
      <c r="P273" s="14"/>
      <c r="Q273" s="14"/>
      <c r="R273" s="14"/>
      <c r="S273" s="14"/>
      <c r="T273" s="14"/>
    </row>
    <row r="274" spans="1:28" ht="18.600000000000001" thickBot="1" x14ac:dyDescent="0.4">
      <c r="A274" s="91"/>
      <c r="B274" s="76"/>
      <c r="C274" s="5" t="s">
        <v>6</v>
      </c>
      <c r="D274" s="5">
        <v>79</v>
      </c>
      <c r="E274" s="5" t="s">
        <v>146</v>
      </c>
      <c r="F274" s="5" t="s">
        <v>27</v>
      </c>
      <c r="G274" s="5">
        <v>72</v>
      </c>
      <c r="H274" s="5" t="str">
        <f t="shared" si="299"/>
        <v>01111001101110111101000101110010</v>
      </c>
      <c r="I274" s="5">
        <f t="shared" si="300"/>
        <v>19</v>
      </c>
      <c r="J274" s="78"/>
      <c r="K274" s="80"/>
      <c r="L274" s="14" t="str">
        <f t="shared" si="307"/>
        <v>11101011110101101100000110101000</v>
      </c>
      <c r="M274" s="14" t="str">
        <f t="shared" ref="M274" si="318">CONCATENATE(MID(M273,6,8),MID(M273,30,3),MID(M273,1,5),MID(M273,22,8),MID(M273,14,8))</f>
        <v>01111001101110111101000101110010</v>
      </c>
      <c r="N274" s="14">
        <f t="shared" si="252"/>
        <v>235</v>
      </c>
      <c r="O274" s="14"/>
      <c r="P274" s="14"/>
      <c r="Q274" s="14"/>
      <c r="R274" s="14"/>
      <c r="S274" s="14"/>
      <c r="T274" s="14"/>
    </row>
    <row r="275" spans="1:28" x14ac:dyDescent="0.35">
      <c r="A275" s="91">
        <f>A259+1</f>
        <v>18</v>
      </c>
      <c r="B275" s="75">
        <f>B273+1</f>
        <v>137</v>
      </c>
      <c r="C275" s="4" t="s">
        <v>0</v>
      </c>
      <c r="D275" s="4">
        <v>71</v>
      </c>
      <c r="E275" s="4" t="s">
        <v>127</v>
      </c>
      <c r="F275" s="4">
        <v>5</v>
      </c>
      <c r="G275" s="4">
        <v>96</v>
      </c>
      <c r="H275" s="4" t="str">
        <f t="shared" si="299"/>
        <v>01110001101011010000010110010110</v>
      </c>
      <c r="I275" s="4">
        <f t="shared" si="300"/>
        <v>15</v>
      </c>
      <c r="J275" s="77">
        <v>85</v>
      </c>
      <c r="K275" s="79" t="str">
        <f>HEX2BIN(J275,8)</f>
        <v>10000101</v>
      </c>
      <c r="L275" s="43" t="str">
        <f t="shared" ref="L275" si="319">CONCATENATE(HEX2BIN(G275,8),HEX2BIN(F275,8),HEX2BIN(E275,8),HEX2BIN(D275,8))</f>
        <v>10010110000001011010110101110001</v>
      </c>
      <c r="M275" s="1" t="str">
        <f t="shared" si="306"/>
        <v>00011100000100010011111010000101</v>
      </c>
      <c r="N275" s="14">
        <f t="shared" si="250"/>
        <v>170</v>
      </c>
      <c r="O275" s="14"/>
      <c r="P275" s="14"/>
      <c r="Q275" s="14"/>
      <c r="R275" s="14"/>
      <c r="S275" s="14"/>
      <c r="T275" s="14"/>
    </row>
    <row r="276" spans="1:28" ht="18.600000000000001" thickBot="1" x14ac:dyDescent="0.4">
      <c r="A276" s="91"/>
      <c r="B276" s="76"/>
      <c r="C276" s="5" t="s">
        <v>6</v>
      </c>
      <c r="D276" s="5">
        <v>82</v>
      </c>
      <c r="E276" s="5" t="s">
        <v>12</v>
      </c>
      <c r="F276" s="5" t="s">
        <v>112</v>
      </c>
      <c r="G276" s="5">
        <v>27</v>
      </c>
      <c r="H276" s="5" t="str">
        <f t="shared" si="299"/>
        <v>10000010101000111101000000100111</v>
      </c>
      <c r="I276" s="5">
        <f t="shared" si="300"/>
        <v>13</v>
      </c>
      <c r="J276" s="78"/>
      <c r="K276" s="80"/>
      <c r="L276" s="14" t="str">
        <f t="shared" si="307"/>
        <v>10000110000010111001000100010100</v>
      </c>
      <c r="M276" s="14" t="str">
        <f t="shared" ref="M276" si="320">CONCATENATE(MID(M275,6,8),MID(M275,30,3),MID(M275,1,5),MID(M275,22,8),MID(M275,14,8))</f>
        <v>10000010101000111101000000100111</v>
      </c>
      <c r="N276" s="14">
        <f t="shared" si="252"/>
        <v>134</v>
      </c>
      <c r="O276" s="14"/>
      <c r="P276" s="14"/>
      <c r="Q276" s="14"/>
      <c r="R276" s="14"/>
      <c r="S276" s="14"/>
      <c r="T276" s="14"/>
    </row>
    <row r="277" spans="1:28" x14ac:dyDescent="0.35">
      <c r="A277" s="91"/>
      <c r="B277" s="75">
        <f>B275+1</f>
        <v>138</v>
      </c>
      <c r="C277" s="4" t="s">
        <v>0</v>
      </c>
      <c r="D277" s="4" t="s">
        <v>17</v>
      </c>
      <c r="E277" s="4" t="s">
        <v>121</v>
      </c>
      <c r="F277" s="4" t="s">
        <v>39</v>
      </c>
      <c r="G277" s="4" t="s">
        <v>159</v>
      </c>
      <c r="H277" s="4" t="str">
        <f t="shared" si="299"/>
        <v>01101100111001001000111000011010</v>
      </c>
      <c r="I277" s="4">
        <f t="shared" si="300"/>
        <v>15</v>
      </c>
      <c r="J277" s="77">
        <v>79</v>
      </c>
      <c r="K277" s="79" t="str">
        <f>HEX2BIN(J277,8)</f>
        <v>01111001</v>
      </c>
      <c r="L277" s="43" t="str">
        <f t="shared" ref="L277" si="321">CONCATENATE(HEX2BIN(G277,8),HEX2BIN(F277,8),HEX2BIN(E277,8),HEX2BIN(D277,8))</f>
        <v>00011010100011101110010001101100</v>
      </c>
      <c r="M277" s="1" t="str">
        <f t="shared" si="306"/>
        <v>10010100100000100101000101010000</v>
      </c>
      <c r="N277" s="14">
        <f t="shared" ref="N277:N339" si="322">MOD(BIN2DEC(MID(L277,1,8))+4*HEX2DEC(J277),256)</f>
        <v>254</v>
      </c>
      <c r="O277" s="14"/>
      <c r="P277" s="14"/>
      <c r="Q277" s="14"/>
      <c r="R277" s="14"/>
      <c r="S277" s="14"/>
      <c r="T277" s="14"/>
    </row>
    <row r="278" spans="1:28" ht="18.600000000000001" thickBot="1" x14ac:dyDescent="0.4">
      <c r="A278" s="91"/>
      <c r="B278" s="76"/>
      <c r="C278" s="5" t="s">
        <v>6</v>
      </c>
      <c r="D278" s="5">
        <v>90</v>
      </c>
      <c r="E278" s="5">
        <v>12</v>
      </c>
      <c r="F278" s="5" t="s">
        <v>98</v>
      </c>
      <c r="G278" s="5" t="s">
        <v>161</v>
      </c>
      <c r="H278" s="5" t="str">
        <f t="shared" si="299"/>
        <v>10010000000100100010101001001010</v>
      </c>
      <c r="I278" s="5">
        <f t="shared" si="300"/>
        <v>10</v>
      </c>
      <c r="J278" s="78"/>
      <c r="K278" s="80"/>
      <c r="L278" s="14" t="str">
        <f t="shared" si="307"/>
        <v>01111001111100110110110011100100</v>
      </c>
      <c r="M278" s="14" t="str">
        <f t="shared" ref="M278" si="323">CONCATENATE(MID(M277,6,8),MID(M277,30,3),MID(M277,1,5),MID(M277,22,8),MID(M277,14,8))</f>
        <v>10010000000100100010101001001010</v>
      </c>
      <c r="N278" s="14">
        <f t="shared" ref="N278:N340" si="324">BIN2DEC(MID(L278,1,8))</f>
        <v>121</v>
      </c>
      <c r="O278" s="14"/>
      <c r="P278" s="14"/>
      <c r="Q278" s="14"/>
      <c r="R278" s="14"/>
      <c r="S278" s="14"/>
      <c r="T278" s="14"/>
    </row>
    <row r="279" spans="1:28" x14ac:dyDescent="0.35">
      <c r="A279" s="91"/>
      <c r="B279" s="75">
        <f>B277+1</f>
        <v>139</v>
      </c>
      <c r="C279" s="4" t="s">
        <v>0</v>
      </c>
      <c r="D279" s="4" t="s">
        <v>88</v>
      </c>
      <c r="E279" s="4" t="s">
        <v>125</v>
      </c>
      <c r="F279" s="4" t="s">
        <v>74</v>
      </c>
      <c r="G279" s="4" t="s">
        <v>101</v>
      </c>
      <c r="H279" s="4" t="str">
        <f t="shared" si="299"/>
        <v>11100001101111110010111111011100</v>
      </c>
      <c r="I279" s="4">
        <f t="shared" si="300"/>
        <v>21</v>
      </c>
      <c r="J279" s="77">
        <v>10</v>
      </c>
      <c r="K279" s="79" t="str">
        <f>HEX2BIN(J279,8)</f>
        <v>00010000</v>
      </c>
      <c r="L279" s="43" t="str">
        <f t="shared" ref="L279" si="325">CONCATENATE(HEX2BIN(G279,8),HEX2BIN(F279,8),HEX2BIN(E279,8),HEX2BIN(D279,8))</f>
        <v>11011100001011111011111111100001</v>
      </c>
      <c r="M279" s="1" t="str">
        <f t="shared" si="306"/>
        <v>11101100010011111111000000100001</v>
      </c>
      <c r="N279" s="14">
        <f t="shared" si="322"/>
        <v>28</v>
      </c>
      <c r="O279" s="14"/>
      <c r="P279" s="14"/>
      <c r="Q279" s="14"/>
      <c r="R279" s="14"/>
      <c r="S279" s="14"/>
      <c r="T279" s="14"/>
    </row>
    <row r="280" spans="1:28" ht="18.600000000000001" thickBot="1" x14ac:dyDescent="0.4">
      <c r="A280" s="91"/>
      <c r="B280" s="76"/>
      <c r="C280" s="5" t="s">
        <v>6</v>
      </c>
      <c r="D280" s="5">
        <v>89</v>
      </c>
      <c r="E280" s="5" t="s">
        <v>60</v>
      </c>
      <c r="F280" s="5">
        <v>4</v>
      </c>
      <c r="G280" s="5" t="s">
        <v>68</v>
      </c>
      <c r="H280" s="5" t="str">
        <f t="shared" si="299"/>
        <v>10001001001111010000010011111110</v>
      </c>
      <c r="I280" s="5">
        <f t="shared" si="300"/>
        <v>16</v>
      </c>
      <c r="J280" s="78"/>
      <c r="K280" s="80"/>
      <c r="L280" s="14" t="str">
        <f t="shared" si="307"/>
        <v>00010000001000000011000001000000</v>
      </c>
      <c r="M280" s="14" t="str">
        <f t="shared" ref="M280" si="326">CONCATENATE(MID(M279,6,8),MID(M279,30,3),MID(M279,1,5),MID(M279,22,8),MID(M279,14,8))</f>
        <v>10001001001111010000010011111110</v>
      </c>
      <c r="N280" s="14">
        <f t="shared" si="324"/>
        <v>16</v>
      </c>
      <c r="O280" s="14"/>
      <c r="P280" s="14"/>
      <c r="Q280" s="14"/>
      <c r="R280" s="14"/>
      <c r="S280" s="14"/>
      <c r="T280" s="14"/>
    </row>
    <row r="281" spans="1:28" x14ac:dyDescent="0.35">
      <c r="A281" s="91"/>
      <c r="B281" s="75">
        <f>B279+1</f>
        <v>140</v>
      </c>
      <c r="C281" s="4" t="s">
        <v>0</v>
      </c>
      <c r="D281" s="4" t="s">
        <v>158</v>
      </c>
      <c r="E281" s="4" t="s">
        <v>163</v>
      </c>
      <c r="F281" s="4" t="s">
        <v>55</v>
      </c>
      <c r="G281" s="4" t="s">
        <v>121</v>
      </c>
      <c r="H281" s="4" t="str">
        <f t="shared" si="299"/>
        <v>11100101110110011000101011100100</v>
      </c>
      <c r="I281" s="4">
        <f t="shared" si="300"/>
        <v>17</v>
      </c>
      <c r="J281" s="77">
        <v>63</v>
      </c>
      <c r="K281" s="79" t="str">
        <f>HEX2BIN(J281,8)</f>
        <v>01100011</v>
      </c>
      <c r="L281" s="43" t="str">
        <f t="shared" ref="L281" si="327">CONCATENATE(HEX2BIN(G281,8),HEX2BIN(F281,8),HEX2BIN(E281,8),HEX2BIN(D281,8))</f>
        <v>11100100100010101101100111100101</v>
      </c>
      <c r="M281" s="1" t="str">
        <f t="shared" si="306"/>
        <v>01001000010100100000010001110001</v>
      </c>
      <c r="N281" s="14">
        <f t="shared" si="322"/>
        <v>112</v>
      </c>
      <c r="O281" s="14"/>
      <c r="P281" s="14"/>
      <c r="Q281" s="14"/>
      <c r="R281" s="14"/>
      <c r="S281" s="14"/>
      <c r="T281" s="14"/>
    </row>
    <row r="282" spans="1:28" ht="18.600000000000001" thickBot="1" x14ac:dyDescent="0.4">
      <c r="A282" s="91"/>
      <c r="B282" s="76"/>
      <c r="C282" s="5" t="s">
        <v>6</v>
      </c>
      <c r="D282" s="5" t="s">
        <v>20</v>
      </c>
      <c r="E282" s="5">
        <v>29</v>
      </c>
      <c r="F282" s="5" t="s">
        <v>39</v>
      </c>
      <c r="G282" s="5">
        <v>40</v>
      </c>
      <c r="H282" s="5" t="str">
        <f t="shared" si="299"/>
        <v>00001010001010011000111001000000</v>
      </c>
      <c r="I282" s="5">
        <f t="shared" si="300"/>
        <v>10</v>
      </c>
      <c r="J282" s="78"/>
      <c r="K282" s="80"/>
      <c r="L282" s="14" t="str">
        <f t="shared" si="307"/>
        <v>01100011110001110010101010001100</v>
      </c>
      <c r="M282" s="14" t="str">
        <f t="shared" ref="M282" si="328">CONCATENATE(MID(M281,6,8),MID(M281,30,3),MID(M281,1,5),MID(M281,22,8),MID(M281,14,8))</f>
        <v>00001010001010011000111001000000</v>
      </c>
      <c r="N282" s="14">
        <f t="shared" si="324"/>
        <v>99</v>
      </c>
      <c r="O282" s="14"/>
      <c r="P282" s="14"/>
      <c r="Q282" s="14"/>
      <c r="R282" s="14"/>
      <c r="S282" s="14"/>
      <c r="T282" s="14"/>
    </row>
    <row r="283" spans="1:28" x14ac:dyDescent="0.35">
      <c r="A283" s="91"/>
      <c r="B283" s="75">
        <f>B281+1</f>
        <v>141</v>
      </c>
      <c r="C283" s="4" t="s">
        <v>0</v>
      </c>
      <c r="D283" s="4" t="s">
        <v>73</v>
      </c>
      <c r="E283" s="4">
        <v>96</v>
      </c>
      <c r="F283" s="4" t="s">
        <v>71</v>
      </c>
      <c r="G283" s="4" t="s">
        <v>10</v>
      </c>
      <c r="H283" s="4" t="str">
        <f t="shared" si="299"/>
        <v>11101011100101101010000110011100</v>
      </c>
      <c r="I283" s="4">
        <f t="shared" si="300"/>
        <v>17</v>
      </c>
      <c r="J283" s="77" t="s">
        <v>31</v>
      </c>
      <c r="K283" s="79" t="str">
        <f>HEX2BIN(J283,8)</f>
        <v>00111111</v>
      </c>
      <c r="L283" s="43" t="str">
        <f t="shared" ref="L283" si="329">CONCATENATE(HEX2BIN(G283,8),HEX2BIN(F283,8),HEX2BIN(E283,8),HEX2BIN(D283,8))</f>
        <v>10011100101000011001011011101011</v>
      </c>
      <c r="M283" s="1" t="str">
        <f t="shared" si="306"/>
        <v>11011100001000000101010011100111</v>
      </c>
      <c r="N283" s="14">
        <f t="shared" si="322"/>
        <v>152</v>
      </c>
      <c r="O283" s="14"/>
      <c r="P283" s="14"/>
      <c r="Q283" s="14"/>
      <c r="R283" s="14"/>
      <c r="S283" s="14"/>
      <c r="T283" s="14"/>
    </row>
    <row r="284" spans="1:28" ht="18.600000000000001" thickBot="1" x14ac:dyDescent="0.4">
      <c r="A284" s="91"/>
      <c r="B284" s="76"/>
      <c r="C284" s="5" t="s">
        <v>6</v>
      </c>
      <c r="D284" s="5">
        <v>84</v>
      </c>
      <c r="E284" s="5" t="s">
        <v>123</v>
      </c>
      <c r="F284" s="5" t="s">
        <v>10</v>
      </c>
      <c r="G284" s="5" t="s">
        <v>20</v>
      </c>
      <c r="H284" s="5" t="str">
        <f t="shared" si="299"/>
        <v>10000100111110111001110000001010</v>
      </c>
      <c r="I284" s="5">
        <f t="shared" si="300"/>
        <v>15</v>
      </c>
      <c r="J284" s="78"/>
      <c r="K284" s="80"/>
      <c r="L284" s="14" t="str">
        <f t="shared" si="307"/>
        <v>00111111011111101011110111111100</v>
      </c>
      <c r="M284" s="14" t="str">
        <f t="shared" ref="M284" si="330">CONCATENATE(MID(M283,6,8),MID(M283,30,3),MID(M283,1,5),MID(M283,22,8),MID(M283,14,8))</f>
        <v>10000100111110111001110000001010</v>
      </c>
      <c r="N284" s="14">
        <f t="shared" si="324"/>
        <v>63</v>
      </c>
      <c r="O284" s="14"/>
      <c r="P284" s="14"/>
      <c r="Q284" s="14"/>
      <c r="R284" s="14"/>
      <c r="S284" s="14"/>
      <c r="T284" s="14"/>
    </row>
    <row r="285" spans="1:28" ht="18.600000000000001" thickBot="1" x14ac:dyDescent="0.4">
      <c r="A285" s="91"/>
      <c r="B285" s="81">
        <f>B283+1</f>
        <v>142</v>
      </c>
      <c r="C285" s="4" t="s">
        <v>0</v>
      </c>
      <c r="D285" s="4">
        <v>61</v>
      </c>
      <c r="E285" s="4">
        <v>22</v>
      </c>
      <c r="F285" s="4">
        <v>16</v>
      </c>
      <c r="G285" s="4" t="s">
        <v>134</v>
      </c>
      <c r="H285" s="4" t="str">
        <f t="shared" si="299"/>
        <v>01100001001000100001011011101110</v>
      </c>
      <c r="I285" s="4">
        <f t="shared" si="300"/>
        <v>14</v>
      </c>
      <c r="J285" s="77">
        <v>6</v>
      </c>
      <c r="K285" s="79" t="str">
        <f>HEX2BIN(J285,8)</f>
        <v>00000110</v>
      </c>
      <c r="L285" s="43" t="str">
        <f t="shared" ref="L285" si="331">CONCATENATE(HEX2BIN(G285,8),HEX2BIN(F285,8),HEX2BIN(E285,8),HEX2BIN(D285,8))</f>
        <v>11101110000101100010001001100001</v>
      </c>
      <c r="M285" s="1" t="str">
        <f t="shared" si="306"/>
        <v>11110100001000100011010001111001</v>
      </c>
      <c r="N285" s="26" t="str">
        <f>MID(L285,6,3)</f>
        <v>110</v>
      </c>
      <c r="O285" s="26" t="str">
        <f>MID(L285,9,3)</f>
        <v>000</v>
      </c>
      <c r="P285" s="26" t="str">
        <f>MID(L285,12,5)</f>
        <v>10110</v>
      </c>
      <c r="Q285" s="77" t="e">
        <f>BIN2DEC(M285)-BIN2DEC(M286)</f>
        <v>#NUM!</v>
      </c>
      <c r="R285" s="77">
        <f>BIN2DEC(N285)-BIN2DEC(N286)</f>
        <v>0</v>
      </c>
      <c r="S285" s="77">
        <f>BIN2DEC(O285)-BIN2DEC(O286)</f>
        <v>0</v>
      </c>
      <c r="T285" s="77">
        <f>BIN2DEC(P285)-BIN2DEC(P286)</f>
        <v>10</v>
      </c>
      <c r="U285" s="1" t="e">
        <f t="shared" ref="U285:AB285" si="332">BIN2DEC(M285)-BIN2DEC(M286)</f>
        <v>#NUM!</v>
      </c>
      <c r="V285" s="1">
        <f t="shared" si="332"/>
        <v>0</v>
      </c>
      <c r="W285" s="1">
        <f t="shared" si="332"/>
        <v>0</v>
      </c>
      <c r="X285" s="1">
        <f t="shared" si="332"/>
        <v>10</v>
      </c>
      <c r="Y285" s="1" t="e">
        <f t="shared" si="332"/>
        <v>#NUM!</v>
      </c>
      <c r="Z285" s="1">
        <f t="shared" si="332"/>
        <v>0</v>
      </c>
      <c r="AA285" s="1">
        <f t="shared" si="332"/>
        <v>0</v>
      </c>
      <c r="AB285" s="1">
        <f t="shared" si="332"/>
        <v>2</v>
      </c>
    </row>
    <row r="286" spans="1:28" ht="18.600000000000001" thickBot="1" x14ac:dyDescent="0.4">
      <c r="A286" s="91"/>
      <c r="B286" s="82"/>
      <c r="C286" s="5" t="s">
        <v>6</v>
      </c>
      <c r="D286" s="5">
        <v>84</v>
      </c>
      <c r="E286" s="5" t="s">
        <v>142</v>
      </c>
      <c r="F286" s="5" t="s">
        <v>153</v>
      </c>
      <c r="G286" s="5">
        <v>46</v>
      </c>
      <c r="H286" s="5" t="str">
        <f t="shared" si="299"/>
        <v>10000100001111101000111101000110</v>
      </c>
      <c r="I286" s="5">
        <f t="shared" si="300"/>
        <v>15</v>
      </c>
      <c r="J286" s="78"/>
      <c r="K286" s="80"/>
      <c r="L286" s="14" t="str">
        <f t="shared" si="307"/>
        <v>00000110000011000001001000011000</v>
      </c>
      <c r="M286" s="14" t="str">
        <f t="shared" ref="M286" si="333">CONCATENATE(MID(M285,6,8),MID(M285,30,3),MID(M285,1,5),MID(M285,22,8),MID(M285,14,8))</f>
        <v>10000100001111101000111101000110</v>
      </c>
      <c r="N286" s="26" t="str">
        <f>MID(L286,6,3)</f>
        <v>110</v>
      </c>
      <c r="O286" s="26" t="str">
        <f>MID(L286,9,3)</f>
        <v>000</v>
      </c>
      <c r="P286" s="26" t="str">
        <f>MID(L286,12,5)</f>
        <v>01100</v>
      </c>
      <c r="Q286" s="78"/>
      <c r="R286" s="78"/>
      <c r="S286" s="78"/>
      <c r="T286" s="78"/>
    </row>
    <row r="287" spans="1:28" x14ac:dyDescent="0.35">
      <c r="A287" s="91"/>
      <c r="B287" s="75">
        <f>B285+1</f>
        <v>143</v>
      </c>
      <c r="C287" s="4" t="s">
        <v>0</v>
      </c>
      <c r="D287" s="4" t="s">
        <v>85</v>
      </c>
      <c r="E287" s="4" t="s">
        <v>44</v>
      </c>
      <c r="F287" s="4" t="s">
        <v>104</v>
      </c>
      <c r="G287" s="4" t="s">
        <v>111</v>
      </c>
      <c r="H287" s="4" t="str">
        <f t="shared" si="299"/>
        <v>01101111101010000010111011011010</v>
      </c>
      <c r="I287" s="4">
        <f t="shared" si="300"/>
        <v>18</v>
      </c>
      <c r="J287" s="77">
        <v>42</v>
      </c>
      <c r="K287" s="79" t="str">
        <f>HEX2BIN(J287,8)</f>
        <v>01000010</v>
      </c>
      <c r="L287" s="43" t="str">
        <f t="shared" ref="L287" si="334">CONCATENATE(HEX2BIN(G287,8),HEX2BIN(F287,8),HEX2BIN(E287,8),HEX2BIN(D287,8))</f>
        <v>11011010001011101010100001101111</v>
      </c>
      <c r="M287" s="1" t="str">
        <f t="shared" si="306"/>
        <v>00011100101100110110111101110111</v>
      </c>
      <c r="N287" s="14">
        <f t="shared" si="322"/>
        <v>226</v>
      </c>
      <c r="O287" s="14"/>
      <c r="P287" s="14"/>
      <c r="Q287" s="14"/>
      <c r="R287" s="14"/>
      <c r="S287" s="14"/>
      <c r="T287" s="14"/>
    </row>
    <row r="288" spans="1:28" ht="18.600000000000001" thickBot="1" x14ac:dyDescent="0.4">
      <c r="A288" s="91"/>
      <c r="B288" s="76"/>
      <c r="C288" s="5" t="s">
        <v>6</v>
      </c>
      <c r="D288" s="5">
        <v>96</v>
      </c>
      <c r="E288" s="5" t="s">
        <v>89</v>
      </c>
      <c r="F288" s="5" t="s">
        <v>134</v>
      </c>
      <c r="G288" s="5" t="s">
        <v>108</v>
      </c>
      <c r="H288" s="5" t="str">
        <f t="shared" si="299"/>
        <v>10010110111000111110111001101101</v>
      </c>
      <c r="I288" s="5">
        <f t="shared" si="300"/>
        <v>20</v>
      </c>
      <c r="J288" s="78"/>
      <c r="K288" s="80"/>
      <c r="L288" s="14" t="str">
        <f t="shared" si="307"/>
        <v>01000010100001001100011100001000</v>
      </c>
      <c r="M288" s="14" t="str">
        <f t="shared" ref="M288" si="335">CONCATENATE(MID(M287,6,8),MID(M287,30,3),MID(M287,1,5),MID(M287,22,8),MID(M287,14,8))</f>
        <v>10010110111000111110111001101101</v>
      </c>
      <c r="N288" s="14">
        <f t="shared" si="324"/>
        <v>66</v>
      </c>
      <c r="O288" s="14"/>
      <c r="P288" s="14"/>
      <c r="Q288" s="14"/>
      <c r="R288" s="14"/>
      <c r="S288" s="14"/>
      <c r="T288" s="14"/>
    </row>
    <row r="289" spans="1:20" x14ac:dyDescent="0.35">
      <c r="A289" s="91"/>
      <c r="B289" s="75">
        <f>B287+1</f>
        <v>144</v>
      </c>
      <c r="C289" s="4" t="s">
        <v>0</v>
      </c>
      <c r="D289" s="4" t="s">
        <v>145</v>
      </c>
      <c r="E289" s="4" t="s">
        <v>117</v>
      </c>
      <c r="F289" s="4" t="s">
        <v>66</v>
      </c>
      <c r="G289" s="4">
        <v>83</v>
      </c>
      <c r="H289" s="4" t="str">
        <f t="shared" si="299"/>
        <v>11110111110000011111100010000011</v>
      </c>
      <c r="I289" s="4">
        <f t="shared" si="300"/>
        <v>18</v>
      </c>
      <c r="J289" s="77" t="s">
        <v>56</v>
      </c>
      <c r="K289" s="79" t="str">
        <f>HEX2BIN(J289,8)</f>
        <v>11101111</v>
      </c>
      <c r="L289" s="43" t="str">
        <f t="shared" ref="L289" si="336">CONCATENATE(HEX2BIN(G289,8),HEX2BIN(F289,8),HEX2BIN(E289,8),HEX2BIN(D289,8))</f>
        <v>10000011111110001100000111110111</v>
      </c>
      <c r="M289" s="1" t="str">
        <f t="shared" si="306"/>
        <v>01110100110110011001001010110011</v>
      </c>
      <c r="N289" s="14">
        <f t="shared" si="322"/>
        <v>63</v>
      </c>
      <c r="O289" s="14"/>
      <c r="P289" s="14"/>
      <c r="Q289" s="14"/>
      <c r="R289" s="14"/>
      <c r="S289" s="14"/>
      <c r="T289" s="14"/>
    </row>
    <row r="290" spans="1:20" ht="18.600000000000001" thickBot="1" x14ac:dyDescent="0.4">
      <c r="A290" s="91"/>
      <c r="B290" s="76"/>
      <c r="C290" s="5" t="s">
        <v>6</v>
      </c>
      <c r="D290" s="5" t="s">
        <v>40</v>
      </c>
      <c r="E290" s="5" t="s">
        <v>91</v>
      </c>
      <c r="F290" s="5">
        <v>56</v>
      </c>
      <c r="G290" s="5">
        <v>32</v>
      </c>
      <c r="H290" s="5" t="str">
        <f t="shared" si="299"/>
        <v>10011011011011100101011000110010</v>
      </c>
      <c r="I290" s="5">
        <f t="shared" si="300"/>
        <v>17</v>
      </c>
      <c r="J290" s="78"/>
      <c r="K290" s="80"/>
      <c r="L290" s="14" t="str">
        <f t="shared" si="307"/>
        <v>11110000111000001101000010111100</v>
      </c>
      <c r="M290" s="14" t="str">
        <f t="shared" ref="M290" si="337">CONCATENATE(MID(M289,6,8),MID(M289,30,3),MID(M289,1,5),MID(M289,22,8),MID(M289,14,8))</f>
        <v>10011011011011100101011000110010</v>
      </c>
      <c r="N290" s="14">
        <f t="shared" si="324"/>
        <v>240</v>
      </c>
      <c r="O290" s="14"/>
      <c r="P290" s="14"/>
      <c r="Q290" s="14"/>
      <c r="R290" s="14"/>
      <c r="S290" s="14"/>
      <c r="T290" s="14"/>
    </row>
    <row r="291" spans="1:20" x14ac:dyDescent="0.35">
      <c r="A291" s="91">
        <f>A275+1</f>
        <v>19</v>
      </c>
      <c r="B291" s="75">
        <f>B289+1</f>
        <v>145</v>
      </c>
      <c r="C291" s="4" t="s">
        <v>0</v>
      </c>
      <c r="D291" s="4" t="s">
        <v>149</v>
      </c>
      <c r="E291" s="4" t="s">
        <v>45</v>
      </c>
      <c r="F291" s="4" t="s">
        <v>88</v>
      </c>
      <c r="G291" s="4">
        <v>92</v>
      </c>
      <c r="H291" s="4" t="str">
        <f t="shared" si="299"/>
        <v>10101001011111001110000110010010</v>
      </c>
      <c r="I291" s="4">
        <f t="shared" si="300"/>
        <v>16</v>
      </c>
      <c r="J291" s="77" t="s">
        <v>117</v>
      </c>
      <c r="K291" s="79" t="str">
        <f>HEX2BIN(J291,8)</f>
        <v>11000001</v>
      </c>
      <c r="L291" s="43" t="str">
        <f t="shared" ref="L291" si="338">CONCATENATE(HEX2BIN(G291,8),HEX2BIN(F291,8),HEX2BIN(E291,8),HEX2BIN(D291,8))</f>
        <v>10010010111000010111110010101001</v>
      </c>
      <c r="M291" s="1" t="str">
        <f t="shared" si="306"/>
        <v>01010101011001011100001010101101</v>
      </c>
      <c r="N291" s="14">
        <f t="shared" si="322"/>
        <v>150</v>
      </c>
      <c r="O291" s="14"/>
      <c r="P291" s="14"/>
      <c r="Q291" s="14"/>
      <c r="R291" s="14"/>
      <c r="S291" s="14"/>
      <c r="T291" s="14"/>
    </row>
    <row r="292" spans="1:20" ht="18.600000000000001" thickBot="1" x14ac:dyDescent="0.4">
      <c r="A292" s="91"/>
      <c r="B292" s="76"/>
      <c r="C292" s="5" t="s">
        <v>6</v>
      </c>
      <c r="D292" s="5" t="s">
        <v>160</v>
      </c>
      <c r="E292" s="5" t="s">
        <v>51</v>
      </c>
      <c r="F292" s="5">
        <v>55</v>
      </c>
      <c r="G292" s="5" t="s">
        <v>11</v>
      </c>
      <c r="H292" s="5" t="str">
        <f t="shared" si="299"/>
        <v>10101100101010100101010110111000</v>
      </c>
      <c r="I292" s="5">
        <f t="shared" si="300"/>
        <v>16</v>
      </c>
      <c r="J292" s="78"/>
      <c r="K292" s="80"/>
      <c r="L292" s="14" t="str">
        <f t="shared" si="307"/>
        <v>11000010100001000100011000000100</v>
      </c>
      <c r="M292" s="14" t="str">
        <f t="shared" ref="M292" si="339">CONCATENATE(MID(M291,6,8),MID(M291,30,3),MID(M291,1,5),MID(M291,22,8),MID(M291,14,8))</f>
        <v>10101100101010100101010110111000</v>
      </c>
      <c r="N292" s="14">
        <f t="shared" si="324"/>
        <v>194</v>
      </c>
      <c r="O292" s="14"/>
      <c r="P292" s="14"/>
      <c r="Q292" s="14"/>
      <c r="R292" s="14"/>
      <c r="S292" s="14"/>
      <c r="T292" s="14"/>
    </row>
    <row r="293" spans="1:20" x14ac:dyDescent="0.35">
      <c r="A293" s="91"/>
      <c r="B293" s="75">
        <f>B291+1</f>
        <v>146</v>
      </c>
      <c r="C293" s="4" t="s">
        <v>0</v>
      </c>
      <c r="D293" s="4" t="s">
        <v>76</v>
      </c>
      <c r="E293" s="4" t="s">
        <v>93</v>
      </c>
      <c r="F293" s="4">
        <v>97</v>
      </c>
      <c r="G293" s="4">
        <v>56</v>
      </c>
      <c r="H293" s="4" t="str">
        <f t="shared" si="299"/>
        <v>11101000000011011001011101010110</v>
      </c>
      <c r="I293" s="4">
        <f t="shared" si="300"/>
        <v>16</v>
      </c>
      <c r="J293" s="77" t="s">
        <v>113</v>
      </c>
      <c r="K293" s="79" t="str">
        <f>HEX2BIN(J293,8)</f>
        <v>00011011</v>
      </c>
      <c r="L293" s="43" t="str">
        <f t="shared" ref="L293" si="340">CONCATENATE(HEX2BIN(G293,8),HEX2BIN(F293,8),HEX2BIN(E293,8),HEX2BIN(D293,8))</f>
        <v>01010110100101110000110111101000</v>
      </c>
      <c r="M293" s="1" t="str">
        <f t="shared" si="306"/>
        <v>01110001110011010101111101010100</v>
      </c>
      <c r="N293" s="14">
        <f t="shared" si="322"/>
        <v>194</v>
      </c>
      <c r="O293" s="14"/>
      <c r="P293" s="14"/>
      <c r="Q293" s="14"/>
      <c r="R293" s="14"/>
      <c r="S293" s="14"/>
      <c r="T293" s="14"/>
    </row>
    <row r="294" spans="1:20" ht="18.600000000000001" thickBot="1" x14ac:dyDescent="0.4">
      <c r="A294" s="91"/>
      <c r="B294" s="76"/>
      <c r="C294" s="5" t="s">
        <v>6</v>
      </c>
      <c r="D294" s="5">
        <v>39</v>
      </c>
      <c r="E294" s="5" t="s">
        <v>39</v>
      </c>
      <c r="F294" s="5" t="s">
        <v>34</v>
      </c>
      <c r="G294" s="5" t="s">
        <v>141</v>
      </c>
      <c r="H294" s="5" t="str">
        <f t="shared" si="299"/>
        <v>00111001100011101110101010101011</v>
      </c>
      <c r="I294" s="5">
        <f t="shared" si="300"/>
        <v>18</v>
      </c>
      <c r="J294" s="78"/>
      <c r="K294" s="80"/>
      <c r="L294" s="14" t="str">
        <f t="shared" si="307"/>
        <v>00011011001101100101000101101100</v>
      </c>
      <c r="M294" s="14" t="str">
        <f t="shared" ref="M294" si="341">CONCATENATE(MID(M293,6,8),MID(M293,30,3),MID(M293,1,5),MID(M293,22,8),MID(M293,14,8))</f>
        <v>00111001100011101110101010101011</v>
      </c>
      <c r="N294" s="14">
        <f t="shared" si="324"/>
        <v>27</v>
      </c>
      <c r="O294" s="14"/>
      <c r="P294" s="14"/>
      <c r="Q294" s="14"/>
      <c r="R294" s="14"/>
      <c r="S294" s="14"/>
      <c r="T294" s="14"/>
    </row>
    <row r="295" spans="1:20" x14ac:dyDescent="0.35">
      <c r="A295" s="91"/>
      <c r="B295" s="75">
        <f>B293+1</f>
        <v>147</v>
      </c>
      <c r="C295" s="4" t="s">
        <v>0</v>
      </c>
      <c r="D295" s="4">
        <v>90</v>
      </c>
      <c r="E295" s="4" t="s">
        <v>96</v>
      </c>
      <c r="F295" s="4" t="s">
        <v>43</v>
      </c>
      <c r="G295" s="4">
        <v>39</v>
      </c>
      <c r="H295" s="4" t="str">
        <f t="shared" si="299"/>
        <v>10010000111100100000101100111001</v>
      </c>
      <c r="I295" s="4">
        <f t="shared" si="300"/>
        <v>14</v>
      </c>
      <c r="J295" s="77" t="s">
        <v>33</v>
      </c>
      <c r="K295" s="79" t="str">
        <f>HEX2BIN(J295,8)</f>
        <v>00001111</v>
      </c>
      <c r="L295" s="43" t="str">
        <f t="shared" ref="L295" si="342">CONCATENATE(HEX2BIN(G295,8),HEX2BIN(F295,8),HEX2BIN(E295,8),HEX2BIN(D295,8))</f>
        <v>00111001000010111111001010010000</v>
      </c>
      <c r="M295" s="1" t="str">
        <f t="shared" si="306"/>
        <v>01001000001010100001111111001100</v>
      </c>
      <c r="N295" s="14">
        <f t="shared" si="322"/>
        <v>117</v>
      </c>
      <c r="O295" s="14"/>
      <c r="P295" s="14"/>
      <c r="Q295" s="14"/>
      <c r="R295" s="14"/>
      <c r="S295" s="14"/>
      <c r="T295" s="14"/>
    </row>
    <row r="296" spans="1:20" ht="18.600000000000001" thickBot="1" x14ac:dyDescent="0.4">
      <c r="A296" s="91"/>
      <c r="B296" s="76"/>
      <c r="C296" s="5" t="s">
        <v>6</v>
      </c>
      <c r="D296" s="5">
        <v>5</v>
      </c>
      <c r="E296" s="5">
        <v>89</v>
      </c>
      <c r="F296" s="5" t="s">
        <v>86</v>
      </c>
      <c r="G296" s="5">
        <v>43</v>
      </c>
      <c r="H296" s="5" t="str">
        <f t="shared" si="299"/>
        <v>00000101100010011111100101000011</v>
      </c>
      <c r="I296" s="5">
        <f t="shared" si="300"/>
        <v>14</v>
      </c>
      <c r="J296" s="78"/>
      <c r="K296" s="80"/>
      <c r="L296" s="14" t="str">
        <f t="shared" si="307"/>
        <v>00001111000111100010110100111100</v>
      </c>
      <c r="M296" s="14" t="str">
        <f t="shared" ref="M296" si="343">CONCATENATE(MID(M295,6,8),MID(M295,30,3),MID(M295,1,5),MID(M295,22,8),MID(M295,14,8))</f>
        <v>00000101100010011111100101000011</v>
      </c>
      <c r="N296" s="14">
        <f t="shared" si="324"/>
        <v>15</v>
      </c>
      <c r="O296" s="14"/>
      <c r="P296" s="14"/>
      <c r="Q296" s="14"/>
      <c r="R296" s="14"/>
      <c r="S296" s="14"/>
      <c r="T296" s="14"/>
    </row>
    <row r="297" spans="1:20" x14ac:dyDescent="0.35">
      <c r="A297" s="91"/>
      <c r="B297" s="75">
        <f>B295+1</f>
        <v>148</v>
      </c>
      <c r="C297" s="4" t="s">
        <v>0</v>
      </c>
      <c r="D297" s="4" t="s">
        <v>105</v>
      </c>
      <c r="E297" s="4">
        <v>84</v>
      </c>
      <c r="F297" s="4" t="s">
        <v>91</v>
      </c>
      <c r="G297" s="4">
        <v>15</v>
      </c>
      <c r="H297" s="4" t="str">
        <f t="shared" si="299"/>
        <v>11101101100001000110111000010101</v>
      </c>
      <c r="I297" s="4">
        <f t="shared" si="300"/>
        <v>16</v>
      </c>
      <c r="J297" s="77" t="s">
        <v>38</v>
      </c>
      <c r="K297" s="79" t="str">
        <f>HEX2BIN(J297,8)</f>
        <v>10100100</v>
      </c>
      <c r="L297" s="43" t="str">
        <f t="shared" ref="L297" si="344">CONCATENATE(HEX2BIN(G297,8),HEX2BIN(F297,8),HEX2BIN(E297,8),HEX2BIN(D297,8))</f>
        <v>00010101011011101000010011101101</v>
      </c>
      <c r="M297" s="1" t="str">
        <f t="shared" si="306"/>
        <v>10111010101110000111001101111101</v>
      </c>
      <c r="N297" s="14">
        <f t="shared" si="322"/>
        <v>165</v>
      </c>
      <c r="O297" s="14"/>
      <c r="P297" s="14"/>
      <c r="Q297" s="14"/>
      <c r="R297" s="14"/>
      <c r="S297" s="14"/>
      <c r="T297" s="14"/>
    </row>
    <row r="298" spans="1:20" ht="18.600000000000001" thickBot="1" x14ac:dyDescent="0.4">
      <c r="A298" s="91"/>
      <c r="B298" s="76"/>
      <c r="C298" s="5" t="s">
        <v>6</v>
      </c>
      <c r="D298" s="5">
        <v>57</v>
      </c>
      <c r="E298" s="5" t="s">
        <v>143</v>
      </c>
      <c r="F298" s="5" t="s">
        <v>85</v>
      </c>
      <c r="G298" s="5" t="s">
        <v>164</v>
      </c>
      <c r="H298" s="5" t="str">
        <f t="shared" si="299"/>
        <v>01010111101101110110111100001110</v>
      </c>
      <c r="I298" s="5">
        <f t="shared" si="300"/>
        <v>20</v>
      </c>
      <c r="J298" s="78"/>
      <c r="K298" s="80"/>
      <c r="L298" s="14" t="str">
        <f t="shared" si="307"/>
        <v>10100101010010011110111010010000</v>
      </c>
      <c r="M298" s="14" t="str">
        <f t="shared" ref="M298" si="345">CONCATENATE(MID(M297,6,8),MID(M297,30,3),MID(M297,1,5),MID(M297,22,8),MID(M297,14,8))</f>
        <v>01010111101101110110111100001110</v>
      </c>
      <c r="N298" s="14">
        <f t="shared" si="324"/>
        <v>165</v>
      </c>
      <c r="O298" s="14"/>
      <c r="P298" s="14"/>
      <c r="Q298" s="14"/>
      <c r="R298" s="14"/>
      <c r="S298" s="14"/>
      <c r="T298" s="14"/>
    </row>
    <row r="299" spans="1:20" x14ac:dyDescent="0.35">
      <c r="A299" s="91"/>
      <c r="B299" s="75">
        <f>B297+1</f>
        <v>149</v>
      </c>
      <c r="C299" s="4" t="s">
        <v>0</v>
      </c>
      <c r="D299" s="4" t="s">
        <v>133</v>
      </c>
      <c r="E299" s="4">
        <v>45</v>
      </c>
      <c r="F299" s="4">
        <v>64</v>
      </c>
      <c r="G299" s="4">
        <v>37</v>
      </c>
      <c r="H299" s="4" t="str">
        <f t="shared" si="299"/>
        <v>11000111010001010110010000110111</v>
      </c>
      <c r="I299" s="4">
        <f t="shared" si="300"/>
        <v>16</v>
      </c>
      <c r="J299" s="77">
        <v>28</v>
      </c>
      <c r="K299" s="79" t="str">
        <f>HEX2BIN(J299,8)</f>
        <v>00101000</v>
      </c>
      <c r="L299" s="43" t="str">
        <f t="shared" ref="L299" si="346">CONCATENATE(HEX2BIN(G299,8),HEX2BIN(F299,8),HEX2BIN(E299,8),HEX2BIN(D299,8))</f>
        <v>00110111011001000100010111000111</v>
      </c>
      <c r="M299" s="1" t="str">
        <f t="shared" si="306"/>
        <v>01011111101101001011111001100111</v>
      </c>
      <c r="N299" s="14">
        <f t="shared" si="322"/>
        <v>215</v>
      </c>
      <c r="O299" s="14"/>
      <c r="P299" s="14"/>
      <c r="Q299" s="14"/>
      <c r="R299" s="14"/>
      <c r="S299" s="14"/>
      <c r="T299" s="14"/>
    </row>
    <row r="300" spans="1:20" ht="18.600000000000001" thickBot="1" x14ac:dyDescent="0.4">
      <c r="A300" s="91"/>
      <c r="B300" s="76"/>
      <c r="C300" s="5" t="s">
        <v>6</v>
      </c>
      <c r="D300" s="5" t="s">
        <v>63</v>
      </c>
      <c r="E300" s="5" t="s">
        <v>73</v>
      </c>
      <c r="F300" s="5" t="s">
        <v>107</v>
      </c>
      <c r="G300" s="5">
        <v>97</v>
      </c>
      <c r="H300" s="5" t="str">
        <f t="shared" si="299"/>
        <v>11110110111010111100110010010111</v>
      </c>
      <c r="I300" s="5">
        <f t="shared" si="300"/>
        <v>21</v>
      </c>
      <c r="J300" s="78"/>
      <c r="K300" s="80"/>
      <c r="L300" s="14" t="str">
        <f t="shared" si="307"/>
        <v>00101000010100000111100010100000</v>
      </c>
      <c r="M300" s="14" t="str">
        <f t="shared" ref="M300" si="347">CONCATENATE(MID(M299,6,8),MID(M299,30,3),MID(M299,1,5),MID(M299,22,8),MID(M299,14,8))</f>
        <v>11110110111010111100110010010111</v>
      </c>
      <c r="N300" s="14">
        <f t="shared" si="324"/>
        <v>40</v>
      </c>
      <c r="O300" s="14"/>
      <c r="P300" s="14"/>
      <c r="Q300" s="14"/>
      <c r="R300" s="14"/>
      <c r="S300" s="14"/>
      <c r="T300" s="14"/>
    </row>
    <row r="301" spans="1:20" x14ac:dyDescent="0.35">
      <c r="A301" s="91"/>
      <c r="B301" s="75">
        <f>B299+1</f>
        <v>150</v>
      </c>
      <c r="C301" s="4" t="s">
        <v>0</v>
      </c>
      <c r="D301" s="4" t="s">
        <v>113</v>
      </c>
      <c r="E301" s="4" t="s">
        <v>85</v>
      </c>
      <c r="F301" s="4" t="s">
        <v>99</v>
      </c>
      <c r="G301" s="4">
        <v>82</v>
      </c>
      <c r="H301" s="4" t="str">
        <f t="shared" si="299"/>
        <v>00011011011011111010001010000010</v>
      </c>
      <c r="I301" s="4">
        <f t="shared" si="300"/>
        <v>15</v>
      </c>
      <c r="J301" s="77" t="s">
        <v>103</v>
      </c>
      <c r="K301" s="79" t="str">
        <f>HEX2BIN(J301,8)</f>
        <v>10101111</v>
      </c>
      <c r="L301" s="43" t="str">
        <f t="shared" ref="L301" si="348">CONCATENATE(HEX2BIN(G301,8),HEX2BIN(F301,8),HEX2BIN(E301,8),HEX2BIN(D301,8))</f>
        <v>10000010101000100110111100011011</v>
      </c>
      <c r="M301" s="1" t="str">
        <f t="shared" si="306"/>
        <v>00110011000000100111111011010111</v>
      </c>
      <c r="N301" s="14">
        <f t="shared" si="322"/>
        <v>62</v>
      </c>
      <c r="O301" s="14"/>
      <c r="P301" s="14"/>
      <c r="Q301" s="14"/>
      <c r="R301" s="14"/>
      <c r="S301" s="14"/>
      <c r="T301" s="14"/>
    </row>
    <row r="302" spans="1:20" ht="18.600000000000001" thickBot="1" x14ac:dyDescent="0.4">
      <c r="A302" s="91"/>
      <c r="B302" s="76"/>
      <c r="C302" s="5" t="s">
        <v>6</v>
      </c>
      <c r="D302" s="5">
        <v>60</v>
      </c>
      <c r="E302" s="5" t="s">
        <v>77</v>
      </c>
      <c r="F302" s="5" t="s">
        <v>111</v>
      </c>
      <c r="G302" s="5" t="s">
        <v>136</v>
      </c>
      <c r="H302" s="5" t="str">
        <f t="shared" si="299"/>
        <v>01100000111001101101101001001111</v>
      </c>
      <c r="I302" s="5">
        <f t="shared" si="300"/>
        <v>17</v>
      </c>
      <c r="J302" s="78"/>
      <c r="K302" s="80"/>
      <c r="L302" s="14" t="str">
        <f t="shared" si="307"/>
        <v>10110000011000000000111110111100</v>
      </c>
      <c r="M302" s="14" t="str">
        <f t="shared" ref="M302" si="349">CONCATENATE(MID(M301,6,8),MID(M301,30,3),MID(M301,1,5),MID(M301,22,8),MID(M301,14,8))</f>
        <v>01100000111001101101101001001111</v>
      </c>
      <c r="N302" s="14">
        <f t="shared" si="324"/>
        <v>176</v>
      </c>
      <c r="O302" s="14"/>
      <c r="P302" s="14"/>
      <c r="Q302" s="14"/>
      <c r="R302" s="14"/>
      <c r="S302" s="14"/>
      <c r="T302" s="14"/>
    </row>
    <row r="303" spans="1:20" x14ac:dyDescent="0.35">
      <c r="A303" s="91"/>
      <c r="B303" s="75">
        <f>B301+1</f>
        <v>151</v>
      </c>
      <c r="C303" s="4" t="s">
        <v>0</v>
      </c>
      <c r="D303" s="4" t="s">
        <v>32</v>
      </c>
      <c r="E303" s="4" t="s">
        <v>12</v>
      </c>
      <c r="F303" s="4" t="s">
        <v>94</v>
      </c>
      <c r="G303" s="4">
        <v>78</v>
      </c>
      <c r="H303" s="4" t="str">
        <f t="shared" si="299"/>
        <v>10100111101000111011111001111000</v>
      </c>
      <c r="I303" s="4">
        <f t="shared" si="300"/>
        <v>19</v>
      </c>
      <c r="J303" s="77" t="s">
        <v>74</v>
      </c>
      <c r="K303" s="79" t="str">
        <f>HEX2BIN(J303,8)</f>
        <v>00101111</v>
      </c>
      <c r="L303" s="43" t="str">
        <f t="shared" ref="L303" si="350">CONCATENATE(HEX2BIN(G303,8),HEX2BIN(F303,8),HEX2BIN(E303,8),HEX2BIN(D303,8))</f>
        <v>01111000101111101010001110100111</v>
      </c>
      <c r="M303" s="1" t="str">
        <f t="shared" si="306"/>
        <v>10101000000111010011000101100011</v>
      </c>
      <c r="N303" s="14">
        <f t="shared" si="322"/>
        <v>52</v>
      </c>
      <c r="O303" s="14"/>
      <c r="P303" s="14"/>
      <c r="Q303" s="14"/>
      <c r="R303" s="14"/>
      <c r="S303" s="14"/>
      <c r="T303" s="14"/>
    </row>
    <row r="304" spans="1:20" ht="18.600000000000001" thickBot="1" x14ac:dyDescent="0.4">
      <c r="A304" s="91"/>
      <c r="B304" s="76"/>
      <c r="C304" s="5" t="s">
        <v>6</v>
      </c>
      <c r="D304" s="5">
        <v>3</v>
      </c>
      <c r="E304" s="5">
        <v>75</v>
      </c>
      <c r="F304" s="5" t="s">
        <v>152</v>
      </c>
      <c r="G304" s="5" t="s">
        <v>162</v>
      </c>
      <c r="H304" s="5" t="str">
        <f t="shared" si="299"/>
        <v>00000011011101010010110010100110</v>
      </c>
      <c r="I304" s="5">
        <f t="shared" si="300"/>
        <v>14</v>
      </c>
      <c r="J304" s="78"/>
      <c r="K304" s="80"/>
      <c r="L304" s="14" t="str">
        <f t="shared" si="307"/>
        <v>00101111010111101000110110111100</v>
      </c>
      <c r="M304" s="14" t="str">
        <f t="shared" ref="M304" si="351">CONCATENATE(MID(M303,6,8),MID(M303,30,3),MID(M303,1,5),MID(M303,22,8),MID(M303,14,8))</f>
        <v>00000011011101010010110010100110</v>
      </c>
      <c r="N304" s="14">
        <f t="shared" si="324"/>
        <v>47</v>
      </c>
      <c r="O304" s="14"/>
      <c r="P304" s="14"/>
      <c r="Q304" s="14"/>
      <c r="R304" s="14"/>
      <c r="S304" s="14"/>
      <c r="T304" s="14"/>
    </row>
    <row r="305" spans="1:20" x14ac:dyDescent="0.35">
      <c r="A305" s="91"/>
      <c r="B305" s="75">
        <f>B303+1</f>
        <v>152</v>
      </c>
      <c r="C305" s="4" t="s">
        <v>0</v>
      </c>
      <c r="D305" s="4">
        <v>18</v>
      </c>
      <c r="E305" s="4" t="s">
        <v>159</v>
      </c>
      <c r="F305" s="4" t="s">
        <v>39</v>
      </c>
      <c r="G305" s="4">
        <v>24</v>
      </c>
      <c r="H305" s="4" t="str">
        <f t="shared" si="299"/>
        <v>00011000000110101000111000100100</v>
      </c>
      <c r="I305" s="4">
        <f t="shared" si="300"/>
        <v>11</v>
      </c>
      <c r="J305" s="77">
        <v>39</v>
      </c>
      <c r="K305" s="79" t="str">
        <f>HEX2BIN(J305,8)</f>
        <v>00111001</v>
      </c>
      <c r="L305" s="43" t="str">
        <f t="shared" ref="L305" si="352">CONCATENATE(HEX2BIN(G305,8),HEX2BIN(F305,8),HEX2BIN(E305,8),HEX2BIN(D305,8))</f>
        <v>00100100100011100001101000011000</v>
      </c>
      <c r="M305" s="1" t="str">
        <f t="shared" si="306"/>
        <v>01011110000000001100010111111100</v>
      </c>
      <c r="N305" s="14">
        <f t="shared" si="322"/>
        <v>8</v>
      </c>
      <c r="O305" s="14"/>
      <c r="P305" s="14"/>
      <c r="Q305" s="14"/>
      <c r="R305" s="14"/>
      <c r="S305" s="14"/>
      <c r="T305" s="14"/>
    </row>
    <row r="306" spans="1:20" ht="18.600000000000001" thickBot="1" x14ac:dyDescent="0.4">
      <c r="A306" s="91"/>
      <c r="B306" s="76"/>
      <c r="C306" s="5" t="s">
        <v>6</v>
      </c>
      <c r="D306" s="5" t="s">
        <v>67</v>
      </c>
      <c r="E306" s="5" t="s">
        <v>157</v>
      </c>
      <c r="F306" s="5" t="s">
        <v>125</v>
      </c>
      <c r="G306" s="5">
        <v>18</v>
      </c>
      <c r="H306" s="5" t="str">
        <f t="shared" si="299"/>
        <v>11000000100010111011111100011000</v>
      </c>
      <c r="I306" s="5">
        <f t="shared" si="300"/>
        <v>15</v>
      </c>
      <c r="J306" s="78"/>
      <c r="K306" s="80"/>
      <c r="L306" s="14" t="str">
        <f t="shared" si="307"/>
        <v>00111001011100101010101111100100</v>
      </c>
      <c r="M306" s="14" t="str">
        <f t="shared" ref="M306" si="353">CONCATENATE(MID(M305,6,8),MID(M305,30,3),MID(M305,1,5),MID(M305,22,8),MID(M305,14,8))</f>
        <v>11000000100010111011111100011000</v>
      </c>
      <c r="N306" s="14">
        <f t="shared" si="324"/>
        <v>57</v>
      </c>
      <c r="O306" s="14"/>
      <c r="P306" s="14"/>
      <c r="Q306" s="14"/>
      <c r="R306" s="14"/>
      <c r="S306" s="14"/>
      <c r="T306" s="14"/>
    </row>
    <row r="307" spans="1:20" x14ac:dyDescent="0.35">
      <c r="A307" s="91">
        <f>A291+1</f>
        <v>20</v>
      </c>
      <c r="B307" s="75">
        <f>B305+1</f>
        <v>153</v>
      </c>
      <c r="C307" s="4" t="s">
        <v>0</v>
      </c>
      <c r="D307" s="4" t="s">
        <v>40</v>
      </c>
      <c r="E307" s="4">
        <v>54</v>
      </c>
      <c r="F307" s="4">
        <v>55</v>
      </c>
      <c r="G307" s="4">
        <v>17</v>
      </c>
      <c r="H307" s="4" t="str">
        <f t="shared" si="299"/>
        <v>10011011010101000101010100010111</v>
      </c>
      <c r="I307" s="4">
        <f t="shared" si="300"/>
        <v>16</v>
      </c>
      <c r="J307" s="77" t="s">
        <v>116</v>
      </c>
      <c r="K307" s="79" t="str">
        <f>HEX2BIN(J307,8)</f>
        <v>10101110</v>
      </c>
      <c r="L307" s="43" t="str">
        <f t="shared" ref="L307" si="354">CONCATENATE(HEX2BIN(G307,8),HEX2BIN(F307,8),HEX2BIN(E307,8),HEX2BIN(D307,8))</f>
        <v>00010111010101010101010010011011</v>
      </c>
      <c r="M307" s="1" t="str">
        <f t="shared" si="306"/>
        <v>11000110101100110110000101010011</v>
      </c>
      <c r="N307" s="14">
        <f t="shared" si="322"/>
        <v>207</v>
      </c>
      <c r="O307" s="14"/>
      <c r="P307" s="14"/>
      <c r="Q307" s="14"/>
      <c r="R307" s="14"/>
      <c r="S307" s="14"/>
      <c r="T307" s="14"/>
    </row>
    <row r="308" spans="1:20" ht="18.600000000000001" thickBot="1" x14ac:dyDescent="0.4">
      <c r="A308" s="91"/>
      <c r="B308" s="76"/>
      <c r="C308" s="5" t="s">
        <v>6</v>
      </c>
      <c r="D308" s="5" t="s">
        <v>35</v>
      </c>
      <c r="E308" s="5">
        <v>78</v>
      </c>
      <c r="F308" s="5" t="s">
        <v>98</v>
      </c>
      <c r="G308" s="5" t="s">
        <v>17</v>
      </c>
      <c r="H308" s="5" t="str">
        <f t="shared" si="299"/>
        <v>11010110011110000010101001101100</v>
      </c>
      <c r="I308" s="5">
        <f t="shared" si="300"/>
        <v>16</v>
      </c>
      <c r="J308" s="78"/>
      <c r="K308" s="80"/>
      <c r="L308" s="14" t="str">
        <f t="shared" si="307"/>
        <v>10101111010111100000110010111000</v>
      </c>
      <c r="M308" s="14" t="str">
        <f t="shared" ref="M308" si="355">CONCATENATE(MID(M307,6,8),MID(M307,30,3),MID(M307,1,5),MID(M307,22,8),MID(M307,14,8))</f>
        <v>11010110011110000010101001101100</v>
      </c>
      <c r="N308" s="14">
        <f t="shared" si="324"/>
        <v>175</v>
      </c>
      <c r="O308" s="14"/>
      <c r="P308" s="14"/>
      <c r="Q308" s="14"/>
      <c r="R308" s="14"/>
      <c r="S308" s="14"/>
      <c r="T308" s="14"/>
    </row>
    <row r="309" spans="1:20" x14ac:dyDescent="0.35">
      <c r="A309" s="91"/>
      <c r="B309" s="75">
        <f>B307+1</f>
        <v>154</v>
      </c>
      <c r="C309" s="4" t="s">
        <v>0</v>
      </c>
      <c r="D309" s="4">
        <v>97</v>
      </c>
      <c r="E309" s="4" t="s">
        <v>103</v>
      </c>
      <c r="F309" s="4" t="s">
        <v>66</v>
      </c>
      <c r="G309" s="4" t="s">
        <v>117</v>
      </c>
      <c r="H309" s="4" t="str">
        <f t="shared" si="299"/>
        <v>10010111101011111111100011000001</v>
      </c>
      <c r="I309" s="4">
        <f t="shared" si="300"/>
        <v>19</v>
      </c>
      <c r="J309" s="77" t="s">
        <v>126</v>
      </c>
      <c r="K309" s="79" t="str">
        <f>HEX2BIN(J309,8)</f>
        <v>11000110</v>
      </c>
      <c r="L309" s="43" t="str">
        <f t="shared" ref="L309" si="356">CONCATENATE(HEX2BIN(G309,8),HEX2BIN(F309,8),HEX2BIN(E309,8),HEX2BIN(D309,8))</f>
        <v>11000001111110001010111110010111</v>
      </c>
      <c r="M309" s="1" t="str">
        <f t="shared" si="306"/>
        <v>10001001100001110000010010101111</v>
      </c>
      <c r="N309" s="14">
        <f t="shared" si="322"/>
        <v>217</v>
      </c>
      <c r="O309" s="14"/>
      <c r="P309" s="14"/>
      <c r="Q309" s="14"/>
      <c r="R309" s="14"/>
      <c r="S309" s="14"/>
      <c r="T309" s="14"/>
    </row>
    <row r="310" spans="1:20" ht="18.600000000000001" thickBot="1" x14ac:dyDescent="0.4">
      <c r="A310" s="91"/>
      <c r="B310" s="76"/>
      <c r="C310" s="5" t="s">
        <v>6</v>
      </c>
      <c r="D310" s="5">
        <v>30</v>
      </c>
      <c r="E310" s="5" t="s">
        <v>148</v>
      </c>
      <c r="F310" s="5">
        <v>95</v>
      </c>
      <c r="G310" s="5" t="s">
        <v>144</v>
      </c>
      <c r="H310" s="5" t="str">
        <f t="shared" si="299"/>
        <v>00110000111100011001010111100000</v>
      </c>
      <c r="I310" s="5">
        <f t="shared" si="300"/>
        <v>14</v>
      </c>
      <c r="J310" s="78"/>
      <c r="K310" s="80"/>
      <c r="L310" s="14" t="str">
        <f t="shared" si="307"/>
        <v>11000111100011100101010100011000</v>
      </c>
      <c r="M310" s="14" t="str">
        <f t="shared" ref="M310" si="357">CONCATENATE(MID(M309,6,8),MID(M309,30,3),MID(M309,1,5),MID(M309,22,8),MID(M309,14,8))</f>
        <v>00110000111100011001010111100000</v>
      </c>
      <c r="N310" s="14">
        <f t="shared" si="324"/>
        <v>199</v>
      </c>
      <c r="O310" s="14"/>
      <c r="P310" s="14"/>
      <c r="Q310" s="14"/>
      <c r="R310" s="14"/>
      <c r="S310" s="14"/>
      <c r="T310" s="14"/>
    </row>
    <row r="311" spans="1:20" x14ac:dyDescent="0.35">
      <c r="A311" s="91"/>
      <c r="B311" s="75">
        <f>B309+1</f>
        <v>155</v>
      </c>
      <c r="C311" s="4" t="s">
        <v>0</v>
      </c>
      <c r="D311" s="4" t="s">
        <v>141</v>
      </c>
      <c r="E311" s="4" t="s">
        <v>154</v>
      </c>
      <c r="F311" s="4" t="s">
        <v>67</v>
      </c>
      <c r="G311" s="4" t="s">
        <v>145</v>
      </c>
      <c r="H311" s="4" t="str">
        <f t="shared" si="299"/>
        <v>10101011101001011100000011110111</v>
      </c>
      <c r="I311" s="4">
        <f t="shared" si="300"/>
        <v>18</v>
      </c>
      <c r="J311" s="77" t="s">
        <v>113</v>
      </c>
      <c r="K311" s="79" t="str">
        <f>HEX2BIN(J311,8)</f>
        <v>00011011</v>
      </c>
      <c r="L311" s="43" t="str">
        <f t="shared" ref="L311" si="358">CONCATENATE(HEX2BIN(G311,8),HEX2BIN(F311,8),HEX2BIN(E311,8),HEX2BIN(D311,8))</f>
        <v>11110111110000001010010110101011</v>
      </c>
      <c r="M311" s="1" t="str">
        <f t="shared" si="306"/>
        <v>00010010111101101111011100010111</v>
      </c>
      <c r="N311" s="14">
        <f t="shared" si="322"/>
        <v>99</v>
      </c>
      <c r="O311" s="14"/>
      <c r="P311" s="14"/>
      <c r="Q311" s="14"/>
      <c r="R311" s="14"/>
      <c r="S311" s="14"/>
      <c r="T311" s="14"/>
    </row>
    <row r="312" spans="1:20" ht="18.600000000000001" thickBot="1" x14ac:dyDescent="0.4">
      <c r="A312" s="91"/>
      <c r="B312" s="76"/>
      <c r="C312" s="5" t="s">
        <v>6</v>
      </c>
      <c r="D312" s="5" t="s">
        <v>52</v>
      </c>
      <c r="E312" s="5" t="s">
        <v>50</v>
      </c>
      <c r="F312" s="5" t="s">
        <v>50</v>
      </c>
      <c r="G312" s="5" t="s">
        <v>106</v>
      </c>
      <c r="H312" s="5" t="str">
        <f t="shared" si="299"/>
        <v>01011110111000101110001011011110</v>
      </c>
      <c r="I312" s="5">
        <f t="shared" si="300"/>
        <v>19</v>
      </c>
      <c r="J312" s="78"/>
      <c r="K312" s="80"/>
      <c r="L312" s="14" t="str">
        <f t="shared" si="307"/>
        <v>00011011001101100101000101101100</v>
      </c>
      <c r="M312" s="14" t="str">
        <f t="shared" ref="M312" si="359">CONCATENATE(MID(M311,6,8),MID(M311,30,3),MID(M311,1,5),MID(M311,22,8),MID(M311,14,8))</f>
        <v>01011110111000101110001011011110</v>
      </c>
      <c r="N312" s="14">
        <f t="shared" si="324"/>
        <v>27</v>
      </c>
      <c r="O312" s="14"/>
      <c r="P312" s="14"/>
      <c r="Q312" s="14"/>
      <c r="R312" s="14"/>
      <c r="S312" s="14"/>
      <c r="T312" s="14"/>
    </row>
    <row r="313" spans="1:20" x14ac:dyDescent="0.35">
      <c r="A313" s="91"/>
      <c r="B313" s="75">
        <f>B311+1</f>
        <v>156</v>
      </c>
      <c r="C313" s="4" t="s">
        <v>0</v>
      </c>
      <c r="D313" s="4" t="s">
        <v>151</v>
      </c>
      <c r="E313" s="4" t="s">
        <v>26</v>
      </c>
      <c r="F313" s="4" t="s">
        <v>159</v>
      </c>
      <c r="G313" s="4" t="s">
        <v>131</v>
      </c>
      <c r="H313" s="4" t="str">
        <f t="shared" si="299"/>
        <v>11001001010011010001101000011111</v>
      </c>
      <c r="I313" s="4">
        <f t="shared" si="300"/>
        <v>16</v>
      </c>
      <c r="J313" s="77" t="s">
        <v>62</v>
      </c>
      <c r="K313" s="79" t="str">
        <f>HEX2BIN(J313,8)</f>
        <v>11110011</v>
      </c>
      <c r="L313" s="43" t="str">
        <f t="shared" ref="L313" si="360">CONCATENATE(HEX2BIN(G313,8),HEX2BIN(F313,8),HEX2BIN(E313,8),HEX2BIN(D313,8))</f>
        <v>00011111000110100100110111001001</v>
      </c>
      <c r="M313" s="1" t="str">
        <f t="shared" si="306"/>
        <v>00010100000000110010101010010101</v>
      </c>
      <c r="N313" s="14">
        <f t="shared" si="322"/>
        <v>235</v>
      </c>
      <c r="O313" s="14"/>
      <c r="P313" s="14"/>
      <c r="Q313" s="14"/>
      <c r="R313" s="14"/>
      <c r="S313" s="14"/>
      <c r="T313" s="14"/>
    </row>
    <row r="314" spans="1:20" ht="18.600000000000001" thickBot="1" x14ac:dyDescent="0.4">
      <c r="A314" s="91"/>
      <c r="B314" s="76"/>
      <c r="C314" s="5" t="s">
        <v>6</v>
      </c>
      <c r="D314" s="5">
        <v>80</v>
      </c>
      <c r="E314" s="5" t="s">
        <v>99</v>
      </c>
      <c r="F314" s="5">
        <v>52</v>
      </c>
      <c r="G314" s="5">
        <v>65</v>
      </c>
      <c r="H314" s="5" t="str">
        <f t="shared" si="299"/>
        <v>10000000101000100101001001100101</v>
      </c>
      <c r="I314" s="5">
        <f t="shared" si="300"/>
        <v>11</v>
      </c>
      <c r="J314" s="78"/>
      <c r="K314" s="80"/>
      <c r="L314" s="14" t="str">
        <f t="shared" si="307"/>
        <v>11110100111010001101110011001100</v>
      </c>
      <c r="M314" s="14" t="str">
        <f t="shared" ref="M314" si="361">CONCATENATE(MID(M313,6,8),MID(M313,30,3),MID(M313,1,5),MID(M313,22,8),MID(M313,14,8))</f>
        <v>10000000101000100101001001100101</v>
      </c>
      <c r="N314" s="14">
        <f t="shared" si="324"/>
        <v>244</v>
      </c>
      <c r="O314" s="14"/>
      <c r="P314" s="14"/>
      <c r="Q314" s="14"/>
      <c r="R314" s="14"/>
      <c r="S314" s="14"/>
      <c r="T314" s="14"/>
    </row>
    <row r="315" spans="1:20" x14ac:dyDescent="0.35">
      <c r="A315" s="91"/>
      <c r="B315" s="75">
        <f>B313+1</f>
        <v>157</v>
      </c>
      <c r="C315" s="4" t="s">
        <v>0</v>
      </c>
      <c r="D315" s="4" t="s">
        <v>18</v>
      </c>
      <c r="E315" s="4">
        <v>7</v>
      </c>
      <c r="F315" s="4">
        <v>92</v>
      </c>
      <c r="G315" s="4">
        <v>92</v>
      </c>
      <c r="H315" s="4" t="str">
        <f t="shared" si="299"/>
        <v>00101011000001111001001010010010</v>
      </c>
      <c r="I315" s="4">
        <f t="shared" si="300"/>
        <v>13</v>
      </c>
      <c r="J315" s="77" t="s">
        <v>34</v>
      </c>
      <c r="K315" s="79" t="str">
        <f>HEX2BIN(J315,8)</f>
        <v>11101010</v>
      </c>
      <c r="L315" s="43" t="str">
        <f t="shared" ref="L315" si="362">CONCATENATE(HEX2BIN(G315,8),HEX2BIN(F315,8),HEX2BIN(E315,8),HEX2BIN(D315,8))</f>
        <v>10010010100100100000011100101011</v>
      </c>
      <c r="M315" s="1" t="str">
        <f t="shared" si="306"/>
        <v>01111110011010001100100011010011</v>
      </c>
      <c r="N315" s="14">
        <f t="shared" si="322"/>
        <v>58</v>
      </c>
      <c r="O315" s="14"/>
      <c r="P315" s="14"/>
      <c r="Q315" s="14"/>
      <c r="R315" s="14"/>
      <c r="S315" s="14"/>
      <c r="T315" s="14"/>
    </row>
    <row r="316" spans="1:20" ht="18.600000000000001" thickBot="1" x14ac:dyDescent="0.4">
      <c r="A316" s="91"/>
      <c r="B316" s="76"/>
      <c r="C316" s="5" t="s">
        <v>6</v>
      </c>
      <c r="D316" s="5" t="s">
        <v>82</v>
      </c>
      <c r="E316" s="5" t="s">
        <v>85</v>
      </c>
      <c r="F316" s="5" t="s">
        <v>159</v>
      </c>
      <c r="G316" s="5">
        <v>19</v>
      </c>
      <c r="H316" s="5" t="str">
        <f t="shared" si="299"/>
        <v>11001101011011110001101000011001</v>
      </c>
      <c r="I316" s="5">
        <f t="shared" si="300"/>
        <v>17</v>
      </c>
      <c r="J316" s="78"/>
      <c r="K316" s="80"/>
      <c r="L316" s="14" t="str">
        <f t="shared" si="307"/>
        <v>11101011110101101100000110101000</v>
      </c>
      <c r="M316" s="14" t="str">
        <f t="shared" ref="M316" si="363">CONCATENATE(MID(M315,6,8),MID(M315,30,3),MID(M315,1,5),MID(M315,22,8),MID(M315,14,8))</f>
        <v>11001101011011110001101000011001</v>
      </c>
      <c r="N316" s="14">
        <f t="shared" si="324"/>
        <v>235</v>
      </c>
      <c r="O316" s="14"/>
      <c r="P316" s="14"/>
      <c r="Q316" s="14"/>
      <c r="R316" s="14"/>
      <c r="S316" s="14"/>
      <c r="T316" s="14"/>
    </row>
    <row r="317" spans="1:20" x14ac:dyDescent="0.35">
      <c r="A317" s="91"/>
      <c r="B317" s="75">
        <f>B315+1</f>
        <v>158</v>
      </c>
      <c r="C317" s="4" t="s">
        <v>0</v>
      </c>
      <c r="D317" s="4">
        <v>4</v>
      </c>
      <c r="E317" s="4">
        <v>22</v>
      </c>
      <c r="F317" s="4">
        <v>0</v>
      </c>
      <c r="G317" s="4">
        <v>6</v>
      </c>
      <c r="H317" s="4" t="str">
        <f t="shared" si="299"/>
        <v>00000100001000100000000000000110</v>
      </c>
      <c r="I317" s="4">
        <f t="shared" si="300"/>
        <v>5</v>
      </c>
      <c r="J317" s="77" t="s">
        <v>106</v>
      </c>
      <c r="K317" s="79" t="str">
        <f>HEX2BIN(J317,8)</f>
        <v>11011110</v>
      </c>
      <c r="L317" s="43" t="str">
        <f t="shared" ref="L317" si="364">CONCATENATE(HEX2BIN(G317,8),HEX2BIN(F317,8),HEX2BIN(E317,8),HEX2BIN(D317,8))</f>
        <v>00000110000000000010001000000100</v>
      </c>
      <c r="M317" s="1" t="str">
        <f t="shared" si="306"/>
        <v>11100101101111101011111101111100</v>
      </c>
      <c r="N317" s="14">
        <f t="shared" si="322"/>
        <v>126</v>
      </c>
      <c r="O317" s="14"/>
      <c r="P317" s="14"/>
      <c r="Q317" s="14"/>
      <c r="R317" s="14"/>
      <c r="S317" s="14"/>
      <c r="T317" s="14"/>
    </row>
    <row r="318" spans="1:20" ht="18.600000000000001" thickBot="1" x14ac:dyDescent="0.4">
      <c r="A318" s="91"/>
      <c r="B318" s="76"/>
      <c r="C318" s="5" t="s">
        <v>6</v>
      </c>
      <c r="D318" s="5" t="s">
        <v>143</v>
      </c>
      <c r="E318" s="5" t="s">
        <v>10</v>
      </c>
      <c r="F318" s="5" t="s">
        <v>56</v>
      </c>
      <c r="G318" s="5" t="s">
        <v>53</v>
      </c>
      <c r="H318" s="5" t="str">
        <f t="shared" si="299"/>
        <v>10110111100111001110111111010111</v>
      </c>
      <c r="I318" s="5">
        <f t="shared" si="300"/>
        <v>23</v>
      </c>
      <c r="J318" s="78"/>
      <c r="K318" s="80"/>
      <c r="L318" s="14" t="str">
        <f t="shared" si="307"/>
        <v>11011111101111101001110101111000</v>
      </c>
      <c r="M318" s="14" t="str">
        <f t="shared" ref="M318" si="365">CONCATENATE(MID(M317,6,8),MID(M317,30,3),MID(M317,1,5),MID(M317,22,8),MID(M317,14,8))</f>
        <v>10110111100111001110111111010111</v>
      </c>
      <c r="N318" s="14">
        <f t="shared" si="324"/>
        <v>223</v>
      </c>
      <c r="O318" s="14"/>
      <c r="P318" s="14"/>
      <c r="Q318" s="14"/>
      <c r="R318" s="14"/>
      <c r="S318" s="14"/>
      <c r="T318" s="14"/>
    </row>
    <row r="319" spans="1:20" x14ac:dyDescent="0.35">
      <c r="A319" s="91"/>
      <c r="B319" s="75">
        <f>B317+1</f>
        <v>159</v>
      </c>
      <c r="C319" s="4" t="s">
        <v>0</v>
      </c>
      <c r="D319" s="4" t="s">
        <v>10</v>
      </c>
      <c r="E319" s="4" t="s">
        <v>40</v>
      </c>
      <c r="F319" s="4" t="s">
        <v>28</v>
      </c>
      <c r="G319" s="4">
        <v>45</v>
      </c>
      <c r="H319" s="4" t="str">
        <f t="shared" si="299"/>
        <v>10011100100110110111110101000101</v>
      </c>
      <c r="I319" s="4">
        <f t="shared" si="300"/>
        <v>18</v>
      </c>
      <c r="J319" s="77" t="s">
        <v>44</v>
      </c>
      <c r="K319" s="79" t="str">
        <f>HEX2BIN(J319,8)</f>
        <v>10101000</v>
      </c>
      <c r="L319" s="43" t="str">
        <f t="shared" ref="L319" si="366">CONCATENATE(HEX2BIN(G319,8),HEX2BIN(F319,8),HEX2BIN(E319,8),HEX2BIN(D319,8))</f>
        <v>01000101011111011001101110011100</v>
      </c>
      <c r="M319" s="1" t="str">
        <f t="shared" si="306"/>
        <v>11101110110011111001011000111100</v>
      </c>
      <c r="N319" s="14">
        <f t="shared" si="322"/>
        <v>229</v>
      </c>
      <c r="O319" s="14"/>
      <c r="P319" s="14"/>
      <c r="Q319" s="14"/>
      <c r="R319" s="14"/>
      <c r="S319" s="14"/>
      <c r="T319" s="14"/>
    </row>
    <row r="320" spans="1:20" ht="18.600000000000001" thickBot="1" x14ac:dyDescent="0.4">
      <c r="A320" s="91"/>
      <c r="B320" s="76"/>
      <c r="C320" s="5" t="s">
        <v>6</v>
      </c>
      <c r="D320" s="5" t="s">
        <v>163</v>
      </c>
      <c r="E320" s="5" t="s">
        <v>147</v>
      </c>
      <c r="F320" s="5" t="s">
        <v>133</v>
      </c>
      <c r="G320" s="5" t="s">
        <v>96</v>
      </c>
      <c r="H320" s="5" t="str">
        <f t="shared" si="299"/>
        <v>11011001100111011100011111110010</v>
      </c>
      <c r="I320" s="5">
        <f t="shared" si="300"/>
        <v>20</v>
      </c>
      <c r="J320" s="78"/>
      <c r="K320" s="80"/>
      <c r="L320" s="14" t="str">
        <f t="shared" si="307"/>
        <v>10101001010100011111101010100000</v>
      </c>
      <c r="M320" s="14" t="str">
        <f t="shared" ref="M320" si="367">CONCATENATE(MID(M319,6,8),MID(M319,30,3),MID(M319,1,5),MID(M319,22,8),MID(M319,14,8))</f>
        <v>11011001100111011100011111110010</v>
      </c>
      <c r="N320" s="14">
        <f t="shared" si="324"/>
        <v>169</v>
      </c>
      <c r="O320" s="14"/>
      <c r="P320" s="14"/>
      <c r="Q320" s="14"/>
      <c r="R320" s="14"/>
      <c r="S320" s="14"/>
      <c r="T320" s="14"/>
    </row>
    <row r="321" spans="1:20" x14ac:dyDescent="0.35">
      <c r="A321" s="91"/>
      <c r="B321" s="75">
        <f>B319+1</f>
        <v>160</v>
      </c>
      <c r="C321" s="4" t="s">
        <v>0</v>
      </c>
      <c r="D321" s="4" t="s">
        <v>14</v>
      </c>
      <c r="E321" s="4" t="s">
        <v>125</v>
      </c>
      <c r="F321" s="4" t="s">
        <v>133</v>
      </c>
      <c r="G321" s="4" t="s">
        <v>81</v>
      </c>
      <c r="H321" s="4" t="str">
        <f t="shared" si="299"/>
        <v>11011101101111111100011111110100</v>
      </c>
      <c r="I321" s="4">
        <f t="shared" si="300"/>
        <v>23</v>
      </c>
      <c r="J321" s="77">
        <v>79</v>
      </c>
      <c r="K321" s="79" t="str">
        <f>HEX2BIN(J321,8)</f>
        <v>01111001</v>
      </c>
      <c r="L321" s="43" t="str">
        <f t="shared" ref="L321" si="368">CONCATENATE(HEX2BIN(G321,8),HEX2BIN(F321,8),HEX2BIN(E321,8),HEX2BIN(D321,8))</f>
        <v>11110100110001111011111111011101</v>
      </c>
      <c r="M321" s="1" t="str">
        <f t="shared" si="306"/>
        <v>01101110101110110010110011000001</v>
      </c>
      <c r="N321" s="14">
        <f t="shared" si="322"/>
        <v>216</v>
      </c>
      <c r="O321" s="14"/>
      <c r="P321" s="14"/>
      <c r="Q321" s="14"/>
      <c r="R321" s="14"/>
      <c r="S321" s="14"/>
      <c r="T321" s="14"/>
    </row>
    <row r="322" spans="1:20" ht="18.600000000000001" thickBot="1" x14ac:dyDescent="0.4">
      <c r="A322" s="91"/>
      <c r="B322" s="76"/>
      <c r="C322" s="5" t="s">
        <v>6</v>
      </c>
      <c r="D322" s="5" t="s">
        <v>53</v>
      </c>
      <c r="E322" s="5" t="s">
        <v>61</v>
      </c>
      <c r="F322" s="5">
        <v>98</v>
      </c>
      <c r="G322" s="5">
        <v>65</v>
      </c>
      <c r="H322" s="5" t="str">
        <f t="shared" si="299"/>
        <v>11010111001011011001100001100101</v>
      </c>
      <c r="I322" s="5">
        <f t="shared" si="300"/>
        <v>17</v>
      </c>
      <c r="J322" s="78"/>
      <c r="K322" s="80"/>
      <c r="L322" s="14" t="str">
        <f t="shared" si="307"/>
        <v>01111001111100110110110011100100</v>
      </c>
      <c r="M322" s="14" t="str">
        <f t="shared" ref="M322" si="369">CONCATENATE(MID(M321,6,8),MID(M321,30,3),MID(M321,1,5),MID(M321,22,8),MID(M321,14,8))</f>
        <v>11010111001011011001100001100101</v>
      </c>
      <c r="N322" s="14">
        <f t="shared" si="324"/>
        <v>121</v>
      </c>
      <c r="O322" s="14"/>
      <c r="P322" s="14"/>
      <c r="Q322" s="14"/>
      <c r="R322" s="14"/>
      <c r="S322" s="14"/>
      <c r="T322" s="14"/>
    </row>
    <row r="323" spans="1:20" x14ac:dyDescent="0.35">
      <c r="A323" s="91">
        <f>A307+1</f>
        <v>21</v>
      </c>
      <c r="B323" s="75">
        <f>B321+1</f>
        <v>161</v>
      </c>
      <c r="C323" s="4" t="s">
        <v>0</v>
      </c>
      <c r="D323" s="4">
        <v>30</v>
      </c>
      <c r="E323" s="4" t="s">
        <v>47</v>
      </c>
      <c r="F323" s="4" t="s">
        <v>159</v>
      </c>
      <c r="G323" s="4" t="s">
        <v>35</v>
      </c>
      <c r="H323" s="4" t="str">
        <f t="shared" ref="H323:H386" si="370">CONCATENATE(HEX2BIN(D323,8),HEX2BIN(E323,8),HEX2BIN(F323,8),HEX2BIN(G323,8))</f>
        <v>00110000111111110001101011010110</v>
      </c>
      <c r="I323" s="4">
        <f t="shared" ref="I323:I386" si="371">MID(H323,1,1)+MID(H323,2,1)+MID(H323,3,1)+MID(H323,4,1)+MID(H323,5,1)+MID(H323,6,1)+MID(H323,7,1)+MID(H323,8,1)+MID(H323,9,1)+MID(H323,10,1)+MID(H323,11,1)+MID(H323,12,1)+MID(H323,13,1)+MID(H323,14,1)+MID(H323,15,1)+MID(H323,16,1)+MID(H323,17,1)+MID(H323,18,1)+MID(H323,19,1)+MID(H323,20,1)+MID(H323,21,1)+MID(H323,22,1)+MID(H323,23,1)+MID(H323,24,1)+MID(H323,25,1)+MID(H323,26,1)+MID(H323,27,1)+MID(H323,28,1)+MID(H323,29,1)+MID(H323,30,1)+MID(H323,31,1)+MID(H323,32,1)</f>
        <v>18</v>
      </c>
      <c r="J323" s="77" t="s">
        <v>65</v>
      </c>
      <c r="K323" s="79" t="str">
        <f>HEX2BIN(J323,8)</f>
        <v>10011111</v>
      </c>
      <c r="L323" s="43" t="str">
        <f t="shared" ref="L323" si="372">CONCATENATE(HEX2BIN(G323,8),HEX2BIN(F323,8),HEX2BIN(E323,8),HEX2BIN(D323,8))</f>
        <v>11010110000110101111111100110000</v>
      </c>
      <c r="M323" s="1" t="str">
        <f t="shared" si="306"/>
        <v>01110110010110101101111010101100</v>
      </c>
      <c r="N323" s="14">
        <f t="shared" si="322"/>
        <v>82</v>
      </c>
      <c r="O323" s="14"/>
      <c r="P323" s="14"/>
      <c r="Q323" s="14"/>
      <c r="R323" s="14"/>
      <c r="S323" s="14"/>
      <c r="T323" s="14"/>
    </row>
    <row r="324" spans="1:20" ht="18.600000000000001" thickBot="1" x14ac:dyDescent="0.4">
      <c r="A324" s="91"/>
      <c r="B324" s="76"/>
      <c r="C324" s="5" t="s">
        <v>6</v>
      </c>
      <c r="D324" s="5" t="s">
        <v>119</v>
      </c>
      <c r="E324" s="5" t="s">
        <v>39</v>
      </c>
      <c r="F324" s="5" t="s">
        <v>22</v>
      </c>
      <c r="G324" s="5" t="s">
        <v>139</v>
      </c>
      <c r="H324" s="5" t="str">
        <f t="shared" si="370"/>
        <v>11001011100011101101010101011011</v>
      </c>
      <c r="I324" s="5">
        <f t="shared" si="371"/>
        <v>19</v>
      </c>
      <c r="J324" s="78"/>
      <c r="K324" s="80"/>
      <c r="L324" s="14" t="str">
        <f t="shared" si="307"/>
        <v>10100000001111111101111101111100</v>
      </c>
      <c r="M324" s="14" t="str">
        <f t="shared" ref="M324" si="373">CONCATENATE(MID(M323,6,8),MID(M323,30,3),MID(M323,1,5),MID(M323,22,8),MID(M323,14,8))</f>
        <v>11001011100011101101010101011011</v>
      </c>
      <c r="N324" s="14">
        <f t="shared" si="324"/>
        <v>160</v>
      </c>
      <c r="O324" s="14"/>
      <c r="P324" s="14"/>
      <c r="Q324" s="14"/>
      <c r="R324" s="14"/>
      <c r="S324" s="14"/>
      <c r="T324" s="14"/>
    </row>
    <row r="325" spans="1:20" x14ac:dyDescent="0.35">
      <c r="A325" s="91"/>
      <c r="B325" s="75">
        <f>B323+1</f>
        <v>162</v>
      </c>
      <c r="C325" s="4" t="s">
        <v>0</v>
      </c>
      <c r="D325" s="4" t="s">
        <v>45</v>
      </c>
      <c r="E325" s="4" t="s">
        <v>13</v>
      </c>
      <c r="F325" s="4" t="s">
        <v>83</v>
      </c>
      <c r="G325" s="4" t="s">
        <v>25</v>
      </c>
      <c r="H325" s="4" t="str">
        <f t="shared" si="370"/>
        <v>01111100100111101110011110111101</v>
      </c>
      <c r="I325" s="4">
        <f t="shared" si="371"/>
        <v>22</v>
      </c>
      <c r="J325" s="77" t="s">
        <v>142</v>
      </c>
      <c r="K325" s="79" t="str">
        <f>HEX2BIN(J325,8)</f>
        <v>00111110</v>
      </c>
      <c r="L325" s="43" t="str">
        <f t="shared" ref="L325" si="374">CONCATENATE(HEX2BIN(G325,8),HEX2BIN(F325,8),HEX2BIN(E325,8),HEX2BIN(D325,8))</f>
        <v>10111101111001111001111001111100</v>
      </c>
      <c r="M325" s="1" t="str">
        <f t="shared" si="306"/>
        <v>11111100011001000101100101110100</v>
      </c>
      <c r="N325" s="14">
        <f t="shared" si="322"/>
        <v>181</v>
      </c>
      <c r="O325" s="14"/>
      <c r="P325" s="14"/>
      <c r="Q325" s="14"/>
      <c r="R325" s="14"/>
      <c r="S325" s="14"/>
      <c r="T325" s="14"/>
    </row>
    <row r="326" spans="1:20" ht="18.600000000000001" thickBot="1" x14ac:dyDescent="0.4">
      <c r="A326" s="91"/>
      <c r="B326" s="76"/>
      <c r="C326" s="5" t="s">
        <v>6</v>
      </c>
      <c r="D326" s="5" t="s">
        <v>132</v>
      </c>
      <c r="E326" s="5" t="s">
        <v>65</v>
      </c>
      <c r="F326" s="5" t="s">
        <v>104</v>
      </c>
      <c r="G326" s="5" t="s">
        <v>157</v>
      </c>
      <c r="H326" s="5" t="str">
        <f t="shared" si="370"/>
        <v>10001100100111110010111010001011</v>
      </c>
      <c r="I326" s="5">
        <f t="shared" si="371"/>
        <v>17</v>
      </c>
      <c r="J326" s="78"/>
      <c r="K326" s="80"/>
      <c r="L326" s="14" t="str">
        <f t="shared" si="307"/>
        <v>00111110011111001011101011111000</v>
      </c>
      <c r="M326" s="14" t="str">
        <f t="shared" ref="M326" si="375">CONCATENATE(MID(M325,6,8),MID(M325,30,3),MID(M325,1,5),MID(M325,22,8),MID(M325,14,8))</f>
        <v>10001100100111110010111010001011</v>
      </c>
      <c r="N326" s="14">
        <f t="shared" si="324"/>
        <v>62</v>
      </c>
      <c r="O326" s="14"/>
      <c r="P326" s="14"/>
      <c r="Q326" s="14"/>
      <c r="R326" s="14"/>
      <c r="S326" s="14"/>
      <c r="T326" s="14"/>
    </row>
    <row r="327" spans="1:20" x14ac:dyDescent="0.35">
      <c r="A327" s="91"/>
      <c r="B327" s="75">
        <f>B325+1</f>
        <v>163</v>
      </c>
      <c r="C327" s="4" t="s">
        <v>0</v>
      </c>
      <c r="D327" s="4" t="s">
        <v>102</v>
      </c>
      <c r="E327" s="4">
        <v>60</v>
      </c>
      <c r="F327" s="4">
        <v>34</v>
      </c>
      <c r="G327" s="4" t="s">
        <v>70</v>
      </c>
      <c r="H327" s="4" t="str">
        <f t="shared" si="370"/>
        <v>10111100011000000011010001011101</v>
      </c>
      <c r="I327" s="4">
        <f t="shared" si="371"/>
        <v>15</v>
      </c>
      <c r="J327" s="77" t="s">
        <v>71</v>
      </c>
      <c r="K327" s="79" t="str">
        <f>HEX2BIN(J327,8)</f>
        <v>10100001</v>
      </c>
      <c r="L327" s="43" t="str">
        <f t="shared" ref="L327" si="376">CONCATENATE(HEX2BIN(G327,8),HEX2BIN(F327,8),HEX2BIN(E327,8),HEX2BIN(D327,8))</f>
        <v>01011101001101000110000010111100</v>
      </c>
      <c r="M327" s="1" t="str">
        <f t="shared" ref="M327:M385" si="377">CONCATENATE(DEC2BIN(MOD(BIN2DEC(MID(L327,1,8))+BIN2DEC(MID(L328,1,8))+INT((BIN2DEC(MID(L327,9,8))+BIN2DEC(MID(L328,9,8))+INT((BIN2DEC(MID(L327,17,8))+BIN2DEC(MID(L328,17,8))+INT((BIN2DEC(MID(L327,25,8))+BIN2DEC(MID(L328,25,8)))/256))/256))/256),256),8),DEC2BIN(MOD(BIN2DEC(MID(L327,9,8))+BIN2DEC(MID(L328,9,8))+INT((BIN2DEC(MID(L327,17,8))+BIN2DEC(MID(L328,17,8))+INT((BIN2DEC(MID(L327,25,8))+BIN2DEC(MID(L328,25,8)))/256))/256),256),8),DEC2BIN(MOD(BIN2DEC(MID(L327,17,8))+BIN2DEC(MID(L328,17,8))+INT((BIN2DEC(MID(L327,25,8))+BIN2DEC(MID(L328,25,8)))/256),256),8),DEC2BIN(MOD(BIN2DEC(MID(L327,25,8))+BIN2DEC(MID(L328,25,8)),256),8))</f>
        <v>11111111011110000100011001000000</v>
      </c>
      <c r="N327" s="14">
        <f t="shared" si="322"/>
        <v>225</v>
      </c>
      <c r="O327" s="14"/>
      <c r="P327" s="14"/>
      <c r="Q327" s="14"/>
      <c r="R327" s="14"/>
      <c r="S327" s="14"/>
      <c r="T327" s="14"/>
    </row>
    <row r="328" spans="1:20" ht="18.600000000000001" thickBot="1" x14ac:dyDescent="0.4">
      <c r="A328" s="91"/>
      <c r="B328" s="76"/>
      <c r="C328" s="5" t="s">
        <v>6</v>
      </c>
      <c r="D328" s="5" t="s">
        <v>56</v>
      </c>
      <c r="E328" s="5" t="s">
        <v>131</v>
      </c>
      <c r="F328" s="5" t="s">
        <v>92</v>
      </c>
      <c r="G328" s="5">
        <v>8</v>
      </c>
      <c r="H328" s="5" t="str">
        <f t="shared" si="370"/>
        <v>11101111000111111100100000001000</v>
      </c>
      <c r="I328" s="5">
        <f t="shared" si="371"/>
        <v>16</v>
      </c>
      <c r="J328" s="78"/>
      <c r="K328" s="80"/>
      <c r="L328" s="14" t="str">
        <f t="shared" ref="L328:L386" si="378">CONCATENATE(DEC2BIN(MOD(BIN2DEC(K327)+INT((2*BIN2DEC(K327)+INT((BIN2DEC(K327)+2*BIN2DEC(K327)+BIN2DEC(MID(K327,1,2)))/256))/256),256),8),DEC2BIN(MOD(2*BIN2DEC(K327)+INT((BIN2DEC(K327)+2*BIN2DEC(K327)+BIN2DEC(MID(K327,1,2)))/256),256),8),DEC2BIN(MOD(BIN2DEC(K327)+2*BIN2DEC(K327)+BIN2DEC(MID(K327,1,2)),256),8),MID(K327,3,6),"00")</f>
        <v>10100010010000111110010110000100</v>
      </c>
      <c r="M328" s="14" t="str">
        <f t="shared" ref="M328" si="379">CONCATENATE(MID(M327,6,8),MID(M327,30,3),MID(M327,1,5),MID(M327,22,8),MID(M327,14,8))</f>
        <v>11101111000111111100100000001000</v>
      </c>
      <c r="N328" s="14">
        <f t="shared" si="324"/>
        <v>162</v>
      </c>
      <c r="O328" s="14"/>
      <c r="P328" s="14"/>
      <c r="Q328" s="14"/>
      <c r="R328" s="14"/>
      <c r="S328" s="14"/>
      <c r="T328" s="14"/>
    </row>
    <row r="329" spans="1:20" x14ac:dyDescent="0.35">
      <c r="A329" s="91"/>
      <c r="B329" s="75">
        <f>B327+1</f>
        <v>164</v>
      </c>
      <c r="C329" s="4" t="s">
        <v>0</v>
      </c>
      <c r="D329" s="4">
        <v>93</v>
      </c>
      <c r="E329" s="4">
        <v>81</v>
      </c>
      <c r="F329" s="4" t="s">
        <v>74</v>
      </c>
      <c r="G329" s="4" t="s">
        <v>24</v>
      </c>
      <c r="H329" s="4" t="str">
        <f t="shared" si="370"/>
        <v>10010011100000010010111110110101</v>
      </c>
      <c r="I329" s="4">
        <f t="shared" si="371"/>
        <v>16</v>
      </c>
      <c r="J329" s="77" t="s">
        <v>152</v>
      </c>
      <c r="K329" s="79" t="str">
        <f>HEX2BIN(J329,8)</f>
        <v>00101100</v>
      </c>
      <c r="L329" s="43" t="str">
        <f t="shared" ref="L329" si="380">CONCATENATE(HEX2BIN(G329,8),HEX2BIN(F329,8),HEX2BIN(E329,8),HEX2BIN(D329,8))</f>
        <v>10110101001011111000000110010011</v>
      </c>
      <c r="M329" s="1" t="str">
        <f t="shared" si="377"/>
        <v>11100001100010000000011001000011</v>
      </c>
      <c r="N329" s="14">
        <f t="shared" si="322"/>
        <v>101</v>
      </c>
      <c r="O329" s="14"/>
      <c r="P329" s="14"/>
      <c r="Q329" s="14"/>
      <c r="R329" s="14"/>
      <c r="S329" s="14"/>
      <c r="T329" s="14"/>
    </row>
    <row r="330" spans="1:20" ht="18.600000000000001" thickBot="1" x14ac:dyDescent="0.4">
      <c r="A330" s="91"/>
      <c r="B330" s="76"/>
      <c r="C330" s="5" t="s">
        <v>6</v>
      </c>
      <c r="D330" s="5">
        <v>31</v>
      </c>
      <c r="E330" s="5" t="s">
        <v>45</v>
      </c>
      <c r="F330" s="5" t="s">
        <v>92</v>
      </c>
      <c r="G330" s="5">
        <v>0</v>
      </c>
      <c r="H330" s="5" t="str">
        <f t="shared" si="370"/>
        <v>00110001011111001100100000000000</v>
      </c>
      <c r="I330" s="5">
        <f t="shared" si="371"/>
        <v>11</v>
      </c>
      <c r="J330" s="78"/>
      <c r="K330" s="80"/>
      <c r="L330" s="14" t="str">
        <f t="shared" si="378"/>
        <v>00101100010110001000010010110000</v>
      </c>
      <c r="M330" s="14" t="str">
        <f t="shared" ref="M330" si="381">CONCATENATE(MID(M329,6,8),MID(M329,30,3),MID(M329,1,5),MID(M329,22,8),MID(M329,14,8))</f>
        <v>00110001011111001100100000000000</v>
      </c>
      <c r="N330" s="14">
        <f t="shared" si="324"/>
        <v>44</v>
      </c>
      <c r="O330" s="14"/>
      <c r="P330" s="14"/>
      <c r="Q330" s="14"/>
      <c r="R330" s="14"/>
      <c r="S330" s="14"/>
      <c r="T330" s="14"/>
    </row>
    <row r="331" spans="1:20" x14ac:dyDescent="0.35">
      <c r="A331" s="91"/>
      <c r="B331" s="75">
        <f>B329+1</f>
        <v>165</v>
      </c>
      <c r="C331" s="4" t="s">
        <v>0</v>
      </c>
      <c r="D331" s="4" t="s">
        <v>15</v>
      </c>
      <c r="E331" s="4" t="s">
        <v>64</v>
      </c>
      <c r="F331" s="4" t="s">
        <v>110</v>
      </c>
      <c r="G331" s="4" t="s">
        <v>70</v>
      </c>
      <c r="H331" s="4" t="str">
        <f t="shared" si="370"/>
        <v>10001101000111001111110001011101</v>
      </c>
      <c r="I331" s="4">
        <f t="shared" si="371"/>
        <v>18</v>
      </c>
      <c r="J331" s="77" t="s">
        <v>105</v>
      </c>
      <c r="K331" s="79" t="str">
        <f>HEX2BIN(J331,8)</f>
        <v>11101101</v>
      </c>
      <c r="L331" s="43" t="str">
        <f t="shared" ref="L331" si="382">CONCATENATE(HEX2BIN(G331,8),HEX2BIN(F331,8),HEX2BIN(E331,8),HEX2BIN(D331,8))</f>
        <v>01011101111111000001110010001101</v>
      </c>
      <c r="M331" s="1" t="str">
        <f t="shared" si="377"/>
        <v>01001100110110001110011101000001</v>
      </c>
      <c r="N331" s="14">
        <f t="shared" si="322"/>
        <v>17</v>
      </c>
      <c r="O331" s="14"/>
      <c r="P331" s="14"/>
      <c r="Q331" s="14"/>
      <c r="R331" s="14"/>
      <c r="S331" s="14"/>
      <c r="T331" s="14"/>
    </row>
    <row r="332" spans="1:20" ht="18.600000000000001" thickBot="1" x14ac:dyDescent="0.4">
      <c r="A332" s="91"/>
      <c r="B332" s="76"/>
      <c r="C332" s="5" t="s">
        <v>6</v>
      </c>
      <c r="D332" s="5" t="s">
        <v>40</v>
      </c>
      <c r="E332" s="5">
        <v>29</v>
      </c>
      <c r="F332" s="5" t="s">
        <v>76</v>
      </c>
      <c r="G332" s="5" t="s">
        <v>64</v>
      </c>
      <c r="H332" s="5" t="str">
        <f t="shared" si="370"/>
        <v>10011011001010011110100000011100</v>
      </c>
      <c r="I332" s="5">
        <f t="shared" si="371"/>
        <v>15</v>
      </c>
      <c r="J332" s="78"/>
      <c r="K332" s="80"/>
      <c r="L332" s="14" t="str">
        <f t="shared" si="378"/>
        <v>11101110110111001100101010110100</v>
      </c>
      <c r="M332" s="14" t="str">
        <f t="shared" ref="M332" si="383">CONCATENATE(MID(M331,6,8),MID(M331,30,3),MID(M331,1,5),MID(M331,22,8),MID(M331,14,8))</f>
        <v>10011011001010011110100000011100</v>
      </c>
      <c r="N332" s="14">
        <f t="shared" si="324"/>
        <v>238</v>
      </c>
      <c r="O332" s="14"/>
      <c r="P332" s="14"/>
      <c r="Q332" s="14"/>
      <c r="R332" s="14"/>
      <c r="S332" s="14"/>
      <c r="T332" s="14"/>
    </row>
    <row r="333" spans="1:20" x14ac:dyDescent="0.35">
      <c r="A333" s="91"/>
      <c r="B333" s="75">
        <f>B331+1</f>
        <v>166</v>
      </c>
      <c r="C333" s="4" t="s">
        <v>0</v>
      </c>
      <c r="D333" s="4">
        <v>8</v>
      </c>
      <c r="E333" s="4" t="s">
        <v>44</v>
      </c>
      <c r="F333" s="4" t="s">
        <v>133</v>
      </c>
      <c r="G333" s="4" t="s">
        <v>149</v>
      </c>
      <c r="H333" s="4" t="str">
        <f t="shared" si="370"/>
        <v>00001000101010001100011110101001</v>
      </c>
      <c r="I333" s="4">
        <f t="shared" si="371"/>
        <v>13</v>
      </c>
      <c r="J333" s="77" t="s">
        <v>27</v>
      </c>
      <c r="K333" s="79" t="str">
        <f>HEX2BIN(J333,8)</f>
        <v>11010001</v>
      </c>
      <c r="L333" s="43" t="str">
        <f t="shared" ref="L333" si="384">CONCATENATE(HEX2BIN(G333,8),HEX2BIN(F333,8),HEX2BIN(E333,8),HEX2BIN(D333,8))</f>
        <v>10101001110001111010100000001000</v>
      </c>
      <c r="M333" s="1" t="str">
        <f t="shared" si="377"/>
        <v>01111100011011000001111001001100</v>
      </c>
      <c r="N333" s="14">
        <f t="shared" si="322"/>
        <v>237</v>
      </c>
      <c r="O333" s="14"/>
      <c r="P333" s="14"/>
      <c r="Q333" s="14"/>
      <c r="R333" s="14"/>
      <c r="S333" s="14"/>
      <c r="T333" s="14"/>
    </row>
    <row r="334" spans="1:20" ht="18.600000000000001" thickBot="1" x14ac:dyDescent="0.4">
      <c r="A334" s="91"/>
      <c r="B334" s="76"/>
      <c r="C334" s="5" t="s">
        <v>6</v>
      </c>
      <c r="D334" s="5" t="s">
        <v>15</v>
      </c>
      <c r="E334" s="5" t="s">
        <v>153</v>
      </c>
      <c r="F334" s="5" t="s">
        <v>151</v>
      </c>
      <c r="G334" s="5">
        <v>83</v>
      </c>
      <c r="H334" s="5" t="str">
        <f t="shared" si="370"/>
        <v>10001101100011111100100110000011</v>
      </c>
      <c r="I334" s="5">
        <f t="shared" si="371"/>
        <v>16</v>
      </c>
      <c r="J334" s="78"/>
      <c r="K334" s="80"/>
      <c r="L334" s="14" t="str">
        <f t="shared" si="378"/>
        <v>11010010101001000111011001000100</v>
      </c>
      <c r="M334" s="14" t="str">
        <f t="shared" ref="M334" si="385">CONCATENATE(MID(M333,6,8),MID(M333,30,3),MID(M333,1,5),MID(M333,22,8),MID(M333,14,8))</f>
        <v>10001101100011111100100110000011</v>
      </c>
      <c r="N334" s="14">
        <f t="shared" si="324"/>
        <v>210</v>
      </c>
      <c r="O334" s="14"/>
      <c r="P334" s="14"/>
      <c r="Q334" s="14"/>
      <c r="R334" s="14"/>
      <c r="S334" s="14"/>
      <c r="T334" s="14"/>
    </row>
    <row r="335" spans="1:20" x14ac:dyDescent="0.35">
      <c r="A335" s="91"/>
      <c r="B335" s="75">
        <f>B333+1</f>
        <v>167</v>
      </c>
      <c r="C335" s="4" t="s">
        <v>0</v>
      </c>
      <c r="D335" s="4">
        <v>0</v>
      </c>
      <c r="E335" s="4">
        <v>93</v>
      </c>
      <c r="F335" s="4">
        <v>35</v>
      </c>
      <c r="G335" s="4" t="s">
        <v>106</v>
      </c>
      <c r="H335" s="4" t="str">
        <f t="shared" si="370"/>
        <v>00000000100100110011010111011110</v>
      </c>
      <c r="I335" s="4">
        <f t="shared" si="371"/>
        <v>14</v>
      </c>
      <c r="J335" s="77">
        <v>25</v>
      </c>
      <c r="K335" s="79" t="str">
        <f>HEX2BIN(J335,8)</f>
        <v>00100101</v>
      </c>
      <c r="L335" s="43" t="str">
        <f t="shared" ref="L335" si="386">CONCATENATE(HEX2BIN(G335,8),HEX2BIN(F335,8),HEX2BIN(E335,8),HEX2BIN(D335,8))</f>
        <v>11011110001101011001001100000000</v>
      </c>
      <c r="M335" s="1" t="str">
        <f t="shared" si="377"/>
        <v>00000011100000000000001010010100</v>
      </c>
      <c r="N335" s="14">
        <f t="shared" si="322"/>
        <v>114</v>
      </c>
      <c r="O335" s="14"/>
      <c r="P335" s="14"/>
      <c r="Q335" s="14"/>
      <c r="R335" s="14"/>
      <c r="S335" s="14"/>
      <c r="T335" s="14"/>
    </row>
    <row r="336" spans="1:20" ht="18.600000000000001" thickBot="1" x14ac:dyDescent="0.4">
      <c r="A336" s="91"/>
      <c r="B336" s="76"/>
      <c r="C336" s="5" t="s">
        <v>6</v>
      </c>
      <c r="D336" s="5">
        <v>70</v>
      </c>
      <c r="E336" s="5">
        <v>80</v>
      </c>
      <c r="F336" s="5">
        <v>52</v>
      </c>
      <c r="G336" s="5">
        <v>0</v>
      </c>
      <c r="H336" s="5" t="str">
        <f t="shared" si="370"/>
        <v>01110000100000000101001000000000</v>
      </c>
      <c r="I336" s="5">
        <f t="shared" si="371"/>
        <v>7</v>
      </c>
      <c r="J336" s="78"/>
      <c r="K336" s="80"/>
      <c r="L336" s="14" t="str">
        <f t="shared" si="378"/>
        <v>00100101010010100110111110010100</v>
      </c>
      <c r="M336" s="14" t="str">
        <f t="shared" ref="M336" si="387">CONCATENATE(MID(M335,6,8),MID(M335,30,3),MID(M335,1,5),MID(M335,22,8),MID(M335,14,8))</f>
        <v>01110000100000000101001000000000</v>
      </c>
      <c r="N336" s="14">
        <f t="shared" si="324"/>
        <v>37</v>
      </c>
      <c r="O336" s="14"/>
      <c r="P336" s="14"/>
      <c r="Q336" s="14"/>
      <c r="R336" s="14"/>
      <c r="S336" s="14"/>
      <c r="T336" s="14"/>
    </row>
    <row r="337" spans="1:20" x14ac:dyDescent="0.35">
      <c r="A337" s="91"/>
      <c r="B337" s="75">
        <f>B335+1</f>
        <v>168</v>
      </c>
      <c r="C337" s="4" t="s">
        <v>0</v>
      </c>
      <c r="D337" s="4">
        <v>78</v>
      </c>
      <c r="E337" s="4">
        <v>28</v>
      </c>
      <c r="F337" s="4">
        <v>95</v>
      </c>
      <c r="G337" s="4" t="s">
        <v>149</v>
      </c>
      <c r="H337" s="4" t="str">
        <f t="shared" si="370"/>
        <v>01111000001010001001010110101001</v>
      </c>
      <c r="I337" s="4">
        <f t="shared" si="371"/>
        <v>14</v>
      </c>
      <c r="J337" s="77" t="s">
        <v>10</v>
      </c>
      <c r="K337" s="79" t="str">
        <f>HEX2BIN(J337,8)</f>
        <v>10011100</v>
      </c>
      <c r="L337" s="43" t="str">
        <f t="shared" ref="L337" si="388">CONCATENATE(HEX2BIN(G337,8),HEX2BIN(F337,8),HEX2BIN(E337,8),HEX2BIN(D337,8))</f>
        <v>10101001100101010010100001111000</v>
      </c>
      <c r="M337" s="1" t="str">
        <f t="shared" si="377"/>
        <v>01000110110011101111111011101000</v>
      </c>
      <c r="N337" s="14">
        <f t="shared" si="322"/>
        <v>25</v>
      </c>
      <c r="O337" s="14"/>
      <c r="P337" s="14"/>
      <c r="Q337" s="14"/>
      <c r="R337" s="14"/>
      <c r="S337" s="14"/>
      <c r="T337" s="14"/>
    </row>
    <row r="338" spans="1:20" ht="18.600000000000001" thickBot="1" x14ac:dyDescent="0.4">
      <c r="A338" s="91"/>
      <c r="B338" s="76"/>
      <c r="C338" s="5" t="s">
        <v>6</v>
      </c>
      <c r="D338" s="5" t="s">
        <v>163</v>
      </c>
      <c r="E338" s="5">
        <v>8</v>
      </c>
      <c r="F338" s="5" t="s">
        <v>14</v>
      </c>
      <c r="G338" s="5" t="s">
        <v>30</v>
      </c>
      <c r="H338" s="5" t="str">
        <f t="shared" si="370"/>
        <v>11011001000010001101110111011111</v>
      </c>
      <c r="I338" s="5">
        <f t="shared" si="371"/>
        <v>19</v>
      </c>
      <c r="J338" s="78"/>
      <c r="K338" s="80"/>
      <c r="L338" s="14" t="str">
        <f t="shared" si="378"/>
        <v>10011101001110011101011001110000</v>
      </c>
      <c r="M338" s="14" t="str">
        <f t="shared" ref="M338" si="389">CONCATENATE(MID(M337,6,8),MID(M337,30,3),MID(M337,1,5),MID(M337,22,8),MID(M337,14,8))</f>
        <v>11011001000010001101110111011111</v>
      </c>
      <c r="N338" s="14">
        <f t="shared" si="324"/>
        <v>157</v>
      </c>
      <c r="O338" s="14"/>
      <c r="P338" s="14"/>
      <c r="Q338" s="14"/>
      <c r="R338" s="14"/>
      <c r="S338" s="14"/>
      <c r="T338" s="14"/>
    </row>
    <row r="339" spans="1:20" x14ac:dyDescent="0.35">
      <c r="A339" s="91">
        <f>A323+1</f>
        <v>22</v>
      </c>
      <c r="B339" s="75">
        <f>B337+1</f>
        <v>169</v>
      </c>
      <c r="C339" s="4" t="s">
        <v>0</v>
      </c>
      <c r="D339" s="4" t="s">
        <v>35</v>
      </c>
      <c r="E339" s="4">
        <v>32</v>
      </c>
      <c r="F339" s="4">
        <v>47</v>
      </c>
      <c r="G339" s="4" t="s">
        <v>105</v>
      </c>
      <c r="H339" s="4" t="str">
        <f t="shared" si="370"/>
        <v>11010110001100100100011111101101</v>
      </c>
      <c r="I339" s="4">
        <f t="shared" si="371"/>
        <v>18</v>
      </c>
      <c r="J339" s="77" t="s">
        <v>35</v>
      </c>
      <c r="K339" s="79" t="str">
        <f>HEX2BIN(J339,8)</f>
        <v>11010110</v>
      </c>
      <c r="L339" s="43" t="str">
        <f t="shared" ref="L339" si="390">CONCATENATE(HEX2BIN(G339,8),HEX2BIN(F339,8),HEX2BIN(E339,8),HEX2BIN(D339,8))</f>
        <v>11101101010001110011001011010110</v>
      </c>
      <c r="M339" s="1" t="str">
        <f t="shared" si="377"/>
        <v>11000100111101011011100000101110</v>
      </c>
      <c r="N339" s="14">
        <f t="shared" si="322"/>
        <v>69</v>
      </c>
      <c r="O339" s="14"/>
      <c r="P339" s="14"/>
      <c r="Q339" s="14"/>
      <c r="R339" s="14"/>
      <c r="S339" s="14"/>
      <c r="T339" s="14"/>
    </row>
    <row r="340" spans="1:20" ht="18.600000000000001" thickBot="1" x14ac:dyDescent="0.4">
      <c r="A340" s="91"/>
      <c r="B340" s="76"/>
      <c r="C340" s="5" t="s">
        <v>6</v>
      </c>
      <c r="D340" s="5" t="s">
        <v>13</v>
      </c>
      <c r="E340" s="5" t="s">
        <v>46</v>
      </c>
      <c r="F340" s="5">
        <v>5</v>
      </c>
      <c r="G340" s="5" t="s">
        <v>143</v>
      </c>
      <c r="H340" s="5" t="str">
        <f t="shared" si="370"/>
        <v>10011110110110000000010110110111</v>
      </c>
      <c r="I340" s="5">
        <f t="shared" si="371"/>
        <v>17</v>
      </c>
      <c r="J340" s="78"/>
      <c r="K340" s="80"/>
      <c r="L340" s="14" t="str">
        <f t="shared" si="378"/>
        <v>11010111101011101000010101011000</v>
      </c>
      <c r="M340" s="14" t="str">
        <f t="shared" ref="M340" si="391">CONCATENATE(MID(M339,6,8),MID(M339,30,3),MID(M339,1,5),MID(M339,22,8),MID(M339,14,8))</f>
        <v>10011110110110000000010110110111</v>
      </c>
      <c r="N340" s="14">
        <f t="shared" si="324"/>
        <v>215</v>
      </c>
      <c r="O340" s="14"/>
      <c r="P340" s="14"/>
      <c r="Q340" s="14"/>
      <c r="R340" s="14"/>
      <c r="S340" s="14"/>
      <c r="T340" s="14"/>
    </row>
    <row r="341" spans="1:20" x14ac:dyDescent="0.35">
      <c r="A341" s="91"/>
      <c r="B341" s="75">
        <f>B339+1</f>
        <v>170</v>
      </c>
      <c r="C341" s="4" t="s">
        <v>0</v>
      </c>
      <c r="D341" s="4">
        <v>11</v>
      </c>
      <c r="E341" s="4" t="s">
        <v>46</v>
      </c>
      <c r="F341" s="4" t="s">
        <v>70</v>
      </c>
      <c r="G341" s="4" t="s">
        <v>123</v>
      </c>
      <c r="H341" s="4" t="str">
        <f t="shared" si="370"/>
        <v>00010001110110000101110111111011</v>
      </c>
      <c r="I341" s="4">
        <f t="shared" si="371"/>
        <v>18</v>
      </c>
      <c r="J341" s="77" t="s">
        <v>72</v>
      </c>
      <c r="K341" s="79" t="str">
        <f>HEX2BIN(J341,8)</f>
        <v>01011010</v>
      </c>
      <c r="L341" s="43" t="str">
        <f t="shared" ref="L341" si="392">CONCATENATE(HEX2BIN(G341,8),HEX2BIN(F341,8),HEX2BIN(E341,8),HEX2BIN(D341,8))</f>
        <v>11111011010111011101100000010001</v>
      </c>
      <c r="M341" s="1" t="str">
        <f t="shared" si="377"/>
        <v>01010110000100101110011101111001</v>
      </c>
      <c r="N341" s="14">
        <f t="shared" ref="N341:N385" si="393">MOD(BIN2DEC(MID(L341,1,8))+4*HEX2DEC(J341),256)</f>
        <v>99</v>
      </c>
      <c r="O341" s="14"/>
      <c r="P341" s="14"/>
      <c r="Q341" s="14"/>
      <c r="R341" s="14"/>
      <c r="S341" s="14"/>
      <c r="T341" s="14"/>
    </row>
    <row r="342" spans="1:20" ht="18.600000000000001" thickBot="1" x14ac:dyDescent="0.4">
      <c r="A342" s="91"/>
      <c r="B342" s="76"/>
      <c r="C342" s="5" t="s">
        <v>6</v>
      </c>
      <c r="D342" s="5" t="s">
        <v>29</v>
      </c>
      <c r="E342" s="5" t="s">
        <v>98</v>
      </c>
      <c r="F342" s="5" t="s">
        <v>56</v>
      </c>
      <c r="G342" s="5" t="s">
        <v>58</v>
      </c>
      <c r="H342" s="5" t="str">
        <f t="shared" si="370"/>
        <v>11000010001010101110111101011100</v>
      </c>
      <c r="I342" s="5">
        <f t="shared" si="371"/>
        <v>17</v>
      </c>
      <c r="J342" s="78"/>
      <c r="K342" s="80"/>
      <c r="L342" s="14" t="str">
        <f t="shared" si="378"/>
        <v>01011010101101010000111101101000</v>
      </c>
      <c r="M342" s="14" t="str">
        <f t="shared" ref="M342" si="394">CONCATENATE(MID(M341,6,8),MID(M341,30,3),MID(M341,1,5),MID(M341,22,8),MID(M341,14,8))</f>
        <v>11000010001010101110111101011100</v>
      </c>
      <c r="N342" s="14">
        <f t="shared" ref="N342:N386" si="395">BIN2DEC(MID(L342,1,8))</f>
        <v>90</v>
      </c>
      <c r="O342" s="14"/>
      <c r="P342" s="14"/>
      <c r="Q342" s="14"/>
      <c r="R342" s="14"/>
      <c r="S342" s="14"/>
      <c r="T342" s="14"/>
    </row>
    <row r="343" spans="1:20" x14ac:dyDescent="0.35">
      <c r="A343" s="91"/>
      <c r="B343" s="75">
        <f>B341+1</f>
        <v>171</v>
      </c>
      <c r="C343" s="4" t="s">
        <v>0</v>
      </c>
      <c r="D343" s="4">
        <v>14</v>
      </c>
      <c r="E343" s="4">
        <v>18</v>
      </c>
      <c r="F343" s="4" t="s">
        <v>44</v>
      </c>
      <c r="G343" s="4" t="s">
        <v>128</v>
      </c>
      <c r="H343" s="4" t="str">
        <f t="shared" si="370"/>
        <v>00010100000110001010100010110001</v>
      </c>
      <c r="I343" s="4">
        <f t="shared" si="371"/>
        <v>11</v>
      </c>
      <c r="J343" s="77" t="s">
        <v>33</v>
      </c>
      <c r="K343" s="79" t="str">
        <f>HEX2BIN(J343,8)</f>
        <v>00001111</v>
      </c>
      <c r="L343" s="43" t="str">
        <f t="shared" ref="L343" si="396">CONCATENATE(HEX2BIN(G343,8),HEX2BIN(F343,8),HEX2BIN(E343,8),HEX2BIN(D343,8))</f>
        <v>10110001101010000001100000010100</v>
      </c>
      <c r="M343" s="1" t="str">
        <f t="shared" si="377"/>
        <v>11000000110001100100010101010000</v>
      </c>
      <c r="N343" s="14">
        <f t="shared" si="393"/>
        <v>237</v>
      </c>
      <c r="O343" s="14"/>
      <c r="P343" s="14"/>
      <c r="Q343" s="14"/>
      <c r="R343" s="14"/>
      <c r="S343" s="14"/>
      <c r="T343" s="14"/>
    </row>
    <row r="344" spans="1:20" ht="18.600000000000001" thickBot="1" x14ac:dyDescent="0.4">
      <c r="A344" s="91"/>
      <c r="B344" s="76"/>
      <c r="C344" s="5" t="s">
        <v>6</v>
      </c>
      <c r="D344" s="5">
        <v>18</v>
      </c>
      <c r="E344" s="5">
        <v>18</v>
      </c>
      <c r="F344" s="5" t="s">
        <v>51</v>
      </c>
      <c r="G344" s="5" t="s">
        <v>92</v>
      </c>
      <c r="H344" s="5" t="str">
        <f t="shared" si="370"/>
        <v>00011000000110001010101011001000</v>
      </c>
      <c r="I344" s="5">
        <f t="shared" si="371"/>
        <v>11</v>
      </c>
      <c r="J344" s="78"/>
      <c r="K344" s="80"/>
      <c r="L344" s="14" t="str">
        <f t="shared" si="378"/>
        <v>00001111000111100010110100111100</v>
      </c>
      <c r="M344" s="14" t="str">
        <f t="shared" ref="M344" si="397">CONCATENATE(MID(M343,6,8),MID(M343,30,3),MID(M343,1,5),MID(M343,22,8),MID(M343,14,8))</f>
        <v>00011000000110001010101011001000</v>
      </c>
      <c r="N344" s="14">
        <f t="shared" si="395"/>
        <v>15</v>
      </c>
      <c r="O344" s="14"/>
      <c r="P344" s="14"/>
      <c r="Q344" s="14"/>
      <c r="R344" s="14"/>
      <c r="S344" s="14"/>
      <c r="T344" s="14"/>
    </row>
    <row r="345" spans="1:20" x14ac:dyDescent="0.35">
      <c r="A345" s="91"/>
      <c r="B345" s="75">
        <f>B343+1</f>
        <v>172</v>
      </c>
      <c r="C345" s="4" t="s">
        <v>0</v>
      </c>
      <c r="D345" s="4">
        <v>9</v>
      </c>
      <c r="E345" s="4" t="s">
        <v>67</v>
      </c>
      <c r="F345" s="4" t="s">
        <v>145</v>
      </c>
      <c r="G345" s="4">
        <v>33</v>
      </c>
      <c r="H345" s="4" t="str">
        <f t="shared" si="370"/>
        <v>00001001110000001111011100110011</v>
      </c>
      <c r="I345" s="4">
        <f t="shared" si="371"/>
        <v>15</v>
      </c>
      <c r="J345" s="77" t="s">
        <v>159</v>
      </c>
      <c r="K345" s="79" t="str">
        <f>HEX2BIN(J345,8)</f>
        <v>00011010</v>
      </c>
      <c r="L345" s="43" t="str">
        <f t="shared" ref="L345" si="398">CONCATENATE(HEX2BIN(G345,8),HEX2BIN(F345,8),HEX2BIN(E345,8),HEX2BIN(D345,8))</f>
        <v>00110011111101111100000000001001</v>
      </c>
      <c r="M345" s="1" t="str">
        <f t="shared" si="377"/>
        <v>01001110001011000000111001110001</v>
      </c>
      <c r="N345" s="14">
        <f t="shared" si="393"/>
        <v>155</v>
      </c>
      <c r="O345" s="14"/>
      <c r="P345" s="14"/>
      <c r="Q345" s="14"/>
      <c r="R345" s="14"/>
      <c r="S345" s="14"/>
      <c r="T345" s="14"/>
    </row>
    <row r="346" spans="1:20" ht="18.600000000000001" thickBot="1" x14ac:dyDescent="0.4">
      <c r="A346" s="91"/>
      <c r="B346" s="76"/>
      <c r="C346" s="5" t="s">
        <v>6</v>
      </c>
      <c r="D346" s="5" t="s">
        <v>48</v>
      </c>
      <c r="E346" s="5">
        <v>29</v>
      </c>
      <c r="F346" s="5" t="s">
        <v>138</v>
      </c>
      <c r="G346" s="5">
        <v>81</v>
      </c>
      <c r="H346" s="5" t="str">
        <f t="shared" si="370"/>
        <v>11000101001010011100111010000001</v>
      </c>
      <c r="I346" s="5">
        <f t="shared" si="371"/>
        <v>14</v>
      </c>
      <c r="J346" s="78"/>
      <c r="K346" s="80"/>
      <c r="L346" s="14" t="str">
        <f t="shared" si="378"/>
        <v>00011010001101000100111001101000</v>
      </c>
      <c r="M346" s="14" t="str">
        <f t="shared" ref="M346" si="399">CONCATENATE(MID(M345,6,8),MID(M345,30,3),MID(M345,1,5),MID(M345,22,8),MID(M345,14,8))</f>
        <v>11000101001010011100111010000001</v>
      </c>
      <c r="N346" s="14">
        <f t="shared" si="395"/>
        <v>26</v>
      </c>
      <c r="O346" s="14"/>
      <c r="P346" s="14"/>
      <c r="Q346" s="14"/>
      <c r="R346" s="14"/>
      <c r="S346" s="14"/>
      <c r="T346" s="14"/>
    </row>
    <row r="347" spans="1:20" x14ac:dyDescent="0.35">
      <c r="A347" s="91"/>
      <c r="B347" s="75">
        <f>B345+1</f>
        <v>173</v>
      </c>
      <c r="C347" s="4" t="s">
        <v>0</v>
      </c>
      <c r="D347" s="4" t="s">
        <v>27</v>
      </c>
      <c r="E347" s="4">
        <v>31</v>
      </c>
      <c r="F347" s="4">
        <v>66</v>
      </c>
      <c r="G347" s="4">
        <v>30</v>
      </c>
      <c r="H347" s="4" t="str">
        <f t="shared" si="370"/>
        <v>11010001001100010110011000110000</v>
      </c>
      <c r="I347" s="4">
        <f t="shared" si="371"/>
        <v>13</v>
      </c>
      <c r="J347" s="77" t="s">
        <v>108</v>
      </c>
      <c r="K347" s="79" t="str">
        <f>HEX2BIN(J347,8)</f>
        <v>01101101</v>
      </c>
      <c r="L347" s="43" t="str">
        <f t="shared" ref="L347" si="400">CONCATENATE(HEX2BIN(G347,8),HEX2BIN(F347,8),HEX2BIN(E347,8),HEX2BIN(D347,8))</f>
        <v>00110000011001100011000111010001</v>
      </c>
      <c r="M347" s="1" t="str">
        <f t="shared" si="377"/>
        <v>10011110010000010111101010000101</v>
      </c>
      <c r="N347" s="14">
        <f t="shared" si="393"/>
        <v>228</v>
      </c>
      <c r="O347" s="14"/>
      <c r="P347" s="14"/>
      <c r="Q347" s="14"/>
      <c r="R347" s="14"/>
      <c r="S347" s="14"/>
      <c r="T347" s="14"/>
    </row>
    <row r="348" spans="1:20" ht="18.600000000000001" thickBot="1" x14ac:dyDescent="0.4">
      <c r="A348" s="91"/>
      <c r="B348" s="76"/>
      <c r="C348" s="5" t="s">
        <v>6</v>
      </c>
      <c r="D348" s="5" t="s">
        <v>92</v>
      </c>
      <c r="E348" s="5" t="s">
        <v>87</v>
      </c>
      <c r="F348" s="5">
        <v>50</v>
      </c>
      <c r="G348" s="5" t="s">
        <v>74</v>
      </c>
      <c r="H348" s="5" t="str">
        <f t="shared" si="370"/>
        <v>11001000101100110101000000101111</v>
      </c>
      <c r="I348" s="5">
        <f t="shared" si="371"/>
        <v>15</v>
      </c>
      <c r="J348" s="78"/>
      <c r="K348" s="80"/>
      <c r="L348" s="14" t="str">
        <f t="shared" si="378"/>
        <v>01101101110110110100100010110100</v>
      </c>
      <c r="M348" s="14" t="str">
        <f t="shared" ref="M348" si="401">CONCATENATE(MID(M347,6,8),MID(M347,30,3),MID(M347,1,5),MID(M347,22,8),MID(M347,14,8))</f>
        <v>11001000101100110101000000101111</v>
      </c>
      <c r="N348" s="14">
        <f t="shared" si="395"/>
        <v>109</v>
      </c>
      <c r="O348" s="14"/>
      <c r="P348" s="14"/>
      <c r="Q348" s="14"/>
      <c r="R348" s="14"/>
      <c r="S348" s="14"/>
      <c r="T348" s="14"/>
    </row>
    <row r="349" spans="1:20" x14ac:dyDescent="0.35">
      <c r="A349" s="91"/>
      <c r="B349" s="75">
        <f>B347+1</f>
        <v>174</v>
      </c>
      <c r="C349" s="4" t="s">
        <v>0</v>
      </c>
      <c r="D349" s="4" t="s">
        <v>117</v>
      </c>
      <c r="E349" s="4">
        <v>73</v>
      </c>
      <c r="F349" s="4" t="s">
        <v>32</v>
      </c>
      <c r="G349" s="4" t="s">
        <v>64</v>
      </c>
      <c r="H349" s="4" t="str">
        <f t="shared" si="370"/>
        <v>11000001011100111010011100011100</v>
      </c>
      <c r="I349" s="4">
        <f t="shared" si="371"/>
        <v>16</v>
      </c>
      <c r="J349" s="77">
        <v>15</v>
      </c>
      <c r="K349" s="79" t="str">
        <f>HEX2BIN(J349,8)</f>
        <v>00010101</v>
      </c>
      <c r="L349" s="43" t="str">
        <f t="shared" ref="L349" si="402">CONCATENATE(HEX2BIN(G349,8),HEX2BIN(F349,8),HEX2BIN(E349,8),HEX2BIN(D349,8))</f>
        <v>00011100101001110111001111000001</v>
      </c>
      <c r="M349" s="1" t="str">
        <f t="shared" si="377"/>
        <v>00110001110100011011001100010101</v>
      </c>
      <c r="N349" s="14">
        <f t="shared" si="393"/>
        <v>112</v>
      </c>
      <c r="O349" s="14"/>
      <c r="P349" s="14"/>
      <c r="Q349" s="14"/>
      <c r="R349" s="14"/>
      <c r="S349" s="14"/>
      <c r="T349" s="14"/>
    </row>
    <row r="350" spans="1:20" ht="18.600000000000001" thickBot="1" x14ac:dyDescent="0.4">
      <c r="A350" s="91"/>
      <c r="B350" s="76"/>
      <c r="C350" s="5" t="s">
        <v>6</v>
      </c>
      <c r="D350" s="5" t="s">
        <v>115</v>
      </c>
      <c r="E350" s="5" t="s">
        <v>162</v>
      </c>
      <c r="F350" s="5">
        <v>62</v>
      </c>
      <c r="G350" s="5">
        <v>36</v>
      </c>
      <c r="H350" s="5" t="str">
        <f t="shared" si="370"/>
        <v>00111010101001100110001000110110</v>
      </c>
      <c r="I350" s="5">
        <f t="shared" si="371"/>
        <v>15</v>
      </c>
      <c r="J350" s="78"/>
      <c r="K350" s="80"/>
      <c r="L350" s="14" t="str">
        <f t="shared" si="378"/>
        <v>00010101001010100011111101010100</v>
      </c>
      <c r="M350" s="14" t="str">
        <f t="shared" ref="M350" si="403">CONCATENATE(MID(M349,6,8),MID(M349,30,3),MID(M349,1,5),MID(M349,22,8),MID(M349,14,8))</f>
        <v>00111010101001100110001000110110</v>
      </c>
      <c r="N350" s="14">
        <f t="shared" si="395"/>
        <v>21</v>
      </c>
      <c r="O350" s="14"/>
      <c r="P350" s="14"/>
      <c r="Q350" s="14"/>
      <c r="R350" s="14"/>
      <c r="S350" s="14"/>
      <c r="T350" s="14"/>
    </row>
    <row r="351" spans="1:20" x14ac:dyDescent="0.35">
      <c r="A351" s="91"/>
      <c r="B351" s="75">
        <f>B349+1</f>
        <v>175</v>
      </c>
      <c r="C351" s="4" t="s">
        <v>0</v>
      </c>
      <c r="D351" s="4" t="s">
        <v>73</v>
      </c>
      <c r="E351" s="4">
        <v>97</v>
      </c>
      <c r="F351" s="4">
        <v>4</v>
      </c>
      <c r="G351" s="4">
        <v>6</v>
      </c>
      <c r="H351" s="4" t="str">
        <f t="shared" si="370"/>
        <v>11101011100101110000010000000110</v>
      </c>
      <c r="I351" s="4">
        <f t="shared" si="371"/>
        <v>14</v>
      </c>
      <c r="J351" s="77" t="s">
        <v>160</v>
      </c>
      <c r="K351" s="79" t="str">
        <f>HEX2BIN(J351,8)</f>
        <v>10101100</v>
      </c>
      <c r="L351" s="43" t="str">
        <f t="shared" ref="L351" si="404">CONCATENATE(HEX2BIN(G351,8),HEX2BIN(F351,8),HEX2BIN(E351,8),HEX2BIN(D351,8))</f>
        <v>00000110000001001001011111101011</v>
      </c>
      <c r="M351" s="1" t="str">
        <f t="shared" si="377"/>
        <v>10110011010111101001111010011011</v>
      </c>
      <c r="N351" s="14">
        <f t="shared" si="393"/>
        <v>182</v>
      </c>
      <c r="O351" s="14"/>
      <c r="P351" s="14"/>
      <c r="Q351" s="14"/>
      <c r="R351" s="14"/>
      <c r="S351" s="14"/>
      <c r="T351" s="14"/>
    </row>
    <row r="352" spans="1:20" ht="18.600000000000001" thickBot="1" x14ac:dyDescent="0.4">
      <c r="A352" s="91"/>
      <c r="B352" s="76"/>
      <c r="C352" s="5" t="s">
        <v>6</v>
      </c>
      <c r="D352" s="5" t="s">
        <v>97</v>
      </c>
      <c r="E352" s="5">
        <v>76</v>
      </c>
      <c r="F352" s="5" t="s">
        <v>75</v>
      </c>
      <c r="G352" s="5" t="s">
        <v>75</v>
      </c>
      <c r="H352" s="5" t="str">
        <f t="shared" si="370"/>
        <v>01101011011101101101001111010011</v>
      </c>
      <c r="I352" s="5">
        <f t="shared" si="371"/>
        <v>20</v>
      </c>
      <c r="J352" s="78"/>
      <c r="K352" s="80"/>
      <c r="L352" s="14" t="str">
        <f t="shared" si="378"/>
        <v>10101101010110100000011010110000</v>
      </c>
      <c r="M352" s="14" t="str">
        <f t="shared" ref="M352" si="405">CONCATENATE(MID(M351,6,8),MID(M351,30,3),MID(M351,1,5),MID(M351,22,8),MID(M351,14,8))</f>
        <v>01101011011101101101001111010011</v>
      </c>
      <c r="N352" s="14">
        <f t="shared" si="395"/>
        <v>173</v>
      </c>
      <c r="O352" s="14"/>
      <c r="P352" s="14"/>
      <c r="Q352" s="14"/>
      <c r="R352" s="14"/>
      <c r="S352" s="14"/>
      <c r="T352" s="14"/>
    </row>
    <row r="353" spans="1:20" x14ac:dyDescent="0.35">
      <c r="A353" s="91"/>
      <c r="B353" s="75">
        <f>B351+1</f>
        <v>176</v>
      </c>
      <c r="C353" s="4" t="s">
        <v>0</v>
      </c>
      <c r="D353" s="4" t="s">
        <v>51</v>
      </c>
      <c r="E353" s="4">
        <v>5</v>
      </c>
      <c r="F353" s="4">
        <v>74</v>
      </c>
      <c r="G353" s="4" t="s">
        <v>80</v>
      </c>
      <c r="H353" s="4" t="str">
        <f t="shared" si="370"/>
        <v>10101010000001010111010011001111</v>
      </c>
      <c r="I353" s="4">
        <f t="shared" si="371"/>
        <v>16</v>
      </c>
      <c r="J353" s="77" t="s">
        <v>71</v>
      </c>
      <c r="K353" s="79" t="str">
        <f>HEX2BIN(J353,8)</f>
        <v>10100001</v>
      </c>
      <c r="L353" s="43" t="str">
        <f t="shared" ref="L353" si="406">CONCATENATE(HEX2BIN(G353,8),HEX2BIN(F353,8),HEX2BIN(E353,8),HEX2BIN(D353,8))</f>
        <v>11001111011101000000010110101010</v>
      </c>
      <c r="M353" s="1" t="str">
        <f t="shared" si="377"/>
        <v>01110001101101111110101100101110</v>
      </c>
      <c r="N353" s="14">
        <f t="shared" si="393"/>
        <v>83</v>
      </c>
      <c r="O353" s="14"/>
      <c r="P353" s="14"/>
      <c r="Q353" s="14"/>
      <c r="R353" s="14"/>
      <c r="S353" s="14"/>
      <c r="T353" s="14"/>
    </row>
    <row r="354" spans="1:20" ht="18.600000000000001" thickBot="1" x14ac:dyDescent="0.4">
      <c r="A354" s="91"/>
      <c r="B354" s="76"/>
      <c r="C354" s="5" t="s">
        <v>6</v>
      </c>
      <c r="D354" s="5">
        <v>36</v>
      </c>
      <c r="E354" s="5" t="s">
        <v>138</v>
      </c>
      <c r="F354" s="5">
        <v>65</v>
      </c>
      <c r="G354" s="5" t="s">
        <v>156</v>
      </c>
      <c r="H354" s="5" t="str">
        <f t="shared" si="370"/>
        <v>00110110110011100110010111111101</v>
      </c>
      <c r="I354" s="5">
        <f t="shared" si="371"/>
        <v>20</v>
      </c>
      <c r="J354" s="78"/>
      <c r="K354" s="80"/>
      <c r="L354" s="14" t="str">
        <f t="shared" si="378"/>
        <v>10100010010000111110010110000100</v>
      </c>
      <c r="M354" s="14" t="str">
        <f t="shared" ref="M354" si="407">CONCATENATE(MID(M353,6,8),MID(M353,30,3),MID(M353,1,5),MID(M353,22,8),MID(M353,14,8))</f>
        <v>00110110110011100110010111111101</v>
      </c>
      <c r="N354" s="14">
        <f t="shared" si="395"/>
        <v>162</v>
      </c>
      <c r="O354" s="14"/>
      <c r="P354" s="14"/>
      <c r="Q354" s="14"/>
      <c r="R354" s="14"/>
      <c r="S354" s="14"/>
      <c r="T354" s="14"/>
    </row>
    <row r="355" spans="1:20" x14ac:dyDescent="0.35">
      <c r="A355" s="91">
        <f>A339+1</f>
        <v>23</v>
      </c>
      <c r="B355" s="75">
        <f>B353+1</f>
        <v>177</v>
      </c>
      <c r="C355" s="4" t="s">
        <v>0</v>
      </c>
      <c r="D355" s="4" t="s">
        <v>77</v>
      </c>
      <c r="E355" s="4" t="s">
        <v>100</v>
      </c>
      <c r="F355" s="4" t="s">
        <v>34</v>
      </c>
      <c r="G355" s="4" t="s">
        <v>14</v>
      </c>
      <c r="H355" s="4" t="str">
        <f t="shared" si="370"/>
        <v>11100110111101011110101011011101</v>
      </c>
      <c r="I355" s="4">
        <f t="shared" si="371"/>
        <v>22</v>
      </c>
      <c r="J355" s="77">
        <v>32</v>
      </c>
      <c r="K355" s="79" t="str">
        <f>HEX2BIN(J355,8)</f>
        <v>00110010</v>
      </c>
      <c r="L355" s="43" t="str">
        <f t="shared" ref="L355" si="408">CONCATENATE(HEX2BIN(G355,8),HEX2BIN(F355,8),HEX2BIN(E355,8),HEX2BIN(D355,8))</f>
        <v>11011101111010101111010111100110</v>
      </c>
      <c r="M355" s="1" t="str">
        <f t="shared" si="377"/>
        <v>00010000010011111000110010101110</v>
      </c>
      <c r="N355" s="14">
        <f t="shared" si="393"/>
        <v>165</v>
      </c>
      <c r="O355" s="14"/>
      <c r="P355" s="14"/>
      <c r="Q355" s="14"/>
      <c r="R355" s="14"/>
      <c r="S355" s="14"/>
      <c r="T355" s="14"/>
    </row>
    <row r="356" spans="1:20" ht="18.600000000000001" thickBot="1" x14ac:dyDescent="0.4">
      <c r="A356" s="91"/>
      <c r="B356" s="76"/>
      <c r="C356" s="5" t="s">
        <v>6</v>
      </c>
      <c r="D356" s="5">
        <v>9</v>
      </c>
      <c r="E356" s="5" t="s">
        <v>29</v>
      </c>
      <c r="F356" s="5">
        <v>95</v>
      </c>
      <c r="G356" s="5" t="s">
        <v>148</v>
      </c>
      <c r="H356" s="5" t="str">
        <f t="shared" si="370"/>
        <v>00001001110000101001010111110001</v>
      </c>
      <c r="I356" s="5">
        <f t="shared" si="371"/>
        <v>14</v>
      </c>
      <c r="J356" s="78"/>
      <c r="K356" s="80"/>
      <c r="L356" s="14" t="str">
        <f t="shared" si="378"/>
        <v>00110010011001001001011011001000</v>
      </c>
      <c r="M356" s="14" t="str">
        <f t="shared" ref="M356" si="409">CONCATENATE(MID(M355,6,8),MID(M355,30,3),MID(M355,1,5),MID(M355,22,8),MID(M355,14,8))</f>
        <v>00001001110000101001010111110001</v>
      </c>
      <c r="N356" s="14">
        <f t="shared" si="395"/>
        <v>50</v>
      </c>
      <c r="O356" s="14"/>
      <c r="P356" s="14"/>
      <c r="Q356" s="14"/>
      <c r="R356" s="14"/>
      <c r="S356" s="14"/>
      <c r="T356" s="14"/>
    </row>
    <row r="357" spans="1:20" x14ac:dyDescent="0.35">
      <c r="A357" s="91"/>
      <c r="B357" s="75">
        <f>B355+1</f>
        <v>178</v>
      </c>
      <c r="C357" s="4" t="s">
        <v>0</v>
      </c>
      <c r="D357" s="4">
        <v>82</v>
      </c>
      <c r="E357" s="4">
        <v>0</v>
      </c>
      <c r="F357" s="4" t="s">
        <v>119</v>
      </c>
      <c r="G357" s="4" t="s">
        <v>151</v>
      </c>
      <c r="H357" s="4" t="str">
        <f t="shared" si="370"/>
        <v>10000010000000001100101111001001</v>
      </c>
      <c r="I357" s="4">
        <f t="shared" si="371"/>
        <v>11</v>
      </c>
      <c r="J357" s="77">
        <v>21</v>
      </c>
      <c r="K357" s="79" t="str">
        <f>HEX2BIN(J357,8)</f>
        <v>00100001</v>
      </c>
      <c r="L357" s="43" t="str">
        <f t="shared" ref="L357" si="410">CONCATENATE(HEX2BIN(G357,8),HEX2BIN(F357,8),HEX2BIN(E357,8),HEX2BIN(D357,8))</f>
        <v>11001001110010110000000010000010</v>
      </c>
      <c r="M357" s="1" t="str">
        <f t="shared" si="377"/>
        <v>11101011000011010110010000000110</v>
      </c>
      <c r="N357" s="14">
        <f t="shared" si="393"/>
        <v>77</v>
      </c>
      <c r="O357" s="14"/>
      <c r="P357" s="14"/>
      <c r="Q357" s="14"/>
      <c r="R357" s="14"/>
      <c r="S357" s="14"/>
      <c r="T357" s="14"/>
    </row>
    <row r="358" spans="1:20" ht="18.600000000000001" thickBot="1" x14ac:dyDescent="0.4">
      <c r="A358" s="91"/>
      <c r="B358" s="76"/>
      <c r="C358" s="5" t="s">
        <v>6</v>
      </c>
      <c r="D358" s="5">
        <v>61</v>
      </c>
      <c r="E358" s="5" t="s">
        <v>14</v>
      </c>
      <c r="F358" s="5">
        <v>80</v>
      </c>
      <c r="G358" s="5" t="s">
        <v>160</v>
      </c>
      <c r="H358" s="5" t="str">
        <f t="shared" si="370"/>
        <v>01100001110111011000000010101100</v>
      </c>
      <c r="I358" s="5">
        <f t="shared" si="371"/>
        <v>14</v>
      </c>
      <c r="J358" s="78"/>
      <c r="K358" s="80"/>
      <c r="L358" s="14" t="str">
        <f t="shared" si="378"/>
        <v>00100001010000100110001110000100</v>
      </c>
      <c r="M358" s="14" t="str">
        <f t="shared" ref="M358" si="411">CONCATENATE(MID(M357,6,8),MID(M357,30,3),MID(M357,1,5),MID(M357,22,8),MID(M357,14,8))</f>
        <v>01100001110111011000000010101100</v>
      </c>
      <c r="N358" s="14">
        <f t="shared" si="395"/>
        <v>33</v>
      </c>
      <c r="O358" s="14"/>
      <c r="P358" s="14"/>
      <c r="Q358" s="14"/>
      <c r="R358" s="14"/>
      <c r="S358" s="14"/>
      <c r="T358" s="14"/>
    </row>
    <row r="359" spans="1:20" x14ac:dyDescent="0.35">
      <c r="A359" s="91"/>
      <c r="B359" s="75">
        <f>B357+1</f>
        <v>179</v>
      </c>
      <c r="C359" s="4" t="s">
        <v>0</v>
      </c>
      <c r="D359" s="4">
        <v>87</v>
      </c>
      <c r="E359" s="4">
        <v>28</v>
      </c>
      <c r="F359" s="4" t="s">
        <v>59</v>
      </c>
      <c r="G359" s="4">
        <v>71</v>
      </c>
      <c r="H359" s="4" t="str">
        <f t="shared" si="370"/>
        <v>10000111001010000110101001110001</v>
      </c>
      <c r="I359" s="4">
        <f t="shared" si="371"/>
        <v>14</v>
      </c>
      <c r="J359" s="77">
        <v>85</v>
      </c>
      <c r="K359" s="79" t="str">
        <f>HEX2BIN(J359,8)</f>
        <v>10000101</v>
      </c>
      <c r="L359" s="43" t="str">
        <f t="shared" ref="L359" si="412">CONCATENATE(HEX2BIN(G359,8),HEX2BIN(F359,8),HEX2BIN(E359,8),HEX2BIN(D359,8))</f>
        <v>01110001011010100010100010000111</v>
      </c>
      <c r="M359" s="1" t="str">
        <f t="shared" si="377"/>
        <v>11110111011101011011100110011011</v>
      </c>
      <c r="N359" s="14">
        <f t="shared" si="393"/>
        <v>133</v>
      </c>
      <c r="O359" s="14"/>
      <c r="P359" s="14"/>
      <c r="Q359" s="14"/>
      <c r="R359" s="14"/>
      <c r="S359" s="14"/>
      <c r="T359" s="14"/>
    </row>
    <row r="360" spans="1:20" ht="18.600000000000001" thickBot="1" x14ac:dyDescent="0.4">
      <c r="A360" s="91"/>
      <c r="B360" s="76"/>
      <c r="C360" s="5" t="s">
        <v>6</v>
      </c>
      <c r="D360" s="5" t="s">
        <v>134</v>
      </c>
      <c r="E360" s="5" t="s">
        <v>79</v>
      </c>
      <c r="F360" s="5">
        <v>33</v>
      </c>
      <c r="G360" s="5" t="s">
        <v>143</v>
      </c>
      <c r="H360" s="5" t="str">
        <f t="shared" si="370"/>
        <v>11101110011111100011001110110111</v>
      </c>
      <c r="I360" s="5">
        <f t="shared" si="371"/>
        <v>22</v>
      </c>
      <c r="J360" s="78"/>
      <c r="K360" s="80"/>
      <c r="L360" s="14" t="str">
        <f t="shared" si="378"/>
        <v>10000110000010111001000100010100</v>
      </c>
      <c r="M360" s="14" t="str">
        <f t="shared" ref="M360" si="413">CONCATENATE(MID(M359,6,8),MID(M359,30,3),MID(M359,1,5),MID(M359,22,8),MID(M359,14,8))</f>
        <v>11101110011111100011001110110111</v>
      </c>
      <c r="N360" s="14">
        <f t="shared" si="395"/>
        <v>134</v>
      </c>
      <c r="O360" s="14"/>
      <c r="P360" s="14"/>
      <c r="Q360" s="14"/>
      <c r="R360" s="14"/>
      <c r="S360" s="14"/>
      <c r="T360" s="14"/>
    </row>
    <row r="361" spans="1:20" x14ac:dyDescent="0.35">
      <c r="A361" s="91"/>
      <c r="B361" s="75">
        <f>B359+1</f>
        <v>180</v>
      </c>
      <c r="C361" s="4" t="s">
        <v>0</v>
      </c>
      <c r="D361" s="4" t="s">
        <v>17</v>
      </c>
      <c r="E361" s="4" t="s">
        <v>79</v>
      </c>
      <c r="F361" s="4" t="s">
        <v>66</v>
      </c>
      <c r="G361" s="4" t="s">
        <v>79</v>
      </c>
      <c r="H361" s="4" t="str">
        <f t="shared" si="370"/>
        <v>01101100011111101111100001111110</v>
      </c>
      <c r="I361" s="4">
        <f t="shared" si="371"/>
        <v>21</v>
      </c>
      <c r="J361" s="77">
        <v>84</v>
      </c>
      <c r="K361" s="79" t="str">
        <f>HEX2BIN(J361,8)</f>
        <v>10000100</v>
      </c>
      <c r="L361" s="43" t="str">
        <f t="shared" ref="L361" si="414">CONCATENATE(HEX2BIN(G361,8),HEX2BIN(F361,8),HEX2BIN(E361,8),HEX2BIN(D361,8))</f>
        <v>01111110111110000111111001101100</v>
      </c>
      <c r="M361" s="1" t="str">
        <f t="shared" si="377"/>
        <v>00000100000000100000110001111100</v>
      </c>
      <c r="N361" s="14">
        <f t="shared" si="393"/>
        <v>142</v>
      </c>
      <c r="O361" s="14"/>
      <c r="P361" s="14"/>
      <c r="Q361" s="14"/>
      <c r="R361" s="14"/>
      <c r="S361" s="14"/>
      <c r="T361" s="14"/>
    </row>
    <row r="362" spans="1:20" ht="18.600000000000001" thickBot="1" x14ac:dyDescent="0.4">
      <c r="A362" s="91"/>
      <c r="B362" s="76"/>
      <c r="C362" s="5" t="s">
        <v>6</v>
      </c>
      <c r="D362" s="5">
        <v>80</v>
      </c>
      <c r="E362" s="5">
        <v>80</v>
      </c>
      <c r="F362" s="5" t="s">
        <v>153</v>
      </c>
      <c r="G362" s="5">
        <v>41</v>
      </c>
      <c r="H362" s="5" t="str">
        <f t="shared" si="370"/>
        <v>10000000100000001000111101000001</v>
      </c>
      <c r="I362" s="5">
        <f t="shared" si="371"/>
        <v>9</v>
      </c>
      <c r="J362" s="78"/>
      <c r="K362" s="80"/>
      <c r="L362" s="14" t="str">
        <f t="shared" si="378"/>
        <v>10000101000010011000111000010000</v>
      </c>
      <c r="M362" s="14" t="str">
        <f t="shared" ref="M362" si="415">CONCATENATE(MID(M361,6,8),MID(M361,30,3),MID(M361,1,5),MID(M361,22,8),MID(M361,14,8))</f>
        <v>10000000100000001000111101000001</v>
      </c>
      <c r="N362" s="14">
        <f t="shared" si="395"/>
        <v>133</v>
      </c>
      <c r="O362" s="14"/>
      <c r="P362" s="14"/>
      <c r="Q362" s="14"/>
      <c r="R362" s="14"/>
      <c r="S362" s="14"/>
      <c r="T362" s="14"/>
    </row>
    <row r="363" spans="1:20" x14ac:dyDescent="0.35">
      <c r="A363" s="91"/>
      <c r="B363" s="75">
        <f>B361+1</f>
        <v>181</v>
      </c>
      <c r="C363" s="4" t="s">
        <v>0</v>
      </c>
      <c r="D363" s="4">
        <v>7</v>
      </c>
      <c r="E363" s="4" t="s">
        <v>44</v>
      </c>
      <c r="F363" s="4" t="s">
        <v>158</v>
      </c>
      <c r="G363" s="4">
        <v>30</v>
      </c>
      <c r="H363" s="4" t="str">
        <f t="shared" si="370"/>
        <v>00000111101010001110010100110000</v>
      </c>
      <c r="I363" s="4">
        <f t="shared" si="371"/>
        <v>13</v>
      </c>
      <c r="J363" s="77">
        <v>56</v>
      </c>
      <c r="K363" s="79" t="str">
        <f>HEX2BIN(J363,8)</f>
        <v>01010110</v>
      </c>
      <c r="L363" s="43" t="str">
        <f t="shared" ref="L363" si="416">CONCATENATE(HEX2BIN(G363,8),HEX2BIN(F363,8),HEX2BIN(E363,8),HEX2BIN(D363,8))</f>
        <v>00110000111001011010100000000111</v>
      </c>
      <c r="M363" s="1" t="str">
        <f t="shared" si="377"/>
        <v>10000111100100101010101101011111</v>
      </c>
      <c r="N363" s="14">
        <f t="shared" si="393"/>
        <v>136</v>
      </c>
      <c r="O363" s="14"/>
      <c r="P363" s="14"/>
      <c r="Q363" s="14"/>
      <c r="R363" s="14"/>
      <c r="S363" s="14"/>
      <c r="T363" s="14"/>
    </row>
    <row r="364" spans="1:20" ht="18.600000000000001" thickBot="1" x14ac:dyDescent="0.4">
      <c r="A364" s="91"/>
      <c r="B364" s="76"/>
      <c r="C364" s="5" t="s">
        <v>6</v>
      </c>
      <c r="D364" s="5" t="s">
        <v>96</v>
      </c>
      <c r="E364" s="5" t="s">
        <v>16</v>
      </c>
      <c r="F364" s="5" t="s">
        <v>97</v>
      </c>
      <c r="G364" s="5">
        <v>55</v>
      </c>
      <c r="H364" s="5" t="str">
        <f t="shared" si="370"/>
        <v>11110010111100000110101101010101</v>
      </c>
      <c r="I364" s="5">
        <f t="shared" si="371"/>
        <v>18</v>
      </c>
      <c r="J364" s="78"/>
      <c r="K364" s="80"/>
      <c r="L364" s="14" t="str">
        <f t="shared" si="378"/>
        <v>01010110101011010000001101011000</v>
      </c>
      <c r="M364" s="14" t="str">
        <f t="shared" ref="M364" si="417">CONCATENATE(MID(M363,6,8),MID(M363,30,3),MID(M363,1,5),MID(M363,22,8),MID(M363,14,8))</f>
        <v>11110010111100000110101101010101</v>
      </c>
      <c r="N364" s="14">
        <f t="shared" si="395"/>
        <v>86</v>
      </c>
      <c r="O364" s="14"/>
      <c r="P364" s="14"/>
      <c r="Q364" s="14"/>
      <c r="R364" s="14"/>
      <c r="S364" s="14"/>
      <c r="T364" s="14"/>
    </row>
    <row r="365" spans="1:20" x14ac:dyDescent="0.35">
      <c r="A365" s="91"/>
      <c r="B365" s="75">
        <f>B363+1</f>
        <v>182</v>
      </c>
      <c r="C365" s="4" t="s">
        <v>0</v>
      </c>
      <c r="D365" s="4" t="s">
        <v>13</v>
      </c>
      <c r="E365" s="4" t="s">
        <v>39</v>
      </c>
      <c r="F365" s="4">
        <v>93</v>
      </c>
      <c r="G365" s="4" t="s">
        <v>18</v>
      </c>
      <c r="H365" s="4" t="str">
        <f t="shared" si="370"/>
        <v>10011110100011101001001100101011</v>
      </c>
      <c r="I365" s="4">
        <f t="shared" si="371"/>
        <v>17</v>
      </c>
      <c r="J365" s="77">
        <v>44</v>
      </c>
      <c r="K365" s="79" t="str">
        <f>HEX2BIN(J365,8)</f>
        <v>01000100</v>
      </c>
      <c r="L365" s="43" t="str">
        <f t="shared" ref="L365" si="418">CONCATENATE(HEX2BIN(G365,8),HEX2BIN(F365,8),HEX2BIN(E365,8),HEX2BIN(D365,8))</f>
        <v>00101011100100111000111010011110</v>
      </c>
      <c r="M365" s="1" t="str">
        <f t="shared" si="377"/>
        <v>01110000000111000101101110101110</v>
      </c>
      <c r="N365" s="14">
        <f t="shared" si="393"/>
        <v>59</v>
      </c>
      <c r="O365" s="14"/>
      <c r="P365" s="14"/>
      <c r="Q365" s="14"/>
      <c r="R365" s="14"/>
      <c r="S365" s="14"/>
      <c r="T365" s="14"/>
    </row>
    <row r="366" spans="1:20" ht="18.600000000000001" thickBot="1" x14ac:dyDescent="0.4">
      <c r="A366" s="91"/>
      <c r="B366" s="76"/>
      <c r="C366" s="5" t="s">
        <v>6</v>
      </c>
      <c r="D366" s="5">
        <v>3</v>
      </c>
      <c r="E366" s="5" t="s">
        <v>138</v>
      </c>
      <c r="F366" s="5">
        <v>75</v>
      </c>
      <c r="G366" s="5" t="s">
        <v>157</v>
      </c>
      <c r="H366" s="5" t="str">
        <f t="shared" si="370"/>
        <v>00000011110011100111010110001011</v>
      </c>
      <c r="I366" s="5">
        <f t="shared" si="371"/>
        <v>16</v>
      </c>
      <c r="J366" s="78"/>
      <c r="K366" s="80"/>
      <c r="L366" s="14" t="str">
        <f t="shared" si="378"/>
        <v>01000100100010001100110100010000</v>
      </c>
      <c r="M366" s="14" t="str">
        <f t="shared" ref="M366" si="419">CONCATENATE(MID(M365,6,8),MID(M365,30,3),MID(M365,1,5),MID(M365,22,8),MID(M365,14,8))</f>
        <v>00000011110011100111010110001011</v>
      </c>
      <c r="N366" s="14">
        <f t="shared" si="395"/>
        <v>68</v>
      </c>
      <c r="O366" s="14"/>
      <c r="P366" s="14"/>
      <c r="Q366" s="14"/>
      <c r="R366" s="14"/>
      <c r="S366" s="14"/>
      <c r="T366" s="14"/>
    </row>
    <row r="367" spans="1:20" x14ac:dyDescent="0.35">
      <c r="A367" s="91"/>
      <c r="B367" s="75">
        <f>B365+1</f>
        <v>183</v>
      </c>
      <c r="C367" s="4" t="s">
        <v>0</v>
      </c>
      <c r="D367" s="4">
        <v>4</v>
      </c>
      <c r="E367" s="4">
        <v>66</v>
      </c>
      <c r="F367" s="4">
        <v>90</v>
      </c>
      <c r="G367" s="4" t="s">
        <v>146</v>
      </c>
      <c r="H367" s="4" t="str">
        <f t="shared" si="370"/>
        <v>00000100011001101001000010111011</v>
      </c>
      <c r="I367" s="4">
        <f t="shared" si="371"/>
        <v>13</v>
      </c>
      <c r="J367" s="77" t="s">
        <v>164</v>
      </c>
      <c r="K367" s="79" t="str">
        <f>HEX2BIN(J367,8)</f>
        <v>00001110</v>
      </c>
      <c r="L367" s="43" t="str">
        <f t="shared" ref="L367" si="420">CONCATENATE(HEX2BIN(G367,8),HEX2BIN(F367,8),HEX2BIN(E367,8),HEX2BIN(D367,8))</f>
        <v>10111011100100000110011000000100</v>
      </c>
      <c r="M367" s="1" t="str">
        <f t="shared" si="377"/>
        <v>11001001101011001001000000111100</v>
      </c>
      <c r="N367" s="14">
        <f t="shared" si="393"/>
        <v>243</v>
      </c>
      <c r="O367" s="14"/>
      <c r="P367" s="14"/>
      <c r="Q367" s="14"/>
      <c r="R367" s="14"/>
      <c r="S367" s="14"/>
      <c r="T367" s="14"/>
    </row>
    <row r="368" spans="1:20" ht="18.600000000000001" thickBot="1" x14ac:dyDescent="0.4">
      <c r="A368" s="91"/>
      <c r="B368" s="76"/>
      <c r="C368" s="5" t="s">
        <v>6</v>
      </c>
      <c r="D368" s="5">
        <v>35</v>
      </c>
      <c r="E368" s="5">
        <v>99</v>
      </c>
      <c r="F368" s="5">
        <v>7</v>
      </c>
      <c r="G368" s="5">
        <v>92</v>
      </c>
      <c r="H368" s="5" t="str">
        <f t="shared" si="370"/>
        <v>00110101100110010000011110010010</v>
      </c>
      <c r="I368" s="5">
        <f t="shared" si="371"/>
        <v>14</v>
      </c>
      <c r="J368" s="78"/>
      <c r="K368" s="80"/>
      <c r="L368" s="14" t="str">
        <f t="shared" si="378"/>
        <v>00001110000111000010101000111000</v>
      </c>
      <c r="M368" s="14" t="str">
        <f t="shared" ref="M368" si="421">CONCATENATE(MID(M367,6,8),MID(M367,30,3),MID(M367,1,5),MID(M367,22,8),MID(M367,14,8))</f>
        <v>00110101100110010000011110010010</v>
      </c>
      <c r="N368" s="14">
        <f t="shared" si="395"/>
        <v>14</v>
      </c>
      <c r="O368" s="14"/>
      <c r="P368" s="14"/>
      <c r="Q368" s="14"/>
      <c r="R368" s="14"/>
      <c r="S368" s="14"/>
      <c r="T368" s="14"/>
    </row>
    <row r="369" spans="1:20" x14ac:dyDescent="0.35">
      <c r="A369" s="91"/>
      <c r="B369" s="75">
        <f>B367+1</f>
        <v>184</v>
      </c>
      <c r="C369" s="4" t="s">
        <v>0</v>
      </c>
      <c r="D369" s="4" t="s">
        <v>141</v>
      </c>
      <c r="E369" s="4">
        <v>17</v>
      </c>
      <c r="F369" s="4">
        <v>94</v>
      </c>
      <c r="G369" s="4" t="s">
        <v>165</v>
      </c>
      <c r="H369" s="4" t="str">
        <f t="shared" si="370"/>
        <v>10101011000101111001010010111001</v>
      </c>
      <c r="I369" s="4">
        <f t="shared" si="371"/>
        <v>17</v>
      </c>
      <c r="J369" s="77" t="s">
        <v>99</v>
      </c>
      <c r="K369" s="79" t="str">
        <f>HEX2BIN(J369,8)</f>
        <v>10100010</v>
      </c>
      <c r="L369" s="43" t="str">
        <f t="shared" ref="L369" si="422">CONCATENATE(HEX2BIN(G369,8),HEX2BIN(F369,8),HEX2BIN(E369,8),HEX2BIN(D369,8))</f>
        <v>10111001100101000001011110101011</v>
      </c>
      <c r="M369" s="1" t="str">
        <f t="shared" si="377"/>
        <v>01011100110110100000000000110011</v>
      </c>
      <c r="N369" s="14">
        <f t="shared" si="393"/>
        <v>65</v>
      </c>
      <c r="O369" s="14"/>
      <c r="P369" s="14"/>
      <c r="Q369" s="14"/>
      <c r="R369" s="14"/>
      <c r="S369" s="14"/>
      <c r="T369" s="14"/>
    </row>
    <row r="370" spans="1:20" ht="18.600000000000001" thickBot="1" x14ac:dyDescent="0.4">
      <c r="A370" s="91"/>
      <c r="B370" s="76"/>
      <c r="C370" s="5" t="s">
        <v>6</v>
      </c>
      <c r="D370" s="5" t="s">
        <v>40</v>
      </c>
      <c r="E370" s="5" t="s">
        <v>97</v>
      </c>
      <c r="F370" s="5">
        <v>6</v>
      </c>
      <c r="G370" s="5">
        <v>40</v>
      </c>
      <c r="H370" s="5" t="str">
        <f t="shared" si="370"/>
        <v>10011011011010110000011001000000</v>
      </c>
      <c r="I370" s="5">
        <f t="shared" si="371"/>
        <v>13</v>
      </c>
      <c r="J370" s="78"/>
      <c r="K370" s="80"/>
      <c r="L370" s="14" t="str">
        <f t="shared" si="378"/>
        <v>10100011010001011110100010001000</v>
      </c>
      <c r="M370" s="14" t="str">
        <f t="shared" ref="M370" si="423">CONCATENATE(MID(M369,6,8),MID(M369,30,3),MID(M369,1,5),MID(M369,22,8),MID(M369,14,8))</f>
        <v>10011011011010110000011001000000</v>
      </c>
      <c r="N370" s="14">
        <f t="shared" si="395"/>
        <v>163</v>
      </c>
      <c r="O370" s="14"/>
      <c r="P370" s="14"/>
      <c r="Q370" s="14"/>
      <c r="R370" s="14"/>
      <c r="S370" s="14"/>
      <c r="T370" s="14"/>
    </row>
    <row r="371" spans="1:20" x14ac:dyDescent="0.35">
      <c r="A371" s="91">
        <f>A355+1</f>
        <v>24</v>
      </c>
      <c r="B371" s="75">
        <f>B369+1</f>
        <v>185</v>
      </c>
      <c r="C371" s="4" t="s">
        <v>0</v>
      </c>
      <c r="D371" s="4">
        <v>76</v>
      </c>
      <c r="E371" s="4" t="s">
        <v>34</v>
      </c>
      <c r="F371" s="4" t="s">
        <v>82</v>
      </c>
      <c r="G371" s="4" t="s">
        <v>64</v>
      </c>
      <c r="H371" s="4" t="str">
        <f t="shared" si="370"/>
        <v>01110110111010101100110100011100</v>
      </c>
      <c r="I371" s="4">
        <f t="shared" si="371"/>
        <v>18</v>
      </c>
      <c r="J371" s="77">
        <v>0</v>
      </c>
      <c r="K371" s="79" t="str">
        <f>HEX2BIN(J371,8)</f>
        <v>00000000</v>
      </c>
      <c r="L371" s="43" t="str">
        <f t="shared" ref="L371" si="424">CONCATENATE(HEX2BIN(G371,8),HEX2BIN(F371,8),HEX2BIN(E371,8),HEX2BIN(D371,8))</f>
        <v>00011100110011011110101001110110</v>
      </c>
      <c r="M371" s="1" t="str">
        <f t="shared" si="377"/>
        <v>00011100110011011110101001110110</v>
      </c>
      <c r="N371" s="14">
        <f t="shared" si="393"/>
        <v>28</v>
      </c>
      <c r="O371" s="14"/>
      <c r="P371" s="14"/>
      <c r="Q371" s="14"/>
      <c r="R371" s="14"/>
      <c r="S371" s="14"/>
      <c r="T371" s="14"/>
    </row>
    <row r="372" spans="1:20" ht="18.600000000000001" thickBot="1" x14ac:dyDescent="0.4">
      <c r="A372" s="91"/>
      <c r="B372" s="76"/>
      <c r="C372" s="5" t="s">
        <v>6</v>
      </c>
      <c r="D372" s="5">
        <v>99</v>
      </c>
      <c r="E372" s="5" t="s">
        <v>78</v>
      </c>
      <c r="F372" s="5" t="s">
        <v>54</v>
      </c>
      <c r="G372" s="5" t="s">
        <v>25</v>
      </c>
      <c r="H372" s="5" t="str">
        <f t="shared" si="370"/>
        <v>10011001110000110100111010111101</v>
      </c>
      <c r="I372" s="5">
        <f t="shared" si="371"/>
        <v>18</v>
      </c>
      <c r="J372" s="78"/>
      <c r="K372" s="80"/>
      <c r="L372" s="14" t="str">
        <f t="shared" si="378"/>
        <v>00000000000000000000000000000000</v>
      </c>
      <c r="M372" s="14" t="str">
        <f t="shared" ref="M372" si="425">CONCATENATE(MID(M371,6,8),MID(M371,30,3),MID(M371,1,5),MID(M371,22,8),MID(M371,14,8))</f>
        <v>10011001110000110100111010111101</v>
      </c>
      <c r="N372" s="14">
        <f t="shared" si="395"/>
        <v>0</v>
      </c>
      <c r="O372" s="14"/>
      <c r="P372" s="14"/>
      <c r="Q372" s="14"/>
      <c r="R372" s="14"/>
      <c r="S372" s="14"/>
      <c r="T372" s="14"/>
    </row>
    <row r="373" spans="1:20" x14ac:dyDescent="0.35">
      <c r="A373" s="91"/>
      <c r="B373" s="75">
        <f>B371+1</f>
        <v>186</v>
      </c>
      <c r="C373" s="4" t="s">
        <v>0</v>
      </c>
      <c r="D373" s="4">
        <v>75</v>
      </c>
      <c r="E373" s="4" t="s">
        <v>77</v>
      </c>
      <c r="F373" s="4" t="s">
        <v>130</v>
      </c>
      <c r="G373" s="4">
        <v>99</v>
      </c>
      <c r="H373" s="4" t="str">
        <f t="shared" si="370"/>
        <v>01110101111001101100101010011001</v>
      </c>
      <c r="I373" s="4">
        <f t="shared" si="371"/>
        <v>18</v>
      </c>
      <c r="J373" s="77" t="s">
        <v>88</v>
      </c>
      <c r="K373" s="79" t="str">
        <f>HEX2BIN(J373,8)</f>
        <v>11100001</v>
      </c>
      <c r="L373" s="43" t="str">
        <f t="shared" ref="L373" si="426">CONCATENATE(HEX2BIN(G373,8),HEX2BIN(F373,8),HEX2BIN(E373,8),HEX2BIN(D373,8))</f>
        <v>10011001110010101110011001110101</v>
      </c>
      <c r="M373" s="1" t="str">
        <f t="shared" si="377"/>
        <v>01111100100011111000110011111001</v>
      </c>
      <c r="N373" s="14">
        <f t="shared" si="393"/>
        <v>29</v>
      </c>
      <c r="O373" s="14"/>
      <c r="P373" s="14"/>
      <c r="Q373" s="14"/>
      <c r="R373" s="14"/>
      <c r="S373" s="14"/>
      <c r="T373" s="14"/>
    </row>
    <row r="374" spans="1:20" ht="18.600000000000001" thickBot="1" x14ac:dyDescent="0.4">
      <c r="A374" s="91"/>
      <c r="B374" s="76"/>
      <c r="C374" s="5" t="s">
        <v>6</v>
      </c>
      <c r="D374" s="5">
        <v>91</v>
      </c>
      <c r="E374" s="5" t="s">
        <v>74</v>
      </c>
      <c r="F374" s="5" t="s">
        <v>65</v>
      </c>
      <c r="G374" s="5" t="s">
        <v>148</v>
      </c>
      <c r="H374" s="5" t="str">
        <f t="shared" si="370"/>
        <v>10010001001011111001111111110001</v>
      </c>
      <c r="I374" s="5">
        <f t="shared" si="371"/>
        <v>19</v>
      </c>
      <c r="J374" s="78"/>
      <c r="K374" s="80"/>
      <c r="L374" s="14" t="str">
        <f t="shared" si="378"/>
        <v>11100010110001001010011010000100</v>
      </c>
      <c r="M374" s="14" t="str">
        <f t="shared" ref="M374" si="427">CONCATENATE(MID(M373,6,8),MID(M373,30,3),MID(M373,1,5),MID(M373,22,8),MID(M373,14,8))</f>
        <v>10010001001011111001111111110001</v>
      </c>
      <c r="N374" s="14">
        <f t="shared" si="395"/>
        <v>226</v>
      </c>
      <c r="O374" s="14"/>
      <c r="P374" s="14"/>
      <c r="Q374" s="14"/>
      <c r="R374" s="14"/>
      <c r="S374" s="14"/>
      <c r="T374" s="14"/>
    </row>
    <row r="375" spans="1:20" x14ac:dyDescent="0.35">
      <c r="A375" s="91"/>
      <c r="B375" s="83">
        <f>B373+1</f>
        <v>187</v>
      </c>
      <c r="C375" s="4" t="s">
        <v>0</v>
      </c>
      <c r="D375" s="4" t="s">
        <v>83</v>
      </c>
      <c r="E375" s="4" t="s">
        <v>48</v>
      </c>
      <c r="F375" s="4">
        <v>52</v>
      </c>
      <c r="G375" s="4" t="s">
        <v>105</v>
      </c>
      <c r="H375" s="4" t="str">
        <f t="shared" si="370"/>
        <v>11100111110001010101001011101101</v>
      </c>
      <c r="I375" s="4">
        <f t="shared" si="371"/>
        <v>19</v>
      </c>
      <c r="J375" s="77">
        <v>64</v>
      </c>
      <c r="K375" s="79" t="str">
        <f>HEX2BIN(J375,8)</f>
        <v>01100100</v>
      </c>
      <c r="L375" s="43" t="str">
        <f t="shared" ref="L375" si="428">CONCATENATE(HEX2BIN(G375,8),HEX2BIN(F375,8),HEX2BIN(E375,8),HEX2BIN(D375,8))</f>
        <v>11101101010100101100010111100111</v>
      </c>
      <c r="M375" s="1" t="str">
        <f t="shared" si="377"/>
        <v>01010010000110111111001101110111</v>
      </c>
      <c r="N375" s="14">
        <f t="shared" si="393"/>
        <v>125</v>
      </c>
      <c r="O375" s="14"/>
      <c r="P375" s="14"/>
      <c r="Q375" s="14"/>
      <c r="R375" s="14"/>
      <c r="S375" s="14"/>
      <c r="T375" s="14"/>
    </row>
    <row r="376" spans="1:20" ht="18.600000000000001" thickBot="1" x14ac:dyDescent="0.4">
      <c r="A376" s="91"/>
      <c r="B376" s="84"/>
      <c r="C376" s="5" t="s">
        <v>6</v>
      </c>
      <c r="D376" s="5">
        <v>43</v>
      </c>
      <c r="E376" s="5" t="s">
        <v>34</v>
      </c>
      <c r="F376" s="5" t="s">
        <v>91</v>
      </c>
      <c r="G376" s="5" t="s">
        <v>79</v>
      </c>
      <c r="H376" s="5" t="str">
        <f t="shared" si="370"/>
        <v>01000011111010100110111001111110</v>
      </c>
      <c r="I376" s="5">
        <f t="shared" si="371"/>
        <v>19</v>
      </c>
      <c r="J376" s="78"/>
      <c r="K376" s="80"/>
      <c r="L376" s="14" t="str">
        <f t="shared" si="378"/>
        <v>01100100110010010010110110010000</v>
      </c>
      <c r="M376" s="14" t="str">
        <f t="shared" ref="M376" si="429">CONCATENATE(MID(M375,6,8),MID(M375,30,3),MID(M375,1,5),MID(M375,22,8),MID(M375,14,8))</f>
        <v>01000011111010100110111001111110</v>
      </c>
      <c r="N376" s="14">
        <f t="shared" si="395"/>
        <v>100</v>
      </c>
      <c r="O376" s="14"/>
      <c r="P376" s="14"/>
      <c r="Q376" s="14"/>
      <c r="R376" s="14"/>
      <c r="S376" s="14"/>
      <c r="T376" s="14"/>
    </row>
    <row r="377" spans="1:20" x14ac:dyDescent="0.35">
      <c r="A377" s="91"/>
      <c r="B377" s="75">
        <f>B375+1</f>
        <v>188</v>
      </c>
      <c r="C377" s="4" t="s">
        <v>0</v>
      </c>
      <c r="D377" s="4">
        <v>36</v>
      </c>
      <c r="E377" s="4" t="s">
        <v>118</v>
      </c>
      <c r="F377" s="4" t="s">
        <v>38</v>
      </c>
      <c r="G377" s="4" t="s">
        <v>83</v>
      </c>
      <c r="H377" s="4" t="str">
        <f t="shared" si="370"/>
        <v>00110110000011001010010011100111</v>
      </c>
      <c r="I377" s="4">
        <f t="shared" si="371"/>
        <v>15</v>
      </c>
      <c r="J377" s="77">
        <v>3</v>
      </c>
      <c r="K377" s="79" t="str">
        <f>HEX2BIN(J377,8)</f>
        <v>00000011</v>
      </c>
      <c r="L377" s="43" t="str">
        <f t="shared" ref="L377" si="430">CONCATENATE(HEX2BIN(G377,8),HEX2BIN(F377,8),HEX2BIN(E377,8),HEX2BIN(D377,8))</f>
        <v>11100111101001000000110000110110</v>
      </c>
      <c r="M377" s="1" t="str">
        <f t="shared" si="377"/>
        <v>11101010101010100001010101000010</v>
      </c>
      <c r="N377" s="14">
        <f t="shared" si="393"/>
        <v>243</v>
      </c>
      <c r="O377" s="14"/>
      <c r="P377" s="14"/>
      <c r="Q377" s="14"/>
      <c r="R377" s="14"/>
      <c r="S377" s="14"/>
      <c r="T377" s="14"/>
    </row>
    <row r="378" spans="1:20" ht="18.600000000000001" thickBot="1" x14ac:dyDescent="0.4">
      <c r="A378" s="91"/>
      <c r="B378" s="76"/>
      <c r="C378" s="5" t="s">
        <v>6</v>
      </c>
      <c r="D378" s="5">
        <v>55</v>
      </c>
      <c r="E378" s="5" t="s">
        <v>70</v>
      </c>
      <c r="F378" s="5" t="s">
        <v>44</v>
      </c>
      <c r="G378" s="5">
        <v>42</v>
      </c>
      <c r="H378" s="5" t="str">
        <f t="shared" si="370"/>
        <v>01010101010111011010100001000010</v>
      </c>
      <c r="I378" s="5">
        <f t="shared" si="371"/>
        <v>14</v>
      </c>
      <c r="J378" s="78"/>
      <c r="K378" s="80"/>
      <c r="L378" s="14" t="str">
        <f t="shared" si="378"/>
        <v>00000011000001100000100100001100</v>
      </c>
      <c r="M378" s="14" t="str">
        <f t="shared" ref="M378" si="431">CONCATENATE(MID(M377,6,8),MID(M377,30,3),MID(M377,1,5),MID(M377,22,8),MID(M377,14,8))</f>
        <v>01010101010111011010100001000010</v>
      </c>
      <c r="N378" s="14">
        <f t="shared" si="395"/>
        <v>3</v>
      </c>
      <c r="O378" s="14"/>
      <c r="P378" s="14"/>
      <c r="Q378" s="14"/>
      <c r="R378" s="14"/>
      <c r="S378" s="14"/>
      <c r="T378" s="14"/>
    </row>
    <row r="379" spans="1:20" x14ac:dyDescent="0.35">
      <c r="A379" s="91"/>
      <c r="B379" s="75">
        <f>B377+1</f>
        <v>189</v>
      </c>
      <c r="C379" s="4" t="s">
        <v>0</v>
      </c>
      <c r="D379" s="4" t="s">
        <v>23</v>
      </c>
      <c r="E379" s="4">
        <v>98</v>
      </c>
      <c r="F379" s="4" t="s">
        <v>21</v>
      </c>
      <c r="G379" s="4" t="s">
        <v>103</v>
      </c>
      <c r="H379" s="4" t="str">
        <f t="shared" si="370"/>
        <v>10110010100110001111101010101111</v>
      </c>
      <c r="I379" s="4">
        <f t="shared" si="371"/>
        <v>19</v>
      </c>
      <c r="J379" s="77" t="s">
        <v>133</v>
      </c>
      <c r="K379" s="79" t="str">
        <f>HEX2BIN(J379,8)</f>
        <v>11000111</v>
      </c>
      <c r="L379" s="43" t="str">
        <f t="shared" ref="L379" si="432">CONCATENATE(HEX2BIN(G379,8),HEX2BIN(F379,8),HEX2BIN(E379,8),HEX2BIN(D379,8))</f>
        <v>10101111111110101001100010110010</v>
      </c>
      <c r="M379" s="1" t="str">
        <f t="shared" si="377"/>
        <v>01111000100010101111000011001110</v>
      </c>
      <c r="N379" s="14">
        <f t="shared" si="393"/>
        <v>203</v>
      </c>
      <c r="O379" s="14"/>
      <c r="P379" s="14"/>
      <c r="Q379" s="14"/>
      <c r="R379" s="14"/>
      <c r="S379" s="14"/>
      <c r="T379" s="14"/>
    </row>
    <row r="380" spans="1:20" ht="18.600000000000001" thickBot="1" x14ac:dyDescent="0.4">
      <c r="A380" s="91"/>
      <c r="B380" s="76"/>
      <c r="C380" s="5" t="s">
        <v>6</v>
      </c>
      <c r="D380" s="5">
        <v>11</v>
      </c>
      <c r="E380" s="5" t="s">
        <v>80</v>
      </c>
      <c r="F380" s="5">
        <v>19</v>
      </c>
      <c r="G380" s="5" t="s">
        <v>52</v>
      </c>
      <c r="H380" s="5" t="str">
        <f t="shared" si="370"/>
        <v>00010001110011110001100101011110</v>
      </c>
      <c r="I380" s="5">
        <f t="shared" si="371"/>
        <v>16</v>
      </c>
      <c r="J380" s="78"/>
      <c r="K380" s="80"/>
      <c r="L380" s="14" t="str">
        <f t="shared" si="378"/>
        <v>11001000100100000101100000011100</v>
      </c>
      <c r="M380" s="14" t="str">
        <f t="shared" ref="M380" si="433">CONCATENATE(MID(M379,6,8),MID(M379,30,3),MID(M379,1,5),MID(M379,22,8),MID(M379,14,8))</f>
        <v>00010001110011110001100101011110</v>
      </c>
      <c r="N380" s="14">
        <f t="shared" si="395"/>
        <v>200</v>
      </c>
      <c r="O380" s="14"/>
      <c r="P380" s="14"/>
      <c r="Q380" s="14"/>
      <c r="R380" s="14"/>
      <c r="S380" s="14"/>
      <c r="T380" s="14"/>
    </row>
    <row r="381" spans="1:20" x14ac:dyDescent="0.35">
      <c r="A381" s="91"/>
      <c r="B381" s="75">
        <f>B379+1</f>
        <v>190</v>
      </c>
      <c r="C381" s="4" t="s">
        <v>0</v>
      </c>
      <c r="D381" s="4">
        <v>27</v>
      </c>
      <c r="E381" s="4" t="s">
        <v>78</v>
      </c>
      <c r="F381" s="4" t="s">
        <v>25</v>
      </c>
      <c r="G381" s="4" t="s">
        <v>165</v>
      </c>
      <c r="H381" s="4" t="str">
        <f t="shared" si="370"/>
        <v>00100111110000111011110110111001</v>
      </c>
      <c r="I381" s="4">
        <f t="shared" si="371"/>
        <v>19</v>
      </c>
      <c r="J381" s="77" t="s">
        <v>84</v>
      </c>
      <c r="K381" s="79" t="str">
        <f>HEX2BIN(J381,8)</f>
        <v>00111100</v>
      </c>
      <c r="L381" s="43" t="str">
        <f t="shared" ref="L381" si="434">CONCATENATE(HEX2BIN(G381,8),HEX2BIN(F381,8),HEX2BIN(E381,8),HEX2BIN(D381,8))</f>
        <v>10111001101111011100001100100111</v>
      </c>
      <c r="M381" s="1" t="str">
        <f t="shared" si="377"/>
        <v>11110110001101100111100000010111</v>
      </c>
      <c r="N381" s="14">
        <f t="shared" si="393"/>
        <v>169</v>
      </c>
      <c r="O381" s="14"/>
      <c r="P381" s="14"/>
      <c r="Q381" s="14"/>
      <c r="R381" s="14"/>
      <c r="S381" s="14"/>
      <c r="T381" s="14"/>
    </row>
    <row r="382" spans="1:20" ht="18.600000000000001" thickBot="1" x14ac:dyDescent="0.4">
      <c r="A382" s="91"/>
      <c r="B382" s="76"/>
      <c r="C382" s="5" t="s">
        <v>6</v>
      </c>
      <c r="D382" s="5" t="s">
        <v>126</v>
      </c>
      <c r="E382" s="5" t="s">
        <v>68</v>
      </c>
      <c r="F382" s="5">
        <v>2</v>
      </c>
      <c r="G382" s="5" t="s">
        <v>80</v>
      </c>
      <c r="H382" s="5" t="str">
        <f t="shared" si="370"/>
        <v>11000110111111100000001011001111</v>
      </c>
      <c r="I382" s="5">
        <f t="shared" si="371"/>
        <v>18</v>
      </c>
      <c r="J382" s="78"/>
      <c r="K382" s="80"/>
      <c r="L382" s="14" t="str">
        <f t="shared" si="378"/>
        <v>00111100011110001011010011110000</v>
      </c>
      <c r="M382" s="14" t="str">
        <f t="shared" ref="M382" si="435">CONCATENATE(MID(M381,6,8),MID(M381,30,3),MID(M381,1,5),MID(M381,22,8),MID(M381,14,8))</f>
        <v>11000110111111100000001011001111</v>
      </c>
      <c r="N382" s="14">
        <f t="shared" si="395"/>
        <v>60</v>
      </c>
      <c r="O382" s="14"/>
      <c r="P382" s="14"/>
      <c r="Q382" s="14"/>
      <c r="R382" s="14"/>
      <c r="S382" s="14"/>
      <c r="T382" s="14"/>
    </row>
    <row r="383" spans="1:20" x14ac:dyDescent="0.35">
      <c r="A383" s="91"/>
      <c r="B383" s="75">
        <f>B381+1</f>
        <v>191</v>
      </c>
      <c r="C383" s="4" t="s">
        <v>0</v>
      </c>
      <c r="D383" s="4">
        <v>74</v>
      </c>
      <c r="E383" s="4">
        <v>66</v>
      </c>
      <c r="F383" s="4" t="s">
        <v>66</v>
      </c>
      <c r="G383" s="4">
        <v>60</v>
      </c>
      <c r="H383" s="4" t="str">
        <f t="shared" si="370"/>
        <v>01110100011001101111100001100000</v>
      </c>
      <c r="I383" s="4">
        <f t="shared" si="371"/>
        <v>15</v>
      </c>
      <c r="J383" s="77" t="s">
        <v>132</v>
      </c>
      <c r="K383" s="79" t="str">
        <f>HEX2BIN(J383,8)</f>
        <v>10001100</v>
      </c>
      <c r="L383" s="43" t="str">
        <f t="shared" ref="L383" si="436">CONCATENATE(HEX2BIN(G383,8),HEX2BIN(F383,8),HEX2BIN(E383,8),HEX2BIN(D383,8))</f>
        <v>01100000111110000110011001110100</v>
      </c>
      <c r="M383" s="1" t="str">
        <f t="shared" si="377"/>
        <v>11101110000100100000110010100100</v>
      </c>
      <c r="N383" s="14">
        <f t="shared" si="393"/>
        <v>144</v>
      </c>
      <c r="O383" s="14"/>
      <c r="P383" s="14"/>
      <c r="Q383" s="14"/>
      <c r="R383" s="14"/>
      <c r="S383" s="14"/>
      <c r="T383" s="14"/>
    </row>
    <row r="384" spans="1:20" ht="18.600000000000001" thickBot="1" x14ac:dyDescent="0.4">
      <c r="A384" s="91"/>
      <c r="B384" s="76"/>
      <c r="C384" s="5" t="s">
        <v>6</v>
      </c>
      <c r="D384" s="5" t="s">
        <v>29</v>
      </c>
      <c r="E384" s="5" t="s">
        <v>147</v>
      </c>
      <c r="F384" s="5">
        <v>94</v>
      </c>
      <c r="G384" s="5">
        <v>41</v>
      </c>
      <c r="H384" s="5" t="str">
        <f t="shared" si="370"/>
        <v>11000010100111011001010001000001</v>
      </c>
      <c r="I384" s="5">
        <f t="shared" si="371"/>
        <v>13</v>
      </c>
      <c r="J384" s="78"/>
      <c r="K384" s="80"/>
      <c r="L384" s="14" t="str">
        <f t="shared" si="378"/>
        <v>10001101000110011010011000110000</v>
      </c>
      <c r="M384" s="14" t="str">
        <f t="shared" ref="M384" si="437">CONCATENATE(MID(M383,6,8),MID(M383,30,3),MID(M383,1,5),MID(M383,22,8),MID(M383,14,8))</f>
        <v>11000010100111011001010001000001</v>
      </c>
      <c r="N384" s="14">
        <f t="shared" si="395"/>
        <v>141</v>
      </c>
      <c r="O384" s="14"/>
      <c r="P384" s="14"/>
      <c r="Q384" s="14"/>
      <c r="R384" s="14"/>
      <c r="S384" s="14"/>
      <c r="T384" s="14"/>
    </row>
    <row r="385" spans="1:20" x14ac:dyDescent="0.35">
      <c r="A385" s="91"/>
      <c r="B385" s="75">
        <f>B383+1</f>
        <v>192</v>
      </c>
      <c r="C385" s="4" t="s">
        <v>0</v>
      </c>
      <c r="D385" s="4" t="s">
        <v>158</v>
      </c>
      <c r="E385" s="4" t="s">
        <v>52</v>
      </c>
      <c r="F385" s="4">
        <v>29</v>
      </c>
      <c r="G385" s="4" t="s">
        <v>66</v>
      </c>
      <c r="H385" s="4" t="str">
        <f t="shared" si="370"/>
        <v>11100101010111100010100111111000</v>
      </c>
      <c r="I385" s="4">
        <f t="shared" si="371"/>
        <v>18</v>
      </c>
      <c r="J385" s="77">
        <v>30</v>
      </c>
      <c r="K385" s="79" t="str">
        <f>HEX2BIN(J385,8)</f>
        <v>00110000</v>
      </c>
      <c r="L385" s="43" t="str">
        <f t="shared" ref="L385" si="438">CONCATENATE(HEX2BIN(G385,8),HEX2BIN(F385,8),HEX2BIN(E385,8),HEX2BIN(D385,8))</f>
        <v>11111000001010010101111011100101</v>
      </c>
      <c r="M385" s="1" t="str">
        <f t="shared" si="377"/>
        <v>00101000100010011110111110100101</v>
      </c>
      <c r="N385" s="14">
        <f t="shared" si="393"/>
        <v>184</v>
      </c>
      <c r="O385" s="14"/>
      <c r="P385" s="14"/>
      <c r="Q385" s="14"/>
      <c r="R385" s="14"/>
      <c r="S385" s="14"/>
      <c r="T385" s="14"/>
    </row>
    <row r="386" spans="1:20" ht="18.600000000000001" thickBot="1" x14ac:dyDescent="0.4">
      <c r="A386" s="91"/>
      <c r="B386" s="76"/>
      <c r="C386" s="5" t="s">
        <v>6</v>
      </c>
      <c r="D386" s="5">
        <v>11</v>
      </c>
      <c r="E386" s="5" t="s">
        <v>154</v>
      </c>
      <c r="F386" s="5" t="s">
        <v>81</v>
      </c>
      <c r="G386" s="5" t="s">
        <v>60</v>
      </c>
      <c r="H386" s="5" t="str">
        <f t="shared" si="370"/>
        <v>00010001101001011111010000111101</v>
      </c>
      <c r="I386" s="5">
        <f t="shared" si="371"/>
        <v>16</v>
      </c>
      <c r="J386" s="78"/>
      <c r="K386" s="80"/>
      <c r="L386" s="14" t="str">
        <f t="shared" si="378"/>
        <v>00110000011000001001000011000000</v>
      </c>
      <c r="M386" s="14" t="str">
        <f t="shared" ref="M386" si="439">CONCATENATE(MID(M385,6,8),MID(M385,30,3),MID(M385,1,5),MID(M385,22,8),MID(M385,14,8))</f>
        <v>00010001101001011111010000111101</v>
      </c>
      <c r="N386" s="14">
        <f t="shared" si="395"/>
        <v>48</v>
      </c>
      <c r="O386" s="14"/>
      <c r="P386" s="14"/>
      <c r="Q386" s="14"/>
      <c r="R386" s="14"/>
      <c r="S386" s="14"/>
      <c r="T386" s="14"/>
    </row>
    <row r="387" spans="1:20" s="7" customFormat="1" x14ac:dyDescent="0.35">
      <c r="A387" s="91">
        <f>A371+1</f>
        <v>25</v>
      </c>
      <c r="B387" s="75">
        <f>B385+1</f>
        <v>193</v>
      </c>
      <c r="C387" s="6" t="s">
        <v>0</v>
      </c>
      <c r="D387" s="6"/>
      <c r="E387" s="6"/>
      <c r="F387" s="6"/>
      <c r="G387" s="6"/>
      <c r="H387" s="8" t="s">
        <v>166</v>
      </c>
      <c r="I387" s="6">
        <f t="shared" ref="I387:I450" si="440">MID(H387,1,1)+MID(H387,2,1)+MID(H387,3,1)+MID(H387,4,1)+MID(H387,5,1)+MID(H387,6,1)+MID(H387,7,1)+MID(H387,8,1)+MID(H387,9,1)+MID(H387,10,1)+MID(H387,11,1)+MID(H387,12,1)+MID(H387,13,1)+MID(H387,14,1)+MID(H387,15,1)+MID(H387,16,1)+MID(H387,17,1)+MID(H387,18,1)+MID(H387,19,1)+MID(H387,20,1)+MID(H387,21,1)+MID(H387,22,1)+MID(H387,23,1)+MID(H387,24,1)+MID(H387,25,1)+MID(H387,26,1)+MID(H387,27,1)+MID(H387,28,1)+MID(H387,29,1)+MID(H387,30,1)+MID(H387,31,1)+MID(H387,32,1)</f>
        <v>14</v>
      </c>
      <c r="J387" s="77">
        <v>38</v>
      </c>
      <c r="K387" s="79" t="str">
        <f>HEX2BIN(J387,8)</f>
        <v>00111000</v>
      </c>
      <c r="T387" s="95"/>
    </row>
    <row r="388" spans="1:20" s="7" customFormat="1" ht="18.600000000000001" thickBot="1" x14ac:dyDescent="0.4">
      <c r="A388" s="91"/>
      <c r="B388" s="76"/>
      <c r="C388" s="11" t="s">
        <v>6</v>
      </c>
      <c r="D388" s="11"/>
      <c r="E388" s="11"/>
      <c r="F388" s="11"/>
      <c r="G388" s="11"/>
      <c r="H388" s="12" t="s">
        <v>167</v>
      </c>
      <c r="I388" s="11">
        <f t="shared" si="440"/>
        <v>14</v>
      </c>
      <c r="J388" s="78"/>
      <c r="K388" s="80"/>
      <c r="T388" s="95"/>
    </row>
    <row r="389" spans="1:20" x14ac:dyDescent="0.35">
      <c r="A389" s="91"/>
      <c r="B389" s="75">
        <f>B387+1</f>
        <v>194</v>
      </c>
      <c r="C389" s="4" t="s">
        <v>0</v>
      </c>
      <c r="D389" s="4"/>
      <c r="E389" s="4"/>
      <c r="F389" s="4"/>
      <c r="G389" s="4"/>
      <c r="H389" s="10" t="s">
        <v>168</v>
      </c>
      <c r="I389" s="4">
        <f t="shared" si="440"/>
        <v>18</v>
      </c>
      <c r="J389" s="77" t="s">
        <v>21</v>
      </c>
      <c r="K389" s="79" t="str">
        <f>HEX2BIN(J389,8)</f>
        <v>11111010</v>
      </c>
      <c r="T389" s="95"/>
    </row>
    <row r="390" spans="1:20" ht="18.600000000000001" thickBot="1" x14ac:dyDescent="0.4">
      <c r="A390" s="91"/>
      <c r="B390" s="76"/>
      <c r="C390" s="5" t="s">
        <v>6</v>
      </c>
      <c r="D390" s="5"/>
      <c r="E390" s="5"/>
      <c r="F390" s="5"/>
      <c r="G390" s="5"/>
      <c r="H390" s="9" t="s">
        <v>169</v>
      </c>
      <c r="I390" s="5">
        <f t="shared" si="440"/>
        <v>18</v>
      </c>
      <c r="J390" s="78"/>
      <c r="K390" s="80"/>
      <c r="T390" s="95"/>
    </row>
    <row r="391" spans="1:20" x14ac:dyDescent="0.35">
      <c r="A391" s="91"/>
      <c r="B391" s="75">
        <f>B389+1</f>
        <v>195</v>
      </c>
      <c r="C391" s="4" t="s">
        <v>0</v>
      </c>
      <c r="D391" s="4"/>
      <c r="E391" s="4"/>
      <c r="F391" s="4"/>
      <c r="G391" s="4"/>
      <c r="H391" s="10" t="s">
        <v>170</v>
      </c>
      <c r="I391" s="4">
        <f t="shared" si="440"/>
        <v>16</v>
      </c>
      <c r="J391" s="77">
        <v>38</v>
      </c>
      <c r="K391" s="79" t="str">
        <f>HEX2BIN(J391,8)</f>
        <v>00111000</v>
      </c>
      <c r="T391" s="95"/>
    </row>
    <row r="392" spans="1:20" ht="18.600000000000001" thickBot="1" x14ac:dyDescent="0.4">
      <c r="A392" s="91"/>
      <c r="B392" s="76"/>
      <c r="C392" s="5" t="s">
        <v>6</v>
      </c>
      <c r="D392" s="5"/>
      <c r="E392" s="5"/>
      <c r="F392" s="5"/>
      <c r="G392" s="5"/>
      <c r="H392" s="9" t="s">
        <v>171</v>
      </c>
      <c r="I392" s="5">
        <f t="shared" si="440"/>
        <v>16</v>
      </c>
      <c r="J392" s="78"/>
      <c r="K392" s="80"/>
      <c r="T392" s="95"/>
    </row>
    <row r="393" spans="1:20" x14ac:dyDescent="0.35">
      <c r="A393" s="91"/>
      <c r="B393" s="75">
        <f>B391+1</f>
        <v>196</v>
      </c>
      <c r="C393" s="4" t="s">
        <v>0</v>
      </c>
      <c r="D393" s="4"/>
      <c r="E393" s="4"/>
      <c r="F393" s="4"/>
      <c r="G393" s="4"/>
      <c r="H393" s="10" t="s">
        <v>172</v>
      </c>
      <c r="I393" s="4">
        <f t="shared" si="440"/>
        <v>13</v>
      </c>
      <c r="J393" s="77">
        <v>38</v>
      </c>
      <c r="K393" s="79" t="str">
        <f>HEX2BIN(J393,8)</f>
        <v>00111000</v>
      </c>
    </row>
    <row r="394" spans="1:20" ht="18.600000000000001" thickBot="1" x14ac:dyDescent="0.4">
      <c r="A394" s="91"/>
      <c r="B394" s="76"/>
      <c r="C394" s="5" t="s">
        <v>6</v>
      </c>
      <c r="D394" s="5"/>
      <c r="E394" s="5"/>
      <c r="F394" s="5"/>
      <c r="G394" s="5"/>
      <c r="H394" s="9" t="s">
        <v>173</v>
      </c>
      <c r="I394" s="5">
        <f t="shared" si="440"/>
        <v>13</v>
      </c>
      <c r="J394" s="78"/>
      <c r="K394" s="80"/>
    </row>
    <row r="395" spans="1:20" x14ac:dyDescent="0.35">
      <c r="A395" s="91"/>
      <c r="B395" s="75">
        <f>B393+1</f>
        <v>197</v>
      </c>
      <c r="C395" s="4" t="s">
        <v>0</v>
      </c>
      <c r="D395" s="4"/>
      <c r="E395" s="4"/>
      <c r="F395" s="4"/>
      <c r="G395" s="4"/>
      <c r="H395" s="10" t="s">
        <v>174</v>
      </c>
      <c r="I395" s="4">
        <f t="shared" si="440"/>
        <v>19</v>
      </c>
      <c r="J395" s="77">
        <v>38</v>
      </c>
      <c r="K395" s="79" t="str">
        <f>HEX2BIN(J395,8)</f>
        <v>00111000</v>
      </c>
    </row>
    <row r="396" spans="1:20" ht="18.600000000000001" thickBot="1" x14ac:dyDescent="0.4">
      <c r="A396" s="91"/>
      <c r="B396" s="76"/>
      <c r="C396" s="5" t="s">
        <v>6</v>
      </c>
      <c r="D396" s="5"/>
      <c r="E396" s="5"/>
      <c r="F396" s="5"/>
      <c r="G396" s="5"/>
      <c r="H396" s="9" t="s">
        <v>175</v>
      </c>
      <c r="I396" s="5">
        <f t="shared" si="440"/>
        <v>19</v>
      </c>
      <c r="J396" s="78"/>
      <c r="K396" s="80"/>
    </row>
    <row r="397" spans="1:20" x14ac:dyDescent="0.35">
      <c r="A397" s="91"/>
      <c r="B397" s="75">
        <f>B395+1</f>
        <v>198</v>
      </c>
      <c r="C397" s="4" t="s">
        <v>0</v>
      </c>
      <c r="D397" s="4"/>
      <c r="E397" s="4"/>
      <c r="F397" s="4"/>
      <c r="G397" s="4"/>
      <c r="H397" s="10" t="s">
        <v>176</v>
      </c>
      <c r="I397" s="4">
        <f t="shared" si="440"/>
        <v>16</v>
      </c>
      <c r="J397" s="77">
        <v>38</v>
      </c>
      <c r="K397" s="79" t="str">
        <f>HEX2BIN(J397,8)</f>
        <v>00111000</v>
      </c>
    </row>
    <row r="398" spans="1:20" ht="18.600000000000001" thickBot="1" x14ac:dyDescent="0.4">
      <c r="A398" s="91"/>
      <c r="B398" s="76"/>
      <c r="C398" s="5" t="s">
        <v>6</v>
      </c>
      <c r="D398" s="5"/>
      <c r="E398" s="5"/>
      <c r="F398" s="5"/>
      <c r="G398" s="5"/>
      <c r="H398" s="9" t="s">
        <v>177</v>
      </c>
      <c r="I398" s="5">
        <f t="shared" si="440"/>
        <v>16</v>
      </c>
      <c r="J398" s="78"/>
      <c r="K398" s="80"/>
    </row>
    <row r="399" spans="1:20" x14ac:dyDescent="0.35">
      <c r="A399" s="91"/>
      <c r="B399" s="75">
        <f>B397+1</f>
        <v>199</v>
      </c>
      <c r="C399" s="4" t="s">
        <v>0</v>
      </c>
      <c r="D399" s="4">
        <v>9</v>
      </c>
      <c r="E399" s="4">
        <v>46</v>
      </c>
      <c r="F399" s="4" t="s">
        <v>134</v>
      </c>
      <c r="G399" s="4" t="s">
        <v>13</v>
      </c>
      <c r="H399" s="10" t="str">
        <f t="shared" ref="H399:H450" si="441">CONCATENATE(HEX2BIN(D399,8),HEX2BIN(E399,8),HEX2BIN(F399,8),HEX2BIN(G399,8))</f>
        <v>00001001010001101110111010011110</v>
      </c>
      <c r="I399" s="4">
        <f t="shared" si="440"/>
        <v>16</v>
      </c>
      <c r="J399" s="77" t="s">
        <v>151</v>
      </c>
      <c r="K399" s="79" t="str">
        <f>HEX2BIN(J399,8)</f>
        <v>11001001</v>
      </c>
      <c r="L399" s="1">
        <f>IF(H400=L400,1,0)</f>
        <v>1</v>
      </c>
    </row>
    <row r="400" spans="1:20" ht="18.600000000000001" thickBot="1" x14ac:dyDescent="0.4">
      <c r="A400" s="91"/>
      <c r="B400" s="76"/>
      <c r="C400" s="5" t="s">
        <v>6</v>
      </c>
      <c r="D400" s="5" t="s">
        <v>41</v>
      </c>
      <c r="E400" s="5" t="s">
        <v>72</v>
      </c>
      <c r="F400" s="5">
        <v>98</v>
      </c>
      <c r="G400" s="5">
        <v>69</v>
      </c>
      <c r="H400" s="5" t="str">
        <f t="shared" si="441"/>
        <v>01111011010110101001100001101001</v>
      </c>
      <c r="I400" s="5">
        <f t="shared" si="440"/>
        <v>17</v>
      </c>
      <c r="J400" s="78"/>
      <c r="K400" s="80"/>
      <c r="L400" s="13" t="s">
        <v>316</v>
      </c>
      <c r="M400" s="1">
        <v>100</v>
      </c>
      <c r="N400" s="1">
        <v>1</v>
      </c>
    </row>
    <row r="401" spans="1:11" x14ac:dyDescent="0.35">
      <c r="A401" s="91"/>
      <c r="B401" s="75">
        <f>B399+1</f>
        <v>200</v>
      </c>
      <c r="C401" s="4" t="s">
        <v>0</v>
      </c>
      <c r="D401" s="4" t="s">
        <v>16</v>
      </c>
      <c r="E401" s="4" t="s">
        <v>17</v>
      </c>
      <c r="F401" s="4">
        <v>52</v>
      </c>
      <c r="G401" s="4">
        <v>56</v>
      </c>
      <c r="H401" s="4" t="str">
        <f t="shared" si="441"/>
        <v>11110000011011000101001001010110</v>
      </c>
      <c r="I401" s="4">
        <f t="shared" si="440"/>
        <v>15</v>
      </c>
      <c r="J401" s="77" t="s">
        <v>21</v>
      </c>
      <c r="K401" s="79" t="str">
        <f>HEX2BIN(J401,8)</f>
        <v>11111010</v>
      </c>
    </row>
    <row r="402" spans="1:11" ht="18.600000000000001" thickBot="1" x14ac:dyDescent="0.4">
      <c r="A402" s="91"/>
      <c r="B402" s="76"/>
      <c r="C402" s="5" t="s">
        <v>6</v>
      </c>
      <c r="D402" s="5">
        <v>49</v>
      </c>
      <c r="E402" s="5" t="s">
        <v>20</v>
      </c>
      <c r="F402" s="5" t="s">
        <v>19</v>
      </c>
      <c r="G402" s="5" t="s">
        <v>18</v>
      </c>
      <c r="H402" s="5" t="str">
        <f t="shared" si="441"/>
        <v>01001001000010101101101100101011</v>
      </c>
      <c r="I402" s="5">
        <f t="shared" si="440"/>
        <v>15</v>
      </c>
      <c r="J402" s="78"/>
      <c r="K402" s="80"/>
    </row>
    <row r="403" spans="1:11" x14ac:dyDescent="0.35">
      <c r="B403" s="75">
        <f>B401+1</f>
        <v>201</v>
      </c>
      <c r="C403" s="4" t="s">
        <v>0</v>
      </c>
      <c r="D403" s="4" t="s">
        <v>22</v>
      </c>
      <c r="E403" s="4" t="s">
        <v>23</v>
      </c>
      <c r="F403" s="4">
        <v>78</v>
      </c>
      <c r="G403" s="4" t="s">
        <v>24</v>
      </c>
      <c r="H403" s="4" t="str">
        <f t="shared" si="441"/>
        <v>11010101101100100111100010110101</v>
      </c>
      <c r="I403" s="4">
        <f t="shared" si="440"/>
        <v>18</v>
      </c>
      <c r="J403" s="77">
        <v>38</v>
      </c>
      <c r="K403" s="79" t="str">
        <f>HEX2BIN(J403,8)</f>
        <v>00111000</v>
      </c>
    </row>
    <row r="404" spans="1:11" ht="18.600000000000001" thickBot="1" x14ac:dyDescent="0.4">
      <c r="B404" s="76"/>
      <c r="C404" s="5" t="s">
        <v>6</v>
      </c>
      <c r="D404" s="5" t="s">
        <v>25</v>
      </c>
      <c r="E404" s="5" t="s">
        <v>25</v>
      </c>
      <c r="F404" s="5">
        <v>76</v>
      </c>
      <c r="G404" s="5" t="s">
        <v>18</v>
      </c>
      <c r="H404" s="5" t="str">
        <f t="shared" si="441"/>
        <v>10111101101111010111011000101011</v>
      </c>
      <c r="I404" s="5">
        <f t="shared" si="440"/>
        <v>21</v>
      </c>
      <c r="J404" s="78"/>
      <c r="K404" s="80"/>
    </row>
    <row r="405" spans="1:11" x14ac:dyDescent="0.35">
      <c r="B405" s="75">
        <f>B403+1</f>
        <v>202</v>
      </c>
      <c r="C405" s="4" t="s">
        <v>0</v>
      </c>
      <c r="D405" s="4" t="s">
        <v>22</v>
      </c>
      <c r="E405" s="4" t="s">
        <v>23</v>
      </c>
      <c r="F405" s="4">
        <v>78</v>
      </c>
      <c r="G405" s="4" t="s">
        <v>24</v>
      </c>
      <c r="H405" s="4" t="str">
        <f t="shared" si="441"/>
        <v>11010101101100100111100010110101</v>
      </c>
      <c r="I405" s="4">
        <f t="shared" si="440"/>
        <v>18</v>
      </c>
      <c r="J405" s="77">
        <v>38</v>
      </c>
      <c r="K405" s="79" t="str">
        <f>HEX2BIN(J405,8)</f>
        <v>00111000</v>
      </c>
    </row>
    <row r="406" spans="1:11" ht="18.600000000000001" thickBot="1" x14ac:dyDescent="0.4">
      <c r="B406" s="76"/>
      <c r="C406" s="5" t="s">
        <v>6</v>
      </c>
      <c r="D406" s="5" t="s">
        <v>25</v>
      </c>
      <c r="E406" s="5" t="s">
        <v>25</v>
      </c>
      <c r="F406" s="5">
        <v>76</v>
      </c>
      <c r="G406" s="5" t="s">
        <v>18</v>
      </c>
      <c r="H406" s="5" t="str">
        <f t="shared" si="441"/>
        <v>10111101101111010111011000101011</v>
      </c>
      <c r="I406" s="5">
        <f t="shared" si="440"/>
        <v>21</v>
      </c>
      <c r="J406" s="78"/>
      <c r="K406" s="80"/>
    </row>
    <row r="407" spans="1:11" x14ac:dyDescent="0.35">
      <c r="B407" s="75">
        <f>B405+1</f>
        <v>203</v>
      </c>
      <c r="C407" s="4" t="s">
        <v>0</v>
      </c>
      <c r="D407" s="4" t="s">
        <v>22</v>
      </c>
      <c r="E407" s="4" t="s">
        <v>23</v>
      </c>
      <c r="F407" s="4">
        <v>78</v>
      </c>
      <c r="G407" s="4" t="s">
        <v>24</v>
      </c>
      <c r="H407" s="4" t="str">
        <f t="shared" si="441"/>
        <v>11010101101100100111100010110101</v>
      </c>
      <c r="I407" s="4">
        <f t="shared" si="440"/>
        <v>18</v>
      </c>
      <c r="J407" s="77">
        <v>38</v>
      </c>
      <c r="K407" s="79" t="str">
        <f>HEX2BIN(J407,8)</f>
        <v>00111000</v>
      </c>
    </row>
    <row r="408" spans="1:11" ht="18.600000000000001" thickBot="1" x14ac:dyDescent="0.4">
      <c r="B408" s="76"/>
      <c r="C408" s="5" t="s">
        <v>6</v>
      </c>
      <c r="D408" s="5" t="s">
        <v>25</v>
      </c>
      <c r="E408" s="5" t="s">
        <v>25</v>
      </c>
      <c r="F408" s="5">
        <v>76</v>
      </c>
      <c r="G408" s="5" t="s">
        <v>18</v>
      </c>
      <c r="H408" s="5" t="str">
        <f t="shared" si="441"/>
        <v>10111101101111010111011000101011</v>
      </c>
      <c r="I408" s="5">
        <f t="shared" si="440"/>
        <v>21</v>
      </c>
      <c r="J408" s="78"/>
      <c r="K408" s="80"/>
    </row>
    <row r="409" spans="1:11" x14ac:dyDescent="0.35">
      <c r="B409" s="75">
        <f>B407+1</f>
        <v>204</v>
      </c>
      <c r="C409" s="4" t="s">
        <v>0</v>
      </c>
      <c r="D409" s="4" t="s">
        <v>22</v>
      </c>
      <c r="E409" s="4" t="s">
        <v>23</v>
      </c>
      <c r="F409" s="4">
        <v>78</v>
      </c>
      <c r="G409" s="4" t="s">
        <v>24</v>
      </c>
      <c r="H409" s="4" t="str">
        <f t="shared" si="441"/>
        <v>11010101101100100111100010110101</v>
      </c>
      <c r="I409" s="4">
        <f t="shared" si="440"/>
        <v>18</v>
      </c>
      <c r="J409" s="77">
        <v>38</v>
      </c>
      <c r="K409" s="79" t="str">
        <f>HEX2BIN(J409,8)</f>
        <v>00111000</v>
      </c>
    </row>
    <row r="410" spans="1:11" ht="18.600000000000001" thickBot="1" x14ac:dyDescent="0.4">
      <c r="B410" s="76"/>
      <c r="C410" s="5" t="s">
        <v>6</v>
      </c>
      <c r="D410" s="5" t="s">
        <v>25</v>
      </c>
      <c r="E410" s="5" t="s">
        <v>25</v>
      </c>
      <c r="F410" s="5">
        <v>76</v>
      </c>
      <c r="G410" s="5" t="s">
        <v>18</v>
      </c>
      <c r="H410" s="5" t="str">
        <f t="shared" si="441"/>
        <v>10111101101111010111011000101011</v>
      </c>
      <c r="I410" s="5">
        <f t="shared" si="440"/>
        <v>21</v>
      </c>
      <c r="J410" s="78"/>
      <c r="K410" s="80"/>
    </row>
    <row r="411" spans="1:11" x14ac:dyDescent="0.35">
      <c r="B411" s="75">
        <f>B409+1</f>
        <v>205</v>
      </c>
      <c r="C411" s="4" t="s">
        <v>0</v>
      </c>
      <c r="D411" s="4" t="s">
        <v>22</v>
      </c>
      <c r="E411" s="4" t="s">
        <v>23</v>
      </c>
      <c r="F411" s="4">
        <v>78</v>
      </c>
      <c r="G411" s="4" t="s">
        <v>24</v>
      </c>
      <c r="H411" s="4" t="str">
        <f t="shared" si="441"/>
        <v>11010101101100100111100010110101</v>
      </c>
      <c r="I411" s="4">
        <f t="shared" si="440"/>
        <v>18</v>
      </c>
      <c r="J411" s="77">
        <v>38</v>
      </c>
      <c r="K411" s="79" t="str">
        <f>HEX2BIN(J411,8)</f>
        <v>00111000</v>
      </c>
    </row>
    <row r="412" spans="1:11" ht="18.600000000000001" thickBot="1" x14ac:dyDescent="0.4">
      <c r="B412" s="76"/>
      <c r="C412" s="5" t="s">
        <v>6</v>
      </c>
      <c r="D412" s="5" t="s">
        <v>25</v>
      </c>
      <c r="E412" s="5" t="s">
        <v>25</v>
      </c>
      <c r="F412" s="5">
        <v>76</v>
      </c>
      <c r="G412" s="5" t="s">
        <v>18</v>
      </c>
      <c r="H412" s="5" t="str">
        <f t="shared" si="441"/>
        <v>10111101101111010111011000101011</v>
      </c>
      <c r="I412" s="5">
        <f t="shared" si="440"/>
        <v>21</v>
      </c>
      <c r="J412" s="78"/>
      <c r="K412" s="80"/>
    </row>
    <row r="413" spans="1:11" x14ac:dyDescent="0.35">
      <c r="B413" s="75">
        <f>B411+1</f>
        <v>206</v>
      </c>
      <c r="C413" s="4" t="s">
        <v>0</v>
      </c>
      <c r="D413" s="4" t="s">
        <v>16</v>
      </c>
      <c r="E413" s="4" t="s">
        <v>17</v>
      </c>
      <c r="F413" s="4">
        <v>52</v>
      </c>
      <c r="G413" s="4">
        <v>56</v>
      </c>
      <c r="H413" s="4" t="str">
        <f t="shared" si="441"/>
        <v>11110000011011000101001001010110</v>
      </c>
      <c r="I413" s="4">
        <f t="shared" si="440"/>
        <v>15</v>
      </c>
      <c r="J413" s="77" t="s">
        <v>21</v>
      </c>
      <c r="K413" s="79" t="str">
        <f>HEX2BIN(J413,8)</f>
        <v>11111010</v>
      </c>
    </row>
    <row r="414" spans="1:11" ht="18.600000000000001" thickBot="1" x14ac:dyDescent="0.4">
      <c r="B414" s="76"/>
      <c r="C414" s="5" t="s">
        <v>6</v>
      </c>
      <c r="D414" s="5">
        <v>49</v>
      </c>
      <c r="E414" s="5" t="s">
        <v>20</v>
      </c>
      <c r="F414" s="5" t="s">
        <v>19</v>
      </c>
      <c r="G414" s="5" t="s">
        <v>18</v>
      </c>
      <c r="H414" s="5" t="str">
        <f t="shared" si="441"/>
        <v>01001001000010101101101100101011</v>
      </c>
      <c r="I414" s="5">
        <f t="shared" si="440"/>
        <v>15</v>
      </c>
      <c r="J414" s="78"/>
      <c r="K414" s="80"/>
    </row>
    <row r="415" spans="1:11" x14ac:dyDescent="0.35">
      <c r="B415" s="75">
        <f>B413+1</f>
        <v>207</v>
      </c>
      <c r="C415" s="4" t="s">
        <v>0</v>
      </c>
      <c r="D415" s="4" t="s">
        <v>22</v>
      </c>
      <c r="E415" s="4" t="s">
        <v>23</v>
      </c>
      <c r="F415" s="4">
        <v>78</v>
      </c>
      <c r="G415" s="4" t="s">
        <v>24</v>
      </c>
      <c r="H415" s="4" t="str">
        <f t="shared" si="441"/>
        <v>11010101101100100111100010110101</v>
      </c>
      <c r="I415" s="4">
        <f t="shared" si="440"/>
        <v>18</v>
      </c>
      <c r="J415" s="77">
        <v>38</v>
      </c>
      <c r="K415" s="79" t="str">
        <f>HEX2BIN(J415,8)</f>
        <v>00111000</v>
      </c>
    </row>
    <row r="416" spans="1:11" ht="18.600000000000001" thickBot="1" x14ac:dyDescent="0.4">
      <c r="B416" s="76"/>
      <c r="C416" s="5" t="s">
        <v>6</v>
      </c>
      <c r="D416" s="5" t="s">
        <v>25</v>
      </c>
      <c r="E416" s="5" t="s">
        <v>25</v>
      </c>
      <c r="F416" s="5">
        <v>76</v>
      </c>
      <c r="G416" s="5" t="s">
        <v>18</v>
      </c>
      <c r="H416" s="5" t="str">
        <f t="shared" si="441"/>
        <v>10111101101111010111011000101011</v>
      </c>
      <c r="I416" s="5">
        <f t="shared" si="440"/>
        <v>21</v>
      </c>
      <c r="J416" s="78"/>
      <c r="K416" s="80"/>
    </row>
    <row r="417" spans="2:11" x14ac:dyDescent="0.35">
      <c r="B417" s="75">
        <f>B415+1</f>
        <v>208</v>
      </c>
      <c r="C417" s="4" t="s">
        <v>0</v>
      </c>
      <c r="D417" s="4" t="s">
        <v>22</v>
      </c>
      <c r="E417" s="4" t="s">
        <v>23</v>
      </c>
      <c r="F417" s="4">
        <v>78</v>
      </c>
      <c r="G417" s="4" t="s">
        <v>24</v>
      </c>
      <c r="H417" s="4" t="str">
        <f t="shared" si="441"/>
        <v>11010101101100100111100010110101</v>
      </c>
      <c r="I417" s="4">
        <f t="shared" si="440"/>
        <v>18</v>
      </c>
      <c r="J417" s="77">
        <v>38</v>
      </c>
      <c r="K417" s="79" t="str">
        <f>HEX2BIN(J417,8)</f>
        <v>00111000</v>
      </c>
    </row>
    <row r="418" spans="2:11" ht="18.600000000000001" thickBot="1" x14ac:dyDescent="0.4">
      <c r="B418" s="76"/>
      <c r="C418" s="5" t="s">
        <v>6</v>
      </c>
      <c r="D418" s="5" t="s">
        <v>25</v>
      </c>
      <c r="E418" s="5" t="s">
        <v>25</v>
      </c>
      <c r="F418" s="5">
        <v>76</v>
      </c>
      <c r="G418" s="5" t="s">
        <v>18</v>
      </c>
      <c r="H418" s="5" t="str">
        <f t="shared" si="441"/>
        <v>10111101101111010111011000101011</v>
      </c>
      <c r="I418" s="5">
        <f t="shared" si="440"/>
        <v>21</v>
      </c>
      <c r="J418" s="78"/>
      <c r="K418" s="80"/>
    </row>
    <row r="419" spans="2:11" x14ac:dyDescent="0.35">
      <c r="B419" s="75">
        <f>B417+1</f>
        <v>209</v>
      </c>
      <c r="C419" s="4" t="s">
        <v>0</v>
      </c>
      <c r="D419" s="4" t="s">
        <v>22</v>
      </c>
      <c r="E419" s="4" t="s">
        <v>23</v>
      </c>
      <c r="F419" s="4">
        <v>78</v>
      </c>
      <c r="G419" s="4" t="s">
        <v>24</v>
      </c>
      <c r="H419" s="4" t="str">
        <f t="shared" si="441"/>
        <v>11010101101100100111100010110101</v>
      </c>
      <c r="I419" s="4">
        <f t="shared" si="440"/>
        <v>18</v>
      </c>
      <c r="J419" s="77">
        <v>38</v>
      </c>
      <c r="K419" s="79" t="str">
        <f>HEX2BIN(J419,8)</f>
        <v>00111000</v>
      </c>
    </row>
    <row r="420" spans="2:11" ht="18.600000000000001" thickBot="1" x14ac:dyDescent="0.4">
      <c r="B420" s="76"/>
      <c r="C420" s="5" t="s">
        <v>6</v>
      </c>
      <c r="D420" s="5" t="s">
        <v>25</v>
      </c>
      <c r="E420" s="5" t="s">
        <v>25</v>
      </c>
      <c r="F420" s="5">
        <v>76</v>
      </c>
      <c r="G420" s="5" t="s">
        <v>18</v>
      </c>
      <c r="H420" s="5" t="str">
        <f t="shared" si="441"/>
        <v>10111101101111010111011000101011</v>
      </c>
      <c r="I420" s="5">
        <f t="shared" si="440"/>
        <v>21</v>
      </c>
      <c r="J420" s="78"/>
      <c r="K420" s="80"/>
    </row>
    <row r="421" spans="2:11" x14ac:dyDescent="0.35">
      <c r="B421" s="75">
        <f>B419+1</f>
        <v>210</v>
      </c>
      <c r="C421" s="4" t="s">
        <v>0</v>
      </c>
      <c r="D421" s="4" t="s">
        <v>22</v>
      </c>
      <c r="E421" s="4" t="s">
        <v>23</v>
      </c>
      <c r="F421" s="4">
        <v>78</v>
      </c>
      <c r="G421" s="4" t="s">
        <v>24</v>
      </c>
      <c r="H421" s="4" t="str">
        <f t="shared" si="441"/>
        <v>11010101101100100111100010110101</v>
      </c>
      <c r="I421" s="4">
        <f t="shared" si="440"/>
        <v>18</v>
      </c>
      <c r="J421" s="77">
        <v>38</v>
      </c>
      <c r="K421" s="79" t="str">
        <f>HEX2BIN(J421,8)</f>
        <v>00111000</v>
      </c>
    </row>
    <row r="422" spans="2:11" ht="18.600000000000001" thickBot="1" x14ac:dyDescent="0.4">
      <c r="B422" s="76"/>
      <c r="C422" s="5" t="s">
        <v>6</v>
      </c>
      <c r="D422" s="5" t="s">
        <v>25</v>
      </c>
      <c r="E422" s="5" t="s">
        <v>25</v>
      </c>
      <c r="F422" s="5">
        <v>76</v>
      </c>
      <c r="G422" s="5" t="s">
        <v>18</v>
      </c>
      <c r="H422" s="5" t="str">
        <f t="shared" si="441"/>
        <v>10111101101111010111011000101011</v>
      </c>
      <c r="I422" s="5">
        <f t="shared" si="440"/>
        <v>21</v>
      </c>
      <c r="J422" s="78"/>
      <c r="K422" s="80"/>
    </row>
    <row r="423" spans="2:11" x14ac:dyDescent="0.35">
      <c r="B423" s="75">
        <f>B421+1</f>
        <v>211</v>
      </c>
      <c r="C423" s="4" t="s">
        <v>0</v>
      </c>
      <c r="D423" s="4" t="s">
        <v>22</v>
      </c>
      <c r="E423" s="4" t="s">
        <v>23</v>
      </c>
      <c r="F423" s="4">
        <v>78</v>
      </c>
      <c r="G423" s="4" t="s">
        <v>24</v>
      </c>
      <c r="H423" s="4" t="str">
        <f t="shared" si="441"/>
        <v>11010101101100100111100010110101</v>
      </c>
      <c r="I423" s="4">
        <f t="shared" si="440"/>
        <v>18</v>
      </c>
      <c r="J423" s="77">
        <v>38</v>
      </c>
      <c r="K423" s="79" t="str">
        <f>HEX2BIN(J423,8)</f>
        <v>00111000</v>
      </c>
    </row>
    <row r="424" spans="2:11" ht="18.600000000000001" thickBot="1" x14ac:dyDescent="0.4">
      <c r="B424" s="76"/>
      <c r="C424" s="5" t="s">
        <v>6</v>
      </c>
      <c r="D424" s="5" t="s">
        <v>25</v>
      </c>
      <c r="E424" s="5" t="s">
        <v>25</v>
      </c>
      <c r="F424" s="5">
        <v>76</v>
      </c>
      <c r="G424" s="5" t="s">
        <v>18</v>
      </c>
      <c r="H424" s="5" t="str">
        <f t="shared" si="441"/>
        <v>10111101101111010111011000101011</v>
      </c>
      <c r="I424" s="5">
        <f t="shared" si="440"/>
        <v>21</v>
      </c>
      <c r="J424" s="78"/>
      <c r="K424" s="80"/>
    </row>
    <row r="425" spans="2:11" x14ac:dyDescent="0.35">
      <c r="B425" s="75">
        <f>B423+1</f>
        <v>212</v>
      </c>
      <c r="C425" s="4" t="s">
        <v>0</v>
      </c>
      <c r="D425" s="4" t="s">
        <v>16</v>
      </c>
      <c r="E425" s="4" t="s">
        <v>17</v>
      </c>
      <c r="F425" s="4">
        <v>52</v>
      </c>
      <c r="G425" s="4">
        <v>56</v>
      </c>
      <c r="H425" s="4" t="str">
        <f t="shared" si="441"/>
        <v>11110000011011000101001001010110</v>
      </c>
      <c r="I425" s="4">
        <f t="shared" si="440"/>
        <v>15</v>
      </c>
      <c r="J425" s="77" t="s">
        <v>21</v>
      </c>
      <c r="K425" s="79" t="str">
        <f>HEX2BIN(J425,8)</f>
        <v>11111010</v>
      </c>
    </row>
    <row r="426" spans="2:11" ht="18.600000000000001" thickBot="1" x14ac:dyDescent="0.4">
      <c r="B426" s="76"/>
      <c r="C426" s="5" t="s">
        <v>6</v>
      </c>
      <c r="D426" s="5">
        <v>49</v>
      </c>
      <c r="E426" s="5" t="s">
        <v>20</v>
      </c>
      <c r="F426" s="5" t="s">
        <v>19</v>
      </c>
      <c r="G426" s="5" t="s">
        <v>18</v>
      </c>
      <c r="H426" s="5" t="str">
        <f t="shared" si="441"/>
        <v>01001001000010101101101100101011</v>
      </c>
      <c r="I426" s="5">
        <f t="shared" si="440"/>
        <v>15</v>
      </c>
      <c r="J426" s="78"/>
      <c r="K426" s="80"/>
    </row>
    <row r="427" spans="2:11" x14ac:dyDescent="0.35">
      <c r="B427" s="75">
        <f>B425+1</f>
        <v>213</v>
      </c>
      <c r="C427" s="4" t="s">
        <v>0</v>
      </c>
      <c r="D427" s="4" t="s">
        <v>22</v>
      </c>
      <c r="E427" s="4" t="s">
        <v>23</v>
      </c>
      <c r="F427" s="4">
        <v>78</v>
      </c>
      <c r="G427" s="4" t="s">
        <v>24</v>
      </c>
      <c r="H427" s="4" t="str">
        <f t="shared" si="441"/>
        <v>11010101101100100111100010110101</v>
      </c>
      <c r="I427" s="4">
        <f t="shared" si="440"/>
        <v>18</v>
      </c>
      <c r="J427" s="77">
        <v>38</v>
      </c>
      <c r="K427" s="79" t="str">
        <f>HEX2BIN(J427,8)</f>
        <v>00111000</v>
      </c>
    </row>
    <row r="428" spans="2:11" ht="18.600000000000001" thickBot="1" x14ac:dyDescent="0.4">
      <c r="B428" s="76"/>
      <c r="C428" s="5" t="s">
        <v>6</v>
      </c>
      <c r="D428" s="5" t="s">
        <v>25</v>
      </c>
      <c r="E428" s="5" t="s">
        <v>25</v>
      </c>
      <c r="F428" s="5">
        <v>76</v>
      </c>
      <c r="G428" s="5" t="s">
        <v>18</v>
      </c>
      <c r="H428" s="5" t="str">
        <f t="shared" si="441"/>
        <v>10111101101111010111011000101011</v>
      </c>
      <c r="I428" s="5">
        <f t="shared" si="440"/>
        <v>21</v>
      </c>
      <c r="J428" s="78"/>
      <c r="K428" s="80"/>
    </row>
    <row r="429" spans="2:11" x14ac:dyDescent="0.35">
      <c r="B429" s="75">
        <f>B427+1</f>
        <v>214</v>
      </c>
      <c r="C429" s="4" t="s">
        <v>0</v>
      </c>
      <c r="D429" s="4" t="s">
        <v>22</v>
      </c>
      <c r="E429" s="4" t="s">
        <v>23</v>
      </c>
      <c r="F429" s="4">
        <v>78</v>
      </c>
      <c r="G429" s="4" t="s">
        <v>24</v>
      </c>
      <c r="H429" s="4" t="str">
        <f t="shared" si="441"/>
        <v>11010101101100100111100010110101</v>
      </c>
      <c r="I429" s="4">
        <f t="shared" si="440"/>
        <v>18</v>
      </c>
      <c r="J429" s="77">
        <v>38</v>
      </c>
      <c r="K429" s="79" t="str">
        <f>HEX2BIN(J429,8)</f>
        <v>00111000</v>
      </c>
    </row>
    <row r="430" spans="2:11" ht="18.600000000000001" thickBot="1" x14ac:dyDescent="0.4">
      <c r="B430" s="76"/>
      <c r="C430" s="5" t="s">
        <v>6</v>
      </c>
      <c r="D430" s="5" t="s">
        <v>25</v>
      </c>
      <c r="E430" s="5" t="s">
        <v>25</v>
      </c>
      <c r="F430" s="5">
        <v>76</v>
      </c>
      <c r="G430" s="5" t="s">
        <v>18</v>
      </c>
      <c r="H430" s="5" t="str">
        <f t="shared" si="441"/>
        <v>10111101101111010111011000101011</v>
      </c>
      <c r="I430" s="5">
        <f t="shared" si="440"/>
        <v>21</v>
      </c>
      <c r="J430" s="78"/>
      <c r="K430" s="80"/>
    </row>
    <row r="431" spans="2:11" x14ac:dyDescent="0.35">
      <c r="B431" s="75">
        <f>B429+1</f>
        <v>215</v>
      </c>
      <c r="C431" s="4" t="s">
        <v>0</v>
      </c>
      <c r="D431" s="4" t="s">
        <v>22</v>
      </c>
      <c r="E431" s="4" t="s">
        <v>23</v>
      </c>
      <c r="F431" s="4">
        <v>78</v>
      </c>
      <c r="G431" s="4" t="s">
        <v>24</v>
      </c>
      <c r="H431" s="4" t="str">
        <f t="shared" si="441"/>
        <v>11010101101100100111100010110101</v>
      </c>
      <c r="I431" s="4">
        <f t="shared" si="440"/>
        <v>18</v>
      </c>
      <c r="J431" s="77">
        <v>38</v>
      </c>
      <c r="K431" s="79" t="str">
        <f>HEX2BIN(J431,8)</f>
        <v>00111000</v>
      </c>
    </row>
    <row r="432" spans="2:11" ht="18.600000000000001" thickBot="1" x14ac:dyDescent="0.4">
      <c r="B432" s="76"/>
      <c r="C432" s="5" t="s">
        <v>6</v>
      </c>
      <c r="D432" s="5" t="s">
        <v>25</v>
      </c>
      <c r="E432" s="5" t="s">
        <v>25</v>
      </c>
      <c r="F432" s="5">
        <v>76</v>
      </c>
      <c r="G432" s="5" t="s">
        <v>18</v>
      </c>
      <c r="H432" s="5" t="str">
        <f t="shared" si="441"/>
        <v>10111101101111010111011000101011</v>
      </c>
      <c r="I432" s="5">
        <f t="shared" si="440"/>
        <v>21</v>
      </c>
      <c r="J432" s="78"/>
      <c r="K432" s="80"/>
    </row>
    <row r="433" spans="2:11" x14ac:dyDescent="0.35">
      <c r="B433" s="75">
        <f>B431+1</f>
        <v>216</v>
      </c>
      <c r="C433" s="4" t="s">
        <v>0</v>
      </c>
      <c r="D433" s="4" t="s">
        <v>22</v>
      </c>
      <c r="E433" s="4" t="s">
        <v>23</v>
      </c>
      <c r="F433" s="4">
        <v>78</v>
      </c>
      <c r="G433" s="4" t="s">
        <v>24</v>
      </c>
      <c r="H433" s="4" t="str">
        <f t="shared" si="441"/>
        <v>11010101101100100111100010110101</v>
      </c>
      <c r="I433" s="4">
        <f t="shared" si="440"/>
        <v>18</v>
      </c>
      <c r="J433" s="77">
        <v>38</v>
      </c>
      <c r="K433" s="79" t="str">
        <f>HEX2BIN(J433,8)</f>
        <v>00111000</v>
      </c>
    </row>
    <row r="434" spans="2:11" ht="18.600000000000001" thickBot="1" x14ac:dyDescent="0.4">
      <c r="B434" s="76"/>
      <c r="C434" s="5" t="s">
        <v>6</v>
      </c>
      <c r="D434" s="5" t="s">
        <v>25</v>
      </c>
      <c r="E434" s="5" t="s">
        <v>25</v>
      </c>
      <c r="F434" s="5">
        <v>76</v>
      </c>
      <c r="G434" s="5" t="s">
        <v>18</v>
      </c>
      <c r="H434" s="5" t="str">
        <f t="shared" si="441"/>
        <v>10111101101111010111011000101011</v>
      </c>
      <c r="I434" s="5">
        <f t="shared" si="440"/>
        <v>21</v>
      </c>
      <c r="J434" s="78"/>
      <c r="K434" s="80"/>
    </row>
    <row r="435" spans="2:11" x14ac:dyDescent="0.35">
      <c r="B435" s="75">
        <f>B433+1</f>
        <v>217</v>
      </c>
      <c r="C435" s="4" t="s">
        <v>0</v>
      </c>
      <c r="D435" s="4" t="s">
        <v>22</v>
      </c>
      <c r="E435" s="4" t="s">
        <v>23</v>
      </c>
      <c r="F435" s="4">
        <v>78</v>
      </c>
      <c r="G435" s="4" t="s">
        <v>24</v>
      </c>
      <c r="H435" s="4" t="str">
        <f t="shared" si="441"/>
        <v>11010101101100100111100010110101</v>
      </c>
      <c r="I435" s="4">
        <f t="shared" si="440"/>
        <v>18</v>
      </c>
      <c r="J435" s="77">
        <v>38</v>
      </c>
      <c r="K435" s="79" t="str">
        <f>HEX2BIN(J435,8)</f>
        <v>00111000</v>
      </c>
    </row>
    <row r="436" spans="2:11" ht="18.600000000000001" thickBot="1" x14ac:dyDescent="0.4">
      <c r="B436" s="76"/>
      <c r="C436" s="5" t="s">
        <v>6</v>
      </c>
      <c r="D436" s="5" t="s">
        <v>25</v>
      </c>
      <c r="E436" s="5" t="s">
        <v>25</v>
      </c>
      <c r="F436" s="5">
        <v>76</v>
      </c>
      <c r="G436" s="5" t="s">
        <v>18</v>
      </c>
      <c r="H436" s="5" t="str">
        <f t="shared" si="441"/>
        <v>10111101101111010111011000101011</v>
      </c>
      <c r="I436" s="5">
        <f t="shared" si="440"/>
        <v>21</v>
      </c>
      <c r="J436" s="78"/>
      <c r="K436" s="80"/>
    </row>
    <row r="437" spans="2:11" x14ac:dyDescent="0.35">
      <c r="B437" s="75">
        <f>B435+1</f>
        <v>218</v>
      </c>
      <c r="C437" s="4" t="s">
        <v>0</v>
      </c>
      <c r="D437" s="4" t="s">
        <v>16</v>
      </c>
      <c r="E437" s="4" t="s">
        <v>17</v>
      </c>
      <c r="F437" s="4">
        <v>52</v>
      </c>
      <c r="G437" s="4">
        <v>56</v>
      </c>
      <c r="H437" s="4" t="str">
        <f t="shared" si="441"/>
        <v>11110000011011000101001001010110</v>
      </c>
      <c r="I437" s="4">
        <f t="shared" si="440"/>
        <v>15</v>
      </c>
      <c r="J437" s="77" t="s">
        <v>21</v>
      </c>
      <c r="K437" s="79" t="str">
        <f>HEX2BIN(J437,8)</f>
        <v>11111010</v>
      </c>
    </row>
    <row r="438" spans="2:11" ht="18.600000000000001" thickBot="1" x14ac:dyDescent="0.4">
      <c r="B438" s="76"/>
      <c r="C438" s="5" t="s">
        <v>6</v>
      </c>
      <c r="D438" s="5">
        <v>49</v>
      </c>
      <c r="E438" s="5" t="s">
        <v>20</v>
      </c>
      <c r="F438" s="5" t="s">
        <v>19</v>
      </c>
      <c r="G438" s="5" t="s">
        <v>18</v>
      </c>
      <c r="H438" s="5" t="str">
        <f t="shared" si="441"/>
        <v>01001001000010101101101100101011</v>
      </c>
      <c r="I438" s="5">
        <f t="shared" si="440"/>
        <v>15</v>
      </c>
      <c r="J438" s="78"/>
      <c r="K438" s="80"/>
    </row>
    <row r="439" spans="2:11" x14ac:dyDescent="0.35">
      <c r="B439" s="75">
        <f>B437+1</f>
        <v>219</v>
      </c>
      <c r="C439" s="4" t="s">
        <v>0</v>
      </c>
      <c r="D439" s="4" t="s">
        <v>22</v>
      </c>
      <c r="E439" s="4" t="s">
        <v>23</v>
      </c>
      <c r="F439" s="4">
        <v>78</v>
      </c>
      <c r="G439" s="4" t="s">
        <v>24</v>
      </c>
      <c r="H439" s="4" t="str">
        <f t="shared" si="441"/>
        <v>11010101101100100111100010110101</v>
      </c>
      <c r="I439" s="4">
        <f t="shared" si="440"/>
        <v>18</v>
      </c>
      <c r="J439" s="77">
        <v>38</v>
      </c>
      <c r="K439" s="79" t="str">
        <f>HEX2BIN(J439,8)</f>
        <v>00111000</v>
      </c>
    </row>
    <row r="440" spans="2:11" ht="18.600000000000001" thickBot="1" x14ac:dyDescent="0.4">
      <c r="B440" s="76"/>
      <c r="C440" s="5" t="s">
        <v>6</v>
      </c>
      <c r="D440" s="5" t="s">
        <v>25</v>
      </c>
      <c r="E440" s="5" t="s">
        <v>25</v>
      </c>
      <c r="F440" s="5">
        <v>76</v>
      </c>
      <c r="G440" s="5" t="s">
        <v>18</v>
      </c>
      <c r="H440" s="5" t="str">
        <f t="shared" si="441"/>
        <v>10111101101111010111011000101011</v>
      </c>
      <c r="I440" s="5">
        <f t="shared" si="440"/>
        <v>21</v>
      </c>
      <c r="J440" s="78"/>
      <c r="K440" s="80"/>
    </row>
    <row r="441" spans="2:11" x14ac:dyDescent="0.35">
      <c r="B441" s="75">
        <f>B439+1</f>
        <v>220</v>
      </c>
      <c r="C441" s="4" t="s">
        <v>0</v>
      </c>
      <c r="D441" s="4" t="s">
        <v>22</v>
      </c>
      <c r="E441" s="4" t="s">
        <v>23</v>
      </c>
      <c r="F441" s="4">
        <v>78</v>
      </c>
      <c r="G441" s="4" t="s">
        <v>24</v>
      </c>
      <c r="H441" s="4" t="str">
        <f t="shared" si="441"/>
        <v>11010101101100100111100010110101</v>
      </c>
      <c r="I441" s="4">
        <f t="shared" si="440"/>
        <v>18</v>
      </c>
      <c r="J441" s="77">
        <v>38</v>
      </c>
      <c r="K441" s="79" t="str">
        <f>HEX2BIN(J441,8)</f>
        <v>00111000</v>
      </c>
    </row>
    <row r="442" spans="2:11" ht="18.600000000000001" thickBot="1" x14ac:dyDescent="0.4">
      <c r="B442" s="76"/>
      <c r="C442" s="5" t="s">
        <v>6</v>
      </c>
      <c r="D442" s="5" t="s">
        <v>25</v>
      </c>
      <c r="E442" s="5" t="s">
        <v>25</v>
      </c>
      <c r="F442" s="5">
        <v>76</v>
      </c>
      <c r="G442" s="5" t="s">
        <v>18</v>
      </c>
      <c r="H442" s="5" t="str">
        <f t="shared" si="441"/>
        <v>10111101101111010111011000101011</v>
      </c>
      <c r="I442" s="5">
        <f t="shared" si="440"/>
        <v>21</v>
      </c>
      <c r="J442" s="78"/>
      <c r="K442" s="80"/>
    </row>
    <row r="443" spans="2:11" x14ac:dyDescent="0.35">
      <c r="B443" s="75">
        <f>B441+1</f>
        <v>221</v>
      </c>
      <c r="C443" s="4" t="s">
        <v>0</v>
      </c>
      <c r="D443" s="4" t="s">
        <v>22</v>
      </c>
      <c r="E443" s="4" t="s">
        <v>23</v>
      </c>
      <c r="F443" s="4">
        <v>78</v>
      </c>
      <c r="G443" s="4" t="s">
        <v>24</v>
      </c>
      <c r="H443" s="4" t="str">
        <f t="shared" si="441"/>
        <v>11010101101100100111100010110101</v>
      </c>
      <c r="I443" s="4">
        <f t="shared" si="440"/>
        <v>18</v>
      </c>
      <c r="J443" s="77">
        <v>38</v>
      </c>
      <c r="K443" s="79" t="str">
        <f>HEX2BIN(J443,8)</f>
        <v>00111000</v>
      </c>
    </row>
    <row r="444" spans="2:11" ht="18.600000000000001" thickBot="1" x14ac:dyDescent="0.4">
      <c r="B444" s="76"/>
      <c r="C444" s="5" t="s">
        <v>6</v>
      </c>
      <c r="D444" s="5" t="s">
        <v>25</v>
      </c>
      <c r="E444" s="5" t="s">
        <v>25</v>
      </c>
      <c r="F444" s="5">
        <v>76</v>
      </c>
      <c r="G444" s="5" t="s">
        <v>18</v>
      </c>
      <c r="H444" s="5" t="str">
        <f t="shared" si="441"/>
        <v>10111101101111010111011000101011</v>
      </c>
      <c r="I444" s="5">
        <f t="shared" si="440"/>
        <v>21</v>
      </c>
      <c r="J444" s="78"/>
      <c r="K444" s="80"/>
    </row>
    <row r="445" spans="2:11" x14ac:dyDescent="0.35">
      <c r="B445" s="75">
        <f>B443+1</f>
        <v>222</v>
      </c>
      <c r="C445" s="4" t="s">
        <v>0</v>
      </c>
      <c r="D445" s="4" t="s">
        <v>22</v>
      </c>
      <c r="E445" s="4" t="s">
        <v>23</v>
      </c>
      <c r="F445" s="4">
        <v>78</v>
      </c>
      <c r="G445" s="4" t="s">
        <v>24</v>
      </c>
      <c r="H445" s="4" t="str">
        <f t="shared" si="441"/>
        <v>11010101101100100111100010110101</v>
      </c>
      <c r="I445" s="4">
        <f t="shared" si="440"/>
        <v>18</v>
      </c>
      <c r="J445" s="77">
        <v>38</v>
      </c>
      <c r="K445" s="79" t="str">
        <f>HEX2BIN(J445,8)</f>
        <v>00111000</v>
      </c>
    </row>
    <row r="446" spans="2:11" ht="18.600000000000001" thickBot="1" x14ac:dyDescent="0.4">
      <c r="B446" s="76"/>
      <c r="C446" s="5" t="s">
        <v>6</v>
      </c>
      <c r="D446" s="5" t="s">
        <v>25</v>
      </c>
      <c r="E446" s="5" t="s">
        <v>25</v>
      </c>
      <c r="F446" s="5">
        <v>76</v>
      </c>
      <c r="G446" s="5" t="s">
        <v>18</v>
      </c>
      <c r="H446" s="5" t="str">
        <f t="shared" si="441"/>
        <v>10111101101111010111011000101011</v>
      </c>
      <c r="I446" s="5">
        <f t="shared" si="440"/>
        <v>21</v>
      </c>
      <c r="J446" s="78"/>
      <c r="K446" s="80"/>
    </row>
    <row r="447" spans="2:11" x14ac:dyDescent="0.35">
      <c r="B447" s="75">
        <f>B445+1</f>
        <v>223</v>
      </c>
      <c r="C447" s="4" t="s">
        <v>0</v>
      </c>
      <c r="D447" s="4" t="s">
        <v>22</v>
      </c>
      <c r="E447" s="4" t="s">
        <v>23</v>
      </c>
      <c r="F447" s="4">
        <v>78</v>
      </c>
      <c r="G447" s="4" t="s">
        <v>24</v>
      </c>
      <c r="H447" s="4" t="str">
        <f t="shared" si="441"/>
        <v>11010101101100100111100010110101</v>
      </c>
      <c r="I447" s="4">
        <f t="shared" si="440"/>
        <v>18</v>
      </c>
      <c r="J447" s="77">
        <v>38</v>
      </c>
      <c r="K447" s="79" t="str">
        <f>HEX2BIN(J447,8)</f>
        <v>00111000</v>
      </c>
    </row>
    <row r="448" spans="2:11" ht="18.600000000000001" thickBot="1" x14ac:dyDescent="0.4">
      <c r="B448" s="76"/>
      <c r="C448" s="5" t="s">
        <v>6</v>
      </c>
      <c r="D448" s="5" t="s">
        <v>25</v>
      </c>
      <c r="E448" s="5" t="s">
        <v>25</v>
      </c>
      <c r="F448" s="5">
        <v>76</v>
      </c>
      <c r="G448" s="5" t="s">
        <v>18</v>
      </c>
      <c r="H448" s="5" t="str">
        <f t="shared" si="441"/>
        <v>10111101101111010111011000101011</v>
      </c>
      <c r="I448" s="5">
        <f t="shared" si="440"/>
        <v>21</v>
      </c>
      <c r="J448" s="78"/>
      <c r="K448" s="80"/>
    </row>
    <row r="449" spans="2:11" x14ac:dyDescent="0.35">
      <c r="B449" s="75">
        <f>B447+1</f>
        <v>224</v>
      </c>
      <c r="C449" s="4" t="s">
        <v>0</v>
      </c>
      <c r="D449" s="4" t="s">
        <v>16</v>
      </c>
      <c r="E449" s="4" t="s">
        <v>17</v>
      </c>
      <c r="F449" s="4">
        <v>52</v>
      </c>
      <c r="G449" s="4">
        <v>56</v>
      </c>
      <c r="H449" s="4" t="str">
        <f t="shared" si="441"/>
        <v>11110000011011000101001001010110</v>
      </c>
      <c r="I449" s="4">
        <f t="shared" si="440"/>
        <v>15</v>
      </c>
      <c r="J449" s="77" t="s">
        <v>21</v>
      </c>
      <c r="K449" s="79" t="str">
        <f>HEX2BIN(J449,8)</f>
        <v>11111010</v>
      </c>
    </row>
    <row r="450" spans="2:11" ht="18.600000000000001" thickBot="1" x14ac:dyDescent="0.4">
      <c r="B450" s="76"/>
      <c r="C450" s="5" t="s">
        <v>6</v>
      </c>
      <c r="D450" s="5">
        <v>49</v>
      </c>
      <c r="E450" s="5" t="s">
        <v>20</v>
      </c>
      <c r="F450" s="5" t="s">
        <v>19</v>
      </c>
      <c r="G450" s="5" t="s">
        <v>18</v>
      </c>
      <c r="H450" s="5" t="str">
        <f t="shared" si="441"/>
        <v>01001001000010101101101100101011</v>
      </c>
      <c r="I450" s="5">
        <f t="shared" si="440"/>
        <v>15</v>
      </c>
      <c r="J450" s="78"/>
      <c r="K450" s="80"/>
    </row>
    <row r="451" spans="2:11" x14ac:dyDescent="0.35">
      <c r="B451" s="75">
        <f>B449+1</f>
        <v>225</v>
      </c>
      <c r="C451" s="4" t="s">
        <v>0</v>
      </c>
      <c r="D451" s="4" t="s">
        <v>22</v>
      </c>
      <c r="E451" s="4" t="s">
        <v>23</v>
      </c>
      <c r="F451" s="4">
        <v>78</v>
      </c>
      <c r="G451" s="4" t="s">
        <v>24</v>
      </c>
      <c r="H451" s="4" t="str">
        <f t="shared" ref="H451:H514" si="442">CONCATENATE(HEX2BIN(D451,8),HEX2BIN(E451,8),HEX2BIN(F451,8),HEX2BIN(G451,8))</f>
        <v>11010101101100100111100010110101</v>
      </c>
      <c r="I451" s="4">
        <f t="shared" ref="I451:I514" si="443">MID(H451,1,1)+MID(H451,2,1)+MID(H451,3,1)+MID(H451,4,1)+MID(H451,5,1)+MID(H451,6,1)+MID(H451,7,1)+MID(H451,8,1)+MID(H451,9,1)+MID(H451,10,1)+MID(H451,11,1)+MID(H451,12,1)+MID(H451,13,1)+MID(H451,14,1)+MID(H451,15,1)+MID(H451,16,1)+MID(H451,17,1)+MID(H451,18,1)+MID(H451,19,1)+MID(H451,20,1)+MID(H451,21,1)+MID(H451,22,1)+MID(H451,23,1)+MID(H451,24,1)+MID(H451,25,1)+MID(H451,26,1)+MID(H451,27,1)+MID(H451,28,1)+MID(H451,29,1)+MID(H451,30,1)+MID(H451,31,1)+MID(H451,32,1)</f>
        <v>18</v>
      </c>
      <c r="J451" s="77">
        <v>38</v>
      </c>
      <c r="K451" s="79" t="str">
        <f>HEX2BIN(J451,8)</f>
        <v>00111000</v>
      </c>
    </row>
    <row r="452" spans="2:11" ht="18.600000000000001" thickBot="1" x14ac:dyDescent="0.4">
      <c r="B452" s="76"/>
      <c r="C452" s="5" t="s">
        <v>6</v>
      </c>
      <c r="D452" s="5" t="s">
        <v>25</v>
      </c>
      <c r="E452" s="5" t="s">
        <v>25</v>
      </c>
      <c r="F452" s="5">
        <v>76</v>
      </c>
      <c r="G452" s="5" t="s">
        <v>18</v>
      </c>
      <c r="H452" s="5" t="str">
        <f t="shared" si="442"/>
        <v>10111101101111010111011000101011</v>
      </c>
      <c r="I452" s="5">
        <f t="shared" si="443"/>
        <v>21</v>
      </c>
      <c r="J452" s="78"/>
      <c r="K452" s="80"/>
    </row>
    <row r="453" spans="2:11" x14ac:dyDescent="0.35">
      <c r="B453" s="75">
        <f>B451+1</f>
        <v>226</v>
      </c>
      <c r="C453" s="4" t="s">
        <v>0</v>
      </c>
      <c r="D453" s="4" t="s">
        <v>22</v>
      </c>
      <c r="E453" s="4" t="s">
        <v>23</v>
      </c>
      <c r="F453" s="4">
        <v>78</v>
      </c>
      <c r="G453" s="4" t="s">
        <v>24</v>
      </c>
      <c r="H453" s="4" t="str">
        <f t="shared" si="442"/>
        <v>11010101101100100111100010110101</v>
      </c>
      <c r="I453" s="4">
        <f t="shared" si="443"/>
        <v>18</v>
      </c>
      <c r="J453" s="77">
        <v>38</v>
      </c>
      <c r="K453" s="79" t="str">
        <f>HEX2BIN(J453,8)</f>
        <v>00111000</v>
      </c>
    </row>
    <row r="454" spans="2:11" ht="18.600000000000001" thickBot="1" x14ac:dyDescent="0.4">
      <c r="B454" s="76"/>
      <c r="C454" s="5" t="s">
        <v>6</v>
      </c>
      <c r="D454" s="5" t="s">
        <v>25</v>
      </c>
      <c r="E454" s="5" t="s">
        <v>25</v>
      </c>
      <c r="F454" s="5">
        <v>76</v>
      </c>
      <c r="G454" s="5" t="s">
        <v>18</v>
      </c>
      <c r="H454" s="5" t="str">
        <f t="shared" si="442"/>
        <v>10111101101111010111011000101011</v>
      </c>
      <c r="I454" s="5">
        <f t="shared" si="443"/>
        <v>21</v>
      </c>
      <c r="J454" s="78"/>
      <c r="K454" s="80"/>
    </row>
    <row r="455" spans="2:11" x14ac:dyDescent="0.35">
      <c r="B455" s="75">
        <f>B453+1</f>
        <v>227</v>
      </c>
      <c r="C455" s="4" t="s">
        <v>0</v>
      </c>
      <c r="D455" s="4" t="s">
        <v>22</v>
      </c>
      <c r="E455" s="4" t="s">
        <v>23</v>
      </c>
      <c r="F455" s="4">
        <v>78</v>
      </c>
      <c r="G455" s="4" t="s">
        <v>24</v>
      </c>
      <c r="H455" s="4" t="str">
        <f t="shared" si="442"/>
        <v>11010101101100100111100010110101</v>
      </c>
      <c r="I455" s="4">
        <f t="shared" si="443"/>
        <v>18</v>
      </c>
      <c r="J455" s="77">
        <v>38</v>
      </c>
      <c r="K455" s="79" t="str">
        <f>HEX2BIN(J455,8)</f>
        <v>00111000</v>
      </c>
    </row>
    <row r="456" spans="2:11" ht="18.600000000000001" thickBot="1" x14ac:dyDescent="0.4">
      <c r="B456" s="76"/>
      <c r="C456" s="5" t="s">
        <v>6</v>
      </c>
      <c r="D456" s="5" t="s">
        <v>25</v>
      </c>
      <c r="E456" s="5" t="s">
        <v>25</v>
      </c>
      <c r="F456" s="5">
        <v>76</v>
      </c>
      <c r="G456" s="5" t="s">
        <v>18</v>
      </c>
      <c r="H456" s="5" t="str">
        <f t="shared" si="442"/>
        <v>10111101101111010111011000101011</v>
      </c>
      <c r="I456" s="5">
        <f t="shared" si="443"/>
        <v>21</v>
      </c>
      <c r="J456" s="78"/>
      <c r="K456" s="80"/>
    </row>
    <row r="457" spans="2:11" x14ac:dyDescent="0.35">
      <c r="B457" s="75">
        <f>B455+1</f>
        <v>228</v>
      </c>
      <c r="C457" s="4" t="s">
        <v>0</v>
      </c>
      <c r="D457" s="4" t="s">
        <v>22</v>
      </c>
      <c r="E457" s="4" t="s">
        <v>23</v>
      </c>
      <c r="F457" s="4">
        <v>78</v>
      </c>
      <c r="G457" s="4" t="s">
        <v>24</v>
      </c>
      <c r="H457" s="4" t="str">
        <f t="shared" si="442"/>
        <v>11010101101100100111100010110101</v>
      </c>
      <c r="I457" s="4">
        <f t="shared" si="443"/>
        <v>18</v>
      </c>
      <c r="J457" s="77">
        <v>38</v>
      </c>
      <c r="K457" s="79" t="str">
        <f>HEX2BIN(J457,8)</f>
        <v>00111000</v>
      </c>
    </row>
    <row r="458" spans="2:11" ht="18.600000000000001" thickBot="1" x14ac:dyDescent="0.4">
      <c r="B458" s="76"/>
      <c r="C458" s="5" t="s">
        <v>6</v>
      </c>
      <c r="D458" s="5" t="s">
        <v>25</v>
      </c>
      <c r="E458" s="5" t="s">
        <v>25</v>
      </c>
      <c r="F458" s="5">
        <v>76</v>
      </c>
      <c r="G458" s="5" t="s">
        <v>18</v>
      </c>
      <c r="H458" s="5" t="str">
        <f t="shared" si="442"/>
        <v>10111101101111010111011000101011</v>
      </c>
      <c r="I458" s="5">
        <f t="shared" si="443"/>
        <v>21</v>
      </c>
      <c r="J458" s="78"/>
      <c r="K458" s="80"/>
    </row>
    <row r="459" spans="2:11" x14ac:dyDescent="0.35">
      <c r="B459" s="75">
        <f>B457+1</f>
        <v>229</v>
      </c>
      <c r="C459" s="4" t="s">
        <v>0</v>
      </c>
      <c r="D459" s="4" t="s">
        <v>22</v>
      </c>
      <c r="E459" s="4" t="s">
        <v>23</v>
      </c>
      <c r="F459" s="4">
        <v>78</v>
      </c>
      <c r="G459" s="4" t="s">
        <v>24</v>
      </c>
      <c r="H459" s="4" t="str">
        <f t="shared" si="442"/>
        <v>11010101101100100111100010110101</v>
      </c>
      <c r="I459" s="4">
        <f t="shared" si="443"/>
        <v>18</v>
      </c>
      <c r="J459" s="77">
        <v>38</v>
      </c>
      <c r="K459" s="79" t="str">
        <f>HEX2BIN(J459,8)</f>
        <v>00111000</v>
      </c>
    </row>
    <row r="460" spans="2:11" ht="18.600000000000001" thickBot="1" x14ac:dyDescent="0.4">
      <c r="B460" s="76"/>
      <c r="C460" s="5" t="s">
        <v>6</v>
      </c>
      <c r="D460" s="5" t="s">
        <v>25</v>
      </c>
      <c r="E460" s="5" t="s">
        <v>25</v>
      </c>
      <c r="F460" s="5">
        <v>76</v>
      </c>
      <c r="G460" s="5" t="s">
        <v>18</v>
      </c>
      <c r="H460" s="5" t="str">
        <f t="shared" si="442"/>
        <v>10111101101111010111011000101011</v>
      </c>
      <c r="I460" s="5">
        <f t="shared" si="443"/>
        <v>21</v>
      </c>
      <c r="J460" s="78"/>
      <c r="K460" s="80"/>
    </row>
    <row r="461" spans="2:11" x14ac:dyDescent="0.35">
      <c r="B461" s="75">
        <f>B459+1</f>
        <v>230</v>
      </c>
      <c r="C461" s="4" t="s">
        <v>0</v>
      </c>
      <c r="D461" s="4" t="s">
        <v>16</v>
      </c>
      <c r="E461" s="4" t="s">
        <v>17</v>
      </c>
      <c r="F461" s="4">
        <v>52</v>
      </c>
      <c r="G461" s="4">
        <v>56</v>
      </c>
      <c r="H461" s="4" t="str">
        <f t="shared" si="442"/>
        <v>11110000011011000101001001010110</v>
      </c>
      <c r="I461" s="4">
        <f t="shared" si="443"/>
        <v>15</v>
      </c>
      <c r="J461" s="77" t="s">
        <v>21</v>
      </c>
      <c r="K461" s="79" t="str">
        <f>HEX2BIN(J461,8)</f>
        <v>11111010</v>
      </c>
    </row>
    <row r="462" spans="2:11" ht="18.600000000000001" thickBot="1" x14ac:dyDescent="0.4">
      <c r="B462" s="76"/>
      <c r="C462" s="5" t="s">
        <v>6</v>
      </c>
      <c r="D462" s="5">
        <v>49</v>
      </c>
      <c r="E462" s="5" t="s">
        <v>20</v>
      </c>
      <c r="F462" s="5" t="s">
        <v>19</v>
      </c>
      <c r="G462" s="5" t="s">
        <v>18</v>
      </c>
      <c r="H462" s="5" t="str">
        <f t="shared" si="442"/>
        <v>01001001000010101101101100101011</v>
      </c>
      <c r="I462" s="5">
        <f t="shared" si="443"/>
        <v>15</v>
      </c>
      <c r="J462" s="78"/>
      <c r="K462" s="80"/>
    </row>
    <row r="463" spans="2:11" x14ac:dyDescent="0.35">
      <c r="B463" s="75">
        <f>B461+1</f>
        <v>231</v>
      </c>
      <c r="C463" s="4" t="s">
        <v>0</v>
      </c>
      <c r="D463" s="4" t="s">
        <v>22</v>
      </c>
      <c r="E463" s="4" t="s">
        <v>23</v>
      </c>
      <c r="F463" s="4">
        <v>78</v>
      </c>
      <c r="G463" s="4" t="s">
        <v>24</v>
      </c>
      <c r="H463" s="4" t="str">
        <f t="shared" si="442"/>
        <v>11010101101100100111100010110101</v>
      </c>
      <c r="I463" s="4">
        <f t="shared" si="443"/>
        <v>18</v>
      </c>
      <c r="J463" s="77">
        <v>38</v>
      </c>
      <c r="K463" s="79" t="str">
        <f>HEX2BIN(J463,8)</f>
        <v>00111000</v>
      </c>
    </row>
    <row r="464" spans="2:11" ht="18.600000000000001" thickBot="1" x14ac:dyDescent="0.4">
      <c r="B464" s="76"/>
      <c r="C464" s="5" t="s">
        <v>6</v>
      </c>
      <c r="D464" s="5" t="s">
        <v>25</v>
      </c>
      <c r="E464" s="5" t="s">
        <v>25</v>
      </c>
      <c r="F464" s="5">
        <v>76</v>
      </c>
      <c r="G464" s="5" t="s">
        <v>18</v>
      </c>
      <c r="H464" s="5" t="str">
        <f t="shared" si="442"/>
        <v>10111101101111010111011000101011</v>
      </c>
      <c r="I464" s="5">
        <f t="shared" si="443"/>
        <v>21</v>
      </c>
      <c r="J464" s="78"/>
      <c r="K464" s="80"/>
    </row>
    <row r="465" spans="2:11" x14ac:dyDescent="0.35">
      <c r="B465" s="75">
        <f>B463+1</f>
        <v>232</v>
      </c>
      <c r="C465" s="4" t="s">
        <v>0</v>
      </c>
      <c r="D465" s="4" t="s">
        <v>22</v>
      </c>
      <c r="E465" s="4" t="s">
        <v>23</v>
      </c>
      <c r="F465" s="4">
        <v>78</v>
      </c>
      <c r="G465" s="4" t="s">
        <v>24</v>
      </c>
      <c r="H465" s="4" t="str">
        <f t="shared" si="442"/>
        <v>11010101101100100111100010110101</v>
      </c>
      <c r="I465" s="4">
        <f t="shared" si="443"/>
        <v>18</v>
      </c>
      <c r="J465" s="77">
        <v>38</v>
      </c>
      <c r="K465" s="79" t="str">
        <f>HEX2BIN(J465,8)</f>
        <v>00111000</v>
      </c>
    </row>
    <row r="466" spans="2:11" ht="18.600000000000001" thickBot="1" x14ac:dyDescent="0.4">
      <c r="B466" s="76"/>
      <c r="C466" s="5" t="s">
        <v>6</v>
      </c>
      <c r="D466" s="5" t="s">
        <v>25</v>
      </c>
      <c r="E466" s="5" t="s">
        <v>25</v>
      </c>
      <c r="F466" s="5">
        <v>76</v>
      </c>
      <c r="G466" s="5" t="s">
        <v>18</v>
      </c>
      <c r="H466" s="5" t="str">
        <f t="shared" si="442"/>
        <v>10111101101111010111011000101011</v>
      </c>
      <c r="I466" s="5">
        <f t="shared" si="443"/>
        <v>21</v>
      </c>
      <c r="J466" s="78"/>
      <c r="K466" s="80"/>
    </row>
    <row r="467" spans="2:11" x14ac:dyDescent="0.35">
      <c r="B467" s="75">
        <f>B465+1</f>
        <v>233</v>
      </c>
      <c r="C467" s="4" t="s">
        <v>0</v>
      </c>
      <c r="D467" s="4" t="s">
        <v>22</v>
      </c>
      <c r="E467" s="4" t="s">
        <v>23</v>
      </c>
      <c r="F467" s="4">
        <v>78</v>
      </c>
      <c r="G467" s="4" t="s">
        <v>24</v>
      </c>
      <c r="H467" s="4" t="str">
        <f t="shared" si="442"/>
        <v>11010101101100100111100010110101</v>
      </c>
      <c r="I467" s="4">
        <f t="shared" si="443"/>
        <v>18</v>
      </c>
      <c r="J467" s="77">
        <v>38</v>
      </c>
      <c r="K467" s="79" t="str">
        <f>HEX2BIN(J467,8)</f>
        <v>00111000</v>
      </c>
    </row>
    <row r="468" spans="2:11" ht="18.600000000000001" thickBot="1" x14ac:dyDescent="0.4">
      <c r="B468" s="76"/>
      <c r="C468" s="5" t="s">
        <v>6</v>
      </c>
      <c r="D468" s="5" t="s">
        <v>25</v>
      </c>
      <c r="E468" s="5" t="s">
        <v>25</v>
      </c>
      <c r="F468" s="5">
        <v>76</v>
      </c>
      <c r="G468" s="5" t="s">
        <v>18</v>
      </c>
      <c r="H468" s="5" t="str">
        <f t="shared" si="442"/>
        <v>10111101101111010111011000101011</v>
      </c>
      <c r="I468" s="5">
        <f t="shared" si="443"/>
        <v>21</v>
      </c>
      <c r="J468" s="78"/>
      <c r="K468" s="80"/>
    </row>
    <row r="469" spans="2:11" x14ac:dyDescent="0.35">
      <c r="B469" s="75">
        <f>B467+1</f>
        <v>234</v>
      </c>
      <c r="C469" s="4" t="s">
        <v>0</v>
      </c>
      <c r="D469" s="4" t="s">
        <v>22</v>
      </c>
      <c r="E469" s="4" t="s">
        <v>23</v>
      </c>
      <c r="F469" s="4">
        <v>78</v>
      </c>
      <c r="G469" s="4" t="s">
        <v>24</v>
      </c>
      <c r="H469" s="4" t="str">
        <f t="shared" si="442"/>
        <v>11010101101100100111100010110101</v>
      </c>
      <c r="I469" s="4">
        <f t="shared" si="443"/>
        <v>18</v>
      </c>
      <c r="J469" s="77">
        <v>38</v>
      </c>
      <c r="K469" s="79" t="str">
        <f>HEX2BIN(J469,8)</f>
        <v>00111000</v>
      </c>
    </row>
    <row r="470" spans="2:11" ht="18.600000000000001" thickBot="1" x14ac:dyDescent="0.4">
      <c r="B470" s="76"/>
      <c r="C470" s="5" t="s">
        <v>6</v>
      </c>
      <c r="D470" s="5" t="s">
        <v>25</v>
      </c>
      <c r="E470" s="5" t="s">
        <v>25</v>
      </c>
      <c r="F470" s="5">
        <v>76</v>
      </c>
      <c r="G470" s="5" t="s">
        <v>18</v>
      </c>
      <c r="H470" s="5" t="str">
        <f t="shared" si="442"/>
        <v>10111101101111010111011000101011</v>
      </c>
      <c r="I470" s="5">
        <f t="shared" si="443"/>
        <v>21</v>
      </c>
      <c r="J470" s="78"/>
      <c r="K470" s="80"/>
    </row>
    <row r="471" spans="2:11" x14ac:dyDescent="0.35">
      <c r="B471" s="75">
        <f>B469+1</f>
        <v>235</v>
      </c>
      <c r="C471" s="4" t="s">
        <v>0</v>
      </c>
      <c r="D471" s="4" t="s">
        <v>22</v>
      </c>
      <c r="E471" s="4" t="s">
        <v>23</v>
      </c>
      <c r="F471" s="4">
        <v>78</v>
      </c>
      <c r="G471" s="4" t="s">
        <v>24</v>
      </c>
      <c r="H471" s="4" t="str">
        <f t="shared" si="442"/>
        <v>11010101101100100111100010110101</v>
      </c>
      <c r="I471" s="4">
        <f t="shared" si="443"/>
        <v>18</v>
      </c>
      <c r="J471" s="77">
        <v>38</v>
      </c>
      <c r="K471" s="79" t="str">
        <f>HEX2BIN(J471,8)</f>
        <v>00111000</v>
      </c>
    </row>
    <row r="472" spans="2:11" ht="18.600000000000001" thickBot="1" x14ac:dyDescent="0.4">
      <c r="B472" s="76"/>
      <c r="C472" s="5" t="s">
        <v>6</v>
      </c>
      <c r="D472" s="5" t="s">
        <v>25</v>
      </c>
      <c r="E472" s="5" t="s">
        <v>25</v>
      </c>
      <c r="F472" s="5">
        <v>76</v>
      </c>
      <c r="G472" s="5" t="s">
        <v>18</v>
      </c>
      <c r="H472" s="5" t="str">
        <f t="shared" si="442"/>
        <v>10111101101111010111011000101011</v>
      </c>
      <c r="I472" s="5">
        <f t="shared" si="443"/>
        <v>21</v>
      </c>
      <c r="J472" s="78"/>
      <c r="K472" s="80"/>
    </row>
    <row r="473" spans="2:11" x14ac:dyDescent="0.35">
      <c r="B473" s="75">
        <f>B471+1</f>
        <v>236</v>
      </c>
      <c r="C473" s="4" t="s">
        <v>0</v>
      </c>
      <c r="D473" s="4" t="s">
        <v>16</v>
      </c>
      <c r="E473" s="4" t="s">
        <v>17</v>
      </c>
      <c r="F473" s="4">
        <v>52</v>
      </c>
      <c r="G473" s="4">
        <v>56</v>
      </c>
      <c r="H473" s="4" t="str">
        <f t="shared" si="442"/>
        <v>11110000011011000101001001010110</v>
      </c>
      <c r="I473" s="4">
        <f t="shared" si="443"/>
        <v>15</v>
      </c>
      <c r="J473" s="77" t="s">
        <v>21</v>
      </c>
      <c r="K473" s="79" t="str">
        <f>HEX2BIN(J473,8)</f>
        <v>11111010</v>
      </c>
    </row>
    <row r="474" spans="2:11" ht="18.600000000000001" thickBot="1" x14ac:dyDescent="0.4">
      <c r="B474" s="76"/>
      <c r="C474" s="5" t="s">
        <v>6</v>
      </c>
      <c r="D474" s="5">
        <v>49</v>
      </c>
      <c r="E474" s="5" t="s">
        <v>20</v>
      </c>
      <c r="F474" s="5" t="s">
        <v>19</v>
      </c>
      <c r="G474" s="5" t="s">
        <v>18</v>
      </c>
      <c r="H474" s="5" t="str">
        <f t="shared" si="442"/>
        <v>01001001000010101101101100101011</v>
      </c>
      <c r="I474" s="5">
        <f t="shared" si="443"/>
        <v>15</v>
      </c>
      <c r="J474" s="78"/>
      <c r="K474" s="80"/>
    </row>
    <row r="475" spans="2:11" x14ac:dyDescent="0.35">
      <c r="B475" s="75">
        <f>B473+1</f>
        <v>237</v>
      </c>
      <c r="C475" s="4" t="s">
        <v>0</v>
      </c>
      <c r="D475" s="4" t="s">
        <v>22</v>
      </c>
      <c r="E475" s="4" t="s">
        <v>23</v>
      </c>
      <c r="F475" s="4">
        <v>78</v>
      </c>
      <c r="G475" s="4" t="s">
        <v>24</v>
      </c>
      <c r="H475" s="4" t="str">
        <f t="shared" si="442"/>
        <v>11010101101100100111100010110101</v>
      </c>
      <c r="I475" s="4">
        <f t="shared" si="443"/>
        <v>18</v>
      </c>
      <c r="J475" s="77">
        <v>38</v>
      </c>
      <c r="K475" s="79" t="str">
        <f>HEX2BIN(J475,8)</f>
        <v>00111000</v>
      </c>
    </row>
    <row r="476" spans="2:11" ht="18.600000000000001" thickBot="1" x14ac:dyDescent="0.4">
      <c r="B476" s="76"/>
      <c r="C476" s="5" t="s">
        <v>6</v>
      </c>
      <c r="D476" s="5" t="s">
        <v>25</v>
      </c>
      <c r="E476" s="5" t="s">
        <v>25</v>
      </c>
      <c r="F476" s="5">
        <v>76</v>
      </c>
      <c r="G476" s="5" t="s">
        <v>18</v>
      </c>
      <c r="H476" s="5" t="str">
        <f t="shared" si="442"/>
        <v>10111101101111010111011000101011</v>
      </c>
      <c r="I476" s="5">
        <f t="shared" si="443"/>
        <v>21</v>
      </c>
      <c r="J476" s="78"/>
      <c r="K476" s="80"/>
    </row>
    <row r="477" spans="2:11" x14ac:dyDescent="0.35">
      <c r="B477" s="75">
        <f>B475+1</f>
        <v>238</v>
      </c>
      <c r="C477" s="4" t="s">
        <v>0</v>
      </c>
      <c r="D477" s="4" t="s">
        <v>22</v>
      </c>
      <c r="E477" s="4" t="s">
        <v>23</v>
      </c>
      <c r="F477" s="4">
        <v>78</v>
      </c>
      <c r="G477" s="4" t="s">
        <v>24</v>
      </c>
      <c r="H477" s="4" t="str">
        <f t="shared" si="442"/>
        <v>11010101101100100111100010110101</v>
      </c>
      <c r="I477" s="4">
        <f t="shared" si="443"/>
        <v>18</v>
      </c>
      <c r="J477" s="77">
        <v>38</v>
      </c>
      <c r="K477" s="79" t="str">
        <f>HEX2BIN(J477,8)</f>
        <v>00111000</v>
      </c>
    </row>
    <row r="478" spans="2:11" ht="18.600000000000001" thickBot="1" x14ac:dyDescent="0.4">
      <c r="B478" s="76"/>
      <c r="C478" s="5" t="s">
        <v>6</v>
      </c>
      <c r="D478" s="5" t="s">
        <v>25</v>
      </c>
      <c r="E478" s="5" t="s">
        <v>25</v>
      </c>
      <c r="F478" s="5">
        <v>76</v>
      </c>
      <c r="G478" s="5" t="s">
        <v>18</v>
      </c>
      <c r="H478" s="5" t="str">
        <f t="shared" si="442"/>
        <v>10111101101111010111011000101011</v>
      </c>
      <c r="I478" s="5">
        <f t="shared" si="443"/>
        <v>21</v>
      </c>
      <c r="J478" s="78"/>
      <c r="K478" s="80"/>
    </row>
    <row r="479" spans="2:11" x14ac:dyDescent="0.35">
      <c r="B479" s="75">
        <f>B477+1</f>
        <v>239</v>
      </c>
      <c r="C479" s="4" t="s">
        <v>0</v>
      </c>
      <c r="D479" s="4" t="s">
        <v>22</v>
      </c>
      <c r="E479" s="4" t="s">
        <v>23</v>
      </c>
      <c r="F479" s="4">
        <v>78</v>
      </c>
      <c r="G479" s="4" t="s">
        <v>24</v>
      </c>
      <c r="H479" s="4" t="str">
        <f t="shared" si="442"/>
        <v>11010101101100100111100010110101</v>
      </c>
      <c r="I479" s="4">
        <f t="shared" si="443"/>
        <v>18</v>
      </c>
      <c r="J479" s="77">
        <v>38</v>
      </c>
      <c r="K479" s="79" t="str">
        <f>HEX2BIN(J479,8)</f>
        <v>00111000</v>
      </c>
    </row>
    <row r="480" spans="2:11" ht="18.600000000000001" thickBot="1" x14ac:dyDescent="0.4">
      <c r="B480" s="76"/>
      <c r="C480" s="5" t="s">
        <v>6</v>
      </c>
      <c r="D480" s="5" t="s">
        <v>25</v>
      </c>
      <c r="E480" s="5" t="s">
        <v>25</v>
      </c>
      <c r="F480" s="5">
        <v>76</v>
      </c>
      <c r="G480" s="5" t="s">
        <v>18</v>
      </c>
      <c r="H480" s="5" t="str">
        <f t="shared" si="442"/>
        <v>10111101101111010111011000101011</v>
      </c>
      <c r="I480" s="5">
        <f t="shared" si="443"/>
        <v>21</v>
      </c>
      <c r="J480" s="78"/>
      <c r="K480" s="80"/>
    </row>
    <row r="481" spans="2:11" x14ac:dyDescent="0.35">
      <c r="B481" s="75">
        <f>B479+1</f>
        <v>240</v>
      </c>
      <c r="C481" s="4" t="s">
        <v>0</v>
      </c>
      <c r="D481" s="4" t="s">
        <v>22</v>
      </c>
      <c r="E481" s="4" t="s">
        <v>23</v>
      </c>
      <c r="F481" s="4">
        <v>78</v>
      </c>
      <c r="G481" s="4" t="s">
        <v>24</v>
      </c>
      <c r="H481" s="4" t="str">
        <f t="shared" si="442"/>
        <v>11010101101100100111100010110101</v>
      </c>
      <c r="I481" s="4">
        <f t="shared" si="443"/>
        <v>18</v>
      </c>
      <c r="J481" s="77">
        <v>38</v>
      </c>
      <c r="K481" s="79" t="str">
        <f>HEX2BIN(J481,8)</f>
        <v>00111000</v>
      </c>
    </row>
    <row r="482" spans="2:11" ht="18.600000000000001" thickBot="1" x14ac:dyDescent="0.4">
      <c r="B482" s="76"/>
      <c r="C482" s="5" t="s">
        <v>6</v>
      </c>
      <c r="D482" s="5" t="s">
        <v>25</v>
      </c>
      <c r="E482" s="5" t="s">
        <v>25</v>
      </c>
      <c r="F482" s="5">
        <v>76</v>
      </c>
      <c r="G482" s="5" t="s">
        <v>18</v>
      </c>
      <c r="H482" s="5" t="str">
        <f t="shared" si="442"/>
        <v>10111101101111010111011000101011</v>
      </c>
      <c r="I482" s="5">
        <f t="shared" si="443"/>
        <v>21</v>
      </c>
      <c r="J482" s="78"/>
      <c r="K482" s="80"/>
    </row>
    <row r="483" spans="2:11" x14ac:dyDescent="0.35">
      <c r="B483" s="75">
        <f>B481+1</f>
        <v>241</v>
      </c>
      <c r="C483" s="4" t="s">
        <v>0</v>
      </c>
      <c r="D483" s="4" t="s">
        <v>22</v>
      </c>
      <c r="E483" s="4" t="s">
        <v>23</v>
      </c>
      <c r="F483" s="4">
        <v>78</v>
      </c>
      <c r="G483" s="4" t="s">
        <v>24</v>
      </c>
      <c r="H483" s="4" t="str">
        <f t="shared" si="442"/>
        <v>11010101101100100111100010110101</v>
      </c>
      <c r="I483" s="4">
        <f t="shared" si="443"/>
        <v>18</v>
      </c>
      <c r="J483" s="77">
        <v>38</v>
      </c>
      <c r="K483" s="79" t="str">
        <f>HEX2BIN(J483,8)</f>
        <v>00111000</v>
      </c>
    </row>
    <row r="484" spans="2:11" ht="18.600000000000001" thickBot="1" x14ac:dyDescent="0.4">
      <c r="B484" s="76"/>
      <c r="C484" s="5" t="s">
        <v>6</v>
      </c>
      <c r="D484" s="5" t="s">
        <v>25</v>
      </c>
      <c r="E484" s="5" t="s">
        <v>25</v>
      </c>
      <c r="F484" s="5">
        <v>76</v>
      </c>
      <c r="G484" s="5" t="s">
        <v>18</v>
      </c>
      <c r="H484" s="5" t="str">
        <f t="shared" si="442"/>
        <v>10111101101111010111011000101011</v>
      </c>
      <c r="I484" s="5">
        <f t="shared" si="443"/>
        <v>21</v>
      </c>
      <c r="J484" s="78"/>
      <c r="K484" s="80"/>
    </row>
    <row r="485" spans="2:11" x14ac:dyDescent="0.35">
      <c r="B485" s="75">
        <f>B483+1</f>
        <v>242</v>
      </c>
      <c r="C485" s="4" t="s">
        <v>0</v>
      </c>
      <c r="D485" s="4" t="s">
        <v>16</v>
      </c>
      <c r="E485" s="4" t="s">
        <v>17</v>
      </c>
      <c r="F485" s="4">
        <v>52</v>
      </c>
      <c r="G485" s="4">
        <v>56</v>
      </c>
      <c r="H485" s="4" t="str">
        <f t="shared" si="442"/>
        <v>11110000011011000101001001010110</v>
      </c>
      <c r="I485" s="4">
        <f t="shared" si="443"/>
        <v>15</v>
      </c>
      <c r="J485" s="77" t="s">
        <v>21</v>
      </c>
      <c r="K485" s="79" t="str">
        <f>HEX2BIN(J485,8)</f>
        <v>11111010</v>
      </c>
    </row>
    <row r="486" spans="2:11" ht="18.600000000000001" thickBot="1" x14ac:dyDescent="0.4">
      <c r="B486" s="76"/>
      <c r="C486" s="5" t="s">
        <v>6</v>
      </c>
      <c r="D486" s="5">
        <v>49</v>
      </c>
      <c r="E486" s="5" t="s">
        <v>20</v>
      </c>
      <c r="F486" s="5" t="s">
        <v>19</v>
      </c>
      <c r="G486" s="5" t="s">
        <v>18</v>
      </c>
      <c r="H486" s="5" t="str">
        <f t="shared" si="442"/>
        <v>01001001000010101101101100101011</v>
      </c>
      <c r="I486" s="5">
        <f t="shared" si="443"/>
        <v>15</v>
      </c>
      <c r="J486" s="78"/>
      <c r="K486" s="80"/>
    </row>
    <row r="487" spans="2:11" x14ac:dyDescent="0.35">
      <c r="B487" s="75">
        <f>B485+1</f>
        <v>243</v>
      </c>
      <c r="C487" s="4" t="s">
        <v>0</v>
      </c>
      <c r="D487" s="4" t="s">
        <v>22</v>
      </c>
      <c r="E487" s="4" t="s">
        <v>23</v>
      </c>
      <c r="F487" s="4">
        <v>78</v>
      </c>
      <c r="G487" s="4" t="s">
        <v>24</v>
      </c>
      <c r="H487" s="4" t="str">
        <f t="shared" si="442"/>
        <v>11010101101100100111100010110101</v>
      </c>
      <c r="I487" s="4">
        <f t="shared" si="443"/>
        <v>18</v>
      </c>
      <c r="J487" s="77">
        <v>38</v>
      </c>
      <c r="K487" s="79" t="str">
        <f>HEX2BIN(J487,8)</f>
        <v>00111000</v>
      </c>
    </row>
    <row r="488" spans="2:11" ht="18.600000000000001" thickBot="1" x14ac:dyDescent="0.4">
      <c r="B488" s="76"/>
      <c r="C488" s="5" t="s">
        <v>6</v>
      </c>
      <c r="D488" s="5" t="s">
        <v>25</v>
      </c>
      <c r="E488" s="5" t="s">
        <v>25</v>
      </c>
      <c r="F488" s="5">
        <v>76</v>
      </c>
      <c r="G488" s="5" t="s">
        <v>18</v>
      </c>
      <c r="H488" s="5" t="str">
        <f t="shared" si="442"/>
        <v>10111101101111010111011000101011</v>
      </c>
      <c r="I488" s="5">
        <f t="shared" si="443"/>
        <v>21</v>
      </c>
      <c r="J488" s="78"/>
      <c r="K488" s="80"/>
    </row>
    <row r="489" spans="2:11" x14ac:dyDescent="0.35">
      <c r="B489" s="75">
        <f>B487+1</f>
        <v>244</v>
      </c>
      <c r="C489" s="4" t="s">
        <v>0</v>
      </c>
      <c r="D489" s="4" t="s">
        <v>22</v>
      </c>
      <c r="E489" s="4" t="s">
        <v>23</v>
      </c>
      <c r="F489" s="4">
        <v>78</v>
      </c>
      <c r="G489" s="4" t="s">
        <v>24</v>
      </c>
      <c r="H489" s="4" t="str">
        <f t="shared" si="442"/>
        <v>11010101101100100111100010110101</v>
      </c>
      <c r="I489" s="4">
        <f t="shared" si="443"/>
        <v>18</v>
      </c>
      <c r="J489" s="77">
        <v>38</v>
      </c>
      <c r="K489" s="79" t="str">
        <f>HEX2BIN(J489,8)</f>
        <v>00111000</v>
      </c>
    </row>
    <row r="490" spans="2:11" ht="18.600000000000001" thickBot="1" x14ac:dyDescent="0.4">
      <c r="B490" s="76"/>
      <c r="C490" s="5" t="s">
        <v>6</v>
      </c>
      <c r="D490" s="5" t="s">
        <v>25</v>
      </c>
      <c r="E490" s="5" t="s">
        <v>25</v>
      </c>
      <c r="F490" s="5">
        <v>76</v>
      </c>
      <c r="G490" s="5" t="s">
        <v>18</v>
      </c>
      <c r="H490" s="5" t="str">
        <f t="shared" si="442"/>
        <v>10111101101111010111011000101011</v>
      </c>
      <c r="I490" s="5">
        <f t="shared" si="443"/>
        <v>21</v>
      </c>
      <c r="J490" s="78"/>
      <c r="K490" s="80"/>
    </row>
    <row r="491" spans="2:11" x14ac:dyDescent="0.35">
      <c r="B491" s="75">
        <f>B489+1</f>
        <v>245</v>
      </c>
      <c r="C491" s="4" t="s">
        <v>0</v>
      </c>
      <c r="D491" s="4" t="s">
        <v>22</v>
      </c>
      <c r="E491" s="4" t="s">
        <v>23</v>
      </c>
      <c r="F491" s="4">
        <v>78</v>
      </c>
      <c r="G491" s="4" t="s">
        <v>24</v>
      </c>
      <c r="H491" s="4" t="str">
        <f t="shared" si="442"/>
        <v>11010101101100100111100010110101</v>
      </c>
      <c r="I491" s="4">
        <f t="shared" si="443"/>
        <v>18</v>
      </c>
      <c r="J491" s="77">
        <v>38</v>
      </c>
      <c r="K491" s="79" t="str">
        <f>HEX2BIN(J491,8)</f>
        <v>00111000</v>
      </c>
    </row>
    <row r="492" spans="2:11" ht="18.600000000000001" thickBot="1" x14ac:dyDescent="0.4">
      <c r="B492" s="76"/>
      <c r="C492" s="5" t="s">
        <v>6</v>
      </c>
      <c r="D492" s="5" t="s">
        <v>25</v>
      </c>
      <c r="E492" s="5" t="s">
        <v>25</v>
      </c>
      <c r="F492" s="5">
        <v>76</v>
      </c>
      <c r="G492" s="5" t="s">
        <v>18</v>
      </c>
      <c r="H492" s="5" t="str">
        <f t="shared" si="442"/>
        <v>10111101101111010111011000101011</v>
      </c>
      <c r="I492" s="5">
        <f t="shared" si="443"/>
        <v>21</v>
      </c>
      <c r="J492" s="78"/>
      <c r="K492" s="80"/>
    </row>
    <row r="493" spans="2:11" x14ac:dyDescent="0.35">
      <c r="B493" s="75">
        <f>B491+1</f>
        <v>246</v>
      </c>
      <c r="C493" s="4" t="s">
        <v>0</v>
      </c>
      <c r="D493" s="4" t="s">
        <v>22</v>
      </c>
      <c r="E493" s="4" t="s">
        <v>23</v>
      </c>
      <c r="F493" s="4">
        <v>78</v>
      </c>
      <c r="G493" s="4" t="s">
        <v>24</v>
      </c>
      <c r="H493" s="4" t="str">
        <f t="shared" si="442"/>
        <v>11010101101100100111100010110101</v>
      </c>
      <c r="I493" s="4">
        <f t="shared" si="443"/>
        <v>18</v>
      </c>
      <c r="J493" s="77">
        <v>38</v>
      </c>
      <c r="K493" s="79" t="str">
        <f>HEX2BIN(J493,8)</f>
        <v>00111000</v>
      </c>
    </row>
    <row r="494" spans="2:11" ht="18.600000000000001" thickBot="1" x14ac:dyDescent="0.4">
      <c r="B494" s="76"/>
      <c r="C494" s="5" t="s">
        <v>6</v>
      </c>
      <c r="D494" s="5" t="s">
        <v>25</v>
      </c>
      <c r="E494" s="5" t="s">
        <v>25</v>
      </c>
      <c r="F494" s="5">
        <v>76</v>
      </c>
      <c r="G494" s="5" t="s">
        <v>18</v>
      </c>
      <c r="H494" s="5" t="str">
        <f t="shared" si="442"/>
        <v>10111101101111010111011000101011</v>
      </c>
      <c r="I494" s="5">
        <f t="shared" si="443"/>
        <v>21</v>
      </c>
      <c r="J494" s="78"/>
      <c r="K494" s="80"/>
    </row>
    <row r="495" spans="2:11" x14ac:dyDescent="0.35">
      <c r="B495" s="75">
        <f>B493+1</f>
        <v>247</v>
      </c>
      <c r="C495" s="4" t="s">
        <v>0</v>
      </c>
      <c r="D495" s="4" t="s">
        <v>22</v>
      </c>
      <c r="E495" s="4" t="s">
        <v>23</v>
      </c>
      <c r="F495" s="4">
        <v>78</v>
      </c>
      <c r="G495" s="4" t="s">
        <v>24</v>
      </c>
      <c r="H495" s="4" t="str">
        <f t="shared" si="442"/>
        <v>11010101101100100111100010110101</v>
      </c>
      <c r="I495" s="4">
        <f t="shared" si="443"/>
        <v>18</v>
      </c>
      <c r="J495" s="77">
        <v>38</v>
      </c>
      <c r="K495" s="79" t="str">
        <f>HEX2BIN(J495,8)</f>
        <v>00111000</v>
      </c>
    </row>
    <row r="496" spans="2:11" ht="18.600000000000001" thickBot="1" x14ac:dyDescent="0.4">
      <c r="B496" s="76"/>
      <c r="C496" s="5" t="s">
        <v>6</v>
      </c>
      <c r="D496" s="5" t="s">
        <v>25</v>
      </c>
      <c r="E496" s="5" t="s">
        <v>25</v>
      </c>
      <c r="F496" s="5">
        <v>76</v>
      </c>
      <c r="G496" s="5" t="s">
        <v>18</v>
      </c>
      <c r="H496" s="5" t="str">
        <f t="shared" si="442"/>
        <v>10111101101111010111011000101011</v>
      </c>
      <c r="I496" s="5">
        <f t="shared" si="443"/>
        <v>21</v>
      </c>
      <c r="J496" s="78"/>
      <c r="K496" s="80"/>
    </row>
    <row r="497" spans="2:11" x14ac:dyDescent="0.35">
      <c r="B497" s="75">
        <f>B495+1</f>
        <v>248</v>
      </c>
      <c r="C497" s="4" t="s">
        <v>0</v>
      </c>
      <c r="D497" s="4" t="s">
        <v>16</v>
      </c>
      <c r="E497" s="4" t="s">
        <v>17</v>
      </c>
      <c r="F497" s="4">
        <v>52</v>
      </c>
      <c r="G497" s="4">
        <v>56</v>
      </c>
      <c r="H497" s="4" t="str">
        <f t="shared" si="442"/>
        <v>11110000011011000101001001010110</v>
      </c>
      <c r="I497" s="4">
        <f t="shared" si="443"/>
        <v>15</v>
      </c>
      <c r="J497" s="77" t="s">
        <v>21</v>
      </c>
      <c r="K497" s="79" t="str">
        <f>HEX2BIN(J497,8)</f>
        <v>11111010</v>
      </c>
    </row>
    <row r="498" spans="2:11" ht="18.600000000000001" thickBot="1" x14ac:dyDescent="0.4">
      <c r="B498" s="76"/>
      <c r="C498" s="5" t="s">
        <v>6</v>
      </c>
      <c r="D498" s="5">
        <v>49</v>
      </c>
      <c r="E498" s="5" t="s">
        <v>20</v>
      </c>
      <c r="F498" s="5" t="s">
        <v>19</v>
      </c>
      <c r="G498" s="5" t="s">
        <v>18</v>
      </c>
      <c r="H498" s="5" t="str">
        <f t="shared" si="442"/>
        <v>01001001000010101101101100101011</v>
      </c>
      <c r="I498" s="5">
        <f t="shared" si="443"/>
        <v>15</v>
      </c>
      <c r="J498" s="78"/>
      <c r="K498" s="80"/>
    </row>
    <row r="499" spans="2:11" x14ac:dyDescent="0.35">
      <c r="B499" s="75">
        <f>B497+1</f>
        <v>249</v>
      </c>
      <c r="C499" s="4" t="s">
        <v>0</v>
      </c>
      <c r="D499" s="4" t="s">
        <v>22</v>
      </c>
      <c r="E499" s="4" t="s">
        <v>23</v>
      </c>
      <c r="F499" s="4">
        <v>78</v>
      </c>
      <c r="G499" s="4" t="s">
        <v>24</v>
      </c>
      <c r="H499" s="4" t="str">
        <f t="shared" si="442"/>
        <v>11010101101100100111100010110101</v>
      </c>
      <c r="I499" s="4">
        <f t="shared" si="443"/>
        <v>18</v>
      </c>
      <c r="J499" s="77">
        <v>38</v>
      </c>
      <c r="K499" s="79" t="str">
        <f>HEX2BIN(J499,8)</f>
        <v>00111000</v>
      </c>
    </row>
    <row r="500" spans="2:11" ht="18.600000000000001" thickBot="1" x14ac:dyDescent="0.4">
      <c r="B500" s="76"/>
      <c r="C500" s="5" t="s">
        <v>6</v>
      </c>
      <c r="D500" s="5" t="s">
        <v>25</v>
      </c>
      <c r="E500" s="5" t="s">
        <v>25</v>
      </c>
      <c r="F500" s="5">
        <v>76</v>
      </c>
      <c r="G500" s="5" t="s">
        <v>18</v>
      </c>
      <c r="H500" s="5" t="str">
        <f t="shared" si="442"/>
        <v>10111101101111010111011000101011</v>
      </c>
      <c r="I500" s="5">
        <f t="shared" si="443"/>
        <v>21</v>
      </c>
      <c r="J500" s="78"/>
      <c r="K500" s="80"/>
    </row>
    <row r="501" spans="2:11" x14ac:dyDescent="0.35">
      <c r="B501" s="75">
        <f>B499+1</f>
        <v>250</v>
      </c>
      <c r="C501" s="4" t="s">
        <v>0</v>
      </c>
      <c r="D501" s="4" t="s">
        <v>22</v>
      </c>
      <c r="E501" s="4" t="s">
        <v>23</v>
      </c>
      <c r="F501" s="4">
        <v>78</v>
      </c>
      <c r="G501" s="4" t="s">
        <v>24</v>
      </c>
      <c r="H501" s="4" t="str">
        <f t="shared" si="442"/>
        <v>11010101101100100111100010110101</v>
      </c>
      <c r="I501" s="4">
        <f t="shared" si="443"/>
        <v>18</v>
      </c>
      <c r="J501" s="77">
        <v>38</v>
      </c>
      <c r="K501" s="79" t="str">
        <f>HEX2BIN(J501,8)</f>
        <v>00111000</v>
      </c>
    </row>
    <row r="502" spans="2:11" ht="18.600000000000001" thickBot="1" x14ac:dyDescent="0.4">
      <c r="B502" s="76"/>
      <c r="C502" s="5" t="s">
        <v>6</v>
      </c>
      <c r="D502" s="5" t="s">
        <v>25</v>
      </c>
      <c r="E502" s="5" t="s">
        <v>25</v>
      </c>
      <c r="F502" s="5">
        <v>76</v>
      </c>
      <c r="G502" s="5" t="s">
        <v>18</v>
      </c>
      <c r="H502" s="5" t="str">
        <f t="shared" si="442"/>
        <v>10111101101111010111011000101011</v>
      </c>
      <c r="I502" s="5">
        <f t="shared" si="443"/>
        <v>21</v>
      </c>
      <c r="J502" s="78"/>
      <c r="K502" s="80"/>
    </row>
    <row r="503" spans="2:11" x14ac:dyDescent="0.35">
      <c r="B503" s="75">
        <f>B501+1</f>
        <v>251</v>
      </c>
      <c r="C503" s="4" t="s">
        <v>0</v>
      </c>
      <c r="D503" s="4" t="s">
        <v>22</v>
      </c>
      <c r="E503" s="4" t="s">
        <v>23</v>
      </c>
      <c r="F503" s="4">
        <v>78</v>
      </c>
      <c r="G503" s="4" t="s">
        <v>24</v>
      </c>
      <c r="H503" s="4" t="str">
        <f t="shared" si="442"/>
        <v>11010101101100100111100010110101</v>
      </c>
      <c r="I503" s="4">
        <f t="shared" si="443"/>
        <v>18</v>
      </c>
      <c r="J503" s="77">
        <v>38</v>
      </c>
      <c r="K503" s="79" t="str">
        <f>HEX2BIN(J503,8)</f>
        <v>00111000</v>
      </c>
    </row>
    <row r="504" spans="2:11" ht="18.600000000000001" thickBot="1" x14ac:dyDescent="0.4">
      <c r="B504" s="76"/>
      <c r="C504" s="5" t="s">
        <v>6</v>
      </c>
      <c r="D504" s="5" t="s">
        <v>25</v>
      </c>
      <c r="E504" s="5" t="s">
        <v>25</v>
      </c>
      <c r="F504" s="5">
        <v>76</v>
      </c>
      <c r="G504" s="5" t="s">
        <v>18</v>
      </c>
      <c r="H504" s="5" t="str">
        <f t="shared" si="442"/>
        <v>10111101101111010111011000101011</v>
      </c>
      <c r="I504" s="5">
        <f t="shared" si="443"/>
        <v>21</v>
      </c>
      <c r="J504" s="78"/>
      <c r="K504" s="80"/>
    </row>
    <row r="505" spans="2:11" x14ac:dyDescent="0.35">
      <c r="B505" s="75">
        <f>B503+1</f>
        <v>252</v>
      </c>
      <c r="C505" s="4" t="s">
        <v>0</v>
      </c>
      <c r="D505" s="4" t="s">
        <v>22</v>
      </c>
      <c r="E505" s="4" t="s">
        <v>23</v>
      </c>
      <c r="F505" s="4">
        <v>78</v>
      </c>
      <c r="G505" s="4" t="s">
        <v>24</v>
      </c>
      <c r="H505" s="4" t="str">
        <f t="shared" si="442"/>
        <v>11010101101100100111100010110101</v>
      </c>
      <c r="I505" s="4">
        <f t="shared" si="443"/>
        <v>18</v>
      </c>
      <c r="J505" s="77">
        <v>38</v>
      </c>
      <c r="K505" s="79" t="str">
        <f>HEX2BIN(J505,8)</f>
        <v>00111000</v>
      </c>
    </row>
    <row r="506" spans="2:11" ht="18.600000000000001" thickBot="1" x14ac:dyDescent="0.4">
      <c r="B506" s="76"/>
      <c r="C506" s="5" t="s">
        <v>6</v>
      </c>
      <c r="D506" s="5" t="s">
        <v>25</v>
      </c>
      <c r="E506" s="5" t="s">
        <v>25</v>
      </c>
      <c r="F506" s="5">
        <v>76</v>
      </c>
      <c r="G506" s="5" t="s">
        <v>18</v>
      </c>
      <c r="H506" s="5" t="str">
        <f t="shared" si="442"/>
        <v>10111101101111010111011000101011</v>
      </c>
      <c r="I506" s="5">
        <f t="shared" si="443"/>
        <v>21</v>
      </c>
      <c r="J506" s="78"/>
      <c r="K506" s="80"/>
    </row>
    <row r="507" spans="2:11" x14ac:dyDescent="0.35">
      <c r="B507" s="75">
        <f>B505+1</f>
        <v>253</v>
      </c>
      <c r="C507" s="4" t="s">
        <v>0</v>
      </c>
      <c r="D507" s="4" t="s">
        <v>22</v>
      </c>
      <c r="E507" s="4" t="s">
        <v>23</v>
      </c>
      <c r="F507" s="4">
        <v>78</v>
      </c>
      <c r="G507" s="4" t="s">
        <v>24</v>
      </c>
      <c r="H507" s="4" t="str">
        <f t="shared" si="442"/>
        <v>11010101101100100111100010110101</v>
      </c>
      <c r="I507" s="4">
        <f t="shared" si="443"/>
        <v>18</v>
      </c>
      <c r="J507" s="77">
        <v>38</v>
      </c>
      <c r="K507" s="79" t="str">
        <f>HEX2BIN(J507,8)</f>
        <v>00111000</v>
      </c>
    </row>
    <row r="508" spans="2:11" ht="18.600000000000001" thickBot="1" x14ac:dyDescent="0.4">
      <c r="B508" s="76"/>
      <c r="C508" s="5" t="s">
        <v>6</v>
      </c>
      <c r="D508" s="5" t="s">
        <v>25</v>
      </c>
      <c r="E508" s="5" t="s">
        <v>25</v>
      </c>
      <c r="F508" s="5">
        <v>76</v>
      </c>
      <c r="G508" s="5" t="s">
        <v>18</v>
      </c>
      <c r="H508" s="5" t="str">
        <f t="shared" si="442"/>
        <v>10111101101111010111011000101011</v>
      </c>
      <c r="I508" s="5">
        <f t="shared" si="443"/>
        <v>21</v>
      </c>
      <c r="J508" s="78"/>
      <c r="K508" s="80"/>
    </row>
    <row r="509" spans="2:11" x14ac:dyDescent="0.35">
      <c r="B509" s="75">
        <f>B507+1</f>
        <v>254</v>
      </c>
      <c r="C509" s="4" t="s">
        <v>0</v>
      </c>
      <c r="D509" s="4" t="s">
        <v>16</v>
      </c>
      <c r="E509" s="4" t="s">
        <v>17</v>
      </c>
      <c r="F509" s="4">
        <v>52</v>
      </c>
      <c r="G509" s="4">
        <v>56</v>
      </c>
      <c r="H509" s="4" t="str">
        <f t="shared" si="442"/>
        <v>11110000011011000101001001010110</v>
      </c>
      <c r="I509" s="4">
        <f t="shared" si="443"/>
        <v>15</v>
      </c>
      <c r="J509" s="77" t="s">
        <v>21</v>
      </c>
      <c r="K509" s="79" t="str">
        <f>HEX2BIN(J509,8)</f>
        <v>11111010</v>
      </c>
    </row>
    <row r="510" spans="2:11" ht="18.600000000000001" thickBot="1" x14ac:dyDescent="0.4">
      <c r="B510" s="76"/>
      <c r="C510" s="5" t="s">
        <v>6</v>
      </c>
      <c r="D510" s="5">
        <v>49</v>
      </c>
      <c r="E510" s="5" t="s">
        <v>20</v>
      </c>
      <c r="F510" s="5" t="s">
        <v>19</v>
      </c>
      <c r="G510" s="5" t="s">
        <v>18</v>
      </c>
      <c r="H510" s="5" t="str">
        <f t="shared" si="442"/>
        <v>01001001000010101101101100101011</v>
      </c>
      <c r="I510" s="5">
        <f t="shared" si="443"/>
        <v>15</v>
      </c>
      <c r="J510" s="78"/>
      <c r="K510" s="80"/>
    </row>
    <row r="511" spans="2:11" x14ac:dyDescent="0.35">
      <c r="B511" s="75">
        <f>B509+1</f>
        <v>255</v>
      </c>
      <c r="C511" s="4" t="s">
        <v>0</v>
      </c>
      <c r="D511" s="4" t="s">
        <v>22</v>
      </c>
      <c r="E511" s="4" t="s">
        <v>23</v>
      </c>
      <c r="F511" s="4">
        <v>78</v>
      </c>
      <c r="G511" s="4" t="s">
        <v>24</v>
      </c>
      <c r="H511" s="4" t="str">
        <f t="shared" si="442"/>
        <v>11010101101100100111100010110101</v>
      </c>
      <c r="I511" s="4">
        <f t="shared" si="443"/>
        <v>18</v>
      </c>
      <c r="J511" s="77">
        <v>38</v>
      </c>
      <c r="K511" s="79" t="str">
        <f>HEX2BIN(J511,8)</f>
        <v>00111000</v>
      </c>
    </row>
    <row r="512" spans="2:11" ht="18.600000000000001" thickBot="1" x14ac:dyDescent="0.4">
      <c r="B512" s="76"/>
      <c r="C512" s="5" t="s">
        <v>6</v>
      </c>
      <c r="D512" s="5" t="s">
        <v>25</v>
      </c>
      <c r="E512" s="5" t="s">
        <v>25</v>
      </c>
      <c r="F512" s="5">
        <v>76</v>
      </c>
      <c r="G512" s="5" t="s">
        <v>18</v>
      </c>
      <c r="H512" s="5" t="str">
        <f t="shared" si="442"/>
        <v>10111101101111010111011000101011</v>
      </c>
      <c r="I512" s="5">
        <f t="shared" si="443"/>
        <v>21</v>
      </c>
      <c r="J512" s="78"/>
      <c r="K512" s="80"/>
    </row>
    <row r="513" spans="2:11" x14ac:dyDescent="0.35">
      <c r="B513" s="75">
        <f>B511+1</f>
        <v>256</v>
      </c>
      <c r="C513" s="4" t="s">
        <v>0</v>
      </c>
      <c r="D513" s="4" t="s">
        <v>22</v>
      </c>
      <c r="E513" s="4" t="s">
        <v>23</v>
      </c>
      <c r="F513" s="4">
        <v>78</v>
      </c>
      <c r="G513" s="4" t="s">
        <v>24</v>
      </c>
      <c r="H513" s="4" t="str">
        <f t="shared" si="442"/>
        <v>11010101101100100111100010110101</v>
      </c>
      <c r="I513" s="4">
        <f t="shared" si="443"/>
        <v>18</v>
      </c>
      <c r="J513" s="77">
        <v>38</v>
      </c>
      <c r="K513" s="79" t="str">
        <f>HEX2BIN(J513,8)</f>
        <v>00111000</v>
      </c>
    </row>
    <row r="514" spans="2:11" ht="18.600000000000001" thickBot="1" x14ac:dyDescent="0.4">
      <c r="B514" s="76"/>
      <c r="C514" s="5" t="s">
        <v>6</v>
      </c>
      <c r="D514" s="5" t="s">
        <v>25</v>
      </c>
      <c r="E514" s="5" t="s">
        <v>25</v>
      </c>
      <c r="F514" s="5">
        <v>76</v>
      </c>
      <c r="G514" s="5" t="s">
        <v>18</v>
      </c>
      <c r="H514" s="5" t="str">
        <f t="shared" si="442"/>
        <v>10111101101111010111011000101011</v>
      </c>
      <c r="I514" s="5">
        <f t="shared" si="443"/>
        <v>21</v>
      </c>
      <c r="J514" s="78"/>
      <c r="K514" s="80"/>
    </row>
    <row r="515" spans="2:11" x14ac:dyDescent="0.35">
      <c r="B515" s="75">
        <f>B513+1</f>
        <v>257</v>
      </c>
      <c r="C515" s="4" t="s">
        <v>0</v>
      </c>
      <c r="D515" s="4" t="s">
        <v>22</v>
      </c>
      <c r="E515" s="4" t="s">
        <v>23</v>
      </c>
      <c r="F515" s="4">
        <v>78</v>
      </c>
      <c r="G515" s="4" t="s">
        <v>24</v>
      </c>
      <c r="H515" s="4" t="str">
        <f t="shared" ref="H515:H578" si="444">CONCATENATE(HEX2BIN(D515,8),HEX2BIN(E515,8),HEX2BIN(F515,8),HEX2BIN(G515,8))</f>
        <v>11010101101100100111100010110101</v>
      </c>
      <c r="I515" s="4">
        <f t="shared" ref="I515:I578" si="445">MID(H515,1,1)+MID(H515,2,1)+MID(H515,3,1)+MID(H515,4,1)+MID(H515,5,1)+MID(H515,6,1)+MID(H515,7,1)+MID(H515,8,1)+MID(H515,9,1)+MID(H515,10,1)+MID(H515,11,1)+MID(H515,12,1)+MID(H515,13,1)+MID(H515,14,1)+MID(H515,15,1)+MID(H515,16,1)+MID(H515,17,1)+MID(H515,18,1)+MID(H515,19,1)+MID(H515,20,1)+MID(H515,21,1)+MID(H515,22,1)+MID(H515,23,1)+MID(H515,24,1)+MID(H515,25,1)+MID(H515,26,1)+MID(H515,27,1)+MID(H515,28,1)+MID(H515,29,1)+MID(H515,30,1)+MID(H515,31,1)+MID(H515,32,1)</f>
        <v>18</v>
      </c>
      <c r="J515" s="77">
        <v>38</v>
      </c>
      <c r="K515" s="79" t="str">
        <f>HEX2BIN(J515,8)</f>
        <v>00111000</v>
      </c>
    </row>
    <row r="516" spans="2:11" ht="18.600000000000001" thickBot="1" x14ac:dyDescent="0.4">
      <c r="B516" s="76"/>
      <c r="C516" s="5" t="s">
        <v>6</v>
      </c>
      <c r="D516" s="5" t="s">
        <v>25</v>
      </c>
      <c r="E516" s="5" t="s">
        <v>25</v>
      </c>
      <c r="F516" s="5">
        <v>76</v>
      </c>
      <c r="G516" s="5" t="s">
        <v>18</v>
      </c>
      <c r="H516" s="5" t="str">
        <f t="shared" si="444"/>
        <v>10111101101111010111011000101011</v>
      </c>
      <c r="I516" s="5">
        <f t="shared" si="445"/>
        <v>21</v>
      </c>
      <c r="J516" s="78"/>
      <c r="K516" s="80"/>
    </row>
    <row r="517" spans="2:11" x14ac:dyDescent="0.35">
      <c r="B517" s="75">
        <f>B515+1</f>
        <v>258</v>
      </c>
      <c r="C517" s="4" t="s">
        <v>0</v>
      </c>
      <c r="D517" s="4" t="s">
        <v>22</v>
      </c>
      <c r="E517" s="4" t="s">
        <v>23</v>
      </c>
      <c r="F517" s="4">
        <v>78</v>
      </c>
      <c r="G517" s="4" t="s">
        <v>24</v>
      </c>
      <c r="H517" s="4" t="str">
        <f t="shared" si="444"/>
        <v>11010101101100100111100010110101</v>
      </c>
      <c r="I517" s="4">
        <f t="shared" si="445"/>
        <v>18</v>
      </c>
      <c r="J517" s="77">
        <v>38</v>
      </c>
      <c r="K517" s="79" t="str">
        <f>HEX2BIN(J517,8)</f>
        <v>00111000</v>
      </c>
    </row>
    <row r="518" spans="2:11" ht="18.600000000000001" thickBot="1" x14ac:dyDescent="0.4">
      <c r="B518" s="76"/>
      <c r="C518" s="5" t="s">
        <v>6</v>
      </c>
      <c r="D518" s="5" t="s">
        <v>25</v>
      </c>
      <c r="E518" s="5" t="s">
        <v>25</v>
      </c>
      <c r="F518" s="5">
        <v>76</v>
      </c>
      <c r="G518" s="5" t="s">
        <v>18</v>
      </c>
      <c r="H518" s="5" t="str">
        <f t="shared" si="444"/>
        <v>10111101101111010111011000101011</v>
      </c>
      <c r="I518" s="5">
        <f t="shared" si="445"/>
        <v>21</v>
      </c>
      <c r="J518" s="78"/>
      <c r="K518" s="80"/>
    </row>
    <row r="519" spans="2:11" x14ac:dyDescent="0.35">
      <c r="B519" s="75">
        <f>B517+1</f>
        <v>259</v>
      </c>
      <c r="C519" s="4" t="s">
        <v>0</v>
      </c>
      <c r="D519" s="4" t="s">
        <v>22</v>
      </c>
      <c r="E519" s="4" t="s">
        <v>23</v>
      </c>
      <c r="F519" s="4">
        <v>78</v>
      </c>
      <c r="G519" s="4" t="s">
        <v>24</v>
      </c>
      <c r="H519" s="4" t="str">
        <f t="shared" si="444"/>
        <v>11010101101100100111100010110101</v>
      </c>
      <c r="I519" s="4">
        <f t="shared" si="445"/>
        <v>18</v>
      </c>
      <c r="J519" s="77">
        <v>38</v>
      </c>
      <c r="K519" s="79" t="str">
        <f>HEX2BIN(J519,8)</f>
        <v>00111000</v>
      </c>
    </row>
    <row r="520" spans="2:11" ht="18.600000000000001" thickBot="1" x14ac:dyDescent="0.4">
      <c r="B520" s="76"/>
      <c r="C520" s="5" t="s">
        <v>6</v>
      </c>
      <c r="D520" s="5" t="s">
        <v>25</v>
      </c>
      <c r="E520" s="5" t="s">
        <v>25</v>
      </c>
      <c r="F520" s="5">
        <v>76</v>
      </c>
      <c r="G520" s="5" t="s">
        <v>18</v>
      </c>
      <c r="H520" s="5" t="str">
        <f t="shared" si="444"/>
        <v>10111101101111010111011000101011</v>
      </c>
      <c r="I520" s="5">
        <f t="shared" si="445"/>
        <v>21</v>
      </c>
      <c r="J520" s="78"/>
      <c r="K520" s="80"/>
    </row>
    <row r="521" spans="2:11" x14ac:dyDescent="0.35">
      <c r="B521" s="75">
        <f>B519+1</f>
        <v>260</v>
      </c>
      <c r="C521" s="4" t="s">
        <v>0</v>
      </c>
      <c r="D521" s="4" t="s">
        <v>16</v>
      </c>
      <c r="E521" s="4" t="s">
        <v>17</v>
      </c>
      <c r="F521" s="4">
        <v>52</v>
      </c>
      <c r="G521" s="4">
        <v>56</v>
      </c>
      <c r="H521" s="4" t="str">
        <f t="shared" si="444"/>
        <v>11110000011011000101001001010110</v>
      </c>
      <c r="I521" s="4">
        <f t="shared" si="445"/>
        <v>15</v>
      </c>
      <c r="J521" s="77" t="s">
        <v>21</v>
      </c>
      <c r="K521" s="79" t="str">
        <f>HEX2BIN(J521,8)</f>
        <v>11111010</v>
      </c>
    </row>
    <row r="522" spans="2:11" ht="18.600000000000001" thickBot="1" x14ac:dyDescent="0.4">
      <c r="B522" s="76"/>
      <c r="C522" s="5" t="s">
        <v>6</v>
      </c>
      <c r="D522" s="5">
        <v>49</v>
      </c>
      <c r="E522" s="5" t="s">
        <v>20</v>
      </c>
      <c r="F522" s="5" t="s">
        <v>19</v>
      </c>
      <c r="G522" s="5" t="s">
        <v>18</v>
      </c>
      <c r="H522" s="5" t="str">
        <f t="shared" si="444"/>
        <v>01001001000010101101101100101011</v>
      </c>
      <c r="I522" s="5">
        <f t="shared" si="445"/>
        <v>15</v>
      </c>
      <c r="J522" s="78"/>
      <c r="K522" s="80"/>
    </row>
    <row r="523" spans="2:11" x14ac:dyDescent="0.35">
      <c r="B523" s="75">
        <f>B521+1</f>
        <v>261</v>
      </c>
      <c r="C523" s="4" t="s">
        <v>0</v>
      </c>
      <c r="D523" s="4" t="s">
        <v>22</v>
      </c>
      <c r="E523" s="4" t="s">
        <v>23</v>
      </c>
      <c r="F523" s="4">
        <v>78</v>
      </c>
      <c r="G523" s="4" t="s">
        <v>24</v>
      </c>
      <c r="H523" s="4" t="str">
        <f t="shared" si="444"/>
        <v>11010101101100100111100010110101</v>
      </c>
      <c r="I523" s="4">
        <f t="shared" si="445"/>
        <v>18</v>
      </c>
      <c r="J523" s="77">
        <v>38</v>
      </c>
      <c r="K523" s="79" t="str">
        <f>HEX2BIN(J523,8)</f>
        <v>00111000</v>
      </c>
    </row>
    <row r="524" spans="2:11" ht="18.600000000000001" thickBot="1" x14ac:dyDescent="0.4">
      <c r="B524" s="76"/>
      <c r="C524" s="5" t="s">
        <v>6</v>
      </c>
      <c r="D524" s="5" t="s">
        <v>25</v>
      </c>
      <c r="E524" s="5" t="s">
        <v>25</v>
      </c>
      <c r="F524" s="5">
        <v>76</v>
      </c>
      <c r="G524" s="5" t="s">
        <v>18</v>
      </c>
      <c r="H524" s="5" t="str">
        <f t="shared" si="444"/>
        <v>10111101101111010111011000101011</v>
      </c>
      <c r="I524" s="5">
        <f t="shared" si="445"/>
        <v>21</v>
      </c>
      <c r="J524" s="78"/>
      <c r="K524" s="80"/>
    </row>
    <row r="525" spans="2:11" x14ac:dyDescent="0.35">
      <c r="B525" s="75">
        <f>B523+1</f>
        <v>262</v>
      </c>
      <c r="C525" s="4" t="s">
        <v>0</v>
      </c>
      <c r="D525" s="4" t="s">
        <v>22</v>
      </c>
      <c r="E525" s="4" t="s">
        <v>23</v>
      </c>
      <c r="F525" s="4">
        <v>78</v>
      </c>
      <c r="G525" s="4" t="s">
        <v>24</v>
      </c>
      <c r="H525" s="4" t="str">
        <f t="shared" si="444"/>
        <v>11010101101100100111100010110101</v>
      </c>
      <c r="I525" s="4">
        <f t="shared" si="445"/>
        <v>18</v>
      </c>
      <c r="J525" s="77">
        <v>38</v>
      </c>
      <c r="K525" s="79" t="str">
        <f>HEX2BIN(J525,8)</f>
        <v>00111000</v>
      </c>
    </row>
    <row r="526" spans="2:11" ht="18.600000000000001" thickBot="1" x14ac:dyDescent="0.4">
      <c r="B526" s="76"/>
      <c r="C526" s="5" t="s">
        <v>6</v>
      </c>
      <c r="D526" s="5" t="s">
        <v>25</v>
      </c>
      <c r="E526" s="5" t="s">
        <v>25</v>
      </c>
      <c r="F526" s="5">
        <v>76</v>
      </c>
      <c r="G526" s="5" t="s">
        <v>18</v>
      </c>
      <c r="H526" s="5" t="str">
        <f t="shared" si="444"/>
        <v>10111101101111010111011000101011</v>
      </c>
      <c r="I526" s="5">
        <f t="shared" si="445"/>
        <v>21</v>
      </c>
      <c r="J526" s="78"/>
      <c r="K526" s="80"/>
    </row>
    <row r="527" spans="2:11" x14ac:dyDescent="0.35">
      <c r="B527" s="75">
        <f>B525+1</f>
        <v>263</v>
      </c>
      <c r="C527" s="4" t="s">
        <v>0</v>
      </c>
      <c r="D527" s="4" t="s">
        <v>22</v>
      </c>
      <c r="E527" s="4" t="s">
        <v>23</v>
      </c>
      <c r="F527" s="4">
        <v>78</v>
      </c>
      <c r="G527" s="4" t="s">
        <v>24</v>
      </c>
      <c r="H527" s="4" t="str">
        <f t="shared" si="444"/>
        <v>11010101101100100111100010110101</v>
      </c>
      <c r="I527" s="4">
        <f t="shared" si="445"/>
        <v>18</v>
      </c>
      <c r="J527" s="77">
        <v>38</v>
      </c>
      <c r="K527" s="79" t="str">
        <f>HEX2BIN(J527,8)</f>
        <v>00111000</v>
      </c>
    </row>
    <row r="528" spans="2:11" ht="18.600000000000001" thickBot="1" x14ac:dyDescent="0.4">
      <c r="B528" s="76"/>
      <c r="C528" s="5" t="s">
        <v>6</v>
      </c>
      <c r="D528" s="5" t="s">
        <v>25</v>
      </c>
      <c r="E528" s="5" t="s">
        <v>25</v>
      </c>
      <c r="F528" s="5">
        <v>76</v>
      </c>
      <c r="G528" s="5" t="s">
        <v>18</v>
      </c>
      <c r="H528" s="5" t="str">
        <f t="shared" si="444"/>
        <v>10111101101111010111011000101011</v>
      </c>
      <c r="I528" s="5">
        <f t="shared" si="445"/>
        <v>21</v>
      </c>
      <c r="J528" s="78"/>
      <c r="K528" s="80"/>
    </row>
    <row r="529" spans="2:11" x14ac:dyDescent="0.35">
      <c r="B529" s="75">
        <f>B527+1</f>
        <v>264</v>
      </c>
      <c r="C529" s="4" t="s">
        <v>0</v>
      </c>
      <c r="D529" s="4" t="s">
        <v>22</v>
      </c>
      <c r="E529" s="4" t="s">
        <v>23</v>
      </c>
      <c r="F529" s="4">
        <v>78</v>
      </c>
      <c r="G529" s="4" t="s">
        <v>24</v>
      </c>
      <c r="H529" s="4" t="str">
        <f t="shared" si="444"/>
        <v>11010101101100100111100010110101</v>
      </c>
      <c r="I529" s="4">
        <f t="shared" si="445"/>
        <v>18</v>
      </c>
      <c r="J529" s="77">
        <v>38</v>
      </c>
      <c r="K529" s="79" t="str">
        <f>HEX2BIN(J529,8)</f>
        <v>00111000</v>
      </c>
    </row>
    <row r="530" spans="2:11" ht="18.600000000000001" thickBot="1" x14ac:dyDescent="0.4">
      <c r="B530" s="76"/>
      <c r="C530" s="5" t="s">
        <v>6</v>
      </c>
      <c r="D530" s="5" t="s">
        <v>25</v>
      </c>
      <c r="E530" s="5" t="s">
        <v>25</v>
      </c>
      <c r="F530" s="5">
        <v>76</v>
      </c>
      <c r="G530" s="5" t="s">
        <v>18</v>
      </c>
      <c r="H530" s="5" t="str">
        <f t="shared" si="444"/>
        <v>10111101101111010111011000101011</v>
      </c>
      <c r="I530" s="5">
        <f t="shared" si="445"/>
        <v>21</v>
      </c>
      <c r="J530" s="78"/>
      <c r="K530" s="80"/>
    </row>
    <row r="531" spans="2:11" x14ac:dyDescent="0.35">
      <c r="B531" s="75">
        <f>B529+1</f>
        <v>265</v>
      </c>
      <c r="C531" s="4" t="s">
        <v>0</v>
      </c>
      <c r="D531" s="4" t="s">
        <v>22</v>
      </c>
      <c r="E531" s="4" t="s">
        <v>23</v>
      </c>
      <c r="F531" s="4">
        <v>78</v>
      </c>
      <c r="G531" s="4" t="s">
        <v>24</v>
      </c>
      <c r="H531" s="4" t="str">
        <f t="shared" si="444"/>
        <v>11010101101100100111100010110101</v>
      </c>
      <c r="I531" s="4">
        <f t="shared" si="445"/>
        <v>18</v>
      </c>
      <c r="J531" s="77">
        <v>38</v>
      </c>
      <c r="K531" s="79" t="str">
        <f>HEX2BIN(J531,8)</f>
        <v>00111000</v>
      </c>
    </row>
    <row r="532" spans="2:11" ht="18.600000000000001" thickBot="1" x14ac:dyDescent="0.4">
      <c r="B532" s="76"/>
      <c r="C532" s="5" t="s">
        <v>6</v>
      </c>
      <c r="D532" s="5" t="s">
        <v>25</v>
      </c>
      <c r="E532" s="5" t="s">
        <v>25</v>
      </c>
      <c r="F532" s="5">
        <v>76</v>
      </c>
      <c r="G532" s="5" t="s">
        <v>18</v>
      </c>
      <c r="H532" s="5" t="str">
        <f t="shared" si="444"/>
        <v>10111101101111010111011000101011</v>
      </c>
      <c r="I532" s="5">
        <f t="shared" si="445"/>
        <v>21</v>
      </c>
      <c r="J532" s="78"/>
      <c r="K532" s="80"/>
    </row>
    <row r="533" spans="2:11" x14ac:dyDescent="0.35">
      <c r="B533" s="75">
        <f>B531+1</f>
        <v>266</v>
      </c>
      <c r="C533" s="4" t="s">
        <v>0</v>
      </c>
      <c r="D533" s="4" t="s">
        <v>16</v>
      </c>
      <c r="E533" s="4" t="s">
        <v>17</v>
      </c>
      <c r="F533" s="4">
        <v>52</v>
      </c>
      <c r="G533" s="4">
        <v>56</v>
      </c>
      <c r="H533" s="4" t="str">
        <f t="shared" si="444"/>
        <v>11110000011011000101001001010110</v>
      </c>
      <c r="I533" s="4">
        <f t="shared" si="445"/>
        <v>15</v>
      </c>
      <c r="J533" s="77" t="s">
        <v>21</v>
      </c>
      <c r="K533" s="79" t="str">
        <f>HEX2BIN(J533,8)</f>
        <v>11111010</v>
      </c>
    </row>
    <row r="534" spans="2:11" ht="18.600000000000001" thickBot="1" x14ac:dyDescent="0.4">
      <c r="B534" s="76"/>
      <c r="C534" s="5" t="s">
        <v>6</v>
      </c>
      <c r="D534" s="5">
        <v>49</v>
      </c>
      <c r="E534" s="5" t="s">
        <v>20</v>
      </c>
      <c r="F534" s="5" t="s">
        <v>19</v>
      </c>
      <c r="G534" s="5" t="s">
        <v>18</v>
      </c>
      <c r="H534" s="5" t="str">
        <f t="shared" si="444"/>
        <v>01001001000010101101101100101011</v>
      </c>
      <c r="I534" s="5">
        <f t="shared" si="445"/>
        <v>15</v>
      </c>
      <c r="J534" s="78"/>
      <c r="K534" s="80"/>
    </row>
    <row r="535" spans="2:11" x14ac:dyDescent="0.35">
      <c r="B535" s="75">
        <f>B533+1</f>
        <v>267</v>
      </c>
      <c r="C535" s="4" t="s">
        <v>0</v>
      </c>
      <c r="D535" s="4" t="s">
        <v>22</v>
      </c>
      <c r="E535" s="4" t="s">
        <v>23</v>
      </c>
      <c r="F535" s="4">
        <v>78</v>
      </c>
      <c r="G535" s="4" t="s">
        <v>24</v>
      </c>
      <c r="H535" s="4" t="str">
        <f t="shared" si="444"/>
        <v>11010101101100100111100010110101</v>
      </c>
      <c r="I535" s="4">
        <f t="shared" si="445"/>
        <v>18</v>
      </c>
      <c r="J535" s="77">
        <v>38</v>
      </c>
      <c r="K535" s="79" t="str">
        <f>HEX2BIN(J535,8)</f>
        <v>00111000</v>
      </c>
    </row>
    <row r="536" spans="2:11" ht="18.600000000000001" thickBot="1" x14ac:dyDescent="0.4">
      <c r="B536" s="76"/>
      <c r="C536" s="5" t="s">
        <v>6</v>
      </c>
      <c r="D536" s="5" t="s">
        <v>25</v>
      </c>
      <c r="E536" s="5" t="s">
        <v>25</v>
      </c>
      <c r="F536" s="5">
        <v>76</v>
      </c>
      <c r="G536" s="5" t="s">
        <v>18</v>
      </c>
      <c r="H536" s="5" t="str">
        <f t="shared" si="444"/>
        <v>10111101101111010111011000101011</v>
      </c>
      <c r="I536" s="5">
        <f t="shared" si="445"/>
        <v>21</v>
      </c>
      <c r="J536" s="78"/>
      <c r="K536" s="80"/>
    </row>
    <row r="537" spans="2:11" x14ac:dyDescent="0.35">
      <c r="B537" s="75">
        <f>B535+1</f>
        <v>268</v>
      </c>
      <c r="C537" s="4" t="s">
        <v>0</v>
      </c>
      <c r="D537" s="4" t="s">
        <v>22</v>
      </c>
      <c r="E537" s="4" t="s">
        <v>23</v>
      </c>
      <c r="F537" s="4">
        <v>78</v>
      </c>
      <c r="G537" s="4" t="s">
        <v>24</v>
      </c>
      <c r="H537" s="4" t="str">
        <f t="shared" si="444"/>
        <v>11010101101100100111100010110101</v>
      </c>
      <c r="I537" s="4">
        <f t="shared" si="445"/>
        <v>18</v>
      </c>
      <c r="J537" s="77">
        <v>38</v>
      </c>
      <c r="K537" s="79" t="str">
        <f>HEX2BIN(J537,8)</f>
        <v>00111000</v>
      </c>
    </row>
    <row r="538" spans="2:11" ht="18.600000000000001" thickBot="1" x14ac:dyDescent="0.4">
      <c r="B538" s="76"/>
      <c r="C538" s="5" t="s">
        <v>6</v>
      </c>
      <c r="D538" s="5" t="s">
        <v>25</v>
      </c>
      <c r="E538" s="5" t="s">
        <v>25</v>
      </c>
      <c r="F538" s="5">
        <v>76</v>
      </c>
      <c r="G538" s="5" t="s">
        <v>18</v>
      </c>
      <c r="H538" s="5" t="str">
        <f t="shared" si="444"/>
        <v>10111101101111010111011000101011</v>
      </c>
      <c r="I538" s="5">
        <f t="shared" si="445"/>
        <v>21</v>
      </c>
      <c r="J538" s="78"/>
      <c r="K538" s="80"/>
    </row>
    <row r="539" spans="2:11" x14ac:dyDescent="0.35">
      <c r="B539" s="75">
        <f>B537+1</f>
        <v>269</v>
      </c>
      <c r="C539" s="4" t="s">
        <v>0</v>
      </c>
      <c r="D539" s="4" t="s">
        <v>22</v>
      </c>
      <c r="E539" s="4" t="s">
        <v>23</v>
      </c>
      <c r="F539" s="4">
        <v>78</v>
      </c>
      <c r="G539" s="4" t="s">
        <v>24</v>
      </c>
      <c r="H539" s="4" t="str">
        <f t="shared" si="444"/>
        <v>11010101101100100111100010110101</v>
      </c>
      <c r="I539" s="4">
        <f t="shared" si="445"/>
        <v>18</v>
      </c>
      <c r="J539" s="77">
        <v>38</v>
      </c>
      <c r="K539" s="79" t="str">
        <f>HEX2BIN(J539,8)</f>
        <v>00111000</v>
      </c>
    </row>
    <row r="540" spans="2:11" ht="18.600000000000001" thickBot="1" x14ac:dyDescent="0.4">
      <c r="B540" s="76"/>
      <c r="C540" s="5" t="s">
        <v>6</v>
      </c>
      <c r="D540" s="5" t="s">
        <v>25</v>
      </c>
      <c r="E540" s="5" t="s">
        <v>25</v>
      </c>
      <c r="F540" s="5">
        <v>76</v>
      </c>
      <c r="G540" s="5" t="s">
        <v>18</v>
      </c>
      <c r="H540" s="5" t="str">
        <f t="shared" si="444"/>
        <v>10111101101111010111011000101011</v>
      </c>
      <c r="I540" s="5">
        <f t="shared" si="445"/>
        <v>21</v>
      </c>
      <c r="J540" s="78"/>
      <c r="K540" s="80"/>
    </row>
    <row r="541" spans="2:11" x14ac:dyDescent="0.35">
      <c r="B541" s="75">
        <f>B539+1</f>
        <v>270</v>
      </c>
      <c r="C541" s="4" t="s">
        <v>0</v>
      </c>
      <c r="D541" s="4" t="s">
        <v>22</v>
      </c>
      <c r="E541" s="4" t="s">
        <v>23</v>
      </c>
      <c r="F541" s="4">
        <v>78</v>
      </c>
      <c r="G541" s="4" t="s">
        <v>24</v>
      </c>
      <c r="H541" s="4" t="str">
        <f t="shared" si="444"/>
        <v>11010101101100100111100010110101</v>
      </c>
      <c r="I541" s="4">
        <f t="shared" si="445"/>
        <v>18</v>
      </c>
      <c r="J541" s="77">
        <v>38</v>
      </c>
      <c r="K541" s="79" t="str">
        <f>HEX2BIN(J541,8)</f>
        <v>00111000</v>
      </c>
    </row>
    <row r="542" spans="2:11" ht="18.600000000000001" thickBot="1" x14ac:dyDescent="0.4">
      <c r="B542" s="76"/>
      <c r="C542" s="5" t="s">
        <v>6</v>
      </c>
      <c r="D542" s="5" t="s">
        <v>25</v>
      </c>
      <c r="E542" s="5" t="s">
        <v>25</v>
      </c>
      <c r="F542" s="5">
        <v>76</v>
      </c>
      <c r="G542" s="5" t="s">
        <v>18</v>
      </c>
      <c r="H542" s="5" t="str">
        <f t="shared" si="444"/>
        <v>10111101101111010111011000101011</v>
      </c>
      <c r="I542" s="5">
        <f t="shared" si="445"/>
        <v>21</v>
      </c>
      <c r="J542" s="78"/>
      <c r="K542" s="80"/>
    </row>
    <row r="543" spans="2:11" x14ac:dyDescent="0.35">
      <c r="B543" s="75">
        <f>B541+1</f>
        <v>271</v>
      </c>
      <c r="C543" s="4" t="s">
        <v>0</v>
      </c>
      <c r="D543" s="4" t="s">
        <v>22</v>
      </c>
      <c r="E543" s="4" t="s">
        <v>23</v>
      </c>
      <c r="F543" s="4">
        <v>78</v>
      </c>
      <c r="G543" s="4" t="s">
        <v>24</v>
      </c>
      <c r="H543" s="4" t="str">
        <f t="shared" si="444"/>
        <v>11010101101100100111100010110101</v>
      </c>
      <c r="I543" s="4">
        <f t="shared" si="445"/>
        <v>18</v>
      </c>
      <c r="J543" s="77">
        <v>38</v>
      </c>
      <c r="K543" s="79" t="str">
        <f>HEX2BIN(J543,8)</f>
        <v>00111000</v>
      </c>
    </row>
    <row r="544" spans="2:11" ht="18.600000000000001" thickBot="1" x14ac:dyDescent="0.4">
      <c r="B544" s="76"/>
      <c r="C544" s="5" t="s">
        <v>6</v>
      </c>
      <c r="D544" s="5" t="s">
        <v>25</v>
      </c>
      <c r="E544" s="5" t="s">
        <v>25</v>
      </c>
      <c r="F544" s="5">
        <v>76</v>
      </c>
      <c r="G544" s="5" t="s">
        <v>18</v>
      </c>
      <c r="H544" s="5" t="str">
        <f t="shared" si="444"/>
        <v>10111101101111010111011000101011</v>
      </c>
      <c r="I544" s="5">
        <f t="shared" si="445"/>
        <v>21</v>
      </c>
      <c r="J544" s="78"/>
      <c r="K544" s="80"/>
    </row>
    <row r="545" spans="2:12" x14ac:dyDescent="0.35">
      <c r="B545" s="75">
        <f>B543+1</f>
        <v>272</v>
      </c>
      <c r="C545" s="4" t="s">
        <v>0</v>
      </c>
      <c r="D545" s="4" t="s">
        <v>16</v>
      </c>
      <c r="E545" s="4" t="s">
        <v>17</v>
      </c>
      <c r="F545" s="4">
        <v>52</v>
      </c>
      <c r="G545" s="4">
        <v>56</v>
      </c>
      <c r="H545" s="4" t="str">
        <f t="shared" si="444"/>
        <v>11110000011011000101001001010110</v>
      </c>
      <c r="I545" s="4">
        <f t="shared" si="445"/>
        <v>15</v>
      </c>
      <c r="J545" s="77" t="s">
        <v>21</v>
      </c>
      <c r="K545" s="79" t="str">
        <f>HEX2BIN(J545,8)</f>
        <v>11111010</v>
      </c>
    </row>
    <row r="546" spans="2:12" ht="18.600000000000001" thickBot="1" x14ac:dyDescent="0.4">
      <c r="B546" s="76"/>
      <c r="C546" s="5" t="s">
        <v>6</v>
      </c>
      <c r="D546" s="5">
        <v>49</v>
      </c>
      <c r="E546" s="5" t="s">
        <v>20</v>
      </c>
      <c r="F546" s="5" t="s">
        <v>19</v>
      </c>
      <c r="G546" s="5" t="s">
        <v>18</v>
      </c>
      <c r="H546" s="5" t="str">
        <f t="shared" si="444"/>
        <v>01001001000010101101101100101011</v>
      </c>
      <c r="I546" s="5">
        <f t="shared" si="445"/>
        <v>15</v>
      </c>
      <c r="J546" s="78"/>
      <c r="K546" s="80"/>
    </row>
    <row r="547" spans="2:12" x14ac:dyDescent="0.35">
      <c r="B547" s="75">
        <f>B545+1</f>
        <v>273</v>
      </c>
      <c r="C547" s="4" t="s">
        <v>0</v>
      </c>
      <c r="D547" s="4" t="s">
        <v>22</v>
      </c>
      <c r="E547" s="4" t="s">
        <v>23</v>
      </c>
      <c r="F547" s="4">
        <v>78</v>
      </c>
      <c r="G547" s="4" t="s">
        <v>24</v>
      </c>
      <c r="H547" s="4" t="str">
        <f t="shared" si="444"/>
        <v>11010101101100100111100010110101</v>
      </c>
      <c r="I547" s="4">
        <f t="shared" si="445"/>
        <v>18</v>
      </c>
      <c r="J547" s="77">
        <v>38</v>
      </c>
      <c r="K547" s="79" t="str">
        <f>HEX2BIN(J547,8)</f>
        <v>00111000</v>
      </c>
    </row>
    <row r="548" spans="2:12" ht="18.600000000000001" thickBot="1" x14ac:dyDescent="0.4">
      <c r="B548" s="76"/>
      <c r="C548" s="5" t="s">
        <v>6</v>
      </c>
      <c r="D548" s="5" t="s">
        <v>25</v>
      </c>
      <c r="E548" s="5" t="s">
        <v>25</v>
      </c>
      <c r="F548" s="5">
        <v>76</v>
      </c>
      <c r="G548" s="5" t="s">
        <v>18</v>
      </c>
      <c r="H548" s="5" t="str">
        <f t="shared" si="444"/>
        <v>10111101101111010111011000101011</v>
      </c>
      <c r="I548" s="5">
        <f t="shared" si="445"/>
        <v>21</v>
      </c>
      <c r="J548" s="78"/>
      <c r="K548" s="80"/>
    </row>
    <row r="549" spans="2:12" x14ac:dyDescent="0.35">
      <c r="B549" s="75">
        <f>B547+1</f>
        <v>274</v>
      </c>
      <c r="C549" s="4" t="s">
        <v>0</v>
      </c>
      <c r="D549" s="4" t="s">
        <v>22</v>
      </c>
      <c r="E549" s="4" t="s">
        <v>23</v>
      </c>
      <c r="F549" s="4">
        <v>78</v>
      </c>
      <c r="G549" s="4" t="s">
        <v>24</v>
      </c>
      <c r="H549" s="4" t="str">
        <f t="shared" si="444"/>
        <v>11010101101100100111100010110101</v>
      </c>
      <c r="I549" s="4">
        <f t="shared" si="445"/>
        <v>18</v>
      </c>
      <c r="J549" s="77">
        <v>38</v>
      </c>
      <c r="K549" s="79" t="str">
        <f>HEX2BIN(J549,8)</f>
        <v>00111000</v>
      </c>
    </row>
    <row r="550" spans="2:12" ht="18.600000000000001" thickBot="1" x14ac:dyDescent="0.4">
      <c r="B550" s="76"/>
      <c r="C550" s="5" t="s">
        <v>6</v>
      </c>
      <c r="D550" s="5" t="s">
        <v>25</v>
      </c>
      <c r="E550" s="5" t="s">
        <v>25</v>
      </c>
      <c r="F550" s="5">
        <v>76</v>
      </c>
      <c r="G550" s="5" t="s">
        <v>18</v>
      </c>
      <c r="H550" s="5" t="str">
        <f t="shared" si="444"/>
        <v>10111101101111010111011000101011</v>
      </c>
      <c r="I550" s="5">
        <f t="shared" si="445"/>
        <v>21</v>
      </c>
      <c r="J550" s="78"/>
      <c r="K550" s="80"/>
    </row>
    <row r="551" spans="2:12" x14ac:dyDescent="0.35">
      <c r="B551" s="75">
        <f>B549+1</f>
        <v>275</v>
      </c>
      <c r="C551" s="4" t="s">
        <v>0</v>
      </c>
      <c r="D551" s="4" t="s">
        <v>22</v>
      </c>
      <c r="E551" s="4" t="s">
        <v>23</v>
      </c>
      <c r="F551" s="4">
        <v>78</v>
      </c>
      <c r="G551" s="4" t="s">
        <v>24</v>
      </c>
      <c r="H551" s="4" t="str">
        <f t="shared" si="444"/>
        <v>11010101101100100111100010110101</v>
      </c>
      <c r="I551" s="4">
        <f t="shared" si="445"/>
        <v>18</v>
      </c>
      <c r="J551" s="77">
        <v>38</v>
      </c>
      <c r="K551" s="79" t="str">
        <f>HEX2BIN(J551,8)</f>
        <v>00111000</v>
      </c>
    </row>
    <row r="552" spans="2:12" ht="18.600000000000001" thickBot="1" x14ac:dyDescent="0.4">
      <c r="B552" s="76"/>
      <c r="C552" s="5" t="s">
        <v>6</v>
      </c>
      <c r="D552" s="5" t="s">
        <v>25</v>
      </c>
      <c r="E552" s="5" t="s">
        <v>25</v>
      </c>
      <c r="F552" s="5">
        <v>76</v>
      </c>
      <c r="G552" s="5" t="s">
        <v>18</v>
      </c>
      <c r="H552" s="5" t="str">
        <f t="shared" si="444"/>
        <v>10111101101111010111011000101011</v>
      </c>
      <c r="I552" s="5">
        <f t="shared" si="445"/>
        <v>21</v>
      </c>
      <c r="J552" s="78"/>
      <c r="K552" s="80"/>
    </row>
    <row r="553" spans="2:12" x14ac:dyDescent="0.35">
      <c r="B553" s="75">
        <f>B551+1</f>
        <v>276</v>
      </c>
      <c r="C553" s="4" t="s">
        <v>0</v>
      </c>
      <c r="D553" s="1">
        <v>9</v>
      </c>
      <c r="E553" s="72">
        <v>46</v>
      </c>
      <c r="F553" s="4" t="s">
        <v>317</v>
      </c>
      <c r="G553" s="72" t="s">
        <v>318</v>
      </c>
      <c r="H553" s="64" t="s">
        <v>320</v>
      </c>
      <c r="I553" s="4">
        <f t="shared" si="445"/>
        <v>17</v>
      </c>
      <c r="J553" s="77" t="s">
        <v>151</v>
      </c>
      <c r="K553" s="79" t="str">
        <f>HEX2BIN(J553,8)</f>
        <v>11001001</v>
      </c>
      <c r="L553" s="1" t="s">
        <v>319</v>
      </c>
    </row>
    <row r="554" spans="2:12" ht="18.600000000000001" thickBot="1" x14ac:dyDescent="0.4">
      <c r="B554" s="76"/>
      <c r="C554" s="5" t="s">
        <v>6</v>
      </c>
      <c r="D554" s="5" t="s">
        <v>25</v>
      </c>
      <c r="E554" s="5" t="s">
        <v>25</v>
      </c>
      <c r="F554" s="5">
        <v>76</v>
      </c>
      <c r="G554" s="5" t="s">
        <v>18</v>
      </c>
      <c r="H554" s="5" t="str">
        <f>CONCATENATE(BIN2HEX(MID(H553,1,8),2),BIN2HEX(MID(H553,9,8),2),BIN2HEX(MID(H553,17,8),2),BIN2HEX(MID(H553,25,8),2))</f>
        <v>7B5A9869</v>
      </c>
      <c r="I554" s="5" t="e">
        <f t="shared" si="445"/>
        <v>#VALUE!</v>
      </c>
      <c r="J554" s="78"/>
      <c r="K554" s="80"/>
    </row>
    <row r="555" spans="2:12" x14ac:dyDescent="0.35">
      <c r="B555" s="75">
        <f>B553+1</f>
        <v>277</v>
      </c>
      <c r="C555" s="4" t="s">
        <v>0</v>
      </c>
      <c r="D555" s="4" t="s">
        <v>22</v>
      </c>
      <c r="E555" s="4" t="s">
        <v>23</v>
      </c>
      <c r="F555" s="4">
        <v>78</v>
      </c>
      <c r="G555" s="4" t="s">
        <v>24</v>
      </c>
      <c r="H555" s="4" t="str">
        <f t="shared" si="444"/>
        <v>11010101101100100111100010110101</v>
      </c>
      <c r="I555" s="4">
        <f t="shared" si="445"/>
        <v>18</v>
      </c>
      <c r="J555" s="77">
        <v>38</v>
      </c>
      <c r="K555" s="79" t="str">
        <f>HEX2BIN(J555,8)</f>
        <v>00111000</v>
      </c>
    </row>
    <row r="556" spans="2:12" ht="18.600000000000001" thickBot="1" x14ac:dyDescent="0.4">
      <c r="B556" s="76"/>
      <c r="C556" s="5" t="s">
        <v>6</v>
      </c>
      <c r="D556" s="5" t="s">
        <v>25</v>
      </c>
      <c r="E556" s="5" t="s">
        <v>25</v>
      </c>
      <c r="F556" s="5">
        <v>76</v>
      </c>
      <c r="G556" s="5" t="s">
        <v>18</v>
      </c>
      <c r="H556" s="5" t="str">
        <f t="shared" si="444"/>
        <v>10111101101111010111011000101011</v>
      </c>
      <c r="I556" s="5">
        <f t="shared" si="445"/>
        <v>21</v>
      </c>
      <c r="J556" s="78"/>
      <c r="K556" s="80"/>
    </row>
    <row r="557" spans="2:12" x14ac:dyDescent="0.35">
      <c r="B557" s="75">
        <f>B555+1</f>
        <v>278</v>
      </c>
      <c r="C557" s="4" t="s">
        <v>0</v>
      </c>
      <c r="D557" s="4" t="s">
        <v>16</v>
      </c>
      <c r="E557" s="4" t="s">
        <v>17</v>
      </c>
      <c r="F557" s="4">
        <v>52</v>
      </c>
      <c r="G557" s="4">
        <v>56</v>
      </c>
      <c r="H557" s="4" t="str">
        <f t="shared" si="444"/>
        <v>11110000011011000101001001010110</v>
      </c>
      <c r="I557" s="4">
        <f t="shared" si="445"/>
        <v>15</v>
      </c>
      <c r="J557" s="77" t="s">
        <v>21</v>
      </c>
      <c r="K557" s="79" t="str">
        <f>HEX2BIN(J557,8)</f>
        <v>11111010</v>
      </c>
    </row>
    <row r="558" spans="2:12" ht="18.600000000000001" thickBot="1" x14ac:dyDescent="0.4">
      <c r="B558" s="76"/>
      <c r="C558" s="5" t="s">
        <v>6</v>
      </c>
      <c r="D558" s="5">
        <v>49</v>
      </c>
      <c r="E558" s="5" t="s">
        <v>20</v>
      </c>
      <c r="F558" s="5" t="s">
        <v>19</v>
      </c>
      <c r="G558" s="5" t="s">
        <v>18</v>
      </c>
      <c r="H558" s="5" t="str">
        <f t="shared" si="444"/>
        <v>01001001000010101101101100101011</v>
      </c>
      <c r="I558" s="5">
        <f t="shared" si="445"/>
        <v>15</v>
      </c>
      <c r="J558" s="78"/>
      <c r="K558" s="80"/>
    </row>
    <row r="559" spans="2:12" x14ac:dyDescent="0.35">
      <c r="B559" s="75">
        <f>B557+1</f>
        <v>279</v>
      </c>
      <c r="C559" s="4" t="s">
        <v>0</v>
      </c>
      <c r="D559" s="4" t="s">
        <v>22</v>
      </c>
      <c r="E559" s="4" t="s">
        <v>23</v>
      </c>
      <c r="F559" s="4">
        <v>78</v>
      </c>
      <c r="G559" s="4" t="s">
        <v>24</v>
      </c>
      <c r="H559" s="4" t="str">
        <f t="shared" si="444"/>
        <v>11010101101100100111100010110101</v>
      </c>
      <c r="I559" s="4">
        <f t="shared" si="445"/>
        <v>18</v>
      </c>
      <c r="J559" s="77">
        <v>38</v>
      </c>
      <c r="K559" s="79" t="str">
        <f>HEX2BIN(J559,8)</f>
        <v>00111000</v>
      </c>
    </row>
    <row r="560" spans="2:12" ht="18.600000000000001" thickBot="1" x14ac:dyDescent="0.4">
      <c r="B560" s="76"/>
      <c r="C560" s="5" t="s">
        <v>6</v>
      </c>
      <c r="D560" s="5" t="s">
        <v>25</v>
      </c>
      <c r="E560" s="5" t="s">
        <v>25</v>
      </c>
      <c r="F560" s="5">
        <v>76</v>
      </c>
      <c r="G560" s="5" t="s">
        <v>18</v>
      </c>
      <c r="H560" s="5" t="str">
        <f t="shared" si="444"/>
        <v>10111101101111010111011000101011</v>
      </c>
      <c r="I560" s="5">
        <f t="shared" si="445"/>
        <v>21</v>
      </c>
      <c r="J560" s="78"/>
      <c r="K560" s="80"/>
    </row>
    <row r="561" spans="2:11" x14ac:dyDescent="0.35">
      <c r="B561" s="75">
        <f>B559+1</f>
        <v>280</v>
      </c>
      <c r="C561" s="4" t="s">
        <v>0</v>
      </c>
      <c r="D561" s="4" t="s">
        <v>22</v>
      </c>
      <c r="E561" s="4" t="s">
        <v>23</v>
      </c>
      <c r="F561" s="4">
        <v>78</v>
      </c>
      <c r="G561" s="4" t="s">
        <v>24</v>
      </c>
      <c r="H561" s="4" t="str">
        <f t="shared" si="444"/>
        <v>11010101101100100111100010110101</v>
      </c>
      <c r="I561" s="4">
        <f t="shared" si="445"/>
        <v>18</v>
      </c>
      <c r="J561" s="77">
        <v>38</v>
      </c>
      <c r="K561" s="79" t="str">
        <f>HEX2BIN(J561,8)</f>
        <v>00111000</v>
      </c>
    </row>
    <row r="562" spans="2:11" ht="18.600000000000001" thickBot="1" x14ac:dyDescent="0.4">
      <c r="B562" s="76"/>
      <c r="C562" s="5" t="s">
        <v>6</v>
      </c>
      <c r="D562" s="5" t="s">
        <v>25</v>
      </c>
      <c r="E562" s="5" t="s">
        <v>25</v>
      </c>
      <c r="F562" s="5">
        <v>76</v>
      </c>
      <c r="G562" s="5" t="s">
        <v>18</v>
      </c>
      <c r="H562" s="5" t="str">
        <f t="shared" si="444"/>
        <v>10111101101111010111011000101011</v>
      </c>
      <c r="I562" s="5">
        <f t="shared" si="445"/>
        <v>21</v>
      </c>
      <c r="J562" s="78"/>
      <c r="K562" s="80"/>
    </row>
    <row r="563" spans="2:11" x14ac:dyDescent="0.35">
      <c r="B563" s="75">
        <f>B561+1</f>
        <v>281</v>
      </c>
      <c r="C563" s="4" t="s">
        <v>0</v>
      </c>
      <c r="D563" s="4" t="s">
        <v>22</v>
      </c>
      <c r="E563" s="4" t="s">
        <v>23</v>
      </c>
      <c r="F563" s="4">
        <v>78</v>
      </c>
      <c r="G563" s="4" t="s">
        <v>24</v>
      </c>
      <c r="H563" s="4" t="str">
        <f t="shared" si="444"/>
        <v>11010101101100100111100010110101</v>
      </c>
      <c r="I563" s="4">
        <f t="shared" si="445"/>
        <v>18</v>
      </c>
      <c r="J563" s="77">
        <v>38</v>
      </c>
      <c r="K563" s="79" t="str">
        <f>HEX2BIN(J563,8)</f>
        <v>00111000</v>
      </c>
    </row>
    <row r="564" spans="2:11" ht="18.600000000000001" thickBot="1" x14ac:dyDescent="0.4">
      <c r="B564" s="76"/>
      <c r="C564" s="5" t="s">
        <v>6</v>
      </c>
      <c r="D564" s="5" t="s">
        <v>25</v>
      </c>
      <c r="E564" s="5" t="s">
        <v>25</v>
      </c>
      <c r="F564" s="5">
        <v>76</v>
      </c>
      <c r="G564" s="5" t="s">
        <v>18</v>
      </c>
      <c r="H564" s="5" t="str">
        <f t="shared" si="444"/>
        <v>10111101101111010111011000101011</v>
      </c>
      <c r="I564" s="5">
        <f t="shared" si="445"/>
        <v>21</v>
      </c>
      <c r="J564" s="78"/>
      <c r="K564" s="80"/>
    </row>
    <row r="565" spans="2:11" x14ac:dyDescent="0.35">
      <c r="B565" s="75">
        <f>B563+1</f>
        <v>282</v>
      </c>
      <c r="C565" s="4" t="s">
        <v>0</v>
      </c>
      <c r="D565" s="4" t="s">
        <v>22</v>
      </c>
      <c r="E565" s="4" t="s">
        <v>23</v>
      </c>
      <c r="F565" s="4">
        <v>78</v>
      </c>
      <c r="G565" s="4" t="s">
        <v>24</v>
      </c>
      <c r="H565" s="4" t="str">
        <f t="shared" si="444"/>
        <v>11010101101100100111100010110101</v>
      </c>
      <c r="I565" s="4">
        <f t="shared" si="445"/>
        <v>18</v>
      </c>
      <c r="J565" s="77">
        <v>38</v>
      </c>
      <c r="K565" s="79" t="str">
        <f>HEX2BIN(J565,8)</f>
        <v>00111000</v>
      </c>
    </row>
    <row r="566" spans="2:11" ht="18.600000000000001" thickBot="1" x14ac:dyDescent="0.4">
      <c r="B566" s="76"/>
      <c r="C566" s="5" t="s">
        <v>6</v>
      </c>
      <c r="D566" s="5" t="s">
        <v>25</v>
      </c>
      <c r="E566" s="5" t="s">
        <v>25</v>
      </c>
      <c r="F566" s="5">
        <v>76</v>
      </c>
      <c r="G566" s="5" t="s">
        <v>18</v>
      </c>
      <c r="H566" s="5" t="str">
        <f t="shared" si="444"/>
        <v>10111101101111010111011000101011</v>
      </c>
      <c r="I566" s="5">
        <f t="shared" si="445"/>
        <v>21</v>
      </c>
      <c r="J566" s="78"/>
      <c r="K566" s="80"/>
    </row>
    <row r="567" spans="2:11" x14ac:dyDescent="0.35">
      <c r="B567" s="75">
        <f>B565+1</f>
        <v>283</v>
      </c>
      <c r="C567" s="4" t="s">
        <v>0</v>
      </c>
      <c r="D567" s="4" t="s">
        <v>22</v>
      </c>
      <c r="E567" s="4" t="s">
        <v>23</v>
      </c>
      <c r="F567" s="4">
        <v>78</v>
      </c>
      <c r="G567" s="4" t="s">
        <v>24</v>
      </c>
      <c r="H567" s="4" t="str">
        <f t="shared" si="444"/>
        <v>11010101101100100111100010110101</v>
      </c>
      <c r="I567" s="4">
        <f t="shared" si="445"/>
        <v>18</v>
      </c>
      <c r="J567" s="77">
        <v>38</v>
      </c>
      <c r="K567" s="79" t="str">
        <f>HEX2BIN(J567,8)</f>
        <v>00111000</v>
      </c>
    </row>
    <row r="568" spans="2:11" ht="18.600000000000001" thickBot="1" x14ac:dyDescent="0.4">
      <c r="B568" s="76"/>
      <c r="C568" s="5" t="s">
        <v>6</v>
      </c>
      <c r="D568" s="5" t="s">
        <v>25</v>
      </c>
      <c r="E568" s="5" t="s">
        <v>25</v>
      </c>
      <c r="F568" s="5">
        <v>76</v>
      </c>
      <c r="G568" s="5" t="s">
        <v>18</v>
      </c>
      <c r="H568" s="5" t="str">
        <f t="shared" si="444"/>
        <v>10111101101111010111011000101011</v>
      </c>
      <c r="I568" s="5">
        <f t="shared" si="445"/>
        <v>21</v>
      </c>
      <c r="J568" s="78"/>
      <c r="K568" s="80"/>
    </row>
    <row r="569" spans="2:11" x14ac:dyDescent="0.35">
      <c r="B569" s="75">
        <f>B567+1</f>
        <v>284</v>
      </c>
      <c r="C569" s="4" t="s">
        <v>0</v>
      </c>
      <c r="D569" s="4" t="s">
        <v>16</v>
      </c>
      <c r="E569" s="4" t="s">
        <v>17</v>
      </c>
      <c r="F569" s="4">
        <v>52</v>
      </c>
      <c r="G569" s="4">
        <v>56</v>
      </c>
      <c r="H569" s="4" t="str">
        <f t="shared" si="444"/>
        <v>11110000011011000101001001010110</v>
      </c>
      <c r="I569" s="4">
        <f t="shared" si="445"/>
        <v>15</v>
      </c>
      <c r="J569" s="77" t="s">
        <v>21</v>
      </c>
      <c r="K569" s="79" t="str">
        <f>HEX2BIN(J569,8)</f>
        <v>11111010</v>
      </c>
    </row>
    <row r="570" spans="2:11" ht="18.600000000000001" thickBot="1" x14ac:dyDescent="0.4">
      <c r="B570" s="76"/>
      <c r="C570" s="5" t="s">
        <v>6</v>
      </c>
      <c r="D570" s="5">
        <v>49</v>
      </c>
      <c r="E570" s="5" t="s">
        <v>20</v>
      </c>
      <c r="F570" s="5" t="s">
        <v>19</v>
      </c>
      <c r="G570" s="5" t="s">
        <v>18</v>
      </c>
      <c r="H570" s="5" t="str">
        <f t="shared" si="444"/>
        <v>01001001000010101101101100101011</v>
      </c>
      <c r="I570" s="5">
        <f t="shared" si="445"/>
        <v>15</v>
      </c>
      <c r="J570" s="78"/>
      <c r="K570" s="80"/>
    </row>
    <row r="571" spans="2:11" x14ac:dyDescent="0.35">
      <c r="B571" s="75">
        <f>B569+1</f>
        <v>285</v>
      </c>
      <c r="C571" s="4" t="s">
        <v>0</v>
      </c>
      <c r="D571" s="4" t="s">
        <v>22</v>
      </c>
      <c r="E571" s="4" t="s">
        <v>23</v>
      </c>
      <c r="F571" s="4">
        <v>78</v>
      </c>
      <c r="G571" s="4" t="s">
        <v>24</v>
      </c>
      <c r="H571" s="4" t="str">
        <f t="shared" si="444"/>
        <v>11010101101100100111100010110101</v>
      </c>
      <c r="I571" s="4">
        <f t="shared" si="445"/>
        <v>18</v>
      </c>
      <c r="J571" s="77">
        <v>38</v>
      </c>
      <c r="K571" s="79" t="str">
        <f>HEX2BIN(J571,8)</f>
        <v>00111000</v>
      </c>
    </row>
    <row r="572" spans="2:11" ht="18.600000000000001" thickBot="1" x14ac:dyDescent="0.4">
      <c r="B572" s="76"/>
      <c r="C572" s="5" t="s">
        <v>6</v>
      </c>
      <c r="D572" s="5" t="s">
        <v>25</v>
      </c>
      <c r="E572" s="5" t="s">
        <v>25</v>
      </c>
      <c r="F572" s="5">
        <v>76</v>
      </c>
      <c r="G572" s="5" t="s">
        <v>18</v>
      </c>
      <c r="H572" s="5" t="str">
        <f t="shared" si="444"/>
        <v>10111101101111010111011000101011</v>
      </c>
      <c r="I572" s="5">
        <f t="shared" si="445"/>
        <v>21</v>
      </c>
      <c r="J572" s="78"/>
      <c r="K572" s="80"/>
    </row>
    <row r="573" spans="2:11" x14ac:dyDescent="0.35">
      <c r="B573" s="75">
        <f>B571+1</f>
        <v>286</v>
      </c>
      <c r="C573" s="4" t="s">
        <v>0</v>
      </c>
      <c r="D573" s="4" t="s">
        <v>22</v>
      </c>
      <c r="E573" s="4" t="s">
        <v>23</v>
      </c>
      <c r="F573" s="4">
        <v>78</v>
      </c>
      <c r="G573" s="4" t="s">
        <v>24</v>
      </c>
      <c r="H573" s="4" t="str">
        <f t="shared" si="444"/>
        <v>11010101101100100111100010110101</v>
      </c>
      <c r="I573" s="4">
        <f t="shared" si="445"/>
        <v>18</v>
      </c>
      <c r="J573" s="77">
        <v>38</v>
      </c>
      <c r="K573" s="79" t="str">
        <f>HEX2BIN(J573,8)</f>
        <v>00111000</v>
      </c>
    </row>
    <row r="574" spans="2:11" ht="18.600000000000001" thickBot="1" x14ac:dyDescent="0.4">
      <c r="B574" s="76"/>
      <c r="C574" s="5" t="s">
        <v>6</v>
      </c>
      <c r="D574" s="5" t="s">
        <v>25</v>
      </c>
      <c r="E574" s="5" t="s">
        <v>25</v>
      </c>
      <c r="F574" s="5">
        <v>76</v>
      </c>
      <c r="G574" s="5" t="s">
        <v>18</v>
      </c>
      <c r="H574" s="5" t="str">
        <f t="shared" si="444"/>
        <v>10111101101111010111011000101011</v>
      </c>
      <c r="I574" s="5">
        <f t="shared" si="445"/>
        <v>21</v>
      </c>
      <c r="J574" s="78"/>
      <c r="K574" s="80"/>
    </row>
    <row r="575" spans="2:11" x14ac:dyDescent="0.35">
      <c r="B575" s="75">
        <f>B573+1</f>
        <v>287</v>
      </c>
      <c r="C575" s="4" t="s">
        <v>0</v>
      </c>
      <c r="D575" s="4" t="s">
        <v>22</v>
      </c>
      <c r="E575" s="4" t="s">
        <v>23</v>
      </c>
      <c r="F575" s="4">
        <v>78</v>
      </c>
      <c r="G575" s="4" t="s">
        <v>24</v>
      </c>
      <c r="H575" s="4" t="str">
        <f t="shared" si="444"/>
        <v>11010101101100100111100010110101</v>
      </c>
      <c r="I575" s="4">
        <f t="shared" si="445"/>
        <v>18</v>
      </c>
      <c r="J575" s="77">
        <v>38</v>
      </c>
      <c r="K575" s="79" t="str">
        <f>HEX2BIN(J575,8)</f>
        <v>00111000</v>
      </c>
    </row>
    <row r="576" spans="2:11" ht="18.600000000000001" thickBot="1" x14ac:dyDescent="0.4">
      <c r="B576" s="76"/>
      <c r="C576" s="5" t="s">
        <v>6</v>
      </c>
      <c r="D576" s="5" t="s">
        <v>25</v>
      </c>
      <c r="E576" s="5" t="s">
        <v>25</v>
      </c>
      <c r="F576" s="5">
        <v>76</v>
      </c>
      <c r="G576" s="5" t="s">
        <v>18</v>
      </c>
      <c r="H576" s="5" t="str">
        <f t="shared" si="444"/>
        <v>10111101101111010111011000101011</v>
      </c>
      <c r="I576" s="5">
        <f t="shared" si="445"/>
        <v>21</v>
      </c>
      <c r="J576" s="78"/>
      <c r="K576" s="80"/>
    </row>
    <row r="577" spans="2:11" x14ac:dyDescent="0.35">
      <c r="B577" s="75">
        <f>B575+1</f>
        <v>288</v>
      </c>
      <c r="C577" s="4" t="s">
        <v>0</v>
      </c>
      <c r="D577" s="4" t="s">
        <v>22</v>
      </c>
      <c r="E577" s="4" t="s">
        <v>23</v>
      </c>
      <c r="F577" s="4">
        <v>78</v>
      </c>
      <c r="G577" s="4" t="s">
        <v>24</v>
      </c>
      <c r="H577" s="4" t="str">
        <f t="shared" si="444"/>
        <v>11010101101100100111100010110101</v>
      </c>
      <c r="I577" s="4">
        <f t="shared" si="445"/>
        <v>18</v>
      </c>
      <c r="J577" s="77">
        <v>38</v>
      </c>
      <c r="K577" s="79" t="str">
        <f>HEX2BIN(J577,8)</f>
        <v>00111000</v>
      </c>
    </row>
    <row r="578" spans="2:11" ht="18.600000000000001" thickBot="1" x14ac:dyDescent="0.4">
      <c r="B578" s="76"/>
      <c r="C578" s="5" t="s">
        <v>6</v>
      </c>
      <c r="D578" s="5" t="s">
        <v>25</v>
      </c>
      <c r="E578" s="5" t="s">
        <v>25</v>
      </c>
      <c r="F578" s="5">
        <v>76</v>
      </c>
      <c r="G578" s="5" t="s">
        <v>18</v>
      </c>
      <c r="H578" s="5" t="str">
        <f t="shared" si="444"/>
        <v>10111101101111010111011000101011</v>
      </c>
      <c r="I578" s="5">
        <f t="shared" si="445"/>
        <v>21</v>
      </c>
      <c r="J578" s="78"/>
      <c r="K578" s="80"/>
    </row>
    <row r="579" spans="2:11" x14ac:dyDescent="0.35">
      <c r="B579" s="75">
        <f>B577+1</f>
        <v>289</v>
      </c>
      <c r="C579" s="4" t="s">
        <v>0</v>
      </c>
      <c r="D579" s="4" t="s">
        <v>22</v>
      </c>
      <c r="E579" s="4" t="s">
        <v>23</v>
      </c>
      <c r="F579" s="4">
        <v>78</v>
      </c>
      <c r="G579" s="4" t="s">
        <v>24</v>
      </c>
      <c r="H579" s="4" t="str">
        <f t="shared" ref="H579:H642" si="446">CONCATENATE(HEX2BIN(D579,8),HEX2BIN(E579,8),HEX2BIN(F579,8),HEX2BIN(G579,8))</f>
        <v>11010101101100100111100010110101</v>
      </c>
      <c r="I579" s="4">
        <f t="shared" ref="I579:I642" si="447">MID(H579,1,1)+MID(H579,2,1)+MID(H579,3,1)+MID(H579,4,1)+MID(H579,5,1)+MID(H579,6,1)+MID(H579,7,1)+MID(H579,8,1)+MID(H579,9,1)+MID(H579,10,1)+MID(H579,11,1)+MID(H579,12,1)+MID(H579,13,1)+MID(H579,14,1)+MID(H579,15,1)+MID(H579,16,1)+MID(H579,17,1)+MID(H579,18,1)+MID(H579,19,1)+MID(H579,20,1)+MID(H579,21,1)+MID(H579,22,1)+MID(H579,23,1)+MID(H579,24,1)+MID(H579,25,1)+MID(H579,26,1)+MID(H579,27,1)+MID(H579,28,1)+MID(H579,29,1)+MID(H579,30,1)+MID(H579,31,1)+MID(H579,32,1)</f>
        <v>18</v>
      </c>
      <c r="J579" s="77">
        <v>38</v>
      </c>
      <c r="K579" s="79" t="str">
        <f>HEX2BIN(J579,8)</f>
        <v>00111000</v>
      </c>
    </row>
    <row r="580" spans="2:11" ht="18.600000000000001" thickBot="1" x14ac:dyDescent="0.4">
      <c r="B580" s="76"/>
      <c r="C580" s="5" t="s">
        <v>6</v>
      </c>
      <c r="D580" s="5" t="s">
        <v>25</v>
      </c>
      <c r="E580" s="5" t="s">
        <v>25</v>
      </c>
      <c r="F580" s="5">
        <v>76</v>
      </c>
      <c r="G580" s="5" t="s">
        <v>18</v>
      </c>
      <c r="H580" s="5" t="str">
        <f t="shared" si="446"/>
        <v>10111101101111010111011000101011</v>
      </c>
      <c r="I580" s="5">
        <f t="shared" si="447"/>
        <v>21</v>
      </c>
      <c r="J580" s="78"/>
      <c r="K580" s="80"/>
    </row>
    <row r="581" spans="2:11" x14ac:dyDescent="0.35">
      <c r="B581" s="75">
        <f>B579+1</f>
        <v>290</v>
      </c>
      <c r="C581" s="4" t="s">
        <v>0</v>
      </c>
      <c r="D581" s="4" t="s">
        <v>16</v>
      </c>
      <c r="E581" s="4" t="s">
        <v>17</v>
      </c>
      <c r="F581" s="4">
        <v>52</v>
      </c>
      <c r="G581" s="4">
        <v>56</v>
      </c>
      <c r="H581" s="4" t="str">
        <f t="shared" si="446"/>
        <v>11110000011011000101001001010110</v>
      </c>
      <c r="I581" s="4">
        <f t="shared" si="447"/>
        <v>15</v>
      </c>
      <c r="J581" s="77" t="s">
        <v>21</v>
      </c>
      <c r="K581" s="79" t="str">
        <f>HEX2BIN(J581,8)</f>
        <v>11111010</v>
      </c>
    </row>
    <row r="582" spans="2:11" ht="18.600000000000001" thickBot="1" x14ac:dyDescent="0.4">
      <c r="B582" s="76"/>
      <c r="C582" s="5" t="s">
        <v>6</v>
      </c>
      <c r="D582" s="5">
        <v>49</v>
      </c>
      <c r="E582" s="5" t="s">
        <v>20</v>
      </c>
      <c r="F582" s="5" t="s">
        <v>19</v>
      </c>
      <c r="G582" s="5" t="s">
        <v>18</v>
      </c>
      <c r="H582" s="5" t="str">
        <f t="shared" si="446"/>
        <v>01001001000010101101101100101011</v>
      </c>
      <c r="I582" s="5">
        <f t="shared" si="447"/>
        <v>15</v>
      </c>
      <c r="J582" s="78"/>
      <c r="K582" s="80"/>
    </row>
    <row r="583" spans="2:11" x14ac:dyDescent="0.35">
      <c r="B583" s="75">
        <f>B581+1</f>
        <v>291</v>
      </c>
      <c r="C583" s="4" t="s">
        <v>0</v>
      </c>
      <c r="D583" s="4" t="s">
        <v>22</v>
      </c>
      <c r="E583" s="4" t="s">
        <v>23</v>
      </c>
      <c r="F583" s="4">
        <v>78</v>
      </c>
      <c r="G583" s="4" t="s">
        <v>24</v>
      </c>
      <c r="H583" s="4" t="str">
        <f t="shared" si="446"/>
        <v>11010101101100100111100010110101</v>
      </c>
      <c r="I583" s="4">
        <f t="shared" si="447"/>
        <v>18</v>
      </c>
      <c r="J583" s="77">
        <v>38</v>
      </c>
      <c r="K583" s="79" t="str">
        <f>HEX2BIN(J583,8)</f>
        <v>00111000</v>
      </c>
    </row>
    <row r="584" spans="2:11" ht="18.600000000000001" thickBot="1" x14ac:dyDescent="0.4">
      <c r="B584" s="76"/>
      <c r="C584" s="5" t="s">
        <v>6</v>
      </c>
      <c r="D584" s="5" t="s">
        <v>25</v>
      </c>
      <c r="E584" s="5" t="s">
        <v>25</v>
      </c>
      <c r="F584" s="5">
        <v>76</v>
      </c>
      <c r="G584" s="5" t="s">
        <v>18</v>
      </c>
      <c r="H584" s="5" t="str">
        <f t="shared" si="446"/>
        <v>10111101101111010111011000101011</v>
      </c>
      <c r="I584" s="5">
        <f t="shared" si="447"/>
        <v>21</v>
      </c>
      <c r="J584" s="78"/>
      <c r="K584" s="80"/>
    </row>
    <row r="585" spans="2:11" x14ac:dyDescent="0.35">
      <c r="B585" s="75">
        <f>B583+1</f>
        <v>292</v>
      </c>
      <c r="C585" s="4" t="s">
        <v>0</v>
      </c>
      <c r="D585" s="4" t="s">
        <v>22</v>
      </c>
      <c r="E585" s="4" t="s">
        <v>23</v>
      </c>
      <c r="F585" s="4">
        <v>78</v>
      </c>
      <c r="G585" s="4" t="s">
        <v>24</v>
      </c>
      <c r="H585" s="4" t="str">
        <f t="shared" si="446"/>
        <v>11010101101100100111100010110101</v>
      </c>
      <c r="I585" s="4">
        <f t="shared" si="447"/>
        <v>18</v>
      </c>
      <c r="J585" s="77">
        <v>38</v>
      </c>
      <c r="K585" s="79" t="str">
        <f>HEX2BIN(J585,8)</f>
        <v>00111000</v>
      </c>
    </row>
    <row r="586" spans="2:11" ht="18.600000000000001" thickBot="1" x14ac:dyDescent="0.4">
      <c r="B586" s="76"/>
      <c r="C586" s="5" t="s">
        <v>6</v>
      </c>
      <c r="D586" s="5" t="s">
        <v>25</v>
      </c>
      <c r="E586" s="5" t="s">
        <v>25</v>
      </c>
      <c r="F586" s="5">
        <v>76</v>
      </c>
      <c r="G586" s="5" t="s">
        <v>18</v>
      </c>
      <c r="H586" s="5" t="str">
        <f t="shared" si="446"/>
        <v>10111101101111010111011000101011</v>
      </c>
      <c r="I586" s="5">
        <f t="shared" si="447"/>
        <v>21</v>
      </c>
      <c r="J586" s="78"/>
      <c r="K586" s="80"/>
    </row>
    <row r="587" spans="2:11" x14ac:dyDescent="0.35">
      <c r="B587" s="75">
        <f>B585+1</f>
        <v>293</v>
      </c>
      <c r="C587" s="4" t="s">
        <v>0</v>
      </c>
      <c r="D587" s="4" t="s">
        <v>22</v>
      </c>
      <c r="E587" s="4" t="s">
        <v>23</v>
      </c>
      <c r="F587" s="4">
        <v>78</v>
      </c>
      <c r="G587" s="4" t="s">
        <v>24</v>
      </c>
      <c r="H587" s="4" t="str">
        <f t="shared" si="446"/>
        <v>11010101101100100111100010110101</v>
      </c>
      <c r="I587" s="4">
        <f t="shared" si="447"/>
        <v>18</v>
      </c>
      <c r="J587" s="77">
        <v>38</v>
      </c>
      <c r="K587" s="79" t="str">
        <f>HEX2BIN(J587,8)</f>
        <v>00111000</v>
      </c>
    </row>
    <row r="588" spans="2:11" ht="18.600000000000001" thickBot="1" x14ac:dyDescent="0.4">
      <c r="B588" s="76"/>
      <c r="C588" s="5" t="s">
        <v>6</v>
      </c>
      <c r="D588" s="5" t="s">
        <v>25</v>
      </c>
      <c r="E588" s="5" t="s">
        <v>25</v>
      </c>
      <c r="F588" s="5">
        <v>76</v>
      </c>
      <c r="G588" s="5" t="s">
        <v>18</v>
      </c>
      <c r="H588" s="5" t="str">
        <f t="shared" si="446"/>
        <v>10111101101111010111011000101011</v>
      </c>
      <c r="I588" s="5">
        <f t="shared" si="447"/>
        <v>21</v>
      </c>
      <c r="J588" s="78"/>
      <c r="K588" s="80"/>
    </row>
    <row r="589" spans="2:11" x14ac:dyDescent="0.35">
      <c r="B589" s="75">
        <f>B587+1</f>
        <v>294</v>
      </c>
      <c r="C589" s="4" t="s">
        <v>0</v>
      </c>
      <c r="D589" s="4" t="s">
        <v>22</v>
      </c>
      <c r="E589" s="4" t="s">
        <v>23</v>
      </c>
      <c r="F589" s="4">
        <v>78</v>
      </c>
      <c r="G589" s="4" t="s">
        <v>24</v>
      </c>
      <c r="H589" s="4" t="str">
        <f t="shared" si="446"/>
        <v>11010101101100100111100010110101</v>
      </c>
      <c r="I589" s="4">
        <f t="shared" si="447"/>
        <v>18</v>
      </c>
      <c r="J589" s="77">
        <v>38</v>
      </c>
      <c r="K589" s="79" t="str">
        <f>HEX2BIN(J589,8)</f>
        <v>00111000</v>
      </c>
    </row>
    <row r="590" spans="2:11" ht="18.600000000000001" thickBot="1" x14ac:dyDescent="0.4">
      <c r="B590" s="76"/>
      <c r="C590" s="5" t="s">
        <v>6</v>
      </c>
      <c r="D590" s="5" t="s">
        <v>25</v>
      </c>
      <c r="E590" s="5" t="s">
        <v>25</v>
      </c>
      <c r="F590" s="5">
        <v>76</v>
      </c>
      <c r="G590" s="5" t="s">
        <v>18</v>
      </c>
      <c r="H590" s="5" t="str">
        <f t="shared" si="446"/>
        <v>10111101101111010111011000101011</v>
      </c>
      <c r="I590" s="5">
        <f t="shared" si="447"/>
        <v>21</v>
      </c>
      <c r="J590" s="78"/>
      <c r="K590" s="80"/>
    </row>
    <row r="591" spans="2:11" x14ac:dyDescent="0.35">
      <c r="B591" s="75">
        <f>B589+1</f>
        <v>295</v>
      </c>
      <c r="C591" s="4" t="s">
        <v>0</v>
      </c>
      <c r="D591" s="4" t="s">
        <v>22</v>
      </c>
      <c r="E591" s="4" t="s">
        <v>23</v>
      </c>
      <c r="F591" s="4">
        <v>78</v>
      </c>
      <c r="G591" s="4" t="s">
        <v>24</v>
      </c>
      <c r="H591" s="4" t="str">
        <f t="shared" si="446"/>
        <v>11010101101100100111100010110101</v>
      </c>
      <c r="I591" s="4">
        <f t="shared" si="447"/>
        <v>18</v>
      </c>
      <c r="J591" s="77">
        <v>38</v>
      </c>
      <c r="K591" s="79" t="str">
        <f>HEX2BIN(J591,8)</f>
        <v>00111000</v>
      </c>
    </row>
    <row r="592" spans="2:11" ht="18.600000000000001" thickBot="1" x14ac:dyDescent="0.4">
      <c r="B592" s="76"/>
      <c r="C592" s="5" t="s">
        <v>6</v>
      </c>
      <c r="D592" s="5" t="s">
        <v>25</v>
      </c>
      <c r="E592" s="5" t="s">
        <v>25</v>
      </c>
      <c r="F592" s="5">
        <v>76</v>
      </c>
      <c r="G592" s="5" t="s">
        <v>18</v>
      </c>
      <c r="H592" s="5" t="str">
        <f t="shared" si="446"/>
        <v>10111101101111010111011000101011</v>
      </c>
      <c r="I592" s="5">
        <f t="shared" si="447"/>
        <v>21</v>
      </c>
      <c r="J592" s="78"/>
      <c r="K592" s="80"/>
    </row>
    <row r="593" spans="2:11" x14ac:dyDescent="0.35">
      <c r="B593" s="75">
        <f>B591+1</f>
        <v>296</v>
      </c>
      <c r="C593" s="4" t="s">
        <v>0</v>
      </c>
      <c r="D593" s="4" t="s">
        <v>16</v>
      </c>
      <c r="E593" s="4" t="s">
        <v>17</v>
      </c>
      <c r="F593" s="4">
        <v>52</v>
      </c>
      <c r="G593" s="4">
        <v>56</v>
      </c>
      <c r="H593" s="4" t="str">
        <f t="shared" si="446"/>
        <v>11110000011011000101001001010110</v>
      </c>
      <c r="I593" s="4">
        <f t="shared" si="447"/>
        <v>15</v>
      </c>
      <c r="J593" s="77" t="s">
        <v>21</v>
      </c>
      <c r="K593" s="79" t="str">
        <f>HEX2BIN(J593,8)</f>
        <v>11111010</v>
      </c>
    </row>
    <row r="594" spans="2:11" ht="18.600000000000001" thickBot="1" x14ac:dyDescent="0.4">
      <c r="B594" s="76"/>
      <c r="C594" s="5" t="s">
        <v>6</v>
      </c>
      <c r="D594" s="5">
        <v>49</v>
      </c>
      <c r="E594" s="5" t="s">
        <v>20</v>
      </c>
      <c r="F594" s="5" t="s">
        <v>19</v>
      </c>
      <c r="G594" s="5" t="s">
        <v>18</v>
      </c>
      <c r="H594" s="5" t="str">
        <f t="shared" si="446"/>
        <v>01001001000010101101101100101011</v>
      </c>
      <c r="I594" s="5">
        <f t="shared" si="447"/>
        <v>15</v>
      </c>
      <c r="J594" s="78"/>
      <c r="K594" s="80"/>
    </row>
    <row r="595" spans="2:11" x14ac:dyDescent="0.35">
      <c r="B595" s="75">
        <f>B593+1</f>
        <v>297</v>
      </c>
      <c r="C595" s="4" t="s">
        <v>0</v>
      </c>
      <c r="D595" s="4" t="s">
        <v>22</v>
      </c>
      <c r="E595" s="4" t="s">
        <v>23</v>
      </c>
      <c r="F595" s="4">
        <v>78</v>
      </c>
      <c r="G595" s="4" t="s">
        <v>24</v>
      </c>
      <c r="H595" s="4" t="str">
        <f t="shared" si="446"/>
        <v>11010101101100100111100010110101</v>
      </c>
      <c r="I595" s="4">
        <f t="shared" si="447"/>
        <v>18</v>
      </c>
      <c r="J595" s="77">
        <v>38</v>
      </c>
      <c r="K595" s="79" t="str">
        <f>HEX2BIN(J595,8)</f>
        <v>00111000</v>
      </c>
    </row>
    <row r="596" spans="2:11" ht="18.600000000000001" thickBot="1" x14ac:dyDescent="0.4">
      <c r="B596" s="76"/>
      <c r="C596" s="5" t="s">
        <v>6</v>
      </c>
      <c r="D596" s="5" t="s">
        <v>25</v>
      </c>
      <c r="E596" s="5" t="s">
        <v>25</v>
      </c>
      <c r="F596" s="5">
        <v>76</v>
      </c>
      <c r="G596" s="5" t="s">
        <v>18</v>
      </c>
      <c r="H596" s="5" t="str">
        <f t="shared" si="446"/>
        <v>10111101101111010111011000101011</v>
      </c>
      <c r="I596" s="5">
        <f t="shared" si="447"/>
        <v>21</v>
      </c>
      <c r="J596" s="78"/>
      <c r="K596" s="80"/>
    </row>
    <row r="597" spans="2:11" x14ac:dyDescent="0.35">
      <c r="B597" s="75">
        <f>B595+1</f>
        <v>298</v>
      </c>
      <c r="C597" s="4" t="s">
        <v>0</v>
      </c>
      <c r="D597" s="4" t="s">
        <v>22</v>
      </c>
      <c r="E597" s="4" t="s">
        <v>23</v>
      </c>
      <c r="F597" s="4">
        <v>78</v>
      </c>
      <c r="G597" s="4" t="s">
        <v>24</v>
      </c>
      <c r="H597" s="4" t="str">
        <f t="shared" si="446"/>
        <v>11010101101100100111100010110101</v>
      </c>
      <c r="I597" s="4">
        <f t="shared" si="447"/>
        <v>18</v>
      </c>
      <c r="J597" s="77">
        <v>38</v>
      </c>
      <c r="K597" s="79" t="str">
        <f>HEX2BIN(J597,8)</f>
        <v>00111000</v>
      </c>
    </row>
    <row r="598" spans="2:11" ht="18.600000000000001" thickBot="1" x14ac:dyDescent="0.4">
      <c r="B598" s="76"/>
      <c r="C598" s="5" t="s">
        <v>6</v>
      </c>
      <c r="D598" s="5" t="s">
        <v>25</v>
      </c>
      <c r="E598" s="5" t="s">
        <v>25</v>
      </c>
      <c r="F598" s="5">
        <v>76</v>
      </c>
      <c r="G598" s="5" t="s">
        <v>18</v>
      </c>
      <c r="H598" s="5" t="str">
        <f t="shared" si="446"/>
        <v>10111101101111010111011000101011</v>
      </c>
      <c r="I598" s="5">
        <f t="shared" si="447"/>
        <v>21</v>
      </c>
      <c r="J598" s="78"/>
      <c r="K598" s="80"/>
    </row>
    <row r="599" spans="2:11" x14ac:dyDescent="0.35">
      <c r="B599" s="75">
        <f>B597+1</f>
        <v>299</v>
      </c>
      <c r="C599" s="4" t="s">
        <v>0</v>
      </c>
      <c r="D599" s="4" t="s">
        <v>22</v>
      </c>
      <c r="E599" s="4" t="s">
        <v>23</v>
      </c>
      <c r="F599" s="4">
        <v>78</v>
      </c>
      <c r="G599" s="4" t="s">
        <v>24</v>
      </c>
      <c r="H599" s="4" t="str">
        <f t="shared" si="446"/>
        <v>11010101101100100111100010110101</v>
      </c>
      <c r="I599" s="4">
        <f t="shared" si="447"/>
        <v>18</v>
      </c>
      <c r="J599" s="77">
        <v>38</v>
      </c>
      <c r="K599" s="79" t="str">
        <f>HEX2BIN(J599,8)</f>
        <v>00111000</v>
      </c>
    </row>
    <row r="600" spans="2:11" ht="18.600000000000001" thickBot="1" x14ac:dyDescent="0.4">
      <c r="B600" s="76"/>
      <c r="C600" s="5" t="s">
        <v>6</v>
      </c>
      <c r="D600" s="5" t="s">
        <v>25</v>
      </c>
      <c r="E600" s="5" t="s">
        <v>25</v>
      </c>
      <c r="F600" s="5">
        <v>76</v>
      </c>
      <c r="G600" s="5" t="s">
        <v>18</v>
      </c>
      <c r="H600" s="5" t="str">
        <f t="shared" si="446"/>
        <v>10111101101111010111011000101011</v>
      </c>
      <c r="I600" s="5">
        <f t="shared" si="447"/>
        <v>21</v>
      </c>
      <c r="J600" s="78"/>
      <c r="K600" s="80"/>
    </row>
    <row r="601" spans="2:11" x14ac:dyDescent="0.35">
      <c r="B601" s="75">
        <f>B599+1</f>
        <v>300</v>
      </c>
      <c r="C601" s="4" t="s">
        <v>0</v>
      </c>
      <c r="D601" s="4" t="s">
        <v>22</v>
      </c>
      <c r="E601" s="4" t="s">
        <v>23</v>
      </c>
      <c r="F601" s="4">
        <v>78</v>
      </c>
      <c r="G601" s="4" t="s">
        <v>24</v>
      </c>
      <c r="H601" s="4" t="str">
        <f t="shared" si="446"/>
        <v>11010101101100100111100010110101</v>
      </c>
      <c r="I601" s="4">
        <f t="shared" si="447"/>
        <v>18</v>
      </c>
      <c r="J601" s="77">
        <v>38</v>
      </c>
      <c r="K601" s="79" t="str">
        <f>HEX2BIN(J601,8)</f>
        <v>00111000</v>
      </c>
    </row>
    <row r="602" spans="2:11" ht="18.600000000000001" thickBot="1" x14ac:dyDescent="0.4">
      <c r="B602" s="76"/>
      <c r="C602" s="5" t="s">
        <v>6</v>
      </c>
      <c r="D602" s="5" t="s">
        <v>25</v>
      </c>
      <c r="E602" s="5" t="s">
        <v>25</v>
      </c>
      <c r="F602" s="5">
        <v>76</v>
      </c>
      <c r="G602" s="5" t="s">
        <v>18</v>
      </c>
      <c r="H602" s="5" t="str">
        <f t="shared" si="446"/>
        <v>10111101101111010111011000101011</v>
      </c>
      <c r="I602" s="5">
        <f t="shared" si="447"/>
        <v>21</v>
      </c>
      <c r="J602" s="78"/>
      <c r="K602" s="80"/>
    </row>
    <row r="603" spans="2:11" x14ac:dyDescent="0.35">
      <c r="B603" s="75">
        <f>B601+1</f>
        <v>301</v>
      </c>
      <c r="C603" s="4" t="s">
        <v>0</v>
      </c>
      <c r="D603" s="4" t="s">
        <v>22</v>
      </c>
      <c r="E603" s="4" t="s">
        <v>23</v>
      </c>
      <c r="F603" s="4">
        <v>78</v>
      </c>
      <c r="G603" s="4" t="s">
        <v>24</v>
      </c>
      <c r="H603" s="4" t="str">
        <f t="shared" si="446"/>
        <v>11010101101100100111100010110101</v>
      </c>
      <c r="I603" s="4">
        <f t="shared" si="447"/>
        <v>18</v>
      </c>
      <c r="J603" s="77">
        <v>38</v>
      </c>
      <c r="K603" s="79" t="str">
        <f>HEX2BIN(J603,8)</f>
        <v>00111000</v>
      </c>
    </row>
    <row r="604" spans="2:11" ht="18.600000000000001" thickBot="1" x14ac:dyDescent="0.4">
      <c r="B604" s="76"/>
      <c r="C604" s="5" t="s">
        <v>6</v>
      </c>
      <c r="D604" s="5" t="s">
        <v>25</v>
      </c>
      <c r="E604" s="5" t="s">
        <v>25</v>
      </c>
      <c r="F604" s="5">
        <v>76</v>
      </c>
      <c r="G604" s="5" t="s">
        <v>18</v>
      </c>
      <c r="H604" s="5" t="str">
        <f t="shared" si="446"/>
        <v>10111101101111010111011000101011</v>
      </c>
      <c r="I604" s="5">
        <f t="shared" si="447"/>
        <v>21</v>
      </c>
      <c r="J604" s="78"/>
      <c r="K604" s="80"/>
    </row>
    <row r="605" spans="2:11" x14ac:dyDescent="0.35">
      <c r="B605" s="75">
        <f>B603+1</f>
        <v>302</v>
      </c>
      <c r="C605" s="4" t="s">
        <v>0</v>
      </c>
      <c r="D605" s="4" t="s">
        <v>16</v>
      </c>
      <c r="E605" s="4" t="s">
        <v>17</v>
      </c>
      <c r="F605" s="4">
        <v>52</v>
      </c>
      <c r="G605" s="4">
        <v>56</v>
      </c>
      <c r="H605" s="4" t="str">
        <f t="shared" si="446"/>
        <v>11110000011011000101001001010110</v>
      </c>
      <c r="I605" s="4">
        <f t="shared" si="447"/>
        <v>15</v>
      </c>
      <c r="J605" s="77" t="s">
        <v>21</v>
      </c>
      <c r="K605" s="79" t="str">
        <f>HEX2BIN(J605,8)</f>
        <v>11111010</v>
      </c>
    </row>
    <row r="606" spans="2:11" ht="18.600000000000001" thickBot="1" x14ac:dyDescent="0.4">
      <c r="B606" s="76"/>
      <c r="C606" s="5" t="s">
        <v>6</v>
      </c>
      <c r="D606" s="5">
        <v>49</v>
      </c>
      <c r="E606" s="5" t="s">
        <v>20</v>
      </c>
      <c r="F606" s="5" t="s">
        <v>19</v>
      </c>
      <c r="G606" s="5" t="s">
        <v>18</v>
      </c>
      <c r="H606" s="5" t="str">
        <f t="shared" si="446"/>
        <v>01001001000010101101101100101011</v>
      </c>
      <c r="I606" s="5">
        <f t="shared" si="447"/>
        <v>15</v>
      </c>
      <c r="J606" s="78"/>
      <c r="K606" s="80"/>
    </row>
    <row r="607" spans="2:11" x14ac:dyDescent="0.35">
      <c r="B607" s="75">
        <f>B605+1</f>
        <v>303</v>
      </c>
      <c r="C607" s="4" t="s">
        <v>0</v>
      </c>
      <c r="D607" s="4" t="s">
        <v>22</v>
      </c>
      <c r="E607" s="4" t="s">
        <v>23</v>
      </c>
      <c r="F607" s="4">
        <v>78</v>
      </c>
      <c r="G607" s="4" t="s">
        <v>24</v>
      </c>
      <c r="H607" s="4" t="str">
        <f t="shared" si="446"/>
        <v>11010101101100100111100010110101</v>
      </c>
      <c r="I607" s="4">
        <f t="shared" si="447"/>
        <v>18</v>
      </c>
      <c r="J607" s="77">
        <v>38</v>
      </c>
      <c r="K607" s="79" t="str">
        <f>HEX2BIN(J607,8)</f>
        <v>00111000</v>
      </c>
    </row>
    <row r="608" spans="2:11" ht="18.600000000000001" thickBot="1" x14ac:dyDescent="0.4">
      <c r="B608" s="76"/>
      <c r="C608" s="5" t="s">
        <v>6</v>
      </c>
      <c r="D608" s="5" t="s">
        <v>25</v>
      </c>
      <c r="E608" s="5" t="s">
        <v>25</v>
      </c>
      <c r="F608" s="5">
        <v>76</v>
      </c>
      <c r="G608" s="5" t="s">
        <v>18</v>
      </c>
      <c r="H608" s="5" t="str">
        <f t="shared" si="446"/>
        <v>10111101101111010111011000101011</v>
      </c>
      <c r="I608" s="5">
        <f t="shared" si="447"/>
        <v>21</v>
      </c>
      <c r="J608" s="78"/>
      <c r="K608" s="80"/>
    </row>
    <row r="609" spans="2:11" x14ac:dyDescent="0.35">
      <c r="B609" s="75">
        <f>B607+1</f>
        <v>304</v>
      </c>
      <c r="C609" s="4" t="s">
        <v>0</v>
      </c>
      <c r="D609" s="4" t="s">
        <v>22</v>
      </c>
      <c r="E609" s="4" t="s">
        <v>23</v>
      </c>
      <c r="F609" s="4">
        <v>78</v>
      </c>
      <c r="G609" s="4" t="s">
        <v>24</v>
      </c>
      <c r="H609" s="4" t="str">
        <f t="shared" si="446"/>
        <v>11010101101100100111100010110101</v>
      </c>
      <c r="I609" s="4">
        <f t="shared" si="447"/>
        <v>18</v>
      </c>
      <c r="J609" s="77">
        <v>38</v>
      </c>
      <c r="K609" s="79" t="str">
        <f>HEX2BIN(J609,8)</f>
        <v>00111000</v>
      </c>
    </row>
    <row r="610" spans="2:11" ht="18.600000000000001" thickBot="1" x14ac:dyDescent="0.4">
      <c r="B610" s="76"/>
      <c r="C610" s="5" t="s">
        <v>6</v>
      </c>
      <c r="D610" s="5" t="s">
        <v>25</v>
      </c>
      <c r="E610" s="5" t="s">
        <v>25</v>
      </c>
      <c r="F610" s="5">
        <v>76</v>
      </c>
      <c r="G610" s="5" t="s">
        <v>18</v>
      </c>
      <c r="H610" s="5" t="str">
        <f t="shared" si="446"/>
        <v>10111101101111010111011000101011</v>
      </c>
      <c r="I610" s="5">
        <f t="shared" si="447"/>
        <v>21</v>
      </c>
      <c r="J610" s="78"/>
      <c r="K610" s="80"/>
    </row>
    <row r="611" spans="2:11" x14ac:dyDescent="0.35">
      <c r="B611" s="75">
        <f>B609+1</f>
        <v>305</v>
      </c>
      <c r="C611" s="4" t="s">
        <v>0</v>
      </c>
      <c r="D611" s="4" t="s">
        <v>22</v>
      </c>
      <c r="E611" s="4" t="s">
        <v>23</v>
      </c>
      <c r="F611" s="4">
        <v>78</v>
      </c>
      <c r="G611" s="4" t="s">
        <v>24</v>
      </c>
      <c r="H611" s="4" t="str">
        <f t="shared" si="446"/>
        <v>11010101101100100111100010110101</v>
      </c>
      <c r="I611" s="4">
        <f t="shared" si="447"/>
        <v>18</v>
      </c>
      <c r="J611" s="77">
        <v>38</v>
      </c>
      <c r="K611" s="79" t="str">
        <f>HEX2BIN(J611,8)</f>
        <v>00111000</v>
      </c>
    </row>
    <row r="612" spans="2:11" ht="18.600000000000001" thickBot="1" x14ac:dyDescent="0.4">
      <c r="B612" s="76"/>
      <c r="C612" s="5" t="s">
        <v>6</v>
      </c>
      <c r="D612" s="5" t="s">
        <v>25</v>
      </c>
      <c r="E612" s="5" t="s">
        <v>25</v>
      </c>
      <c r="F612" s="5">
        <v>76</v>
      </c>
      <c r="G612" s="5" t="s">
        <v>18</v>
      </c>
      <c r="H612" s="5" t="str">
        <f t="shared" si="446"/>
        <v>10111101101111010111011000101011</v>
      </c>
      <c r="I612" s="5">
        <f t="shared" si="447"/>
        <v>21</v>
      </c>
      <c r="J612" s="78"/>
      <c r="K612" s="80"/>
    </row>
    <row r="613" spans="2:11" x14ac:dyDescent="0.35">
      <c r="B613" s="75">
        <f>B611+1</f>
        <v>306</v>
      </c>
      <c r="C613" s="4" t="s">
        <v>0</v>
      </c>
      <c r="D613" s="4" t="s">
        <v>22</v>
      </c>
      <c r="E613" s="4" t="s">
        <v>23</v>
      </c>
      <c r="F613" s="4">
        <v>78</v>
      </c>
      <c r="G613" s="4" t="s">
        <v>24</v>
      </c>
      <c r="H613" s="4" t="str">
        <f t="shared" si="446"/>
        <v>11010101101100100111100010110101</v>
      </c>
      <c r="I613" s="4">
        <f t="shared" si="447"/>
        <v>18</v>
      </c>
      <c r="J613" s="77">
        <v>38</v>
      </c>
      <c r="K613" s="79" t="str">
        <f>HEX2BIN(J613,8)</f>
        <v>00111000</v>
      </c>
    </row>
    <row r="614" spans="2:11" ht="18.600000000000001" thickBot="1" x14ac:dyDescent="0.4">
      <c r="B614" s="76"/>
      <c r="C614" s="5" t="s">
        <v>6</v>
      </c>
      <c r="D614" s="5" t="s">
        <v>25</v>
      </c>
      <c r="E614" s="5" t="s">
        <v>25</v>
      </c>
      <c r="F614" s="5">
        <v>76</v>
      </c>
      <c r="G614" s="5" t="s">
        <v>18</v>
      </c>
      <c r="H614" s="5" t="str">
        <f t="shared" si="446"/>
        <v>10111101101111010111011000101011</v>
      </c>
      <c r="I614" s="5">
        <f t="shared" si="447"/>
        <v>21</v>
      </c>
      <c r="J614" s="78"/>
      <c r="K614" s="80"/>
    </row>
    <row r="615" spans="2:11" x14ac:dyDescent="0.35">
      <c r="B615" s="75">
        <f>B613+1</f>
        <v>307</v>
      </c>
      <c r="C615" s="4" t="s">
        <v>0</v>
      </c>
      <c r="D615" s="4" t="s">
        <v>22</v>
      </c>
      <c r="E615" s="4" t="s">
        <v>23</v>
      </c>
      <c r="F615" s="4">
        <v>78</v>
      </c>
      <c r="G615" s="4" t="s">
        <v>24</v>
      </c>
      <c r="H615" s="4" t="str">
        <f t="shared" si="446"/>
        <v>11010101101100100111100010110101</v>
      </c>
      <c r="I615" s="4">
        <f t="shared" si="447"/>
        <v>18</v>
      </c>
      <c r="J615" s="77">
        <v>38</v>
      </c>
      <c r="K615" s="79" t="str">
        <f>HEX2BIN(J615,8)</f>
        <v>00111000</v>
      </c>
    </row>
    <row r="616" spans="2:11" ht="18.600000000000001" thickBot="1" x14ac:dyDescent="0.4">
      <c r="B616" s="76"/>
      <c r="C616" s="5" t="s">
        <v>6</v>
      </c>
      <c r="D616" s="5" t="s">
        <v>25</v>
      </c>
      <c r="E616" s="5" t="s">
        <v>25</v>
      </c>
      <c r="F616" s="5">
        <v>76</v>
      </c>
      <c r="G616" s="5" t="s">
        <v>18</v>
      </c>
      <c r="H616" s="5" t="str">
        <f t="shared" si="446"/>
        <v>10111101101111010111011000101011</v>
      </c>
      <c r="I616" s="5">
        <f t="shared" si="447"/>
        <v>21</v>
      </c>
      <c r="J616" s="78"/>
      <c r="K616" s="80"/>
    </row>
    <row r="617" spans="2:11" x14ac:dyDescent="0.35">
      <c r="B617" s="75">
        <f>B615+1</f>
        <v>308</v>
      </c>
      <c r="C617" s="4" t="s">
        <v>0</v>
      </c>
      <c r="D617" s="4" t="s">
        <v>20</v>
      </c>
      <c r="E617" s="4" t="s">
        <v>127</v>
      </c>
      <c r="F617" s="4">
        <v>36</v>
      </c>
      <c r="G617" s="4">
        <v>98</v>
      </c>
      <c r="H617" s="4" t="str">
        <f t="shared" si="446"/>
        <v>00001010101011010011011010011000</v>
      </c>
      <c r="I617" s="4">
        <f t="shared" si="447"/>
        <v>14</v>
      </c>
      <c r="J617" s="77" t="s">
        <v>21</v>
      </c>
      <c r="K617" s="79" t="s">
        <v>178</v>
      </c>
    </row>
    <row r="618" spans="2:11" ht="18.600000000000001" thickBot="1" x14ac:dyDescent="0.4">
      <c r="B618" s="76"/>
      <c r="C618" s="5" t="s">
        <v>6</v>
      </c>
      <c r="D618" s="5">
        <v>6</v>
      </c>
      <c r="E618" s="5">
        <v>53</v>
      </c>
      <c r="F618" s="5" t="s">
        <v>71</v>
      </c>
      <c r="G618" s="5" t="s">
        <v>22</v>
      </c>
      <c r="H618" s="5" t="str">
        <f t="shared" si="446"/>
        <v>00000110010100111010000111010101</v>
      </c>
      <c r="I618" s="5">
        <f t="shared" si="447"/>
        <v>14</v>
      </c>
      <c r="J618" s="78"/>
      <c r="K618" s="80"/>
    </row>
    <row r="619" spans="2:11" x14ac:dyDescent="0.35">
      <c r="B619" s="75">
        <f>B617+1</f>
        <v>309</v>
      </c>
      <c r="C619" s="4" t="s">
        <v>0</v>
      </c>
      <c r="D619" s="4" t="s">
        <v>22</v>
      </c>
      <c r="E619" s="4" t="s">
        <v>23</v>
      </c>
      <c r="F619" s="4">
        <v>78</v>
      </c>
      <c r="G619" s="4" t="s">
        <v>24</v>
      </c>
      <c r="H619" s="4" t="str">
        <f t="shared" si="446"/>
        <v>11010101101100100111100010110101</v>
      </c>
      <c r="I619" s="4">
        <f t="shared" si="447"/>
        <v>18</v>
      </c>
      <c r="J619" s="77">
        <v>38</v>
      </c>
      <c r="K619" s="79" t="str">
        <f>HEX2BIN(J619,8)</f>
        <v>00111000</v>
      </c>
    </row>
    <row r="620" spans="2:11" ht="18.600000000000001" thickBot="1" x14ac:dyDescent="0.4">
      <c r="B620" s="76"/>
      <c r="C620" s="5" t="s">
        <v>6</v>
      </c>
      <c r="D620" s="5" t="s">
        <v>25</v>
      </c>
      <c r="E620" s="5" t="s">
        <v>25</v>
      </c>
      <c r="F620" s="5">
        <v>76</v>
      </c>
      <c r="G620" s="5" t="s">
        <v>18</v>
      </c>
      <c r="H620" s="5" t="str">
        <f t="shared" si="446"/>
        <v>10111101101111010111011000101011</v>
      </c>
      <c r="I620" s="5">
        <f t="shared" si="447"/>
        <v>21</v>
      </c>
      <c r="J620" s="78"/>
      <c r="K620" s="80"/>
    </row>
    <row r="621" spans="2:11" x14ac:dyDescent="0.35">
      <c r="B621" s="75">
        <f>B619+1</f>
        <v>310</v>
      </c>
      <c r="C621" s="4" t="s">
        <v>0</v>
      </c>
      <c r="D621" s="4" t="s">
        <v>22</v>
      </c>
      <c r="E621" s="4" t="s">
        <v>23</v>
      </c>
      <c r="F621" s="4">
        <v>78</v>
      </c>
      <c r="G621" s="4" t="s">
        <v>24</v>
      </c>
      <c r="H621" s="4" t="str">
        <f t="shared" si="446"/>
        <v>11010101101100100111100010110101</v>
      </c>
      <c r="I621" s="4">
        <f t="shared" si="447"/>
        <v>18</v>
      </c>
      <c r="J621" s="77">
        <v>38</v>
      </c>
      <c r="K621" s="79" t="str">
        <f>HEX2BIN(J621,8)</f>
        <v>00111000</v>
      </c>
    </row>
    <row r="622" spans="2:11" ht="18.600000000000001" thickBot="1" x14ac:dyDescent="0.4">
      <c r="B622" s="76"/>
      <c r="C622" s="5" t="s">
        <v>6</v>
      </c>
      <c r="D622" s="5" t="s">
        <v>25</v>
      </c>
      <c r="E622" s="5" t="s">
        <v>25</v>
      </c>
      <c r="F622" s="5">
        <v>76</v>
      </c>
      <c r="G622" s="5" t="s">
        <v>18</v>
      </c>
      <c r="H622" s="5" t="str">
        <f t="shared" si="446"/>
        <v>10111101101111010111011000101011</v>
      </c>
      <c r="I622" s="5">
        <f t="shared" si="447"/>
        <v>21</v>
      </c>
      <c r="J622" s="78"/>
      <c r="K622" s="80"/>
    </row>
    <row r="623" spans="2:11" x14ac:dyDescent="0.35">
      <c r="B623" s="75">
        <f>B621+1</f>
        <v>311</v>
      </c>
      <c r="C623" s="4" t="s">
        <v>0</v>
      </c>
      <c r="D623" s="4" t="s">
        <v>22</v>
      </c>
      <c r="E623" s="4" t="s">
        <v>23</v>
      </c>
      <c r="F623" s="4">
        <v>78</v>
      </c>
      <c r="G623" s="4" t="s">
        <v>24</v>
      </c>
      <c r="H623" s="4" t="str">
        <f t="shared" si="446"/>
        <v>11010101101100100111100010110101</v>
      </c>
      <c r="I623" s="4">
        <f t="shared" si="447"/>
        <v>18</v>
      </c>
      <c r="J623" s="77">
        <v>38</v>
      </c>
      <c r="K623" s="79" t="str">
        <f>HEX2BIN(J623,8)</f>
        <v>00111000</v>
      </c>
    </row>
    <row r="624" spans="2:11" ht="18.600000000000001" thickBot="1" x14ac:dyDescent="0.4">
      <c r="B624" s="76"/>
      <c r="C624" s="5" t="s">
        <v>6</v>
      </c>
      <c r="D624" s="5" t="s">
        <v>25</v>
      </c>
      <c r="E624" s="5" t="s">
        <v>25</v>
      </c>
      <c r="F624" s="5">
        <v>76</v>
      </c>
      <c r="G624" s="5" t="s">
        <v>18</v>
      </c>
      <c r="H624" s="5" t="str">
        <f t="shared" si="446"/>
        <v>10111101101111010111011000101011</v>
      </c>
      <c r="I624" s="5">
        <f t="shared" si="447"/>
        <v>21</v>
      </c>
      <c r="J624" s="78"/>
      <c r="K624" s="80"/>
    </row>
    <row r="625" spans="2:11" x14ac:dyDescent="0.35">
      <c r="B625" s="75">
        <f>B623+1</f>
        <v>312</v>
      </c>
      <c r="C625" s="4" t="s">
        <v>0</v>
      </c>
      <c r="D625" s="4" t="s">
        <v>22</v>
      </c>
      <c r="E625" s="4" t="s">
        <v>23</v>
      </c>
      <c r="F625" s="4">
        <v>78</v>
      </c>
      <c r="G625" s="4" t="s">
        <v>24</v>
      </c>
      <c r="H625" s="4" t="str">
        <f t="shared" si="446"/>
        <v>11010101101100100111100010110101</v>
      </c>
      <c r="I625" s="4">
        <f t="shared" si="447"/>
        <v>18</v>
      </c>
      <c r="J625" s="77">
        <v>38</v>
      </c>
      <c r="K625" s="79" t="str">
        <f>HEX2BIN(J625,8)</f>
        <v>00111000</v>
      </c>
    </row>
    <row r="626" spans="2:11" ht="18.600000000000001" thickBot="1" x14ac:dyDescent="0.4">
      <c r="B626" s="76"/>
      <c r="C626" s="5" t="s">
        <v>6</v>
      </c>
      <c r="D626" s="5" t="s">
        <v>25</v>
      </c>
      <c r="E626" s="5" t="s">
        <v>25</v>
      </c>
      <c r="F626" s="5">
        <v>76</v>
      </c>
      <c r="G626" s="5" t="s">
        <v>18</v>
      </c>
      <c r="H626" s="5" t="str">
        <f t="shared" si="446"/>
        <v>10111101101111010111011000101011</v>
      </c>
      <c r="I626" s="5">
        <f t="shared" si="447"/>
        <v>21</v>
      </c>
      <c r="J626" s="78"/>
      <c r="K626" s="80"/>
    </row>
    <row r="627" spans="2:11" x14ac:dyDescent="0.35">
      <c r="B627" s="75">
        <f>B625+1</f>
        <v>313</v>
      </c>
      <c r="C627" s="4" t="s">
        <v>0</v>
      </c>
      <c r="D627" s="4" t="s">
        <v>22</v>
      </c>
      <c r="E627" s="4" t="s">
        <v>23</v>
      </c>
      <c r="F627" s="4">
        <v>78</v>
      </c>
      <c r="G627" s="4" t="s">
        <v>24</v>
      </c>
      <c r="H627" s="4" t="str">
        <f t="shared" si="446"/>
        <v>11010101101100100111100010110101</v>
      </c>
      <c r="I627" s="4">
        <f t="shared" si="447"/>
        <v>18</v>
      </c>
      <c r="J627" s="77">
        <v>38</v>
      </c>
      <c r="K627" s="79" t="str">
        <f>HEX2BIN(J627,8)</f>
        <v>00111000</v>
      </c>
    </row>
    <row r="628" spans="2:11" ht="18.600000000000001" thickBot="1" x14ac:dyDescent="0.4">
      <c r="B628" s="76"/>
      <c r="C628" s="5" t="s">
        <v>6</v>
      </c>
      <c r="D628" s="5" t="s">
        <v>25</v>
      </c>
      <c r="E628" s="5" t="s">
        <v>25</v>
      </c>
      <c r="F628" s="5">
        <v>76</v>
      </c>
      <c r="G628" s="5" t="s">
        <v>18</v>
      </c>
      <c r="H628" s="5" t="str">
        <f t="shared" si="446"/>
        <v>10111101101111010111011000101011</v>
      </c>
      <c r="I628" s="5">
        <f t="shared" si="447"/>
        <v>21</v>
      </c>
      <c r="J628" s="78"/>
      <c r="K628" s="80"/>
    </row>
    <row r="629" spans="2:11" x14ac:dyDescent="0.35">
      <c r="B629" s="75">
        <f>B627+1</f>
        <v>314</v>
      </c>
      <c r="C629" s="4" t="s">
        <v>0</v>
      </c>
      <c r="D629" s="4" t="s">
        <v>16</v>
      </c>
      <c r="E629" s="4" t="s">
        <v>17</v>
      </c>
      <c r="F629" s="4">
        <v>52</v>
      </c>
      <c r="G629" s="4">
        <v>56</v>
      </c>
      <c r="H629" s="4" t="str">
        <f t="shared" si="446"/>
        <v>11110000011011000101001001010110</v>
      </c>
      <c r="I629" s="4">
        <f t="shared" si="447"/>
        <v>15</v>
      </c>
      <c r="J629" s="77" t="s">
        <v>21</v>
      </c>
      <c r="K629" s="79" t="str">
        <f>HEX2BIN(J629,8)</f>
        <v>11111010</v>
      </c>
    </row>
    <row r="630" spans="2:11" ht="18.600000000000001" thickBot="1" x14ac:dyDescent="0.4">
      <c r="B630" s="76"/>
      <c r="C630" s="5" t="s">
        <v>6</v>
      </c>
      <c r="D630" s="5">
        <v>49</v>
      </c>
      <c r="E630" s="5" t="s">
        <v>20</v>
      </c>
      <c r="F630" s="5" t="s">
        <v>19</v>
      </c>
      <c r="G630" s="5" t="s">
        <v>18</v>
      </c>
      <c r="H630" s="5" t="str">
        <f t="shared" si="446"/>
        <v>01001001000010101101101100101011</v>
      </c>
      <c r="I630" s="5">
        <f t="shared" si="447"/>
        <v>15</v>
      </c>
      <c r="J630" s="78"/>
      <c r="K630" s="80"/>
    </row>
    <row r="631" spans="2:11" x14ac:dyDescent="0.35">
      <c r="B631" s="75">
        <f>B629+1</f>
        <v>315</v>
      </c>
      <c r="C631" s="4" t="s">
        <v>0</v>
      </c>
      <c r="D631" s="4" t="s">
        <v>22</v>
      </c>
      <c r="E631" s="4" t="s">
        <v>23</v>
      </c>
      <c r="F631" s="4">
        <v>78</v>
      </c>
      <c r="G631" s="4" t="s">
        <v>24</v>
      </c>
      <c r="H631" s="4" t="str">
        <f t="shared" si="446"/>
        <v>11010101101100100111100010110101</v>
      </c>
      <c r="I631" s="4">
        <f t="shared" si="447"/>
        <v>18</v>
      </c>
      <c r="J631" s="77">
        <v>38</v>
      </c>
      <c r="K631" s="79" t="str">
        <f>HEX2BIN(J631,8)</f>
        <v>00111000</v>
      </c>
    </row>
    <row r="632" spans="2:11" ht="18.600000000000001" thickBot="1" x14ac:dyDescent="0.4">
      <c r="B632" s="76"/>
      <c r="C632" s="5" t="s">
        <v>6</v>
      </c>
      <c r="D632" s="5" t="s">
        <v>25</v>
      </c>
      <c r="E632" s="5" t="s">
        <v>25</v>
      </c>
      <c r="F632" s="5">
        <v>76</v>
      </c>
      <c r="G632" s="5" t="s">
        <v>18</v>
      </c>
      <c r="H632" s="5" t="str">
        <f t="shared" si="446"/>
        <v>10111101101111010111011000101011</v>
      </c>
      <c r="I632" s="5">
        <f t="shared" si="447"/>
        <v>21</v>
      </c>
      <c r="J632" s="78"/>
      <c r="K632" s="80"/>
    </row>
    <row r="633" spans="2:11" x14ac:dyDescent="0.35">
      <c r="B633" s="75">
        <f>B631+1</f>
        <v>316</v>
      </c>
      <c r="C633" s="4" t="s">
        <v>0</v>
      </c>
      <c r="D633" s="4" t="s">
        <v>22</v>
      </c>
      <c r="E633" s="4" t="s">
        <v>23</v>
      </c>
      <c r="F633" s="4">
        <v>78</v>
      </c>
      <c r="G633" s="4" t="s">
        <v>24</v>
      </c>
      <c r="H633" s="4" t="str">
        <f t="shared" si="446"/>
        <v>11010101101100100111100010110101</v>
      </c>
      <c r="I633" s="4">
        <f t="shared" si="447"/>
        <v>18</v>
      </c>
      <c r="J633" s="77">
        <v>38</v>
      </c>
      <c r="K633" s="79" t="str">
        <f>HEX2BIN(J633,8)</f>
        <v>00111000</v>
      </c>
    </row>
    <row r="634" spans="2:11" ht="18.600000000000001" thickBot="1" x14ac:dyDescent="0.4">
      <c r="B634" s="76"/>
      <c r="C634" s="5" t="s">
        <v>6</v>
      </c>
      <c r="D634" s="5" t="s">
        <v>25</v>
      </c>
      <c r="E634" s="5" t="s">
        <v>25</v>
      </c>
      <c r="F634" s="5">
        <v>76</v>
      </c>
      <c r="G634" s="5" t="s">
        <v>18</v>
      </c>
      <c r="H634" s="5" t="str">
        <f t="shared" si="446"/>
        <v>10111101101111010111011000101011</v>
      </c>
      <c r="I634" s="5">
        <f t="shared" si="447"/>
        <v>21</v>
      </c>
      <c r="J634" s="78"/>
      <c r="K634" s="80"/>
    </row>
    <row r="635" spans="2:11" x14ac:dyDescent="0.35">
      <c r="B635" s="75">
        <f>B633+1</f>
        <v>317</v>
      </c>
      <c r="C635" s="4" t="s">
        <v>0</v>
      </c>
      <c r="D635" s="4" t="s">
        <v>22</v>
      </c>
      <c r="E635" s="4" t="s">
        <v>23</v>
      </c>
      <c r="F635" s="4">
        <v>78</v>
      </c>
      <c r="G635" s="4" t="s">
        <v>24</v>
      </c>
      <c r="H635" s="4" t="str">
        <f t="shared" si="446"/>
        <v>11010101101100100111100010110101</v>
      </c>
      <c r="I635" s="4">
        <f t="shared" si="447"/>
        <v>18</v>
      </c>
      <c r="J635" s="77">
        <v>38</v>
      </c>
      <c r="K635" s="79" t="str">
        <f>HEX2BIN(J635,8)</f>
        <v>00111000</v>
      </c>
    </row>
    <row r="636" spans="2:11" ht="18.600000000000001" thickBot="1" x14ac:dyDescent="0.4">
      <c r="B636" s="76"/>
      <c r="C636" s="5" t="s">
        <v>6</v>
      </c>
      <c r="D636" s="5" t="s">
        <v>25</v>
      </c>
      <c r="E636" s="5" t="s">
        <v>25</v>
      </c>
      <c r="F636" s="5">
        <v>76</v>
      </c>
      <c r="G636" s="5" t="s">
        <v>18</v>
      </c>
      <c r="H636" s="5" t="str">
        <f t="shared" si="446"/>
        <v>10111101101111010111011000101011</v>
      </c>
      <c r="I636" s="5">
        <f t="shared" si="447"/>
        <v>21</v>
      </c>
      <c r="J636" s="78"/>
      <c r="K636" s="80"/>
    </row>
    <row r="637" spans="2:11" x14ac:dyDescent="0.35">
      <c r="B637" s="75">
        <f>B635+1</f>
        <v>318</v>
      </c>
      <c r="C637" s="4" t="s">
        <v>0</v>
      </c>
      <c r="D637" s="4" t="s">
        <v>22</v>
      </c>
      <c r="E637" s="4" t="s">
        <v>23</v>
      </c>
      <c r="F637" s="4">
        <v>78</v>
      </c>
      <c r="G637" s="4" t="s">
        <v>24</v>
      </c>
      <c r="H637" s="4" t="str">
        <f t="shared" si="446"/>
        <v>11010101101100100111100010110101</v>
      </c>
      <c r="I637" s="4">
        <f t="shared" si="447"/>
        <v>18</v>
      </c>
      <c r="J637" s="77">
        <v>38</v>
      </c>
      <c r="K637" s="79" t="str">
        <f>HEX2BIN(J637,8)</f>
        <v>00111000</v>
      </c>
    </row>
    <row r="638" spans="2:11" ht="18.600000000000001" thickBot="1" x14ac:dyDescent="0.4">
      <c r="B638" s="76"/>
      <c r="C638" s="5" t="s">
        <v>6</v>
      </c>
      <c r="D638" s="5" t="s">
        <v>25</v>
      </c>
      <c r="E638" s="5" t="s">
        <v>25</v>
      </c>
      <c r="F638" s="5">
        <v>76</v>
      </c>
      <c r="G638" s="5" t="s">
        <v>18</v>
      </c>
      <c r="H638" s="5" t="str">
        <f t="shared" si="446"/>
        <v>10111101101111010111011000101011</v>
      </c>
      <c r="I638" s="5">
        <f t="shared" si="447"/>
        <v>21</v>
      </c>
      <c r="J638" s="78"/>
      <c r="K638" s="80"/>
    </row>
    <row r="639" spans="2:11" x14ac:dyDescent="0.35">
      <c r="B639" s="75">
        <f>B637+1</f>
        <v>319</v>
      </c>
      <c r="C639" s="4" t="s">
        <v>0</v>
      </c>
      <c r="D639" s="4" t="s">
        <v>22</v>
      </c>
      <c r="E639" s="4" t="s">
        <v>23</v>
      </c>
      <c r="F639" s="4">
        <v>78</v>
      </c>
      <c r="G639" s="4" t="s">
        <v>24</v>
      </c>
      <c r="H639" s="4" t="str">
        <f t="shared" si="446"/>
        <v>11010101101100100111100010110101</v>
      </c>
      <c r="I639" s="4">
        <f t="shared" si="447"/>
        <v>18</v>
      </c>
      <c r="J639" s="77">
        <v>38</v>
      </c>
      <c r="K639" s="79" t="str">
        <f>HEX2BIN(J639,8)</f>
        <v>00111000</v>
      </c>
    </row>
    <row r="640" spans="2:11" ht="18.600000000000001" thickBot="1" x14ac:dyDescent="0.4">
      <c r="B640" s="76"/>
      <c r="C640" s="5" t="s">
        <v>6</v>
      </c>
      <c r="D640" s="5" t="s">
        <v>25</v>
      </c>
      <c r="E640" s="5" t="s">
        <v>25</v>
      </c>
      <c r="F640" s="5">
        <v>76</v>
      </c>
      <c r="G640" s="5" t="s">
        <v>18</v>
      </c>
      <c r="H640" s="5" t="str">
        <f t="shared" si="446"/>
        <v>10111101101111010111011000101011</v>
      </c>
      <c r="I640" s="5">
        <f t="shared" si="447"/>
        <v>21</v>
      </c>
      <c r="J640" s="78"/>
      <c r="K640" s="80"/>
    </row>
    <row r="641" spans="2:11" x14ac:dyDescent="0.35">
      <c r="B641" s="75">
        <f>B639+1</f>
        <v>320</v>
      </c>
      <c r="C641" s="4" t="s">
        <v>0</v>
      </c>
      <c r="D641" s="4" t="s">
        <v>16</v>
      </c>
      <c r="E641" s="4" t="s">
        <v>17</v>
      </c>
      <c r="F641" s="4">
        <v>52</v>
      </c>
      <c r="G641" s="4">
        <v>56</v>
      </c>
      <c r="H641" s="4" t="str">
        <f t="shared" si="446"/>
        <v>11110000011011000101001001010110</v>
      </c>
      <c r="I641" s="4">
        <f t="shared" si="447"/>
        <v>15</v>
      </c>
      <c r="J641" s="77" t="s">
        <v>21</v>
      </c>
      <c r="K641" s="79" t="str">
        <f>HEX2BIN(J641,8)</f>
        <v>11111010</v>
      </c>
    </row>
    <row r="642" spans="2:11" ht="18.600000000000001" thickBot="1" x14ac:dyDescent="0.4">
      <c r="B642" s="76"/>
      <c r="C642" s="5" t="s">
        <v>6</v>
      </c>
      <c r="D642" s="5">
        <v>49</v>
      </c>
      <c r="E642" s="5" t="s">
        <v>20</v>
      </c>
      <c r="F642" s="5" t="s">
        <v>19</v>
      </c>
      <c r="G642" s="5" t="s">
        <v>18</v>
      </c>
      <c r="H642" s="5" t="str">
        <f t="shared" si="446"/>
        <v>01001001000010101101101100101011</v>
      </c>
      <c r="I642" s="5">
        <f t="shared" si="447"/>
        <v>15</v>
      </c>
      <c r="J642" s="78"/>
      <c r="K642" s="80"/>
    </row>
    <row r="643" spans="2:11" x14ac:dyDescent="0.35">
      <c r="B643" s="75">
        <f>B641+1</f>
        <v>321</v>
      </c>
      <c r="C643" s="4" t="s">
        <v>0</v>
      </c>
      <c r="D643" s="4" t="s">
        <v>22</v>
      </c>
      <c r="E643" s="4" t="s">
        <v>23</v>
      </c>
      <c r="F643" s="4">
        <v>78</v>
      </c>
      <c r="G643" s="4" t="s">
        <v>24</v>
      </c>
      <c r="H643" s="4" t="str">
        <f t="shared" ref="H643:H676" si="448">CONCATENATE(HEX2BIN(D643,8),HEX2BIN(E643,8),HEX2BIN(F643,8),HEX2BIN(G643,8))</f>
        <v>11010101101100100111100010110101</v>
      </c>
      <c r="I643" s="4">
        <f t="shared" ref="I643:I676" si="449">MID(H643,1,1)+MID(H643,2,1)+MID(H643,3,1)+MID(H643,4,1)+MID(H643,5,1)+MID(H643,6,1)+MID(H643,7,1)+MID(H643,8,1)+MID(H643,9,1)+MID(H643,10,1)+MID(H643,11,1)+MID(H643,12,1)+MID(H643,13,1)+MID(H643,14,1)+MID(H643,15,1)+MID(H643,16,1)+MID(H643,17,1)+MID(H643,18,1)+MID(H643,19,1)+MID(H643,20,1)+MID(H643,21,1)+MID(H643,22,1)+MID(H643,23,1)+MID(H643,24,1)+MID(H643,25,1)+MID(H643,26,1)+MID(H643,27,1)+MID(H643,28,1)+MID(H643,29,1)+MID(H643,30,1)+MID(H643,31,1)+MID(H643,32,1)</f>
        <v>18</v>
      </c>
      <c r="J643" s="77">
        <v>38</v>
      </c>
      <c r="K643" s="79" t="str">
        <f>HEX2BIN(J643,8)</f>
        <v>00111000</v>
      </c>
    </row>
    <row r="644" spans="2:11" ht="18.600000000000001" thickBot="1" x14ac:dyDescent="0.4">
      <c r="B644" s="76"/>
      <c r="C644" s="5" t="s">
        <v>6</v>
      </c>
      <c r="D644" s="5" t="s">
        <v>25</v>
      </c>
      <c r="E644" s="5" t="s">
        <v>25</v>
      </c>
      <c r="F644" s="5">
        <v>76</v>
      </c>
      <c r="G644" s="5" t="s">
        <v>18</v>
      </c>
      <c r="H644" s="5" t="str">
        <f t="shared" si="448"/>
        <v>10111101101111010111011000101011</v>
      </c>
      <c r="I644" s="5">
        <f t="shared" si="449"/>
        <v>21</v>
      </c>
      <c r="J644" s="78"/>
      <c r="K644" s="80"/>
    </row>
    <row r="645" spans="2:11" x14ac:dyDescent="0.35">
      <c r="B645" s="75">
        <f>B643+1</f>
        <v>322</v>
      </c>
      <c r="C645" s="4" t="s">
        <v>0</v>
      </c>
      <c r="D645" s="4" t="s">
        <v>22</v>
      </c>
      <c r="E645" s="4" t="s">
        <v>23</v>
      </c>
      <c r="F645" s="4">
        <v>78</v>
      </c>
      <c r="G645" s="4" t="s">
        <v>24</v>
      </c>
      <c r="H645" s="4" t="str">
        <f t="shared" si="448"/>
        <v>11010101101100100111100010110101</v>
      </c>
      <c r="I645" s="4">
        <f t="shared" si="449"/>
        <v>18</v>
      </c>
      <c r="J645" s="77">
        <v>38</v>
      </c>
      <c r="K645" s="79" t="str">
        <f>HEX2BIN(J645,8)</f>
        <v>00111000</v>
      </c>
    </row>
    <row r="646" spans="2:11" ht="18.600000000000001" thickBot="1" x14ac:dyDescent="0.4">
      <c r="B646" s="76"/>
      <c r="C646" s="5" t="s">
        <v>6</v>
      </c>
      <c r="D646" s="5" t="s">
        <v>25</v>
      </c>
      <c r="E646" s="5" t="s">
        <v>25</v>
      </c>
      <c r="F646" s="5">
        <v>76</v>
      </c>
      <c r="G646" s="5" t="s">
        <v>18</v>
      </c>
      <c r="H646" s="5" t="str">
        <f t="shared" si="448"/>
        <v>10111101101111010111011000101011</v>
      </c>
      <c r="I646" s="5">
        <f t="shared" si="449"/>
        <v>21</v>
      </c>
      <c r="J646" s="78"/>
      <c r="K646" s="80"/>
    </row>
    <row r="647" spans="2:11" x14ac:dyDescent="0.35">
      <c r="B647" s="75">
        <f>B645+1</f>
        <v>323</v>
      </c>
      <c r="C647" s="4" t="s">
        <v>0</v>
      </c>
      <c r="D647" s="4" t="s">
        <v>22</v>
      </c>
      <c r="E647" s="4" t="s">
        <v>23</v>
      </c>
      <c r="F647" s="4">
        <v>78</v>
      </c>
      <c r="G647" s="4" t="s">
        <v>24</v>
      </c>
      <c r="H647" s="4" t="str">
        <f t="shared" si="448"/>
        <v>11010101101100100111100010110101</v>
      </c>
      <c r="I647" s="4">
        <f t="shared" si="449"/>
        <v>18</v>
      </c>
      <c r="J647" s="77">
        <v>38</v>
      </c>
      <c r="K647" s="79" t="str">
        <f>HEX2BIN(J647,8)</f>
        <v>00111000</v>
      </c>
    </row>
    <row r="648" spans="2:11" ht="18.600000000000001" thickBot="1" x14ac:dyDescent="0.4">
      <c r="B648" s="76"/>
      <c r="C648" s="5" t="s">
        <v>6</v>
      </c>
      <c r="D648" s="5" t="s">
        <v>25</v>
      </c>
      <c r="E648" s="5" t="s">
        <v>25</v>
      </c>
      <c r="F648" s="5">
        <v>76</v>
      </c>
      <c r="G648" s="5" t="s">
        <v>18</v>
      </c>
      <c r="H648" s="5" t="str">
        <f t="shared" si="448"/>
        <v>10111101101111010111011000101011</v>
      </c>
      <c r="I648" s="5">
        <f t="shared" si="449"/>
        <v>21</v>
      </c>
      <c r="J648" s="78"/>
      <c r="K648" s="80"/>
    </row>
    <row r="649" spans="2:11" x14ac:dyDescent="0.35">
      <c r="B649" s="75">
        <f>B647+1</f>
        <v>324</v>
      </c>
      <c r="C649" s="4" t="s">
        <v>0</v>
      </c>
      <c r="D649" s="4" t="s">
        <v>22</v>
      </c>
      <c r="E649" s="4" t="s">
        <v>23</v>
      </c>
      <c r="F649" s="4">
        <v>78</v>
      </c>
      <c r="G649" s="4" t="s">
        <v>24</v>
      </c>
      <c r="H649" s="4" t="str">
        <f t="shared" si="448"/>
        <v>11010101101100100111100010110101</v>
      </c>
      <c r="I649" s="4">
        <f t="shared" si="449"/>
        <v>18</v>
      </c>
      <c r="J649" s="77">
        <v>38</v>
      </c>
      <c r="K649" s="79" t="str">
        <f>HEX2BIN(J649,8)</f>
        <v>00111000</v>
      </c>
    </row>
    <row r="650" spans="2:11" ht="18.600000000000001" thickBot="1" x14ac:dyDescent="0.4">
      <c r="B650" s="76"/>
      <c r="C650" s="5" t="s">
        <v>6</v>
      </c>
      <c r="D650" s="5" t="s">
        <v>25</v>
      </c>
      <c r="E650" s="5" t="s">
        <v>25</v>
      </c>
      <c r="F650" s="5">
        <v>76</v>
      </c>
      <c r="G650" s="5" t="s">
        <v>18</v>
      </c>
      <c r="H650" s="5" t="str">
        <f t="shared" si="448"/>
        <v>10111101101111010111011000101011</v>
      </c>
      <c r="I650" s="5">
        <f t="shared" si="449"/>
        <v>21</v>
      </c>
      <c r="J650" s="78"/>
      <c r="K650" s="80"/>
    </row>
    <row r="651" spans="2:11" x14ac:dyDescent="0.35">
      <c r="B651" s="75">
        <f>B649+1</f>
        <v>325</v>
      </c>
      <c r="C651" s="4" t="s">
        <v>0</v>
      </c>
      <c r="D651" s="4" t="s">
        <v>22</v>
      </c>
      <c r="E651" s="4" t="s">
        <v>23</v>
      </c>
      <c r="F651" s="4">
        <v>78</v>
      </c>
      <c r="G651" s="4" t="s">
        <v>24</v>
      </c>
      <c r="H651" s="4" t="str">
        <f t="shared" si="448"/>
        <v>11010101101100100111100010110101</v>
      </c>
      <c r="I651" s="4">
        <f t="shared" si="449"/>
        <v>18</v>
      </c>
      <c r="J651" s="77">
        <v>38</v>
      </c>
      <c r="K651" s="79" t="str">
        <f>HEX2BIN(J651,8)</f>
        <v>00111000</v>
      </c>
    </row>
    <row r="652" spans="2:11" ht="18.600000000000001" thickBot="1" x14ac:dyDescent="0.4">
      <c r="B652" s="76"/>
      <c r="C652" s="5" t="s">
        <v>6</v>
      </c>
      <c r="D652" s="5" t="s">
        <v>25</v>
      </c>
      <c r="E652" s="5" t="s">
        <v>25</v>
      </c>
      <c r="F652" s="5">
        <v>76</v>
      </c>
      <c r="G652" s="5" t="s">
        <v>18</v>
      </c>
      <c r="H652" s="5" t="str">
        <f t="shared" si="448"/>
        <v>10111101101111010111011000101011</v>
      </c>
      <c r="I652" s="5">
        <f t="shared" si="449"/>
        <v>21</v>
      </c>
      <c r="J652" s="78"/>
      <c r="K652" s="80"/>
    </row>
    <row r="653" spans="2:11" x14ac:dyDescent="0.35">
      <c r="B653" s="75">
        <f>B651+1</f>
        <v>326</v>
      </c>
      <c r="C653" s="4" t="s">
        <v>0</v>
      </c>
      <c r="D653" s="4">
        <v>31</v>
      </c>
      <c r="E653" s="4">
        <v>30</v>
      </c>
      <c r="F653" s="4" t="s">
        <v>144</v>
      </c>
      <c r="G653" s="4">
        <v>58</v>
      </c>
      <c r="H653" s="4" t="str">
        <f t="shared" si="448"/>
        <v>00110001001100001110000001011000</v>
      </c>
      <c r="I653" s="4">
        <f t="shared" si="449"/>
        <v>11</v>
      </c>
      <c r="J653" s="77" t="s">
        <v>21</v>
      </c>
      <c r="K653" s="79" t="str">
        <f>HEX2BIN(J653,8)</f>
        <v>11111010</v>
      </c>
    </row>
    <row r="654" spans="2:11" ht="18.600000000000001" thickBot="1" x14ac:dyDescent="0.4">
      <c r="B654" s="76"/>
      <c r="C654" s="5" t="s">
        <v>6</v>
      </c>
      <c r="D654" s="5" t="s">
        <v>64</v>
      </c>
      <c r="E654" s="5" t="s">
        <v>18</v>
      </c>
      <c r="F654" s="5">
        <v>6</v>
      </c>
      <c r="G654" s="5">
        <v>6</v>
      </c>
      <c r="H654" s="5" t="str">
        <f t="shared" si="448"/>
        <v>00011100001010110000011000000110</v>
      </c>
      <c r="I654" s="5">
        <f t="shared" si="449"/>
        <v>11</v>
      </c>
      <c r="J654" s="78"/>
      <c r="K654" s="80"/>
    </row>
    <row r="655" spans="2:11" x14ac:dyDescent="0.35">
      <c r="B655" s="75">
        <f>B653+1</f>
        <v>327</v>
      </c>
      <c r="C655" s="4" t="s">
        <v>0</v>
      </c>
      <c r="D655" s="4" t="s">
        <v>22</v>
      </c>
      <c r="E655" s="4" t="s">
        <v>23</v>
      </c>
      <c r="F655" s="4">
        <v>78</v>
      </c>
      <c r="G655" s="4" t="s">
        <v>24</v>
      </c>
      <c r="H655" s="4" t="str">
        <f t="shared" si="448"/>
        <v>11010101101100100111100010110101</v>
      </c>
      <c r="I655" s="4">
        <f t="shared" si="449"/>
        <v>18</v>
      </c>
      <c r="J655" s="77">
        <v>38</v>
      </c>
      <c r="K655" s="79" t="str">
        <f>HEX2BIN(J655,8)</f>
        <v>00111000</v>
      </c>
    </row>
    <row r="656" spans="2:11" ht="18.600000000000001" thickBot="1" x14ac:dyDescent="0.4">
      <c r="B656" s="76"/>
      <c r="C656" s="5" t="s">
        <v>6</v>
      </c>
      <c r="D656" s="5" t="s">
        <v>25</v>
      </c>
      <c r="E656" s="5" t="s">
        <v>25</v>
      </c>
      <c r="F656" s="5">
        <v>76</v>
      </c>
      <c r="G656" s="5" t="s">
        <v>18</v>
      </c>
      <c r="H656" s="5" t="str">
        <f t="shared" si="448"/>
        <v>10111101101111010111011000101011</v>
      </c>
      <c r="I656" s="5">
        <f t="shared" si="449"/>
        <v>21</v>
      </c>
      <c r="J656" s="78"/>
      <c r="K656" s="80"/>
    </row>
    <row r="657" spans="2:11" x14ac:dyDescent="0.35">
      <c r="B657" s="75">
        <f>B655+1</f>
        <v>328</v>
      </c>
      <c r="C657" s="4" t="s">
        <v>0</v>
      </c>
      <c r="D657" s="4" t="s">
        <v>22</v>
      </c>
      <c r="E657" s="4" t="s">
        <v>23</v>
      </c>
      <c r="F657" s="4">
        <v>78</v>
      </c>
      <c r="G657" s="4" t="s">
        <v>24</v>
      </c>
      <c r="H657" s="4" t="str">
        <f t="shared" si="448"/>
        <v>11010101101100100111100010110101</v>
      </c>
      <c r="I657" s="4">
        <f t="shared" si="449"/>
        <v>18</v>
      </c>
      <c r="J657" s="77">
        <v>38</v>
      </c>
      <c r="K657" s="79" t="str">
        <f>HEX2BIN(J657,8)</f>
        <v>00111000</v>
      </c>
    </row>
    <row r="658" spans="2:11" ht="18.600000000000001" thickBot="1" x14ac:dyDescent="0.4">
      <c r="B658" s="76"/>
      <c r="C658" s="5" t="s">
        <v>6</v>
      </c>
      <c r="D658" s="5" t="s">
        <v>25</v>
      </c>
      <c r="E658" s="5" t="s">
        <v>25</v>
      </c>
      <c r="F658" s="5">
        <v>76</v>
      </c>
      <c r="G658" s="5" t="s">
        <v>18</v>
      </c>
      <c r="H658" s="5" t="str">
        <f t="shared" si="448"/>
        <v>10111101101111010111011000101011</v>
      </c>
      <c r="I658" s="5">
        <f t="shared" si="449"/>
        <v>21</v>
      </c>
      <c r="J658" s="78"/>
      <c r="K658" s="80"/>
    </row>
    <row r="659" spans="2:11" x14ac:dyDescent="0.35">
      <c r="B659" s="75">
        <f>B657+1</f>
        <v>329</v>
      </c>
      <c r="C659" s="4" t="s">
        <v>0</v>
      </c>
      <c r="D659" s="4" t="s">
        <v>22</v>
      </c>
      <c r="E659" s="4" t="s">
        <v>23</v>
      </c>
      <c r="F659" s="4">
        <v>78</v>
      </c>
      <c r="G659" s="4" t="s">
        <v>24</v>
      </c>
      <c r="H659" s="4" t="str">
        <f t="shared" si="448"/>
        <v>11010101101100100111100010110101</v>
      </c>
      <c r="I659" s="4">
        <f t="shared" si="449"/>
        <v>18</v>
      </c>
      <c r="J659" s="77">
        <v>38</v>
      </c>
      <c r="K659" s="79" t="str">
        <f>HEX2BIN(J659,8)</f>
        <v>00111000</v>
      </c>
    </row>
    <row r="660" spans="2:11" ht="18.600000000000001" thickBot="1" x14ac:dyDescent="0.4">
      <c r="B660" s="76"/>
      <c r="C660" s="5" t="s">
        <v>6</v>
      </c>
      <c r="D660" s="5" t="s">
        <v>25</v>
      </c>
      <c r="E660" s="5" t="s">
        <v>25</v>
      </c>
      <c r="F660" s="5">
        <v>76</v>
      </c>
      <c r="G660" s="5" t="s">
        <v>18</v>
      </c>
      <c r="H660" s="5" t="str">
        <f t="shared" si="448"/>
        <v>10111101101111010111011000101011</v>
      </c>
      <c r="I660" s="5">
        <f t="shared" si="449"/>
        <v>21</v>
      </c>
      <c r="J660" s="78"/>
      <c r="K660" s="80"/>
    </row>
    <row r="661" spans="2:11" x14ac:dyDescent="0.35">
      <c r="B661" s="75">
        <f>B659+1</f>
        <v>330</v>
      </c>
      <c r="C661" s="4" t="s">
        <v>0</v>
      </c>
      <c r="D661" s="4" t="s">
        <v>22</v>
      </c>
      <c r="E661" s="4" t="s">
        <v>23</v>
      </c>
      <c r="F661" s="4">
        <v>78</v>
      </c>
      <c r="G661" s="4" t="s">
        <v>24</v>
      </c>
      <c r="H661" s="4" t="str">
        <f t="shared" si="448"/>
        <v>11010101101100100111100010110101</v>
      </c>
      <c r="I661" s="4">
        <f t="shared" si="449"/>
        <v>18</v>
      </c>
      <c r="J661" s="77">
        <v>38</v>
      </c>
      <c r="K661" s="79" t="str">
        <f>HEX2BIN(J661,8)</f>
        <v>00111000</v>
      </c>
    </row>
    <row r="662" spans="2:11" ht="18.600000000000001" thickBot="1" x14ac:dyDescent="0.4">
      <c r="B662" s="76"/>
      <c r="C662" s="5" t="s">
        <v>6</v>
      </c>
      <c r="D662" s="5" t="s">
        <v>25</v>
      </c>
      <c r="E662" s="5" t="s">
        <v>25</v>
      </c>
      <c r="F662" s="5">
        <v>76</v>
      </c>
      <c r="G662" s="5" t="s">
        <v>18</v>
      </c>
      <c r="H662" s="5" t="str">
        <f t="shared" si="448"/>
        <v>10111101101111010111011000101011</v>
      </c>
      <c r="I662" s="5">
        <f t="shared" si="449"/>
        <v>21</v>
      </c>
      <c r="J662" s="78"/>
      <c r="K662" s="80"/>
    </row>
    <row r="663" spans="2:11" x14ac:dyDescent="0.35">
      <c r="B663" s="75">
        <f>B661+1</f>
        <v>331</v>
      </c>
      <c r="C663" s="4" t="s">
        <v>0</v>
      </c>
      <c r="D663" s="4" t="s">
        <v>22</v>
      </c>
      <c r="E663" s="4" t="s">
        <v>23</v>
      </c>
      <c r="F663" s="4">
        <v>78</v>
      </c>
      <c r="G663" s="4" t="s">
        <v>24</v>
      </c>
      <c r="H663" s="4" t="str">
        <f t="shared" si="448"/>
        <v>11010101101100100111100010110101</v>
      </c>
      <c r="I663" s="4">
        <f t="shared" si="449"/>
        <v>18</v>
      </c>
      <c r="J663" s="77">
        <v>38</v>
      </c>
      <c r="K663" s="79" t="str">
        <f>HEX2BIN(J663,8)</f>
        <v>00111000</v>
      </c>
    </row>
    <row r="664" spans="2:11" ht="18.600000000000001" thickBot="1" x14ac:dyDescent="0.4">
      <c r="B664" s="76"/>
      <c r="C664" s="5" t="s">
        <v>6</v>
      </c>
      <c r="D664" s="5" t="s">
        <v>25</v>
      </c>
      <c r="E664" s="5" t="s">
        <v>25</v>
      </c>
      <c r="F664" s="5">
        <v>76</v>
      </c>
      <c r="G664" s="5" t="s">
        <v>18</v>
      </c>
      <c r="H664" s="5" t="str">
        <f t="shared" si="448"/>
        <v>10111101101111010111011000101011</v>
      </c>
      <c r="I664" s="5">
        <f t="shared" si="449"/>
        <v>21</v>
      </c>
      <c r="J664" s="78"/>
      <c r="K664" s="80"/>
    </row>
    <row r="665" spans="2:11" x14ac:dyDescent="0.35">
      <c r="B665" s="75">
        <f>B663+1</f>
        <v>332</v>
      </c>
      <c r="C665" s="4" t="s">
        <v>0</v>
      </c>
      <c r="D665" s="4" t="s">
        <v>16</v>
      </c>
      <c r="E665" s="4" t="s">
        <v>17</v>
      </c>
      <c r="F665" s="4">
        <v>52</v>
      </c>
      <c r="G665" s="4">
        <v>56</v>
      </c>
      <c r="H665" s="4" t="str">
        <f t="shared" si="448"/>
        <v>11110000011011000101001001010110</v>
      </c>
      <c r="I665" s="4">
        <f t="shared" si="449"/>
        <v>15</v>
      </c>
      <c r="J665" s="77" t="s">
        <v>21</v>
      </c>
      <c r="K665" s="79" t="str">
        <f>HEX2BIN(J665,8)</f>
        <v>11111010</v>
      </c>
    </row>
    <row r="666" spans="2:11" ht="18.600000000000001" thickBot="1" x14ac:dyDescent="0.4">
      <c r="B666" s="76"/>
      <c r="C666" s="5" t="s">
        <v>6</v>
      </c>
      <c r="D666" s="5">
        <v>49</v>
      </c>
      <c r="E666" s="5" t="s">
        <v>20</v>
      </c>
      <c r="F666" s="5" t="s">
        <v>19</v>
      </c>
      <c r="G666" s="5" t="s">
        <v>18</v>
      </c>
      <c r="H666" s="5" t="str">
        <f t="shared" si="448"/>
        <v>01001001000010101101101100101011</v>
      </c>
      <c r="I666" s="5">
        <f t="shared" si="449"/>
        <v>15</v>
      </c>
      <c r="J666" s="78"/>
      <c r="K666" s="80"/>
    </row>
    <row r="667" spans="2:11" x14ac:dyDescent="0.35">
      <c r="B667" s="75">
        <f>B665+1</f>
        <v>333</v>
      </c>
      <c r="C667" s="4" t="s">
        <v>0</v>
      </c>
      <c r="D667" s="4" t="s">
        <v>22</v>
      </c>
      <c r="E667" s="4" t="s">
        <v>23</v>
      </c>
      <c r="F667" s="4">
        <v>78</v>
      </c>
      <c r="G667" s="4" t="s">
        <v>24</v>
      </c>
      <c r="H667" s="4" t="str">
        <f t="shared" si="448"/>
        <v>11010101101100100111100010110101</v>
      </c>
      <c r="I667" s="4">
        <f t="shared" si="449"/>
        <v>18</v>
      </c>
      <c r="J667" s="77">
        <v>38</v>
      </c>
      <c r="K667" s="79" t="str">
        <f>HEX2BIN(J667,8)</f>
        <v>00111000</v>
      </c>
    </row>
    <row r="668" spans="2:11" ht="18.600000000000001" thickBot="1" x14ac:dyDescent="0.4">
      <c r="B668" s="76"/>
      <c r="C668" s="5" t="s">
        <v>6</v>
      </c>
      <c r="D668" s="5" t="s">
        <v>25</v>
      </c>
      <c r="E668" s="5" t="s">
        <v>25</v>
      </c>
      <c r="F668" s="5">
        <v>76</v>
      </c>
      <c r="G668" s="5" t="s">
        <v>18</v>
      </c>
      <c r="H668" s="5" t="str">
        <f t="shared" si="448"/>
        <v>10111101101111010111011000101011</v>
      </c>
      <c r="I668" s="5">
        <f t="shared" si="449"/>
        <v>21</v>
      </c>
      <c r="J668" s="78"/>
      <c r="K668" s="80"/>
    </row>
    <row r="669" spans="2:11" x14ac:dyDescent="0.35">
      <c r="B669" s="75">
        <f>B667+1</f>
        <v>334</v>
      </c>
      <c r="C669" s="4" t="s">
        <v>0</v>
      </c>
      <c r="D669" s="4" t="s">
        <v>22</v>
      </c>
      <c r="E669" s="4" t="s">
        <v>23</v>
      </c>
      <c r="F669" s="4">
        <v>78</v>
      </c>
      <c r="G669" s="4" t="s">
        <v>24</v>
      </c>
      <c r="H669" s="4" t="str">
        <f t="shared" si="448"/>
        <v>11010101101100100111100010110101</v>
      </c>
      <c r="I669" s="4">
        <f t="shared" si="449"/>
        <v>18</v>
      </c>
      <c r="J669" s="77">
        <v>38</v>
      </c>
      <c r="K669" s="79" t="str">
        <f>HEX2BIN(J669,8)</f>
        <v>00111000</v>
      </c>
    </row>
    <row r="670" spans="2:11" ht="18.600000000000001" thickBot="1" x14ac:dyDescent="0.4">
      <c r="B670" s="76"/>
      <c r="C670" s="5" t="s">
        <v>6</v>
      </c>
      <c r="D670" s="5" t="s">
        <v>25</v>
      </c>
      <c r="E670" s="5" t="s">
        <v>25</v>
      </c>
      <c r="F670" s="5">
        <v>76</v>
      </c>
      <c r="G670" s="5" t="s">
        <v>18</v>
      </c>
      <c r="H670" s="5" t="str">
        <f t="shared" si="448"/>
        <v>10111101101111010111011000101011</v>
      </c>
      <c r="I670" s="5">
        <f t="shared" si="449"/>
        <v>21</v>
      </c>
      <c r="J670" s="78"/>
      <c r="K670" s="80"/>
    </row>
    <row r="671" spans="2:11" x14ac:dyDescent="0.35">
      <c r="B671" s="75">
        <f>B669+1</f>
        <v>335</v>
      </c>
      <c r="C671" s="4" t="s">
        <v>0</v>
      </c>
      <c r="D671" s="4" t="s">
        <v>22</v>
      </c>
      <c r="E671" s="4" t="s">
        <v>23</v>
      </c>
      <c r="F671" s="4">
        <v>78</v>
      </c>
      <c r="G671" s="4" t="s">
        <v>24</v>
      </c>
      <c r="H671" s="4" t="str">
        <f t="shared" si="448"/>
        <v>11010101101100100111100010110101</v>
      </c>
      <c r="I671" s="4">
        <f t="shared" si="449"/>
        <v>18</v>
      </c>
      <c r="J671" s="77">
        <v>38</v>
      </c>
      <c r="K671" s="79" t="str">
        <f>HEX2BIN(J671,8)</f>
        <v>00111000</v>
      </c>
    </row>
    <row r="672" spans="2:11" ht="18.600000000000001" thickBot="1" x14ac:dyDescent="0.4">
      <c r="B672" s="76"/>
      <c r="C672" s="5" t="s">
        <v>6</v>
      </c>
      <c r="D672" s="5" t="s">
        <v>25</v>
      </c>
      <c r="E672" s="5" t="s">
        <v>25</v>
      </c>
      <c r="F672" s="5">
        <v>76</v>
      </c>
      <c r="G672" s="5" t="s">
        <v>18</v>
      </c>
      <c r="H672" s="5" t="str">
        <f t="shared" si="448"/>
        <v>10111101101111010111011000101011</v>
      </c>
      <c r="I672" s="5">
        <f t="shared" si="449"/>
        <v>21</v>
      </c>
      <c r="J672" s="78"/>
      <c r="K672" s="80"/>
    </row>
    <row r="673" spans="2:11" x14ac:dyDescent="0.35">
      <c r="B673" s="75">
        <f>B671+1</f>
        <v>336</v>
      </c>
      <c r="C673" s="4" t="s">
        <v>0</v>
      </c>
      <c r="D673" s="4" t="s">
        <v>22</v>
      </c>
      <c r="E673" s="4" t="s">
        <v>23</v>
      </c>
      <c r="F673" s="4">
        <v>78</v>
      </c>
      <c r="G673" s="4" t="s">
        <v>24</v>
      </c>
      <c r="H673" s="13" t="s">
        <v>172</v>
      </c>
      <c r="I673" s="4">
        <f t="shared" si="449"/>
        <v>13</v>
      </c>
      <c r="J673" s="77">
        <v>38</v>
      </c>
      <c r="K673" s="79" t="str">
        <f>HEX2BIN(J673,8)</f>
        <v>00111000</v>
      </c>
    </row>
    <row r="674" spans="2:11" ht="18.600000000000001" thickBot="1" x14ac:dyDescent="0.4">
      <c r="B674" s="76"/>
      <c r="C674" s="5" t="s">
        <v>6</v>
      </c>
      <c r="D674" s="5" t="s">
        <v>25</v>
      </c>
      <c r="E674" s="5" t="s">
        <v>25</v>
      </c>
      <c r="F674" s="5">
        <v>76</v>
      </c>
      <c r="G674" s="5" t="s">
        <v>18</v>
      </c>
      <c r="H674" s="9" t="str">
        <f t="shared" si="448"/>
        <v>10111101101111010111011000101011</v>
      </c>
      <c r="I674" s="5">
        <f t="shared" si="449"/>
        <v>21</v>
      </c>
      <c r="J674" s="78"/>
      <c r="K674" s="80"/>
    </row>
    <row r="675" spans="2:11" x14ac:dyDescent="0.35">
      <c r="B675" s="75">
        <f>B673+1</f>
        <v>337</v>
      </c>
      <c r="C675" s="4" t="s">
        <v>0</v>
      </c>
      <c r="D675" s="4"/>
      <c r="E675" s="4"/>
      <c r="F675" s="4"/>
      <c r="G675" s="4" t="s">
        <v>27</v>
      </c>
      <c r="H675" s="4" t="str">
        <f t="shared" si="448"/>
        <v>00000000000000000000000011010001</v>
      </c>
      <c r="I675" s="4">
        <f t="shared" si="449"/>
        <v>4</v>
      </c>
      <c r="J675" s="77">
        <v>38</v>
      </c>
      <c r="K675" s="79" t="str">
        <f>HEX2BIN(J675,8)</f>
        <v>00111000</v>
      </c>
    </row>
    <row r="676" spans="2:11" ht="18.600000000000001" thickBot="1" x14ac:dyDescent="0.4">
      <c r="B676" s="76"/>
      <c r="C676" s="5" t="s">
        <v>6</v>
      </c>
      <c r="D676" s="5"/>
      <c r="E676" s="5"/>
      <c r="F676" s="5"/>
      <c r="G676" s="5" t="s">
        <v>64</v>
      </c>
      <c r="H676" s="5" t="str">
        <f t="shared" si="448"/>
        <v>00000000000000000000000000011100</v>
      </c>
      <c r="I676" s="5">
        <f t="shared" si="449"/>
        <v>3</v>
      </c>
      <c r="J676" s="78"/>
      <c r="K676" s="80"/>
    </row>
    <row r="677" spans="2:11" x14ac:dyDescent="0.35">
      <c r="J677" s="92">
        <v>66</v>
      </c>
    </row>
    <row r="678" spans="2:11" ht="18.600000000000001" thickBot="1" x14ac:dyDescent="0.4">
      <c r="B678" s="1" t="s">
        <v>51</v>
      </c>
      <c r="C678" s="1" t="str">
        <f>MID(HEX2BIN(B678,8),4,1)</f>
        <v>0</v>
      </c>
      <c r="J678" s="93"/>
    </row>
    <row r="679" spans="2:11" x14ac:dyDescent="0.35">
      <c r="B679" s="1" t="s">
        <v>25</v>
      </c>
      <c r="C679" s="1" t="str">
        <f t="shared" ref="C679:C692" si="450">MID(HEX2BIN(B679,8),4,1)</f>
        <v>1</v>
      </c>
    </row>
    <row r="680" spans="2:11" x14ac:dyDescent="0.35">
      <c r="B680" s="1">
        <v>61</v>
      </c>
      <c r="C680" s="1" t="str">
        <f t="shared" si="450"/>
        <v>0</v>
      </c>
    </row>
    <row r="681" spans="2:11" x14ac:dyDescent="0.35">
      <c r="B681" s="1" t="s">
        <v>161</v>
      </c>
      <c r="C681" s="1" t="str">
        <f t="shared" si="450"/>
        <v>0</v>
      </c>
    </row>
    <row r="682" spans="2:11" x14ac:dyDescent="0.35">
      <c r="B682" s="1" t="s">
        <v>137</v>
      </c>
      <c r="C682" s="1" t="str">
        <f t="shared" si="450"/>
        <v>1</v>
      </c>
    </row>
    <row r="683" spans="2:11" x14ac:dyDescent="0.35">
      <c r="B683" s="1">
        <v>2</v>
      </c>
      <c r="C683" s="1" t="str">
        <f t="shared" si="450"/>
        <v>0</v>
      </c>
    </row>
    <row r="684" spans="2:11" x14ac:dyDescent="0.35">
      <c r="B684" s="1" t="s">
        <v>61</v>
      </c>
      <c r="C684" s="1" t="str">
        <f t="shared" si="450"/>
        <v>0</v>
      </c>
    </row>
    <row r="685" spans="2:11" x14ac:dyDescent="0.35">
      <c r="B685" s="1" t="s">
        <v>147</v>
      </c>
      <c r="C685" s="1" t="str">
        <f t="shared" si="450"/>
        <v>1</v>
      </c>
    </row>
    <row r="686" spans="2:11" x14ac:dyDescent="0.35">
      <c r="B686" s="1" t="s">
        <v>104</v>
      </c>
      <c r="C686" s="1" t="str">
        <f t="shared" si="450"/>
        <v>0</v>
      </c>
    </row>
    <row r="687" spans="2:11" x14ac:dyDescent="0.35">
      <c r="B687" s="1">
        <v>33</v>
      </c>
      <c r="C687" s="1" t="str">
        <f t="shared" si="450"/>
        <v>1</v>
      </c>
    </row>
    <row r="688" spans="2:11" x14ac:dyDescent="0.35">
      <c r="B688" s="1" t="s">
        <v>125</v>
      </c>
      <c r="C688" s="1" t="str">
        <f t="shared" si="450"/>
        <v>1</v>
      </c>
    </row>
    <row r="689" spans="2:3" x14ac:dyDescent="0.35">
      <c r="B689" s="1" t="s">
        <v>150</v>
      </c>
      <c r="C689" s="1" t="str">
        <f t="shared" si="450"/>
        <v>1</v>
      </c>
    </row>
    <row r="690" spans="2:3" x14ac:dyDescent="0.35">
      <c r="B690" s="1" t="s">
        <v>42</v>
      </c>
      <c r="C690" s="1" t="str">
        <f t="shared" si="450"/>
        <v>1</v>
      </c>
    </row>
    <row r="691" spans="2:3" x14ac:dyDescent="0.35">
      <c r="B691" s="1" t="s">
        <v>15</v>
      </c>
      <c r="C691" s="1" t="str">
        <f t="shared" si="450"/>
        <v>0</v>
      </c>
    </row>
    <row r="692" spans="2:3" x14ac:dyDescent="0.35">
      <c r="B692" s="1" t="s">
        <v>22</v>
      </c>
      <c r="C692" s="1" t="str">
        <f t="shared" si="450"/>
        <v>1</v>
      </c>
    </row>
  </sheetData>
  <mergeCells count="1057">
    <mergeCell ref="J677:J678"/>
    <mergeCell ref="U1:AB1"/>
    <mergeCell ref="Q285:Q286"/>
    <mergeCell ref="R285:R286"/>
    <mergeCell ref="S285:S286"/>
    <mergeCell ref="T285:T286"/>
    <mergeCell ref="Q239:Q240"/>
    <mergeCell ref="R239:R240"/>
    <mergeCell ref="S239:S240"/>
    <mergeCell ref="T239:T240"/>
    <mergeCell ref="Q175:Q176"/>
    <mergeCell ref="R175:R176"/>
    <mergeCell ref="S175:S176"/>
    <mergeCell ref="T175:T176"/>
    <mergeCell ref="Q77:Q78"/>
    <mergeCell ref="R77:R78"/>
    <mergeCell ref="S77:S78"/>
    <mergeCell ref="T77:T78"/>
    <mergeCell ref="K21:K22"/>
    <mergeCell ref="T387:T388"/>
    <mergeCell ref="T389:T390"/>
    <mergeCell ref="T391:T392"/>
    <mergeCell ref="K19:K20"/>
    <mergeCell ref="K43:K44"/>
    <mergeCell ref="K3:K4"/>
    <mergeCell ref="J3:J4"/>
    <mergeCell ref="J5:J6"/>
    <mergeCell ref="K5:K6"/>
    <mergeCell ref="A275:A290"/>
    <mergeCell ref="A291:A306"/>
    <mergeCell ref="A307:A322"/>
    <mergeCell ref="A323:A338"/>
    <mergeCell ref="A339:A354"/>
    <mergeCell ref="A355:A370"/>
    <mergeCell ref="A371:A386"/>
    <mergeCell ref="A387:A402"/>
    <mergeCell ref="A3:A18"/>
    <mergeCell ref="A19:A34"/>
    <mergeCell ref="A35:A50"/>
    <mergeCell ref="A51:A66"/>
    <mergeCell ref="A67:A82"/>
    <mergeCell ref="A83:A98"/>
    <mergeCell ref="A99:A114"/>
    <mergeCell ref="A115:A130"/>
    <mergeCell ref="A131:A146"/>
    <mergeCell ref="A147:A162"/>
    <mergeCell ref="A163:A178"/>
    <mergeCell ref="A179:A194"/>
    <mergeCell ref="A195:A210"/>
    <mergeCell ref="A211:A226"/>
    <mergeCell ref="A227:A242"/>
    <mergeCell ref="A243:A258"/>
    <mergeCell ref="A259:A274"/>
    <mergeCell ref="B675:B676"/>
    <mergeCell ref="J675:J676"/>
    <mergeCell ref="K675:K676"/>
    <mergeCell ref="B671:B672"/>
    <mergeCell ref="J671:J672"/>
    <mergeCell ref="K671:K672"/>
    <mergeCell ref="B673:B674"/>
    <mergeCell ref="J673:J674"/>
    <mergeCell ref="K673:K674"/>
    <mergeCell ref="B667:B668"/>
    <mergeCell ref="J667:J668"/>
    <mergeCell ref="K667:K668"/>
    <mergeCell ref="B669:B670"/>
    <mergeCell ref="J669:J670"/>
    <mergeCell ref="K669:K670"/>
    <mergeCell ref="B663:B664"/>
    <mergeCell ref="J663:J664"/>
    <mergeCell ref="K663:K664"/>
    <mergeCell ref="B665:B666"/>
    <mergeCell ref="J665:J666"/>
    <mergeCell ref="K665:K666"/>
    <mergeCell ref="B659:B660"/>
    <mergeCell ref="J659:J660"/>
    <mergeCell ref="K659:K660"/>
    <mergeCell ref="B661:B662"/>
    <mergeCell ref="J661:J662"/>
    <mergeCell ref="K661:K662"/>
    <mergeCell ref="B655:B656"/>
    <mergeCell ref="J655:J656"/>
    <mergeCell ref="K655:K656"/>
    <mergeCell ref="B657:B658"/>
    <mergeCell ref="J657:J658"/>
    <mergeCell ref="K657:K658"/>
    <mergeCell ref="B651:B652"/>
    <mergeCell ref="J651:J652"/>
    <mergeCell ref="K651:K652"/>
    <mergeCell ref="B653:B654"/>
    <mergeCell ref="J653:J654"/>
    <mergeCell ref="K653:K654"/>
    <mergeCell ref="B647:B648"/>
    <mergeCell ref="J647:J648"/>
    <mergeCell ref="K647:K648"/>
    <mergeCell ref="B649:B650"/>
    <mergeCell ref="J649:J650"/>
    <mergeCell ref="K649:K650"/>
    <mergeCell ref="B643:B644"/>
    <mergeCell ref="J643:J644"/>
    <mergeCell ref="K643:K644"/>
    <mergeCell ref="B645:B646"/>
    <mergeCell ref="J645:J646"/>
    <mergeCell ref="K645:K646"/>
    <mergeCell ref="B639:B640"/>
    <mergeCell ref="J639:J640"/>
    <mergeCell ref="K639:K640"/>
    <mergeCell ref="B641:B642"/>
    <mergeCell ref="J641:J642"/>
    <mergeCell ref="K641:K642"/>
    <mergeCell ref="B635:B636"/>
    <mergeCell ref="J635:J636"/>
    <mergeCell ref="K635:K636"/>
    <mergeCell ref="B637:B638"/>
    <mergeCell ref="J637:J638"/>
    <mergeCell ref="K637:K638"/>
    <mergeCell ref="B631:B632"/>
    <mergeCell ref="J631:J632"/>
    <mergeCell ref="K631:K632"/>
    <mergeCell ref="B633:B634"/>
    <mergeCell ref="J633:J634"/>
    <mergeCell ref="K633:K634"/>
    <mergeCell ref="B627:B628"/>
    <mergeCell ref="J627:J628"/>
    <mergeCell ref="K627:K628"/>
    <mergeCell ref="B629:B630"/>
    <mergeCell ref="J629:J630"/>
    <mergeCell ref="K629:K630"/>
    <mergeCell ref="B623:B624"/>
    <mergeCell ref="J623:J624"/>
    <mergeCell ref="K623:K624"/>
    <mergeCell ref="B625:B626"/>
    <mergeCell ref="J625:J626"/>
    <mergeCell ref="K625:K626"/>
    <mergeCell ref="B619:B620"/>
    <mergeCell ref="J619:J620"/>
    <mergeCell ref="K619:K620"/>
    <mergeCell ref="B621:B622"/>
    <mergeCell ref="J621:J622"/>
    <mergeCell ref="K621:K622"/>
    <mergeCell ref="B615:B616"/>
    <mergeCell ref="J615:J616"/>
    <mergeCell ref="K615:K616"/>
    <mergeCell ref="B617:B618"/>
    <mergeCell ref="J617:J618"/>
    <mergeCell ref="K617:K618"/>
    <mergeCell ref="B611:B612"/>
    <mergeCell ref="J611:J612"/>
    <mergeCell ref="K611:K612"/>
    <mergeCell ref="B613:B614"/>
    <mergeCell ref="J613:J614"/>
    <mergeCell ref="K613:K614"/>
    <mergeCell ref="B607:B608"/>
    <mergeCell ref="J607:J608"/>
    <mergeCell ref="K607:K608"/>
    <mergeCell ref="B609:B610"/>
    <mergeCell ref="J609:J610"/>
    <mergeCell ref="K609:K610"/>
    <mergeCell ref="B603:B604"/>
    <mergeCell ref="J603:J604"/>
    <mergeCell ref="K603:K604"/>
    <mergeCell ref="B605:B606"/>
    <mergeCell ref="J605:J606"/>
    <mergeCell ref="K605:K606"/>
    <mergeCell ref="B599:B600"/>
    <mergeCell ref="J599:J600"/>
    <mergeCell ref="K599:K600"/>
    <mergeCell ref="B601:B602"/>
    <mergeCell ref="J601:J602"/>
    <mergeCell ref="K601:K602"/>
    <mergeCell ref="B595:B596"/>
    <mergeCell ref="J595:J596"/>
    <mergeCell ref="K595:K596"/>
    <mergeCell ref="B597:B598"/>
    <mergeCell ref="J597:J598"/>
    <mergeCell ref="K597:K598"/>
    <mergeCell ref="B591:B592"/>
    <mergeCell ref="J591:J592"/>
    <mergeCell ref="K591:K592"/>
    <mergeCell ref="B593:B594"/>
    <mergeCell ref="J593:J594"/>
    <mergeCell ref="K593:K594"/>
    <mergeCell ref="B587:B588"/>
    <mergeCell ref="J587:J588"/>
    <mergeCell ref="K587:K588"/>
    <mergeCell ref="B589:B590"/>
    <mergeCell ref="J589:J590"/>
    <mergeCell ref="K589:K590"/>
    <mergeCell ref="B583:B584"/>
    <mergeCell ref="J583:J584"/>
    <mergeCell ref="K583:K584"/>
    <mergeCell ref="B585:B586"/>
    <mergeCell ref="J585:J586"/>
    <mergeCell ref="K585:K586"/>
    <mergeCell ref="B579:B580"/>
    <mergeCell ref="J579:J580"/>
    <mergeCell ref="K579:K580"/>
    <mergeCell ref="B581:B582"/>
    <mergeCell ref="J581:J582"/>
    <mergeCell ref="K581:K582"/>
    <mergeCell ref="B575:B576"/>
    <mergeCell ref="J575:J576"/>
    <mergeCell ref="K575:K576"/>
    <mergeCell ref="B577:B578"/>
    <mergeCell ref="J577:J578"/>
    <mergeCell ref="K577:K578"/>
    <mergeCell ref="B571:B572"/>
    <mergeCell ref="J571:J572"/>
    <mergeCell ref="K571:K572"/>
    <mergeCell ref="B573:B574"/>
    <mergeCell ref="J573:J574"/>
    <mergeCell ref="K573:K574"/>
    <mergeCell ref="B567:B568"/>
    <mergeCell ref="J567:J568"/>
    <mergeCell ref="K567:K568"/>
    <mergeCell ref="B569:B570"/>
    <mergeCell ref="J569:J570"/>
    <mergeCell ref="K569:K570"/>
    <mergeCell ref="B563:B564"/>
    <mergeCell ref="J563:J564"/>
    <mergeCell ref="K563:K564"/>
    <mergeCell ref="B565:B566"/>
    <mergeCell ref="J565:J566"/>
    <mergeCell ref="K565:K566"/>
    <mergeCell ref="B559:B560"/>
    <mergeCell ref="J559:J560"/>
    <mergeCell ref="K559:K560"/>
    <mergeCell ref="B561:B562"/>
    <mergeCell ref="J561:J562"/>
    <mergeCell ref="K561:K562"/>
    <mergeCell ref="B555:B556"/>
    <mergeCell ref="J555:J556"/>
    <mergeCell ref="K555:K556"/>
    <mergeCell ref="B557:B558"/>
    <mergeCell ref="J557:J558"/>
    <mergeCell ref="K557:K558"/>
    <mergeCell ref="B551:B552"/>
    <mergeCell ref="J551:J552"/>
    <mergeCell ref="K551:K552"/>
    <mergeCell ref="B553:B554"/>
    <mergeCell ref="J553:J554"/>
    <mergeCell ref="K553:K554"/>
    <mergeCell ref="B547:B548"/>
    <mergeCell ref="J547:J548"/>
    <mergeCell ref="K547:K548"/>
    <mergeCell ref="B549:B550"/>
    <mergeCell ref="J549:J550"/>
    <mergeCell ref="K549:K550"/>
    <mergeCell ref="B543:B544"/>
    <mergeCell ref="J543:J544"/>
    <mergeCell ref="K543:K544"/>
    <mergeCell ref="B545:B546"/>
    <mergeCell ref="J545:J546"/>
    <mergeCell ref="K545:K546"/>
    <mergeCell ref="B539:B540"/>
    <mergeCell ref="J539:J540"/>
    <mergeCell ref="K539:K540"/>
    <mergeCell ref="B541:B542"/>
    <mergeCell ref="J541:J542"/>
    <mergeCell ref="K541:K542"/>
    <mergeCell ref="B535:B536"/>
    <mergeCell ref="J535:J536"/>
    <mergeCell ref="K535:K536"/>
    <mergeCell ref="B537:B538"/>
    <mergeCell ref="J537:J538"/>
    <mergeCell ref="K537:K538"/>
    <mergeCell ref="B531:B532"/>
    <mergeCell ref="J531:J532"/>
    <mergeCell ref="K531:K532"/>
    <mergeCell ref="B533:B534"/>
    <mergeCell ref="J533:J534"/>
    <mergeCell ref="K533:K534"/>
    <mergeCell ref="B527:B528"/>
    <mergeCell ref="J527:J528"/>
    <mergeCell ref="K527:K528"/>
    <mergeCell ref="B529:B530"/>
    <mergeCell ref="J529:J530"/>
    <mergeCell ref="K529:K530"/>
    <mergeCell ref="B523:B524"/>
    <mergeCell ref="J523:J524"/>
    <mergeCell ref="K523:K524"/>
    <mergeCell ref="B525:B526"/>
    <mergeCell ref="J525:J526"/>
    <mergeCell ref="K525:K526"/>
    <mergeCell ref="B519:B520"/>
    <mergeCell ref="J519:J520"/>
    <mergeCell ref="K519:K520"/>
    <mergeCell ref="B521:B522"/>
    <mergeCell ref="J521:J522"/>
    <mergeCell ref="K521:K522"/>
    <mergeCell ref="B515:B516"/>
    <mergeCell ref="J515:J516"/>
    <mergeCell ref="K515:K516"/>
    <mergeCell ref="B517:B518"/>
    <mergeCell ref="J517:J518"/>
    <mergeCell ref="K517:K518"/>
    <mergeCell ref="B511:B512"/>
    <mergeCell ref="J511:J512"/>
    <mergeCell ref="K511:K512"/>
    <mergeCell ref="B513:B514"/>
    <mergeCell ref="J513:J514"/>
    <mergeCell ref="K513:K514"/>
    <mergeCell ref="B507:B508"/>
    <mergeCell ref="J507:J508"/>
    <mergeCell ref="K507:K508"/>
    <mergeCell ref="B509:B510"/>
    <mergeCell ref="J509:J510"/>
    <mergeCell ref="K509:K510"/>
    <mergeCell ref="B503:B504"/>
    <mergeCell ref="J503:J504"/>
    <mergeCell ref="K503:K504"/>
    <mergeCell ref="B505:B506"/>
    <mergeCell ref="J505:J506"/>
    <mergeCell ref="K505:K506"/>
    <mergeCell ref="B499:B500"/>
    <mergeCell ref="J499:J500"/>
    <mergeCell ref="K499:K500"/>
    <mergeCell ref="B501:B502"/>
    <mergeCell ref="J501:J502"/>
    <mergeCell ref="K501:K502"/>
    <mergeCell ref="B495:B496"/>
    <mergeCell ref="J495:J496"/>
    <mergeCell ref="K495:K496"/>
    <mergeCell ref="B497:B498"/>
    <mergeCell ref="J497:J498"/>
    <mergeCell ref="K497:K498"/>
    <mergeCell ref="B491:B492"/>
    <mergeCell ref="J491:J492"/>
    <mergeCell ref="K491:K492"/>
    <mergeCell ref="B493:B494"/>
    <mergeCell ref="J493:J494"/>
    <mergeCell ref="K493:K494"/>
    <mergeCell ref="B487:B488"/>
    <mergeCell ref="J487:J488"/>
    <mergeCell ref="K487:K488"/>
    <mergeCell ref="B489:B490"/>
    <mergeCell ref="J489:J490"/>
    <mergeCell ref="K489:K490"/>
    <mergeCell ref="B483:B484"/>
    <mergeCell ref="J483:J484"/>
    <mergeCell ref="K483:K484"/>
    <mergeCell ref="B485:B486"/>
    <mergeCell ref="J485:J486"/>
    <mergeCell ref="K485:K486"/>
    <mergeCell ref="B479:B480"/>
    <mergeCell ref="J479:J480"/>
    <mergeCell ref="K479:K480"/>
    <mergeCell ref="B481:B482"/>
    <mergeCell ref="J481:J482"/>
    <mergeCell ref="K481:K482"/>
    <mergeCell ref="B475:B476"/>
    <mergeCell ref="J475:J476"/>
    <mergeCell ref="K475:K476"/>
    <mergeCell ref="B477:B478"/>
    <mergeCell ref="J477:J478"/>
    <mergeCell ref="K477:K478"/>
    <mergeCell ref="B471:B472"/>
    <mergeCell ref="J471:J472"/>
    <mergeCell ref="K471:K472"/>
    <mergeCell ref="B473:B474"/>
    <mergeCell ref="J473:J474"/>
    <mergeCell ref="K473:K474"/>
    <mergeCell ref="B467:B468"/>
    <mergeCell ref="J467:J468"/>
    <mergeCell ref="K467:K468"/>
    <mergeCell ref="B469:B470"/>
    <mergeCell ref="J469:J470"/>
    <mergeCell ref="K469:K470"/>
    <mergeCell ref="B463:B464"/>
    <mergeCell ref="J463:J464"/>
    <mergeCell ref="K463:K464"/>
    <mergeCell ref="B465:B466"/>
    <mergeCell ref="J465:J466"/>
    <mergeCell ref="K465:K466"/>
    <mergeCell ref="B459:B460"/>
    <mergeCell ref="J459:J460"/>
    <mergeCell ref="K459:K460"/>
    <mergeCell ref="B461:B462"/>
    <mergeCell ref="J461:J462"/>
    <mergeCell ref="K461:K462"/>
    <mergeCell ref="B455:B456"/>
    <mergeCell ref="J455:J456"/>
    <mergeCell ref="K455:K456"/>
    <mergeCell ref="B457:B458"/>
    <mergeCell ref="J457:J458"/>
    <mergeCell ref="K457:K458"/>
    <mergeCell ref="B451:B452"/>
    <mergeCell ref="J451:J452"/>
    <mergeCell ref="K451:K452"/>
    <mergeCell ref="B453:B454"/>
    <mergeCell ref="J453:J454"/>
    <mergeCell ref="K453:K454"/>
    <mergeCell ref="B447:B448"/>
    <mergeCell ref="J447:J448"/>
    <mergeCell ref="K447:K448"/>
    <mergeCell ref="B449:B450"/>
    <mergeCell ref="J449:J450"/>
    <mergeCell ref="K449:K450"/>
    <mergeCell ref="B443:B444"/>
    <mergeCell ref="J443:J444"/>
    <mergeCell ref="K443:K444"/>
    <mergeCell ref="B445:B446"/>
    <mergeCell ref="J445:J446"/>
    <mergeCell ref="K445:K446"/>
    <mergeCell ref="B439:B440"/>
    <mergeCell ref="J439:J440"/>
    <mergeCell ref="K439:K440"/>
    <mergeCell ref="B441:B442"/>
    <mergeCell ref="J441:J442"/>
    <mergeCell ref="K441:K442"/>
    <mergeCell ref="B435:B436"/>
    <mergeCell ref="J435:J436"/>
    <mergeCell ref="K435:K436"/>
    <mergeCell ref="B437:B438"/>
    <mergeCell ref="J437:J438"/>
    <mergeCell ref="K437:K438"/>
    <mergeCell ref="B431:B432"/>
    <mergeCell ref="J431:J432"/>
    <mergeCell ref="K431:K432"/>
    <mergeCell ref="B433:B434"/>
    <mergeCell ref="J433:J434"/>
    <mergeCell ref="K433:K434"/>
    <mergeCell ref="B427:B428"/>
    <mergeCell ref="J427:J428"/>
    <mergeCell ref="K427:K428"/>
    <mergeCell ref="B429:B430"/>
    <mergeCell ref="J429:J430"/>
    <mergeCell ref="K429:K430"/>
    <mergeCell ref="B423:B424"/>
    <mergeCell ref="J423:J424"/>
    <mergeCell ref="K423:K424"/>
    <mergeCell ref="B425:B426"/>
    <mergeCell ref="J425:J426"/>
    <mergeCell ref="K425:K426"/>
    <mergeCell ref="B419:B420"/>
    <mergeCell ref="J419:J420"/>
    <mergeCell ref="K419:K420"/>
    <mergeCell ref="B421:B422"/>
    <mergeCell ref="J421:J422"/>
    <mergeCell ref="K421:K422"/>
    <mergeCell ref="B415:B416"/>
    <mergeCell ref="J415:J416"/>
    <mergeCell ref="K415:K416"/>
    <mergeCell ref="B417:B418"/>
    <mergeCell ref="J417:J418"/>
    <mergeCell ref="K417:K418"/>
    <mergeCell ref="B411:B412"/>
    <mergeCell ref="J411:J412"/>
    <mergeCell ref="K411:K412"/>
    <mergeCell ref="B413:B414"/>
    <mergeCell ref="J413:J414"/>
    <mergeCell ref="K413:K414"/>
    <mergeCell ref="B407:B408"/>
    <mergeCell ref="J407:J408"/>
    <mergeCell ref="K407:K408"/>
    <mergeCell ref="B409:B410"/>
    <mergeCell ref="J409:J410"/>
    <mergeCell ref="K409:K410"/>
    <mergeCell ref="B403:B404"/>
    <mergeCell ref="J403:J404"/>
    <mergeCell ref="K403:K404"/>
    <mergeCell ref="B405:B406"/>
    <mergeCell ref="J405:J406"/>
    <mergeCell ref="K405:K406"/>
    <mergeCell ref="B399:B400"/>
    <mergeCell ref="J399:J400"/>
    <mergeCell ref="K399:K400"/>
    <mergeCell ref="B401:B402"/>
    <mergeCell ref="J401:J402"/>
    <mergeCell ref="K401:K402"/>
    <mergeCell ref="B395:B396"/>
    <mergeCell ref="J395:J396"/>
    <mergeCell ref="K395:K396"/>
    <mergeCell ref="B397:B398"/>
    <mergeCell ref="J397:J398"/>
    <mergeCell ref="K397:K398"/>
    <mergeCell ref="B391:B392"/>
    <mergeCell ref="J391:J392"/>
    <mergeCell ref="K391:K392"/>
    <mergeCell ref="B393:B394"/>
    <mergeCell ref="J393:J394"/>
    <mergeCell ref="K393:K394"/>
    <mergeCell ref="B387:B388"/>
    <mergeCell ref="J387:J388"/>
    <mergeCell ref="K387:K388"/>
    <mergeCell ref="B389:B390"/>
    <mergeCell ref="J389:J390"/>
    <mergeCell ref="K389:K390"/>
    <mergeCell ref="B383:B384"/>
    <mergeCell ref="J383:J384"/>
    <mergeCell ref="K383:K384"/>
    <mergeCell ref="B385:B386"/>
    <mergeCell ref="J385:J386"/>
    <mergeCell ref="K385:K386"/>
    <mergeCell ref="B379:B380"/>
    <mergeCell ref="J379:J380"/>
    <mergeCell ref="K379:K380"/>
    <mergeCell ref="B381:B382"/>
    <mergeCell ref="J381:J382"/>
    <mergeCell ref="K381:K382"/>
    <mergeCell ref="B375:B376"/>
    <mergeCell ref="J375:J376"/>
    <mergeCell ref="K375:K376"/>
    <mergeCell ref="B377:B378"/>
    <mergeCell ref="J377:J378"/>
    <mergeCell ref="K377:K378"/>
    <mergeCell ref="B371:B372"/>
    <mergeCell ref="J371:J372"/>
    <mergeCell ref="K371:K372"/>
    <mergeCell ref="B373:B374"/>
    <mergeCell ref="J373:J374"/>
    <mergeCell ref="K373:K374"/>
    <mergeCell ref="B367:B368"/>
    <mergeCell ref="J367:J368"/>
    <mergeCell ref="K367:K368"/>
    <mergeCell ref="B369:B370"/>
    <mergeCell ref="J369:J370"/>
    <mergeCell ref="K369:K370"/>
    <mergeCell ref="B363:B364"/>
    <mergeCell ref="J363:J364"/>
    <mergeCell ref="K363:K364"/>
    <mergeCell ref="B365:B366"/>
    <mergeCell ref="J365:J366"/>
    <mergeCell ref="K365:K366"/>
    <mergeCell ref="B359:B360"/>
    <mergeCell ref="J359:J360"/>
    <mergeCell ref="K359:K360"/>
    <mergeCell ref="B361:B362"/>
    <mergeCell ref="J361:J362"/>
    <mergeCell ref="K361:K362"/>
    <mergeCell ref="B355:B356"/>
    <mergeCell ref="J355:J356"/>
    <mergeCell ref="K355:K356"/>
    <mergeCell ref="B357:B358"/>
    <mergeCell ref="J357:J358"/>
    <mergeCell ref="K357:K358"/>
    <mergeCell ref="B351:B352"/>
    <mergeCell ref="J351:J352"/>
    <mergeCell ref="K351:K352"/>
    <mergeCell ref="B353:B354"/>
    <mergeCell ref="J353:J354"/>
    <mergeCell ref="K353:K354"/>
    <mergeCell ref="B347:B348"/>
    <mergeCell ref="J347:J348"/>
    <mergeCell ref="K347:K348"/>
    <mergeCell ref="B349:B350"/>
    <mergeCell ref="J349:J350"/>
    <mergeCell ref="K349:K350"/>
    <mergeCell ref="B343:B344"/>
    <mergeCell ref="J343:J344"/>
    <mergeCell ref="K343:K344"/>
    <mergeCell ref="B345:B346"/>
    <mergeCell ref="J345:J346"/>
    <mergeCell ref="K345:K346"/>
    <mergeCell ref="B339:B340"/>
    <mergeCell ref="J339:J340"/>
    <mergeCell ref="K339:K340"/>
    <mergeCell ref="B341:B342"/>
    <mergeCell ref="J341:J342"/>
    <mergeCell ref="K341:K342"/>
    <mergeCell ref="B335:B336"/>
    <mergeCell ref="J335:J336"/>
    <mergeCell ref="K335:K336"/>
    <mergeCell ref="B337:B338"/>
    <mergeCell ref="J337:J338"/>
    <mergeCell ref="K337:K338"/>
    <mergeCell ref="B331:B332"/>
    <mergeCell ref="J331:J332"/>
    <mergeCell ref="K331:K332"/>
    <mergeCell ref="B333:B334"/>
    <mergeCell ref="J333:J334"/>
    <mergeCell ref="K333:K334"/>
    <mergeCell ref="B327:B328"/>
    <mergeCell ref="J327:J328"/>
    <mergeCell ref="K327:K328"/>
    <mergeCell ref="B329:B330"/>
    <mergeCell ref="J329:J330"/>
    <mergeCell ref="K329:K330"/>
    <mergeCell ref="B323:B324"/>
    <mergeCell ref="J323:J324"/>
    <mergeCell ref="K323:K324"/>
    <mergeCell ref="B325:B326"/>
    <mergeCell ref="J325:J326"/>
    <mergeCell ref="K325:K326"/>
    <mergeCell ref="B319:B320"/>
    <mergeCell ref="J319:J320"/>
    <mergeCell ref="K319:K320"/>
    <mergeCell ref="B321:B322"/>
    <mergeCell ref="J321:J322"/>
    <mergeCell ref="K321:K322"/>
    <mergeCell ref="B315:B316"/>
    <mergeCell ref="J315:J316"/>
    <mergeCell ref="K315:K316"/>
    <mergeCell ref="B317:B318"/>
    <mergeCell ref="J317:J318"/>
    <mergeCell ref="K317:K318"/>
    <mergeCell ref="B311:B312"/>
    <mergeCell ref="J311:J312"/>
    <mergeCell ref="K311:K312"/>
    <mergeCell ref="B313:B314"/>
    <mergeCell ref="J313:J314"/>
    <mergeCell ref="K313:K314"/>
    <mergeCell ref="B307:B308"/>
    <mergeCell ref="J307:J308"/>
    <mergeCell ref="K307:K308"/>
    <mergeCell ref="B309:B310"/>
    <mergeCell ref="J309:J310"/>
    <mergeCell ref="K309:K310"/>
    <mergeCell ref="B303:B304"/>
    <mergeCell ref="J303:J304"/>
    <mergeCell ref="K303:K304"/>
    <mergeCell ref="B305:B306"/>
    <mergeCell ref="J305:J306"/>
    <mergeCell ref="K305:K306"/>
    <mergeCell ref="B299:B300"/>
    <mergeCell ref="J299:J300"/>
    <mergeCell ref="K299:K300"/>
    <mergeCell ref="B301:B302"/>
    <mergeCell ref="J301:J302"/>
    <mergeCell ref="K301:K302"/>
    <mergeCell ref="B295:B296"/>
    <mergeCell ref="J295:J296"/>
    <mergeCell ref="K295:K296"/>
    <mergeCell ref="B297:B298"/>
    <mergeCell ref="J297:J298"/>
    <mergeCell ref="K297:K298"/>
    <mergeCell ref="B291:B292"/>
    <mergeCell ref="J291:J292"/>
    <mergeCell ref="K291:K292"/>
    <mergeCell ref="B293:B294"/>
    <mergeCell ref="J293:J294"/>
    <mergeCell ref="K293:K294"/>
    <mergeCell ref="B287:B288"/>
    <mergeCell ref="J287:J288"/>
    <mergeCell ref="K287:K288"/>
    <mergeCell ref="B289:B290"/>
    <mergeCell ref="J289:J290"/>
    <mergeCell ref="K289:K290"/>
    <mergeCell ref="B283:B284"/>
    <mergeCell ref="J283:J284"/>
    <mergeCell ref="K283:K284"/>
    <mergeCell ref="B285:B286"/>
    <mergeCell ref="J285:J286"/>
    <mergeCell ref="K285:K286"/>
    <mergeCell ref="B279:B280"/>
    <mergeCell ref="J279:J280"/>
    <mergeCell ref="K279:K280"/>
    <mergeCell ref="B281:B282"/>
    <mergeCell ref="J281:J282"/>
    <mergeCell ref="K281:K282"/>
    <mergeCell ref="B275:B276"/>
    <mergeCell ref="J275:J276"/>
    <mergeCell ref="K275:K276"/>
    <mergeCell ref="B277:B278"/>
    <mergeCell ref="J277:J278"/>
    <mergeCell ref="K277:K278"/>
    <mergeCell ref="B271:B272"/>
    <mergeCell ref="J271:J272"/>
    <mergeCell ref="K271:K272"/>
    <mergeCell ref="B273:B274"/>
    <mergeCell ref="J273:J274"/>
    <mergeCell ref="K273:K274"/>
    <mergeCell ref="B267:B268"/>
    <mergeCell ref="J267:J268"/>
    <mergeCell ref="K267:K268"/>
    <mergeCell ref="B269:B270"/>
    <mergeCell ref="J269:J270"/>
    <mergeCell ref="K269:K270"/>
    <mergeCell ref="B263:B264"/>
    <mergeCell ref="J263:J264"/>
    <mergeCell ref="K263:K264"/>
    <mergeCell ref="B265:B266"/>
    <mergeCell ref="J265:J266"/>
    <mergeCell ref="K265:K266"/>
    <mergeCell ref="B259:B260"/>
    <mergeCell ref="J259:J260"/>
    <mergeCell ref="K259:K260"/>
    <mergeCell ref="B261:B262"/>
    <mergeCell ref="J261:J262"/>
    <mergeCell ref="K261:K262"/>
    <mergeCell ref="B255:B256"/>
    <mergeCell ref="J255:J256"/>
    <mergeCell ref="K255:K256"/>
    <mergeCell ref="B257:B258"/>
    <mergeCell ref="J257:J258"/>
    <mergeCell ref="K257:K258"/>
    <mergeCell ref="B251:B252"/>
    <mergeCell ref="J251:J252"/>
    <mergeCell ref="K251:K252"/>
    <mergeCell ref="B253:B254"/>
    <mergeCell ref="J253:J254"/>
    <mergeCell ref="K253:K254"/>
    <mergeCell ref="B247:B248"/>
    <mergeCell ref="J247:J248"/>
    <mergeCell ref="K247:K248"/>
    <mergeCell ref="B249:B250"/>
    <mergeCell ref="J249:J250"/>
    <mergeCell ref="K249:K250"/>
    <mergeCell ref="B243:B244"/>
    <mergeCell ref="J243:J244"/>
    <mergeCell ref="K243:K244"/>
    <mergeCell ref="B245:B246"/>
    <mergeCell ref="J245:J246"/>
    <mergeCell ref="K245:K246"/>
    <mergeCell ref="B239:B240"/>
    <mergeCell ref="J239:J240"/>
    <mergeCell ref="K239:K240"/>
    <mergeCell ref="B241:B242"/>
    <mergeCell ref="J241:J242"/>
    <mergeCell ref="K241:K242"/>
    <mergeCell ref="B235:B236"/>
    <mergeCell ref="J235:J236"/>
    <mergeCell ref="K235:K236"/>
    <mergeCell ref="B237:B238"/>
    <mergeCell ref="J237:J238"/>
    <mergeCell ref="K237:K238"/>
    <mergeCell ref="B231:B232"/>
    <mergeCell ref="J231:J232"/>
    <mergeCell ref="K231:K232"/>
    <mergeCell ref="B233:B234"/>
    <mergeCell ref="J233:J234"/>
    <mergeCell ref="K233:K234"/>
    <mergeCell ref="B227:B228"/>
    <mergeCell ref="J227:J228"/>
    <mergeCell ref="K227:K228"/>
    <mergeCell ref="B229:B230"/>
    <mergeCell ref="J229:J230"/>
    <mergeCell ref="K229:K230"/>
    <mergeCell ref="B223:B224"/>
    <mergeCell ref="J223:J224"/>
    <mergeCell ref="K223:K224"/>
    <mergeCell ref="B225:B226"/>
    <mergeCell ref="J225:J226"/>
    <mergeCell ref="K225:K226"/>
    <mergeCell ref="B219:B220"/>
    <mergeCell ref="J219:J220"/>
    <mergeCell ref="K219:K220"/>
    <mergeCell ref="B221:B222"/>
    <mergeCell ref="J221:J222"/>
    <mergeCell ref="K221:K222"/>
    <mergeCell ref="B215:B216"/>
    <mergeCell ref="J215:J216"/>
    <mergeCell ref="K215:K216"/>
    <mergeCell ref="B217:B218"/>
    <mergeCell ref="J217:J218"/>
    <mergeCell ref="K217:K218"/>
    <mergeCell ref="B211:B212"/>
    <mergeCell ref="J211:J212"/>
    <mergeCell ref="K211:K212"/>
    <mergeCell ref="B213:B214"/>
    <mergeCell ref="J213:J214"/>
    <mergeCell ref="K213:K214"/>
    <mergeCell ref="B207:B208"/>
    <mergeCell ref="J207:J208"/>
    <mergeCell ref="K207:K208"/>
    <mergeCell ref="B209:B210"/>
    <mergeCell ref="J209:J210"/>
    <mergeCell ref="K209:K210"/>
    <mergeCell ref="B203:B204"/>
    <mergeCell ref="J203:J204"/>
    <mergeCell ref="K203:K204"/>
    <mergeCell ref="B205:B206"/>
    <mergeCell ref="J205:J206"/>
    <mergeCell ref="K205:K206"/>
    <mergeCell ref="B199:B200"/>
    <mergeCell ref="J199:J200"/>
    <mergeCell ref="K199:K200"/>
    <mergeCell ref="B201:B202"/>
    <mergeCell ref="J201:J202"/>
    <mergeCell ref="K201:K202"/>
    <mergeCell ref="B195:B196"/>
    <mergeCell ref="J195:J196"/>
    <mergeCell ref="K195:K196"/>
    <mergeCell ref="B197:B198"/>
    <mergeCell ref="J197:J198"/>
    <mergeCell ref="K197:K198"/>
    <mergeCell ref="B191:B192"/>
    <mergeCell ref="J191:J192"/>
    <mergeCell ref="K191:K192"/>
    <mergeCell ref="B193:B194"/>
    <mergeCell ref="J193:J194"/>
    <mergeCell ref="K193:K194"/>
    <mergeCell ref="B187:B188"/>
    <mergeCell ref="J187:J188"/>
    <mergeCell ref="K187:K188"/>
    <mergeCell ref="B189:B190"/>
    <mergeCell ref="J189:J190"/>
    <mergeCell ref="K189:K190"/>
    <mergeCell ref="B183:B184"/>
    <mergeCell ref="J183:J184"/>
    <mergeCell ref="K183:K184"/>
    <mergeCell ref="B185:B186"/>
    <mergeCell ref="J185:J186"/>
    <mergeCell ref="K185:K186"/>
    <mergeCell ref="B179:B180"/>
    <mergeCell ref="J179:J180"/>
    <mergeCell ref="K179:K180"/>
    <mergeCell ref="B181:B182"/>
    <mergeCell ref="J181:J182"/>
    <mergeCell ref="K181:K182"/>
    <mergeCell ref="B175:B176"/>
    <mergeCell ref="J175:J176"/>
    <mergeCell ref="K175:K176"/>
    <mergeCell ref="B177:B178"/>
    <mergeCell ref="J177:J178"/>
    <mergeCell ref="K177:K178"/>
    <mergeCell ref="B171:B172"/>
    <mergeCell ref="J171:J172"/>
    <mergeCell ref="K171:K172"/>
    <mergeCell ref="B173:B174"/>
    <mergeCell ref="J173:J174"/>
    <mergeCell ref="K173:K174"/>
    <mergeCell ref="B167:B168"/>
    <mergeCell ref="J167:J168"/>
    <mergeCell ref="K167:K168"/>
    <mergeCell ref="B169:B170"/>
    <mergeCell ref="J169:J170"/>
    <mergeCell ref="K169:K170"/>
    <mergeCell ref="B163:B164"/>
    <mergeCell ref="J163:J164"/>
    <mergeCell ref="K163:K164"/>
    <mergeCell ref="B165:B166"/>
    <mergeCell ref="J165:J166"/>
    <mergeCell ref="K165:K166"/>
    <mergeCell ref="B159:B160"/>
    <mergeCell ref="J159:J160"/>
    <mergeCell ref="K159:K160"/>
    <mergeCell ref="B161:B162"/>
    <mergeCell ref="J161:J162"/>
    <mergeCell ref="K161:K162"/>
    <mergeCell ref="B155:B156"/>
    <mergeCell ref="J155:J156"/>
    <mergeCell ref="K155:K156"/>
    <mergeCell ref="B157:B158"/>
    <mergeCell ref="J157:J158"/>
    <mergeCell ref="K157:K158"/>
    <mergeCell ref="B151:B152"/>
    <mergeCell ref="J151:J152"/>
    <mergeCell ref="K151:K152"/>
    <mergeCell ref="B153:B154"/>
    <mergeCell ref="J153:J154"/>
    <mergeCell ref="K153:K154"/>
    <mergeCell ref="B147:B148"/>
    <mergeCell ref="J147:J148"/>
    <mergeCell ref="K147:K148"/>
    <mergeCell ref="B149:B150"/>
    <mergeCell ref="J149:J150"/>
    <mergeCell ref="K149:K150"/>
    <mergeCell ref="B143:B144"/>
    <mergeCell ref="J143:J144"/>
    <mergeCell ref="K143:K144"/>
    <mergeCell ref="B145:B146"/>
    <mergeCell ref="J145:J146"/>
    <mergeCell ref="K145:K146"/>
    <mergeCell ref="B139:B140"/>
    <mergeCell ref="J139:J140"/>
    <mergeCell ref="K139:K140"/>
    <mergeCell ref="B141:B142"/>
    <mergeCell ref="J141:J142"/>
    <mergeCell ref="K141:K142"/>
    <mergeCell ref="B135:B136"/>
    <mergeCell ref="J135:J136"/>
    <mergeCell ref="K135:K136"/>
    <mergeCell ref="B137:B138"/>
    <mergeCell ref="J137:J138"/>
    <mergeCell ref="K137:K138"/>
    <mergeCell ref="B131:B132"/>
    <mergeCell ref="J131:J132"/>
    <mergeCell ref="K131:K132"/>
    <mergeCell ref="B133:B134"/>
    <mergeCell ref="J133:J134"/>
    <mergeCell ref="K133:K134"/>
    <mergeCell ref="B127:B128"/>
    <mergeCell ref="J127:J128"/>
    <mergeCell ref="K127:K128"/>
    <mergeCell ref="B129:B130"/>
    <mergeCell ref="J129:J130"/>
    <mergeCell ref="K129:K130"/>
    <mergeCell ref="B123:B124"/>
    <mergeCell ref="J123:J124"/>
    <mergeCell ref="K123:K124"/>
    <mergeCell ref="B125:B126"/>
    <mergeCell ref="J125:J126"/>
    <mergeCell ref="K125:K126"/>
    <mergeCell ref="B119:B120"/>
    <mergeCell ref="J119:J120"/>
    <mergeCell ref="K119:K120"/>
    <mergeCell ref="B121:B122"/>
    <mergeCell ref="J121:J122"/>
    <mergeCell ref="K121:K122"/>
    <mergeCell ref="B115:B116"/>
    <mergeCell ref="J115:J116"/>
    <mergeCell ref="K115:K116"/>
    <mergeCell ref="B117:B118"/>
    <mergeCell ref="J117:J118"/>
    <mergeCell ref="K117:K118"/>
    <mergeCell ref="B111:B112"/>
    <mergeCell ref="J111:J112"/>
    <mergeCell ref="K111:K112"/>
    <mergeCell ref="B113:B114"/>
    <mergeCell ref="J113:J114"/>
    <mergeCell ref="K113:K114"/>
    <mergeCell ref="B107:B108"/>
    <mergeCell ref="J107:J108"/>
    <mergeCell ref="K107:K108"/>
    <mergeCell ref="B109:B110"/>
    <mergeCell ref="J109:J110"/>
    <mergeCell ref="K109:K110"/>
    <mergeCell ref="B103:B104"/>
    <mergeCell ref="J103:J104"/>
    <mergeCell ref="K103:K104"/>
    <mergeCell ref="B105:B106"/>
    <mergeCell ref="J105:J106"/>
    <mergeCell ref="K105:K106"/>
    <mergeCell ref="B99:B100"/>
    <mergeCell ref="J99:J100"/>
    <mergeCell ref="K99:K100"/>
    <mergeCell ref="B101:B102"/>
    <mergeCell ref="J101:J102"/>
    <mergeCell ref="K101:K102"/>
    <mergeCell ref="B95:B96"/>
    <mergeCell ref="J95:J96"/>
    <mergeCell ref="K95:K96"/>
    <mergeCell ref="B97:B98"/>
    <mergeCell ref="J97:J98"/>
    <mergeCell ref="K97:K98"/>
    <mergeCell ref="B91:B92"/>
    <mergeCell ref="J91:J92"/>
    <mergeCell ref="K91:K92"/>
    <mergeCell ref="B93:B94"/>
    <mergeCell ref="J93:J94"/>
    <mergeCell ref="K93:K94"/>
    <mergeCell ref="B87:B88"/>
    <mergeCell ref="J87:J88"/>
    <mergeCell ref="K87:K88"/>
    <mergeCell ref="B89:B90"/>
    <mergeCell ref="J89:J90"/>
    <mergeCell ref="K89:K90"/>
    <mergeCell ref="B83:B84"/>
    <mergeCell ref="J83:J84"/>
    <mergeCell ref="K83:K84"/>
    <mergeCell ref="B85:B86"/>
    <mergeCell ref="J85:J86"/>
    <mergeCell ref="K85:K86"/>
    <mergeCell ref="B79:B80"/>
    <mergeCell ref="J79:J80"/>
    <mergeCell ref="K79:K80"/>
    <mergeCell ref="B81:B82"/>
    <mergeCell ref="J81:J82"/>
    <mergeCell ref="K81:K82"/>
    <mergeCell ref="B75:B76"/>
    <mergeCell ref="J75:J76"/>
    <mergeCell ref="K75:K76"/>
    <mergeCell ref="B77:B78"/>
    <mergeCell ref="J77:J78"/>
    <mergeCell ref="K77:K78"/>
    <mergeCell ref="B71:B72"/>
    <mergeCell ref="J71:J72"/>
    <mergeCell ref="K71:K72"/>
    <mergeCell ref="B73:B74"/>
    <mergeCell ref="J73:J74"/>
    <mergeCell ref="K73:K74"/>
    <mergeCell ref="B67:B68"/>
    <mergeCell ref="J67:J68"/>
    <mergeCell ref="K67:K68"/>
    <mergeCell ref="B69:B70"/>
    <mergeCell ref="J69:J70"/>
    <mergeCell ref="K69:K70"/>
    <mergeCell ref="B63:B64"/>
    <mergeCell ref="J63:J64"/>
    <mergeCell ref="K63:K64"/>
    <mergeCell ref="B65:B66"/>
    <mergeCell ref="J65:J66"/>
    <mergeCell ref="K65:K66"/>
    <mergeCell ref="B35:B36"/>
    <mergeCell ref="J35:J36"/>
    <mergeCell ref="K35:K36"/>
    <mergeCell ref="B37:B38"/>
    <mergeCell ref="J37:J38"/>
    <mergeCell ref="K37:K38"/>
    <mergeCell ref="B59:B60"/>
    <mergeCell ref="J59:J60"/>
    <mergeCell ref="K59:K60"/>
    <mergeCell ref="B61:B62"/>
    <mergeCell ref="J61:J62"/>
    <mergeCell ref="K61:K62"/>
    <mergeCell ref="B55:B56"/>
    <mergeCell ref="J55:J56"/>
    <mergeCell ref="K55:K56"/>
    <mergeCell ref="B57:B58"/>
    <mergeCell ref="J57:J58"/>
    <mergeCell ref="K57:K58"/>
    <mergeCell ref="B51:B52"/>
    <mergeCell ref="J51:J52"/>
    <mergeCell ref="K51:K52"/>
    <mergeCell ref="B53:B54"/>
    <mergeCell ref="J53:J54"/>
    <mergeCell ref="K53:K54"/>
    <mergeCell ref="B47:B48"/>
    <mergeCell ref="J47:J48"/>
    <mergeCell ref="K47:K48"/>
    <mergeCell ref="B49:B50"/>
    <mergeCell ref="J49:J50"/>
    <mergeCell ref="K49:K50"/>
    <mergeCell ref="B43:B44"/>
    <mergeCell ref="J43:J44"/>
    <mergeCell ref="B25:B26"/>
    <mergeCell ref="J25:J26"/>
    <mergeCell ref="K25:K26"/>
    <mergeCell ref="B19:B20"/>
    <mergeCell ref="J19:J20"/>
    <mergeCell ref="B7:B8"/>
    <mergeCell ref="J7:J8"/>
    <mergeCell ref="K7:K8"/>
    <mergeCell ref="B9:B10"/>
    <mergeCell ref="J9:J10"/>
    <mergeCell ref="K9:K10"/>
    <mergeCell ref="B45:B46"/>
    <mergeCell ref="J45:J46"/>
    <mergeCell ref="K45:K46"/>
    <mergeCell ref="B39:B40"/>
    <mergeCell ref="J39:J40"/>
    <mergeCell ref="K39:K40"/>
    <mergeCell ref="B41:B42"/>
    <mergeCell ref="J41:J42"/>
    <mergeCell ref="K41:K42"/>
    <mergeCell ref="B31:B32"/>
    <mergeCell ref="J31:J32"/>
    <mergeCell ref="K31:K32"/>
    <mergeCell ref="B33:B34"/>
    <mergeCell ref="J33:J34"/>
    <mergeCell ref="K33:K34"/>
    <mergeCell ref="B27:B28"/>
    <mergeCell ref="J27:J28"/>
    <mergeCell ref="K27:K28"/>
    <mergeCell ref="B29:B30"/>
    <mergeCell ref="J29:J30"/>
    <mergeCell ref="K29:K30"/>
    <mergeCell ref="B3:B4"/>
    <mergeCell ref="B5:B6"/>
    <mergeCell ref="B15:B16"/>
    <mergeCell ref="J15:J16"/>
    <mergeCell ref="K15:K16"/>
    <mergeCell ref="B17:B18"/>
    <mergeCell ref="J17:J18"/>
    <mergeCell ref="K17:K18"/>
    <mergeCell ref="B21:B22"/>
    <mergeCell ref="J21:J22"/>
    <mergeCell ref="B11:B12"/>
    <mergeCell ref="J11:J12"/>
    <mergeCell ref="K11:K12"/>
    <mergeCell ref="B13:B14"/>
    <mergeCell ref="J13:J14"/>
    <mergeCell ref="K13:K14"/>
    <mergeCell ref="B23:B24"/>
    <mergeCell ref="J23:J24"/>
    <mergeCell ref="K23:K24"/>
  </mergeCells>
  <conditionalFormatting sqref="I3">
    <cfRule type="expression" dxfId="902" priority="685">
      <formula>I3=I4</formula>
    </cfRule>
  </conditionalFormatting>
  <conditionalFormatting sqref="I4">
    <cfRule type="expression" dxfId="901" priority="680">
      <formula>I4=I3</formula>
    </cfRule>
  </conditionalFormatting>
  <conditionalFormatting sqref="I5">
    <cfRule type="expression" dxfId="900" priority="675">
      <formula>I5=I6</formula>
    </cfRule>
  </conditionalFormatting>
  <conditionalFormatting sqref="I6">
    <cfRule type="expression" dxfId="899" priority="674">
      <formula>I6=I5</formula>
    </cfRule>
  </conditionalFormatting>
  <conditionalFormatting sqref="I7">
    <cfRule type="expression" dxfId="898" priority="673">
      <formula>I7=I8</formula>
    </cfRule>
  </conditionalFormatting>
  <conditionalFormatting sqref="I8">
    <cfRule type="expression" dxfId="897" priority="672">
      <formula>I8=I7</formula>
    </cfRule>
  </conditionalFormatting>
  <conditionalFormatting sqref="I9">
    <cfRule type="expression" dxfId="896" priority="671">
      <formula>I9=I10</formula>
    </cfRule>
  </conditionalFormatting>
  <conditionalFormatting sqref="I10">
    <cfRule type="expression" dxfId="895" priority="670">
      <formula>I10=I9</formula>
    </cfRule>
  </conditionalFormatting>
  <conditionalFormatting sqref="I11">
    <cfRule type="expression" dxfId="894" priority="669">
      <formula>I11=I12</formula>
    </cfRule>
  </conditionalFormatting>
  <conditionalFormatting sqref="I12">
    <cfRule type="expression" dxfId="893" priority="668">
      <formula>I12=I11</formula>
    </cfRule>
  </conditionalFormatting>
  <conditionalFormatting sqref="I13">
    <cfRule type="expression" dxfId="892" priority="667">
      <formula>I13=I14</formula>
    </cfRule>
  </conditionalFormatting>
  <conditionalFormatting sqref="I14">
    <cfRule type="expression" dxfId="891" priority="666">
      <formula>I14=I13</formula>
    </cfRule>
  </conditionalFormatting>
  <conditionalFormatting sqref="I15">
    <cfRule type="expression" dxfId="890" priority="665">
      <formula>I15=I16</formula>
    </cfRule>
  </conditionalFormatting>
  <conditionalFormatting sqref="I16">
    <cfRule type="expression" dxfId="889" priority="664">
      <formula>I16=I15</formula>
    </cfRule>
  </conditionalFormatting>
  <conditionalFormatting sqref="I17">
    <cfRule type="expression" dxfId="888" priority="663">
      <formula>I17=I18</formula>
    </cfRule>
  </conditionalFormatting>
  <conditionalFormatting sqref="I18">
    <cfRule type="expression" dxfId="887" priority="662">
      <formula>I18=I17</formula>
    </cfRule>
  </conditionalFormatting>
  <conditionalFormatting sqref="I19">
    <cfRule type="expression" dxfId="886" priority="661">
      <formula>I19=I20</formula>
    </cfRule>
  </conditionalFormatting>
  <conditionalFormatting sqref="I20">
    <cfRule type="expression" dxfId="885" priority="660">
      <formula>I20=I19</formula>
    </cfRule>
  </conditionalFormatting>
  <conditionalFormatting sqref="I21">
    <cfRule type="expression" dxfId="884" priority="659">
      <formula>I21=I22</formula>
    </cfRule>
  </conditionalFormatting>
  <conditionalFormatting sqref="I22">
    <cfRule type="expression" dxfId="883" priority="658">
      <formula>I22=I21</formula>
    </cfRule>
  </conditionalFormatting>
  <conditionalFormatting sqref="I23">
    <cfRule type="expression" dxfId="882" priority="657">
      <formula>I23=I24</formula>
    </cfRule>
  </conditionalFormatting>
  <conditionalFormatting sqref="I24">
    <cfRule type="expression" dxfId="881" priority="656">
      <formula>I24=I23</formula>
    </cfRule>
  </conditionalFormatting>
  <conditionalFormatting sqref="I25">
    <cfRule type="expression" dxfId="880" priority="655">
      <formula>I25=I26</formula>
    </cfRule>
  </conditionalFormatting>
  <conditionalFormatting sqref="I26">
    <cfRule type="expression" dxfId="879" priority="654">
      <formula>I26=I25</formula>
    </cfRule>
  </conditionalFormatting>
  <conditionalFormatting sqref="I27">
    <cfRule type="expression" dxfId="878" priority="653">
      <formula>I27=I28</formula>
    </cfRule>
  </conditionalFormatting>
  <conditionalFormatting sqref="I28">
    <cfRule type="expression" dxfId="877" priority="652">
      <formula>I28=I27</formula>
    </cfRule>
  </conditionalFormatting>
  <conditionalFormatting sqref="I29">
    <cfRule type="expression" dxfId="876" priority="651">
      <formula>I29=I30</formula>
    </cfRule>
  </conditionalFormatting>
  <conditionalFormatting sqref="I30">
    <cfRule type="expression" dxfId="875" priority="650">
      <formula>I30=I29</formula>
    </cfRule>
  </conditionalFormatting>
  <conditionalFormatting sqref="I31">
    <cfRule type="expression" dxfId="874" priority="649">
      <formula>I31=I32</formula>
    </cfRule>
  </conditionalFormatting>
  <conditionalFormatting sqref="I32">
    <cfRule type="expression" dxfId="873" priority="648">
      <formula>I32=I31</formula>
    </cfRule>
  </conditionalFormatting>
  <conditionalFormatting sqref="I33">
    <cfRule type="expression" dxfId="872" priority="647">
      <formula>I33=I34</formula>
    </cfRule>
  </conditionalFormatting>
  <conditionalFormatting sqref="I34">
    <cfRule type="expression" dxfId="871" priority="646">
      <formula>I34=I33</formula>
    </cfRule>
  </conditionalFormatting>
  <conditionalFormatting sqref="I35">
    <cfRule type="expression" dxfId="870" priority="645">
      <formula>I35=I36</formula>
    </cfRule>
  </conditionalFormatting>
  <conditionalFormatting sqref="I36">
    <cfRule type="expression" dxfId="869" priority="644">
      <formula>I36=I35</formula>
    </cfRule>
  </conditionalFormatting>
  <conditionalFormatting sqref="I37">
    <cfRule type="expression" dxfId="868" priority="643">
      <formula>I37=I38</formula>
    </cfRule>
  </conditionalFormatting>
  <conditionalFormatting sqref="I38">
    <cfRule type="expression" dxfId="867" priority="642">
      <formula>I38=I37</formula>
    </cfRule>
  </conditionalFormatting>
  <conditionalFormatting sqref="I39">
    <cfRule type="expression" dxfId="866" priority="641">
      <formula>I39=I40</formula>
    </cfRule>
  </conditionalFormatting>
  <conditionalFormatting sqref="I40">
    <cfRule type="expression" dxfId="865" priority="640">
      <formula>I40=I39</formula>
    </cfRule>
  </conditionalFormatting>
  <conditionalFormatting sqref="I41">
    <cfRule type="expression" dxfId="864" priority="639">
      <formula>I41=I42</formula>
    </cfRule>
  </conditionalFormatting>
  <conditionalFormatting sqref="I42">
    <cfRule type="expression" dxfId="863" priority="638">
      <formula>I42=I41</formula>
    </cfRule>
  </conditionalFormatting>
  <conditionalFormatting sqref="I43">
    <cfRule type="expression" dxfId="862" priority="637">
      <formula>I43=I44</formula>
    </cfRule>
  </conditionalFormatting>
  <conditionalFormatting sqref="I44">
    <cfRule type="expression" dxfId="861" priority="636">
      <formula>I44=I43</formula>
    </cfRule>
  </conditionalFormatting>
  <conditionalFormatting sqref="I45">
    <cfRule type="expression" dxfId="860" priority="635">
      <formula>I45=I46</formula>
    </cfRule>
  </conditionalFormatting>
  <conditionalFormatting sqref="I46">
    <cfRule type="expression" dxfId="859" priority="634">
      <formula>I46=I45</formula>
    </cfRule>
  </conditionalFormatting>
  <conditionalFormatting sqref="I47">
    <cfRule type="expression" dxfId="858" priority="633">
      <formula>I47=I48</formula>
    </cfRule>
  </conditionalFormatting>
  <conditionalFormatting sqref="I48">
    <cfRule type="expression" dxfId="857" priority="632">
      <formula>I48=I47</formula>
    </cfRule>
  </conditionalFormatting>
  <conditionalFormatting sqref="I49">
    <cfRule type="expression" dxfId="856" priority="631">
      <formula>I49=I50</formula>
    </cfRule>
  </conditionalFormatting>
  <conditionalFormatting sqref="I50">
    <cfRule type="expression" dxfId="855" priority="630">
      <formula>I50=I49</formula>
    </cfRule>
  </conditionalFormatting>
  <conditionalFormatting sqref="I51">
    <cfRule type="expression" dxfId="854" priority="629">
      <formula>I51=I52</formula>
    </cfRule>
  </conditionalFormatting>
  <conditionalFormatting sqref="I52">
    <cfRule type="expression" dxfId="853" priority="628">
      <formula>I52=I51</formula>
    </cfRule>
  </conditionalFormatting>
  <conditionalFormatting sqref="I53">
    <cfRule type="expression" dxfId="852" priority="627">
      <formula>I53=I54</formula>
    </cfRule>
  </conditionalFormatting>
  <conditionalFormatting sqref="I54">
    <cfRule type="expression" dxfId="851" priority="626">
      <formula>I54=I53</formula>
    </cfRule>
  </conditionalFormatting>
  <conditionalFormatting sqref="I55">
    <cfRule type="expression" dxfId="850" priority="625">
      <formula>I55=I56</formula>
    </cfRule>
  </conditionalFormatting>
  <conditionalFormatting sqref="I56">
    <cfRule type="expression" dxfId="849" priority="624">
      <formula>I56=I55</formula>
    </cfRule>
  </conditionalFormatting>
  <conditionalFormatting sqref="I57">
    <cfRule type="expression" dxfId="848" priority="623">
      <formula>I57=I58</formula>
    </cfRule>
  </conditionalFormatting>
  <conditionalFormatting sqref="I58">
    <cfRule type="expression" dxfId="847" priority="622">
      <formula>I58=I57</formula>
    </cfRule>
  </conditionalFormatting>
  <conditionalFormatting sqref="I59">
    <cfRule type="expression" dxfId="846" priority="621">
      <formula>I59=I60</formula>
    </cfRule>
  </conditionalFormatting>
  <conditionalFormatting sqref="I60">
    <cfRule type="expression" dxfId="845" priority="620">
      <formula>I60=I59</formula>
    </cfRule>
  </conditionalFormatting>
  <conditionalFormatting sqref="I61">
    <cfRule type="expression" dxfId="844" priority="619">
      <formula>I61=I62</formula>
    </cfRule>
  </conditionalFormatting>
  <conditionalFormatting sqref="I62">
    <cfRule type="expression" dxfId="843" priority="618">
      <formula>I62=I61</formula>
    </cfRule>
  </conditionalFormatting>
  <conditionalFormatting sqref="I63">
    <cfRule type="expression" dxfId="842" priority="617">
      <formula>I63=I64</formula>
    </cfRule>
  </conditionalFormatting>
  <conditionalFormatting sqref="I64">
    <cfRule type="expression" dxfId="841" priority="616">
      <formula>I64=I63</formula>
    </cfRule>
  </conditionalFormatting>
  <conditionalFormatting sqref="I65">
    <cfRule type="expression" dxfId="840" priority="615">
      <formula>I65=I66</formula>
    </cfRule>
  </conditionalFormatting>
  <conditionalFormatting sqref="I66">
    <cfRule type="expression" dxfId="839" priority="614">
      <formula>I66=I65</formula>
    </cfRule>
  </conditionalFormatting>
  <conditionalFormatting sqref="I67">
    <cfRule type="expression" dxfId="838" priority="613">
      <formula>I67=I68</formula>
    </cfRule>
  </conditionalFormatting>
  <conditionalFormatting sqref="I68">
    <cfRule type="expression" dxfId="837" priority="612">
      <formula>I68=I67</formula>
    </cfRule>
  </conditionalFormatting>
  <conditionalFormatting sqref="I69">
    <cfRule type="expression" dxfId="836" priority="611">
      <formula>I69=I70</formula>
    </cfRule>
  </conditionalFormatting>
  <conditionalFormatting sqref="I70">
    <cfRule type="expression" dxfId="835" priority="610">
      <formula>I70=I69</formula>
    </cfRule>
  </conditionalFormatting>
  <conditionalFormatting sqref="I71">
    <cfRule type="expression" dxfId="834" priority="609">
      <formula>I71=I72</formula>
    </cfRule>
  </conditionalFormatting>
  <conditionalFormatting sqref="I72">
    <cfRule type="expression" dxfId="833" priority="608">
      <formula>I72=I71</formula>
    </cfRule>
  </conditionalFormatting>
  <conditionalFormatting sqref="I73">
    <cfRule type="expression" dxfId="832" priority="607">
      <formula>I73=I74</formula>
    </cfRule>
  </conditionalFormatting>
  <conditionalFormatting sqref="I74">
    <cfRule type="expression" dxfId="831" priority="606">
      <formula>I74=I73</formula>
    </cfRule>
  </conditionalFormatting>
  <conditionalFormatting sqref="I75">
    <cfRule type="expression" dxfId="830" priority="605">
      <formula>I75=I76</formula>
    </cfRule>
  </conditionalFormatting>
  <conditionalFormatting sqref="I76">
    <cfRule type="expression" dxfId="829" priority="604">
      <formula>I76=I75</formula>
    </cfRule>
  </conditionalFormatting>
  <conditionalFormatting sqref="I77">
    <cfRule type="expression" dxfId="828" priority="603">
      <formula>I77=I78</formula>
    </cfRule>
  </conditionalFormatting>
  <conditionalFormatting sqref="I78">
    <cfRule type="expression" dxfId="827" priority="602">
      <formula>I78=I77</formula>
    </cfRule>
  </conditionalFormatting>
  <conditionalFormatting sqref="I79">
    <cfRule type="expression" dxfId="826" priority="601">
      <formula>I79=I80</formula>
    </cfRule>
  </conditionalFormatting>
  <conditionalFormatting sqref="I80">
    <cfRule type="expression" dxfId="825" priority="600">
      <formula>I80=I79</formula>
    </cfRule>
  </conditionalFormatting>
  <conditionalFormatting sqref="I81">
    <cfRule type="expression" dxfId="824" priority="599">
      <formula>I81=I82</formula>
    </cfRule>
  </conditionalFormatting>
  <conditionalFormatting sqref="I82">
    <cfRule type="expression" dxfId="823" priority="598">
      <formula>I82=I81</formula>
    </cfRule>
  </conditionalFormatting>
  <conditionalFormatting sqref="I83">
    <cfRule type="expression" dxfId="822" priority="597">
      <formula>I83=I84</formula>
    </cfRule>
  </conditionalFormatting>
  <conditionalFormatting sqref="I84">
    <cfRule type="expression" dxfId="821" priority="596">
      <formula>I84=I83</formula>
    </cfRule>
  </conditionalFormatting>
  <conditionalFormatting sqref="I85">
    <cfRule type="expression" dxfId="820" priority="595">
      <formula>I85=I86</formula>
    </cfRule>
  </conditionalFormatting>
  <conditionalFormatting sqref="I86">
    <cfRule type="expression" dxfId="819" priority="594">
      <formula>I86=I85</formula>
    </cfRule>
  </conditionalFormatting>
  <conditionalFormatting sqref="I87">
    <cfRule type="expression" dxfId="818" priority="593">
      <formula>I87=I88</formula>
    </cfRule>
  </conditionalFormatting>
  <conditionalFormatting sqref="I88">
    <cfRule type="expression" dxfId="817" priority="592">
      <formula>I88=I87</formula>
    </cfRule>
  </conditionalFormatting>
  <conditionalFormatting sqref="I89">
    <cfRule type="expression" dxfId="816" priority="591">
      <formula>I89=I90</formula>
    </cfRule>
  </conditionalFormatting>
  <conditionalFormatting sqref="I90">
    <cfRule type="expression" dxfId="815" priority="590">
      <formula>I90=I89</formula>
    </cfRule>
  </conditionalFormatting>
  <conditionalFormatting sqref="I91">
    <cfRule type="expression" dxfId="814" priority="589">
      <formula>I91=I92</formula>
    </cfRule>
  </conditionalFormatting>
  <conditionalFormatting sqref="I92">
    <cfRule type="expression" dxfId="813" priority="588">
      <formula>I92=I91</formula>
    </cfRule>
  </conditionalFormatting>
  <conditionalFormatting sqref="I93">
    <cfRule type="expression" dxfId="812" priority="587">
      <formula>I93=I94</formula>
    </cfRule>
  </conditionalFormatting>
  <conditionalFormatting sqref="I94">
    <cfRule type="expression" dxfId="811" priority="586">
      <formula>I94=I93</formula>
    </cfRule>
  </conditionalFormatting>
  <conditionalFormatting sqref="I95">
    <cfRule type="expression" dxfId="810" priority="585">
      <formula>I95=I96</formula>
    </cfRule>
  </conditionalFormatting>
  <conditionalFormatting sqref="I96">
    <cfRule type="expression" dxfId="809" priority="584">
      <formula>I96=I95</formula>
    </cfRule>
  </conditionalFormatting>
  <conditionalFormatting sqref="I97">
    <cfRule type="expression" dxfId="808" priority="583">
      <formula>I97=I98</formula>
    </cfRule>
  </conditionalFormatting>
  <conditionalFormatting sqref="I98">
    <cfRule type="expression" dxfId="807" priority="582">
      <formula>I98=I97</formula>
    </cfRule>
  </conditionalFormatting>
  <conditionalFormatting sqref="I99">
    <cfRule type="expression" dxfId="806" priority="581">
      <formula>I99=I100</formula>
    </cfRule>
  </conditionalFormatting>
  <conditionalFormatting sqref="I100">
    <cfRule type="expression" dxfId="805" priority="580">
      <formula>I100=I99</formula>
    </cfRule>
  </conditionalFormatting>
  <conditionalFormatting sqref="I101">
    <cfRule type="expression" dxfId="804" priority="579">
      <formula>I101=I102</formula>
    </cfRule>
  </conditionalFormatting>
  <conditionalFormatting sqref="I102">
    <cfRule type="expression" dxfId="803" priority="578">
      <formula>I102=I101</formula>
    </cfRule>
  </conditionalFormatting>
  <conditionalFormatting sqref="I103">
    <cfRule type="expression" dxfId="802" priority="577">
      <formula>I103=I104</formula>
    </cfRule>
  </conditionalFormatting>
  <conditionalFormatting sqref="I104">
    <cfRule type="expression" dxfId="801" priority="576">
      <formula>I104=I103</formula>
    </cfRule>
  </conditionalFormatting>
  <conditionalFormatting sqref="I105">
    <cfRule type="expression" dxfId="800" priority="575">
      <formula>I105=I106</formula>
    </cfRule>
  </conditionalFormatting>
  <conditionalFormatting sqref="I106">
    <cfRule type="expression" dxfId="799" priority="574">
      <formula>I106=I105</formula>
    </cfRule>
  </conditionalFormatting>
  <conditionalFormatting sqref="I107">
    <cfRule type="expression" dxfId="798" priority="573">
      <formula>I107=I108</formula>
    </cfRule>
  </conditionalFormatting>
  <conditionalFormatting sqref="I108">
    <cfRule type="expression" dxfId="797" priority="572">
      <formula>I108=I107</formula>
    </cfRule>
  </conditionalFormatting>
  <conditionalFormatting sqref="I109">
    <cfRule type="expression" dxfId="796" priority="571">
      <formula>I109=I110</formula>
    </cfRule>
  </conditionalFormatting>
  <conditionalFormatting sqref="I110">
    <cfRule type="expression" dxfId="795" priority="570">
      <formula>I110=I109</formula>
    </cfRule>
  </conditionalFormatting>
  <conditionalFormatting sqref="I111">
    <cfRule type="expression" dxfId="794" priority="569">
      <formula>I111=I112</formula>
    </cfRule>
  </conditionalFormatting>
  <conditionalFormatting sqref="I112">
    <cfRule type="expression" dxfId="793" priority="568">
      <formula>I112=I111</formula>
    </cfRule>
  </conditionalFormatting>
  <conditionalFormatting sqref="I113">
    <cfRule type="expression" dxfId="792" priority="567">
      <formula>I113=I114</formula>
    </cfRule>
  </conditionalFormatting>
  <conditionalFormatting sqref="I114">
    <cfRule type="expression" dxfId="791" priority="566">
      <formula>I114=I113</formula>
    </cfRule>
  </conditionalFormatting>
  <conditionalFormatting sqref="I115">
    <cfRule type="expression" dxfId="790" priority="565">
      <formula>I115=I116</formula>
    </cfRule>
  </conditionalFormatting>
  <conditionalFormatting sqref="I116">
    <cfRule type="expression" dxfId="789" priority="564">
      <formula>I116=I115</formula>
    </cfRule>
  </conditionalFormatting>
  <conditionalFormatting sqref="I117">
    <cfRule type="expression" dxfId="788" priority="563">
      <formula>I117=I118</formula>
    </cfRule>
  </conditionalFormatting>
  <conditionalFormatting sqref="I118">
    <cfRule type="expression" dxfId="787" priority="562">
      <formula>I118=I117</formula>
    </cfRule>
  </conditionalFormatting>
  <conditionalFormatting sqref="I119">
    <cfRule type="expression" dxfId="786" priority="561">
      <formula>I119=I120</formula>
    </cfRule>
  </conditionalFormatting>
  <conditionalFormatting sqref="I120">
    <cfRule type="expression" dxfId="785" priority="560">
      <formula>I120=I119</formula>
    </cfRule>
  </conditionalFormatting>
  <conditionalFormatting sqref="I121">
    <cfRule type="expression" dxfId="784" priority="559">
      <formula>I121=I122</formula>
    </cfRule>
  </conditionalFormatting>
  <conditionalFormatting sqref="I122">
    <cfRule type="expression" dxfId="783" priority="558">
      <formula>I122=I121</formula>
    </cfRule>
  </conditionalFormatting>
  <conditionalFormatting sqref="I123">
    <cfRule type="expression" dxfId="782" priority="557">
      <formula>I123=I124</formula>
    </cfRule>
  </conditionalFormatting>
  <conditionalFormatting sqref="I124">
    <cfRule type="expression" dxfId="781" priority="556">
      <formula>I124=I123</formula>
    </cfRule>
  </conditionalFormatting>
  <conditionalFormatting sqref="I125">
    <cfRule type="expression" dxfId="780" priority="555">
      <formula>I125=I126</formula>
    </cfRule>
  </conditionalFormatting>
  <conditionalFormatting sqref="I126">
    <cfRule type="expression" dxfId="779" priority="554">
      <formula>I126=I125</formula>
    </cfRule>
  </conditionalFormatting>
  <conditionalFormatting sqref="I127">
    <cfRule type="expression" dxfId="778" priority="553">
      <formula>I127=I128</formula>
    </cfRule>
  </conditionalFormatting>
  <conditionalFormatting sqref="I128">
    <cfRule type="expression" dxfId="777" priority="552">
      <formula>I128=I127</formula>
    </cfRule>
  </conditionalFormatting>
  <conditionalFormatting sqref="I129">
    <cfRule type="expression" dxfId="776" priority="551">
      <formula>I129=I130</formula>
    </cfRule>
  </conditionalFormatting>
  <conditionalFormatting sqref="I130">
    <cfRule type="expression" dxfId="775" priority="550">
      <formula>I130=I129</formula>
    </cfRule>
  </conditionalFormatting>
  <conditionalFormatting sqref="I131">
    <cfRule type="expression" dxfId="774" priority="549">
      <formula>I131=I132</formula>
    </cfRule>
  </conditionalFormatting>
  <conditionalFormatting sqref="I132">
    <cfRule type="expression" dxfId="773" priority="548">
      <formula>I132=I131</formula>
    </cfRule>
  </conditionalFormatting>
  <conditionalFormatting sqref="I133">
    <cfRule type="expression" dxfId="772" priority="547">
      <formula>I133=I134</formula>
    </cfRule>
  </conditionalFormatting>
  <conditionalFormatting sqref="I134">
    <cfRule type="expression" dxfId="771" priority="546">
      <formula>I134=I133</formula>
    </cfRule>
  </conditionalFormatting>
  <conditionalFormatting sqref="I135">
    <cfRule type="expression" dxfId="770" priority="545">
      <formula>I135=I136</formula>
    </cfRule>
  </conditionalFormatting>
  <conditionalFormatting sqref="I136">
    <cfRule type="expression" dxfId="769" priority="544">
      <formula>I136=I135</formula>
    </cfRule>
  </conditionalFormatting>
  <conditionalFormatting sqref="I137">
    <cfRule type="expression" dxfId="768" priority="543">
      <formula>I137=I138</formula>
    </cfRule>
  </conditionalFormatting>
  <conditionalFormatting sqref="I138">
    <cfRule type="expression" dxfId="767" priority="542">
      <formula>I138=I137</formula>
    </cfRule>
  </conditionalFormatting>
  <conditionalFormatting sqref="I139">
    <cfRule type="expression" dxfId="766" priority="541">
      <formula>I139=I140</formula>
    </cfRule>
  </conditionalFormatting>
  <conditionalFormatting sqref="I140">
    <cfRule type="expression" dxfId="765" priority="540">
      <formula>I140=I139</formula>
    </cfRule>
  </conditionalFormatting>
  <conditionalFormatting sqref="I141">
    <cfRule type="expression" dxfId="764" priority="539">
      <formula>I141=I142</formula>
    </cfRule>
  </conditionalFormatting>
  <conditionalFormatting sqref="I142">
    <cfRule type="expression" dxfId="763" priority="538">
      <formula>I142=I141</formula>
    </cfRule>
  </conditionalFormatting>
  <conditionalFormatting sqref="I143">
    <cfRule type="expression" dxfId="762" priority="537">
      <formula>I143=I144</formula>
    </cfRule>
  </conditionalFormatting>
  <conditionalFormatting sqref="I144">
    <cfRule type="expression" dxfId="761" priority="536">
      <formula>I144=I143</formula>
    </cfRule>
  </conditionalFormatting>
  <conditionalFormatting sqref="I145">
    <cfRule type="expression" dxfId="760" priority="535">
      <formula>I145=I146</formula>
    </cfRule>
  </conditionalFormatting>
  <conditionalFormatting sqref="I146">
    <cfRule type="expression" dxfId="759" priority="534">
      <formula>I146=I145</formula>
    </cfRule>
  </conditionalFormatting>
  <conditionalFormatting sqref="I147">
    <cfRule type="expression" dxfId="758" priority="533">
      <formula>I147=I148</formula>
    </cfRule>
  </conditionalFormatting>
  <conditionalFormatting sqref="I148">
    <cfRule type="expression" dxfId="757" priority="532">
      <formula>I148=I147</formula>
    </cfRule>
  </conditionalFormatting>
  <conditionalFormatting sqref="I149">
    <cfRule type="expression" dxfId="756" priority="531">
      <formula>I149=I150</formula>
    </cfRule>
  </conditionalFormatting>
  <conditionalFormatting sqref="I150">
    <cfRule type="expression" dxfId="755" priority="530">
      <formula>I150=I149</formula>
    </cfRule>
  </conditionalFormatting>
  <conditionalFormatting sqref="I151">
    <cfRule type="expression" dxfId="754" priority="529">
      <formula>I151=I152</formula>
    </cfRule>
  </conditionalFormatting>
  <conditionalFormatting sqref="I152">
    <cfRule type="expression" dxfId="753" priority="528">
      <formula>I152=I151</formula>
    </cfRule>
  </conditionalFormatting>
  <conditionalFormatting sqref="I153">
    <cfRule type="expression" dxfId="752" priority="527">
      <formula>I153=I154</formula>
    </cfRule>
  </conditionalFormatting>
  <conditionalFormatting sqref="I154">
    <cfRule type="expression" dxfId="751" priority="526">
      <formula>I154=I153</formula>
    </cfRule>
  </conditionalFormatting>
  <conditionalFormatting sqref="I155">
    <cfRule type="expression" dxfId="750" priority="525">
      <formula>I155=I156</formula>
    </cfRule>
  </conditionalFormatting>
  <conditionalFormatting sqref="I156">
    <cfRule type="expression" dxfId="749" priority="524">
      <formula>I156=I155</formula>
    </cfRule>
  </conditionalFormatting>
  <conditionalFormatting sqref="I157">
    <cfRule type="expression" dxfId="748" priority="523">
      <formula>I157=I158</formula>
    </cfRule>
  </conditionalFormatting>
  <conditionalFormatting sqref="I158">
    <cfRule type="expression" dxfId="747" priority="522">
      <formula>I158=I157</formula>
    </cfRule>
  </conditionalFormatting>
  <conditionalFormatting sqref="I159">
    <cfRule type="expression" dxfId="746" priority="521">
      <formula>I159=I160</formula>
    </cfRule>
  </conditionalFormatting>
  <conditionalFormatting sqref="I160">
    <cfRule type="expression" dxfId="745" priority="520">
      <formula>I160=I159</formula>
    </cfRule>
  </conditionalFormatting>
  <conditionalFormatting sqref="I161">
    <cfRule type="expression" dxfId="744" priority="519">
      <formula>I161=I162</formula>
    </cfRule>
  </conditionalFormatting>
  <conditionalFormatting sqref="I162">
    <cfRule type="expression" dxfId="743" priority="518">
      <formula>I162=I161</formula>
    </cfRule>
  </conditionalFormatting>
  <conditionalFormatting sqref="I163">
    <cfRule type="expression" dxfId="742" priority="517">
      <formula>I163=I164</formula>
    </cfRule>
  </conditionalFormatting>
  <conditionalFormatting sqref="I164">
    <cfRule type="expression" dxfId="741" priority="516">
      <formula>I164=I163</formula>
    </cfRule>
  </conditionalFormatting>
  <conditionalFormatting sqref="I165">
    <cfRule type="expression" dxfId="740" priority="515">
      <formula>I165=I166</formula>
    </cfRule>
  </conditionalFormatting>
  <conditionalFormatting sqref="I166">
    <cfRule type="expression" dxfId="739" priority="514">
      <formula>I166=I165</formula>
    </cfRule>
  </conditionalFormatting>
  <conditionalFormatting sqref="I167">
    <cfRule type="expression" dxfId="738" priority="513">
      <formula>I167=I168</formula>
    </cfRule>
  </conditionalFormatting>
  <conditionalFormatting sqref="I168">
    <cfRule type="expression" dxfId="737" priority="512">
      <formula>I168=I167</formula>
    </cfRule>
  </conditionalFormatting>
  <conditionalFormatting sqref="I169">
    <cfRule type="expression" dxfId="736" priority="511">
      <formula>I169=I170</formula>
    </cfRule>
  </conditionalFormatting>
  <conditionalFormatting sqref="I170">
    <cfRule type="expression" dxfId="735" priority="510">
      <formula>I170=I169</formula>
    </cfRule>
  </conditionalFormatting>
  <conditionalFormatting sqref="I171">
    <cfRule type="expression" dxfId="734" priority="509">
      <formula>I171=I172</formula>
    </cfRule>
  </conditionalFormatting>
  <conditionalFormatting sqref="I172">
    <cfRule type="expression" dxfId="733" priority="508">
      <formula>I172=I171</formula>
    </cfRule>
  </conditionalFormatting>
  <conditionalFormatting sqref="I173">
    <cfRule type="expression" dxfId="732" priority="507">
      <formula>I173=I174</formula>
    </cfRule>
  </conditionalFormatting>
  <conditionalFormatting sqref="I174">
    <cfRule type="expression" dxfId="731" priority="506">
      <formula>I174=I173</formula>
    </cfRule>
  </conditionalFormatting>
  <conditionalFormatting sqref="I175">
    <cfRule type="expression" dxfId="730" priority="505">
      <formula>I175=I176</formula>
    </cfRule>
  </conditionalFormatting>
  <conditionalFormatting sqref="I176">
    <cfRule type="expression" dxfId="729" priority="504">
      <formula>I176=I175</formula>
    </cfRule>
  </conditionalFormatting>
  <conditionalFormatting sqref="I177">
    <cfRule type="expression" dxfId="728" priority="503">
      <formula>I177=I178</formula>
    </cfRule>
  </conditionalFormatting>
  <conditionalFormatting sqref="I178">
    <cfRule type="expression" dxfId="727" priority="502">
      <formula>I178=I177</formula>
    </cfRule>
  </conditionalFormatting>
  <conditionalFormatting sqref="I179">
    <cfRule type="expression" dxfId="726" priority="501">
      <formula>I179=I180</formula>
    </cfRule>
  </conditionalFormatting>
  <conditionalFormatting sqref="I180">
    <cfRule type="expression" dxfId="725" priority="500">
      <formula>I180=I179</formula>
    </cfRule>
  </conditionalFormatting>
  <conditionalFormatting sqref="I181">
    <cfRule type="expression" dxfId="724" priority="499">
      <formula>I181=I182</formula>
    </cfRule>
  </conditionalFormatting>
  <conditionalFormatting sqref="I182">
    <cfRule type="expression" dxfId="723" priority="498">
      <formula>I182=I181</formula>
    </cfRule>
  </conditionalFormatting>
  <conditionalFormatting sqref="I183">
    <cfRule type="expression" dxfId="722" priority="497">
      <formula>I183=I184</formula>
    </cfRule>
  </conditionalFormatting>
  <conditionalFormatting sqref="I184">
    <cfRule type="expression" dxfId="721" priority="496">
      <formula>I184=I183</formula>
    </cfRule>
  </conditionalFormatting>
  <conditionalFormatting sqref="I185">
    <cfRule type="expression" dxfId="720" priority="495">
      <formula>I185=I186</formula>
    </cfRule>
  </conditionalFormatting>
  <conditionalFormatting sqref="I186">
    <cfRule type="expression" dxfId="719" priority="494">
      <formula>I186=I185</formula>
    </cfRule>
  </conditionalFormatting>
  <conditionalFormatting sqref="I187">
    <cfRule type="expression" dxfId="718" priority="493">
      <formula>I187=I188</formula>
    </cfRule>
  </conditionalFormatting>
  <conditionalFormatting sqref="I188">
    <cfRule type="expression" dxfId="717" priority="492">
      <formula>I188=I187</formula>
    </cfRule>
  </conditionalFormatting>
  <conditionalFormatting sqref="I189">
    <cfRule type="expression" dxfId="716" priority="491">
      <formula>I189=I190</formula>
    </cfRule>
  </conditionalFormatting>
  <conditionalFormatting sqref="I190">
    <cfRule type="expression" dxfId="715" priority="490">
      <formula>I190=I189</formula>
    </cfRule>
  </conditionalFormatting>
  <conditionalFormatting sqref="I191">
    <cfRule type="expression" dxfId="714" priority="489">
      <formula>I191=I192</formula>
    </cfRule>
  </conditionalFormatting>
  <conditionalFormatting sqref="I192">
    <cfRule type="expression" dxfId="713" priority="488">
      <formula>I192=I191</formula>
    </cfRule>
  </conditionalFormatting>
  <conditionalFormatting sqref="I193">
    <cfRule type="expression" dxfId="712" priority="487">
      <formula>I193=I194</formula>
    </cfRule>
  </conditionalFormatting>
  <conditionalFormatting sqref="I194">
    <cfRule type="expression" dxfId="711" priority="486">
      <formula>I194=I193</formula>
    </cfRule>
  </conditionalFormatting>
  <conditionalFormatting sqref="I195">
    <cfRule type="expression" dxfId="710" priority="485">
      <formula>I195=I196</formula>
    </cfRule>
  </conditionalFormatting>
  <conditionalFormatting sqref="I196">
    <cfRule type="expression" dxfId="709" priority="484">
      <formula>I196=I195</formula>
    </cfRule>
  </conditionalFormatting>
  <conditionalFormatting sqref="I197">
    <cfRule type="expression" dxfId="708" priority="483">
      <formula>I197=I198</formula>
    </cfRule>
  </conditionalFormatting>
  <conditionalFormatting sqref="I198">
    <cfRule type="expression" dxfId="707" priority="482">
      <formula>I198=I197</formula>
    </cfRule>
  </conditionalFormatting>
  <conditionalFormatting sqref="I199">
    <cfRule type="expression" dxfId="706" priority="481">
      <formula>I199=I200</formula>
    </cfRule>
  </conditionalFormatting>
  <conditionalFormatting sqref="I200">
    <cfRule type="expression" dxfId="705" priority="480">
      <formula>I200=I199</formula>
    </cfRule>
  </conditionalFormatting>
  <conditionalFormatting sqref="I201">
    <cfRule type="expression" dxfId="704" priority="479">
      <formula>I201=I202</formula>
    </cfRule>
  </conditionalFormatting>
  <conditionalFormatting sqref="I202">
    <cfRule type="expression" dxfId="703" priority="478">
      <formula>I202=I201</formula>
    </cfRule>
  </conditionalFormatting>
  <conditionalFormatting sqref="I203">
    <cfRule type="expression" dxfId="702" priority="477">
      <formula>I203=I204</formula>
    </cfRule>
  </conditionalFormatting>
  <conditionalFormatting sqref="I204">
    <cfRule type="expression" dxfId="701" priority="476">
      <formula>I204=I203</formula>
    </cfRule>
  </conditionalFormatting>
  <conditionalFormatting sqref="I205">
    <cfRule type="expression" dxfId="700" priority="475">
      <formula>I205=I206</formula>
    </cfRule>
  </conditionalFormatting>
  <conditionalFormatting sqref="I206">
    <cfRule type="expression" dxfId="699" priority="474">
      <formula>I206=I205</formula>
    </cfRule>
  </conditionalFormatting>
  <conditionalFormatting sqref="I207">
    <cfRule type="expression" dxfId="698" priority="473">
      <formula>I207=I208</formula>
    </cfRule>
  </conditionalFormatting>
  <conditionalFormatting sqref="I208">
    <cfRule type="expression" dxfId="697" priority="472">
      <formula>I208=I207</formula>
    </cfRule>
  </conditionalFormatting>
  <conditionalFormatting sqref="I209">
    <cfRule type="expression" dxfId="696" priority="471">
      <formula>I209=I210</formula>
    </cfRule>
  </conditionalFormatting>
  <conditionalFormatting sqref="I210">
    <cfRule type="expression" dxfId="695" priority="470">
      <formula>I210=I209</formula>
    </cfRule>
  </conditionalFormatting>
  <conditionalFormatting sqref="I211">
    <cfRule type="expression" dxfId="694" priority="469">
      <formula>I211=I212</formula>
    </cfRule>
  </conditionalFormatting>
  <conditionalFormatting sqref="I212">
    <cfRule type="expression" dxfId="693" priority="468">
      <formula>I212=I211</formula>
    </cfRule>
  </conditionalFormatting>
  <conditionalFormatting sqref="I213">
    <cfRule type="expression" dxfId="692" priority="467">
      <formula>I213=I214</formula>
    </cfRule>
  </conditionalFormatting>
  <conditionalFormatting sqref="I214">
    <cfRule type="expression" dxfId="691" priority="466">
      <formula>I214=I213</formula>
    </cfRule>
  </conditionalFormatting>
  <conditionalFormatting sqref="I215">
    <cfRule type="expression" dxfId="690" priority="465">
      <formula>I215=I216</formula>
    </cfRule>
  </conditionalFormatting>
  <conditionalFormatting sqref="I216">
    <cfRule type="expression" dxfId="689" priority="464">
      <formula>I216=I215</formula>
    </cfRule>
  </conditionalFormatting>
  <conditionalFormatting sqref="I217">
    <cfRule type="expression" dxfId="688" priority="463">
      <formula>I217=I218</formula>
    </cfRule>
  </conditionalFormatting>
  <conditionalFormatting sqref="I218">
    <cfRule type="expression" dxfId="687" priority="462">
      <formula>I218=I217</formula>
    </cfRule>
  </conditionalFormatting>
  <conditionalFormatting sqref="I219">
    <cfRule type="expression" dxfId="686" priority="461">
      <formula>I219=I220</formula>
    </cfRule>
  </conditionalFormatting>
  <conditionalFormatting sqref="I220">
    <cfRule type="expression" dxfId="685" priority="460">
      <formula>I220=I219</formula>
    </cfRule>
  </conditionalFormatting>
  <conditionalFormatting sqref="I221">
    <cfRule type="expression" dxfId="684" priority="459">
      <formula>I221=I222</formula>
    </cfRule>
  </conditionalFormatting>
  <conditionalFormatting sqref="I222">
    <cfRule type="expression" dxfId="683" priority="458">
      <formula>I222=I221</formula>
    </cfRule>
  </conditionalFormatting>
  <conditionalFormatting sqref="I223">
    <cfRule type="expression" dxfId="682" priority="457">
      <formula>I223=I224</formula>
    </cfRule>
  </conditionalFormatting>
  <conditionalFormatting sqref="I224">
    <cfRule type="expression" dxfId="681" priority="456">
      <formula>I224=I223</formula>
    </cfRule>
  </conditionalFormatting>
  <conditionalFormatting sqref="I225">
    <cfRule type="expression" dxfId="680" priority="455">
      <formula>I225=I226</formula>
    </cfRule>
  </conditionalFormatting>
  <conditionalFormatting sqref="I226">
    <cfRule type="expression" dxfId="679" priority="454">
      <formula>I226=I225</formula>
    </cfRule>
  </conditionalFormatting>
  <conditionalFormatting sqref="I227">
    <cfRule type="expression" dxfId="678" priority="453">
      <formula>I227=I228</formula>
    </cfRule>
  </conditionalFormatting>
  <conditionalFormatting sqref="I228">
    <cfRule type="expression" dxfId="677" priority="452">
      <formula>I228=I227</formula>
    </cfRule>
  </conditionalFormatting>
  <conditionalFormatting sqref="I229">
    <cfRule type="expression" dxfId="676" priority="451">
      <formula>I229=I230</formula>
    </cfRule>
  </conditionalFormatting>
  <conditionalFormatting sqref="I230">
    <cfRule type="expression" dxfId="675" priority="450">
      <formula>I230=I229</formula>
    </cfRule>
  </conditionalFormatting>
  <conditionalFormatting sqref="I231">
    <cfRule type="expression" dxfId="674" priority="449">
      <formula>I231=I232</formula>
    </cfRule>
  </conditionalFormatting>
  <conditionalFormatting sqref="I232">
    <cfRule type="expression" dxfId="673" priority="448">
      <formula>I232=I231</formula>
    </cfRule>
  </conditionalFormatting>
  <conditionalFormatting sqref="I233">
    <cfRule type="expression" dxfId="672" priority="447">
      <formula>I233=I234</formula>
    </cfRule>
  </conditionalFormatting>
  <conditionalFormatting sqref="I234">
    <cfRule type="expression" dxfId="671" priority="446">
      <formula>I234=I233</formula>
    </cfRule>
  </conditionalFormatting>
  <conditionalFormatting sqref="I235">
    <cfRule type="expression" dxfId="670" priority="445">
      <formula>I235=I236</formula>
    </cfRule>
  </conditionalFormatting>
  <conditionalFormatting sqref="I236">
    <cfRule type="expression" dxfId="669" priority="444">
      <formula>I236=I235</formula>
    </cfRule>
  </conditionalFormatting>
  <conditionalFormatting sqref="I237">
    <cfRule type="expression" dxfId="668" priority="443">
      <formula>I237=I238</formula>
    </cfRule>
  </conditionalFormatting>
  <conditionalFormatting sqref="I238">
    <cfRule type="expression" dxfId="667" priority="442">
      <formula>I238=I237</formula>
    </cfRule>
  </conditionalFormatting>
  <conditionalFormatting sqref="I239">
    <cfRule type="expression" dxfId="666" priority="441">
      <formula>I239=I240</formula>
    </cfRule>
  </conditionalFormatting>
  <conditionalFormatting sqref="I240">
    <cfRule type="expression" dxfId="665" priority="440">
      <formula>I240=I239</formula>
    </cfRule>
  </conditionalFormatting>
  <conditionalFormatting sqref="I241">
    <cfRule type="expression" dxfId="664" priority="439">
      <formula>I241=I242</formula>
    </cfRule>
  </conditionalFormatting>
  <conditionalFormatting sqref="I242">
    <cfRule type="expression" dxfId="663" priority="438">
      <formula>I242=I241</formula>
    </cfRule>
  </conditionalFormatting>
  <conditionalFormatting sqref="I243">
    <cfRule type="expression" dxfId="662" priority="437">
      <formula>I243=I244</formula>
    </cfRule>
  </conditionalFormatting>
  <conditionalFormatting sqref="I244">
    <cfRule type="expression" dxfId="661" priority="436">
      <formula>I244=I243</formula>
    </cfRule>
  </conditionalFormatting>
  <conditionalFormatting sqref="I245">
    <cfRule type="expression" dxfId="660" priority="435">
      <formula>I245=I246</formula>
    </cfRule>
  </conditionalFormatting>
  <conditionalFormatting sqref="I246">
    <cfRule type="expression" dxfId="659" priority="434">
      <formula>I246=I245</formula>
    </cfRule>
  </conditionalFormatting>
  <conditionalFormatting sqref="I247">
    <cfRule type="expression" dxfId="658" priority="433">
      <formula>I247=I248</formula>
    </cfRule>
  </conditionalFormatting>
  <conditionalFormatting sqref="I248">
    <cfRule type="expression" dxfId="657" priority="432">
      <formula>I248=I247</formula>
    </cfRule>
  </conditionalFormatting>
  <conditionalFormatting sqref="I249">
    <cfRule type="expression" dxfId="656" priority="431">
      <formula>I249=I250</formula>
    </cfRule>
  </conditionalFormatting>
  <conditionalFormatting sqref="I250">
    <cfRule type="expression" dxfId="655" priority="430">
      <formula>I250=I249</formula>
    </cfRule>
  </conditionalFormatting>
  <conditionalFormatting sqref="I251">
    <cfRule type="expression" dxfId="654" priority="429">
      <formula>I251=I252</formula>
    </cfRule>
  </conditionalFormatting>
  <conditionalFormatting sqref="I252">
    <cfRule type="expression" dxfId="653" priority="428">
      <formula>I252=I251</formula>
    </cfRule>
  </conditionalFormatting>
  <conditionalFormatting sqref="I253">
    <cfRule type="expression" dxfId="652" priority="427">
      <formula>I253=I254</formula>
    </cfRule>
  </conditionalFormatting>
  <conditionalFormatting sqref="I254">
    <cfRule type="expression" dxfId="651" priority="426">
      <formula>I254=I253</formula>
    </cfRule>
  </conditionalFormatting>
  <conditionalFormatting sqref="I255">
    <cfRule type="expression" dxfId="650" priority="425">
      <formula>I255=I256</formula>
    </cfRule>
  </conditionalFormatting>
  <conditionalFormatting sqref="I256">
    <cfRule type="expression" dxfId="649" priority="424">
      <formula>I256=I255</formula>
    </cfRule>
  </conditionalFormatting>
  <conditionalFormatting sqref="I257">
    <cfRule type="expression" dxfId="648" priority="423">
      <formula>I257=I258</formula>
    </cfRule>
  </conditionalFormatting>
  <conditionalFormatting sqref="I258">
    <cfRule type="expression" dxfId="647" priority="422">
      <formula>I258=I257</formula>
    </cfRule>
  </conditionalFormatting>
  <conditionalFormatting sqref="I259">
    <cfRule type="expression" dxfId="646" priority="421">
      <formula>I259=I260</formula>
    </cfRule>
  </conditionalFormatting>
  <conditionalFormatting sqref="I260">
    <cfRule type="expression" dxfId="645" priority="420">
      <formula>I260=I259</formula>
    </cfRule>
  </conditionalFormatting>
  <conditionalFormatting sqref="I261">
    <cfRule type="expression" dxfId="644" priority="419">
      <formula>I261=I262</formula>
    </cfRule>
  </conditionalFormatting>
  <conditionalFormatting sqref="I262">
    <cfRule type="expression" dxfId="643" priority="418">
      <formula>I262=I261</formula>
    </cfRule>
  </conditionalFormatting>
  <conditionalFormatting sqref="I263">
    <cfRule type="expression" dxfId="642" priority="417">
      <formula>I263=I264</formula>
    </cfRule>
  </conditionalFormatting>
  <conditionalFormatting sqref="I264">
    <cfRule type="expression" dxfId="641" priority="416">
      <formula>I264=I263</formula>
    </cfRule>
  </conditionalFormatting>
  <conditionalFormatting sqref="I265">
    <cfRule type="expression" dxfId="640" priority="415">
      <formula>I265=I266</formula>
    </cfRule>
  </conditionalFormatting>
  <conditionalFormatting sqref="I266">
    <cfRule type="expression" dxfId="639" priority="414">
      <formula>I266=I265</formula>
    </cfRule>
  </conditionalFormatting>
  <conditionalFormatting sqref="I267">
    <cfRule type="expression" dxfId="638" priority="413">
      <formula>I267=I268</formula>
    </cfRule>
  </conditionalFormatting>
  <conditionalFormatting sqref="I268">
    <cfRule type="expression" dxfId="637" priority="412">
      <formula>I268=I267</formula>
    </cfRule>
  </conditionalFormatting>
  <conditionalFormatting sqref="I269">
    <cfRule type="expression" dxfId="636" priority="411">
      <formula>I269=I270</formula>
    </cfRule>
  </conditionalFormatting>
  <conditionalFormatting sqref="I270">
    <cfRule type="expression" dxfId="635" priority="410">
      <formula>I270=I269</formula>
    </cfRule>
  </conditionalFormatting>
  <conditionalFormatting sqref="I271">
    <cfRule type="expression" dxfId="634" priority="409">
      <formula>I271=I272</formula>
    </cfRule>
  </conditionalFormatting>
  <conditionalFormatting sqref="I272">
    <cfRule type="expression" dxfId="633" priority="408">
      <formula>I272=I271</formula>
    </cfRule>
  </conditionalFormatting>
  <conditionalFormatting sqref="I273">
    <cfRule type="expression" dxfId="632" priority="407">
      <formula>I273=I274</formula>
    </cfRule>
  </conditionalFormatting>
  <conditionalFormatting sqref="I274">
    <cfRule type="expression" dxfId="631" priority="406">
      <formula>I274=I273</formula>
    </cfRule>
  </conditionalFormatting>
  <conditionalFormatting sqref="I275">
    <cfRule type="expression" dxfId="630" priority="405">
      <formula>I275=I276</formula>
    </cfRule>
  </conditionalFormatting>
  <conditionalFormatting sqref="I276">
    <cfRule type="expression" dxfId="629" priority="404">
      <formula>I276=I275</formula>
    </cfRule>
  </conditionalFormatting>
  <conditionalFormatting sqref="I277">
    <cfRule type="expression" dxfId="628" priority="403">
      <formula>I277=I278</formula>
    </cfRule>
  </conditionalFormatting>
  <conditionalFormatting sqref="I278">
    <cfRule type="expression" dxfId="627" priority="402">
      <formula>I278=I277</formula>
    </cfRule>
  </conditionalFormatting>
  <conditionalFormatting sqref="I279">
    <cfRule type="expression" dxfId="626" priority="401">
      <formula>I279=I280</formula>
    </cfRule>
  </conditionalFormatting>
  <conditionalFormatting sqref="I280">
    <cfRule type="expression" dxfId="625" priority="400">
      <formula>I280=I279</formula>
    </cfRule>
  </conditionalFormatting>
  <conditionalFormatting sqref="I281">
    <cfRule type="expression" dxfId="624" priority="399">
      <formula>I281=I282</formula>
    </cfRule>
  </conditionalFormatting>
  <conditionalFormatting sqref="I282">
    <cfRule type="expression" dxfId="623" priority="398">
      <formula>I282=I281</formula>
    </cfRule>
  </conditionalFormatting>
  <conditionalFormatting sqref="I283">
    <cfRule type="expression" dxfId="622" priority="397">
      <formula>I283=I284</formula>
    </cfRule>
  </conditionalFormatting>
  <conditionalFormatting sqref="I284">
    <cfRule type="expression" dxfId="621" priority="396">
      <formula>I284=I283</formula>
    </cfRule>
  </conditionalFormatting>
  <conditionalFormatting sqref="I285">
    <cfRule type="expression" dxfId="620" priority="395">
      <formula>I285=I286</formula>
    </cfRule>
  </conditionalFormatting>
  <conditionalFormatting sqref="I286">
    <cfRule type="expression" dxfId="619" priority="394">
      <formula>I286=I285</formula>
    </cfRule>
  </conditionalFormatting>
  <conditionalFormatting sqref="I287">
    <cfRule type="expression" dxfId="618" priority="393">
      <formula>I287=I288</formula>
    </cfRule>
  </conditionalFormatting>
  <conditionalFormatting sqref="I288">
    <cfRule type="expression" dxfId="617" priority="392">
      <formula>I288=I287</formula>
    </cfRule>
  </conditionalFormatting>
  <conditionalFormatting sqref="I289">
    <cfRule type="expression" dxfId="616" priority="391">
      <formula>I289=I290</formula>
    </cfRule>
  </conditionalFormatting>
  <conditionalFormatting sqref="I290">
    <cfRule type="expression" dxfId="615" priority="390">
      <formula>I290=I289</formula>
    </cfRule>
  </conditionalFormatting>
  <conditionalFormatting sqref="I291">
    <cfRule type="expression" dxfId="614" priority="389">
      <formula>I291=I292</formula>
    </cfRule>
  </conditionalFormatting>
  <conditionalFormatting sqref="I292">
    <cfRule type="expression" dxfId="613" priority="388">
      <formula>I292=I291</formula>
    </cfRule>
  </conditionalFormatting>
  <conditionalFormatting sqref="I293">
    <cfRule type="expression" dxfId="612" priority="387">
      <formula>I293=I294</formula>
    </cfRule>
  </conditionalFormatting>
  <conditionalFormatting sqref="I294">
    <cfRule type="expression" dxfId="611" priority="386">
      <formula>I294=I293</formula>
    </cfRule>
  </conditionalFormatting>
  <conditionalFormatting sqref="I295">
    <cfRule type="expression" dxfId="610" priority="385">
      <formula>I295=I296</formula>
    </cfRule>
  </conditionalFormatting>
  <conditionalFormatting sqref="I296">
    <cfRule type="expression" dxfId="609" priority="384">
      <formula>I296=I295</formula>
    </cfRule>
  </conditionalFormatting>
  <conditionalFormatting sqref="I297">
    <cfRule type="expression" dxfId="608" priority="383">
      <formula>I297=I298</formula>
    </cfRule>
  </conditionalFormatting>
  <conditionalFormatting sqref="I298">
    <cfRule type="expression" dxfId="607" priority="382">
      <formula>I298=I297</formula>
    </cfRule>
  </conditionalFormatting>
  <conditionalFormatting sqref="I299">
    <cfRule type="expression" dxfId="606" priority="381">
      <formula>I299=I300</formula>
    </cfRule>
  </conditionalFormatting>
  <conditionalFormatting sqref="I300">
    <cfRule type="expression" dxfId="605" priority="380">
      <formula>I300=I299</formula>
    </cfRule>
  </conditionalFormatting>
  <conditionalFormatting sqref="I301">
    <cfRule type="expression" dxfId="604" priority="379">
      <formula>I301=I302</formula>
    </cfRule>
  </conditionalFormatting>
  <conditionalFormatting sqref="I302">
    <cfRule type="expression" dxfId="603" priority="378">
      <formula>I302=I301</formula>
    </cfRule>
  </conditionalFormatting>
  <conditionalFormatting sqref="I303">
    <cfRule type="expression" dxfId="602" priority="377">
      <formula>I303=I304</formula>
    </cfRule>
  </conditionalFormatting>
  <conditionalFormatting sqref="I304">
    <cfRule type="expression" dxfId="601" priority="376">
      <formula>I304=I303</formula>
    </cfRule>
  </conditionalFormatting>
  <conditionalFormatting sqref="I305">
    <cfRule type="expression" dxfId="600" priority="375">
      <formula>I305=I306</formula>
    </cfRule>
  </conditionalFormatting>
  <conditionalFormatting sqref="I306">
    <cfRule type="expression" dxfId="599" priority="374">
      <formula>I306=I305</formula>
    </cfRule>
  </conditionalFormatting>
  <conditionalFormatting sqref="I307">
    <cfRule type="expression" dxfId="598" priority="373">
      <formula>I307=I308</formula>
    </cfRule>
  </conditionalFormatting>
  <conditionalFormatting sqref="I308">
    <cfRule type="expression" dxfId="597" priority="372">
      <formula>I308=I307</formula>
    </cfRule>
  </conditionalFormatting>
  <conditionalFormatting sqref="I309">
    <cfRule type="expression" dxfId="596" priority="371">
      <formula>I309=I310</formula>
    </cfRule>
  </conditionalFormatting>
  <conditionalFormatting sqref="I310">
    <cfRule type="expression" dxfId="595" priority="370">
      <formula>I310=I309</formula>
    </cfRule>
  </conditionalFormatting>
  <conditionalFormatting sqref="I311">
    <cfRule type="expression" dxfId="594" priority="369">
      <formula>I311=I312</formula>
    </cfRule>
  </conditionalFormatting>
  <conditionalFormatting sqref="I312">
    <cfRule type="expression" dxfId="593" priority="368">
      <formula>I312=I311</formula>
    </cfRule>
  </conditionalFormatting>
  <conditionalFormatting sqref="I313">
    <cfRule type="expression" dxfId="592" priority="367">
      <formula>I313=I314</formula>
    </cfRule>
  </conditionalFormatting>
  <conditionalFormatting sqref="I314">
    <cfRule type="expression" dxfId="591" priority="366">
      <formula>I314=I313</formula>
    </cfRule>
  </conditionalFormatting>
  <conditionalFormatting sqref="I315">
    <cfRule type="expression" dxfId="590" priority="365">
      <formula>I315=I316</formula>
    </cfRule>
  </conditionalFormatting>
  <conditionalFormatting sqref="I316">
    <cfRule type="expression" dxfId="589" priority="364">
      <formula>I316=I315</formula>
    </cfRule>
  </conditionalFormatting>
  <conditionalFormatting sqref="I317">
    <cfRule type="expression" dxfId="588" priority="363">
      <formula>I317=I318</formula>
    </cfRule>
  </conditionalFormatting>
  <conditionalFormatting sqref="I318">
    <cfRule type="expression" dxfId="587" priority="362">
      <formula>I318=I317</formula>
    </cfRule>
  </conditionalFormatting>
  <conditionalFormatting sqref="I319">
    <cfRule type="expression" dxfId="586" priority="361">
      <formula>I319=I320</formula>
    </cfRule>
  </conditionalFormatting>
  <conditionalFormatting sqref="I320">
    <cfRule type="expression" dxfId="585" priority="360">
      <formula>I320=I319</formula>
    </cfRule>
  </conditionalFormatting>
  <conditionalFormatting sqref="I321">
    <cfRule type="expression" dxfId="584" priority="359">
      <formula>I321=I322</formula>
    </cfRule>
  </conditionalFormatting>
  <conditionalFormatting sqref="I322">
    <cfRule type="expression" dxfId="583" priority="358">
      <formula>I322=I321</formula>
    </cfRule>
  </conditionalFormatting>
  <conditionalFormatting sqref="I323">
    <cfRule type="expression" dxfId="582" priority="357">
      <formula>I323=I324</formula>
    </cfRule>
  </conditionalFormatting>
  <conditionalFormatting sqref="I324">
    <cfRule type="expression" dxfId="581" priority="356">
      <formula>I324=I323</formula>
    </cfRule>
  </conditionalFormatting>
  <conditionalFormatting sqref="I325">
    <cfRule type="expression" dxfId="580" priority="355">
      <formula>I325=I326</formula>
    </cfRule>
  </conditionalFormatting>
  <conditionalFormatting sqref="I326">
    <cfRule type="expression" dxfId="579" priority="354">
      <formula>I326=I325</formula>
    </cfRule>
  </conditionalFormatting>
  <conditionalFormatting sqref="I327">
    <cfRule type="expression" dxfId="578" priority="353">
      <formula>I327=I328</formula>
    </cfRule>
  </conditionalFormatting>
  <conditionalFormatting sqref="I328">
    <cfRule type="expression" dxfId="577" priority="352">
      <formula>I328=I327</formula>
    </cfRule>
  </conditionalFormatting>
  <conditionalFormatting sqref="I329">
    <cfRule type="expression" dxfId="576" priority="351">
      <formula>I329=I330</formula>
    </cfRule>
  </conditionalFormatting>
  <conditionalFormatting sqref="I330">
    <cfRule type="expression" dxfId="575" priority="350">
      <formula>I330=I329</formula>
    </cfRule>
  </conditionalFormatting>
  <conditionalFormatting sqref="I331">
    <cfRule type="expression" dxfId="574" priority="349">
      <formula>I331=I332</formula>
    </cfRule>
  </conditionalFormatting>
  <conditionalFormatting sqref="I332">
    <cfRule type="expression" dxfId="573" priority="348">
      <formula>I332=I331</formula>
    </cfRule>
  </conditionalFormatting>
  <conditionalFormatting sqref="I333">
    <cfRule type="expression" dxfId="572" priority="347">
      <formula>I333=I334</formula>
    </cfRule>
  </conditionalFormatting>
  <conditionalFormatting sqref="I334">
    <cfRule type="expression" dxfId="571" priority="346">
      <formula>I334=I333</formula>
    </cfRule>
  </conditionalFormatting>
  <conditionalFormatting sqref="I335">
    <cfRule type="expression" dxfId="570" priority="345">
      <formula>I335=I336</formula>
    </cfRule>
  </conditionalFormatting>
  <conditionalFormatting sqref="I336">
    <cfRule type="expression" dxfId="569" priority="344">
      <formula>I336=I335</formula>
    </cfRule>
  </conditionalFormatting>
  <conditionalFormatting sqref="I337">
    <cfRule type="expression" dxfId="568" priority="343">
      <formula>I337=I338</formula>
    </cfRule>
  </conditionalFormatting>
  <conditionalFormatting sqref="I338">
    <cfRule type="expression" dxfId="567" priority="342">
      <formula>I338=I337</formula>
    </cfRule>
  </conditionalFormatting>
  <conditionalFormatting sqref="I339">
    <cfRule type="expression" dxfId="566" priority="341">
      <formula>I339=I340</formula>
    </cfRule>
  </conditionalFormatting>
  <conditionalFormatting sqref="I340">
    <cfRule type="expression" dxfId="565" priority="340">
      <formula>I340=I339</formula>
    </cfRule>
  </conditionalFormatting>
  <conditionalFormatting sqref="I341">
    <cfRule type="expression" dxfId="564" priority="339">
      <formula>I341=I342</formula>
    </cfRule>
  </conditionalFormatting>
  <conditionalFormatting sqref="I342">
    <cfRule type="expression" dxfId="563" priority="338">
      <formula>I342=I341</formula>
    </cfRule>
  </conditionalFormatting>
  <conditionalFormatting sqref="I343">
    <cfRule type="expression" dxfId="562" priority="337">
      <formula>I343=I344</formula>
    </cfRule>
  </conditionalFormatting>
  <conditionalFormatting sqref="I344">
    <cfRule type="expression" dxfId="561" priority="336">
      <formula>I344=I343</formula>
    </cfRule>
  </conditionalFormatting>
  <conditionalFormatting sqref="I345">
    <cfRule type="expression" dxfId="560" priority="335">
      <formula>I345=I346</formula>
    </cfRule>
  </conditionalFormatting>
  <conditionalFormatting sqref="I346">
    <cfRule type="expression" dxfId="559" priority="334">
      <formula>I346=I345</formula>
    </cfRule>
  </conditionalFormatting>
  <conditionalFormatting sqref="I347">
    <cfRule type="expression" dxfId="558" priority="333">
      <formula>I347=I348</formula>
    </cfRule>
  </conditionalFormatting>
  <conditionalFormatting sqref="I348">
    <cfRule type="expression" dxfId="557" priority="332">
      <formula>I348=I347</formula>
    </cfRule>
  </conditionalFormatting>
  <conditionalFormatting sqref="I349">
    <cfRule type="expression" dxfId="556" priority="331">
      <formula>I349=I350</formula>
    </cfRule>
  </conditionalFormatting>
  <conditionalFormatting sqref="I350">
    <cfRule type="expression" dxfId="555" priority="330">
      <formula>I350=I349</formula>
    </cfRule>
  </conditionalFormatting>
  <conditionalFormatting sqref="I351">
    <cfRule type="expression" dxfId="554" priority="329">
      <formula>I351=I352</formula>
    </cfRule>
  </conditionalFormatting>
  <conditionalFormatting sqref="I352">
    <cfRule type="expression" dxfId="553" priority="328">
      <formula>I352=I351</formula>
    </cfRule>
  </conditionalFormatting>
  <conditionalFormatting sqref="I353">
    <cfRule type="expression" dxfId="552" priority="327">
      <formula>I353=I354</formula>
    </cfRule>
  </conditionalFormatting>
  <conditionalFormatting sqref="I354">
    <cfRule type="expression" dxfId="551" priority="326">
      <formula>I354=I353</formula>
    </cfRule>
  </conditionalFormatting>
  <conditionalFormatting sqref="I355">
    <cfRule type="expression" dxfId="550" priority="325">
      <formula>I355=I356</formula>
    </cfRule>
  </conditionalFormatting>
  <conditionalFormatting sqref="I356">
    <cfRule type="expression" dxfId="549" priority="324">
      <formula>I356=I355</formula>
    </cfRule>
  </conditionalFormatting>
  <conditionalFormatting sqref="I357">
    <cfRule type="expression" dxfId="548" priority="323">
      <formula>I357=I358</formula>
    </cfRule>
  </conditionalFormatting>
  <conditionalFormatting sqref="I358">
    <cfRule type="expression" dxfId="547" priority="322">
      <formula>I358=I357</formula>
    </cfRule>
  </conditionalFormatting>
  <conditionalFormatting sqref="I359">
    <cfRule type="expression" dxfId="546" priority="321">
      <formula>I359=I360</formula>
    </cfRule>
  </conditionalFormatting>
  <conditionalFormatting sqref="I360">
    <cfRule type="expression" dxfId="545" priority="320">
      <formula>I360=I359</formula>
    </cfRule>
  </conditionalFormatting>
  <conditionalFormatting sqref="I361">
    <cfRule type="expression" dxfId="544" priority="319">
      <formula>I361=I362</formula>
    </cfRule>
  </conditionalFormatting>
  <conditionalFormatting sqref="I362">
    <cfRule type="expression" dxfId="543" priority="318">
      <formula>I362=I361</formula>
    </cfRule>
  </conditionalFormatting>
  <conditionalFormatting sqref="I363">
    <cfRule type="expression" dxfId="542" priority="317">
      <formula>I363=I364</formula>
    </cfRule>
  </conditionalFormatting>
  <conditionalFormatting sqref="I364">
    <cfRule type="expression" dxfId="541" priority="316">
      <formula>I364=I363</formula>
    </cfRule>
  </conditionalFormatting>
  <conditionalFormatting sqref="I365">
    <cfRule type="expression" dxfId="540" priority="315">
      <formula>I365=I366</formula>
    </cfRule>
  </conditionalFormatting>
  <conditionalFormatting sqref="I366">
    <cfRule type="expression" dxfId="539" priority="314">
      <formula>I366=I365</formula>
    </cfRule>
  </conditionalFormatting>
  <conditionalFormatting sqref="I367">
    <cfRule type="expression" dxfId="538" priority="313">
      <formula>I367=I368</formula>
    </cfRule>
  </conditionalFormatting>
  <conditionalFormatting sqref="I368">
    <cfRule type="expression" dxfId="537" priority="312">
      <formula>I368=I367</formula>
    </cfRule>
  </conditionalFormatting>
  <conditionalFormatting sqref="I369">
    <cfRule type="expression" dxfId="536" priority="311">
      <formula>I369=I370</formula>
    </cfRule>
  </conditionalFormatting>
  <conditionalFormatting sqref="I370">
    <cfRule type="expression" dxfId="535" priority="310">
      <formula>I370=I369</formula>
    </cfRule>
  </conditionalFormatting>
  <conditionalFormatting sqref="I371">
    <cfRule type="expression" dxfId="534" priority="309">
      <formula>I371=I372</formula>
    </cfRule>
  </conditionalFormatting>
  <conditionalFormatting sqref="I372">
    <cfRule type="expression" dxfId="533" priority="308">
      <formula>I372=I371</formula>
    </cfRule>
  </conditionalFormatting>
  <conditionalFormatting sqref="I373">
    <cfRule type="expression" dxfId="532" priority="307">
      <formula>I373=I374</formula>
    </cfRule>
  </conditionalFormatting>
  <conditionalFormatting sqref="I374">
    <cfRule type="expression" dxfId="531" priority="306">
      <formula>I374=I373</formula>
    </cfRule>
  </conditionalFormatting>
  <conditionalFormatting sqref="I375">
    <cfRule type="expression" dxfId="530" priority="305">
      <formula>I375=I376</formula>
    </cfRule>
  </conditionalFormatting>
  <conditionalFormatting sqref="I376">
    <cfRule type="expression" dxfId="529" priority="304">
      <formula>I376=I375</formula>
    </cfRule>
  </conditionalFormatting>
  <conditionalFormatting sqref="I377">
    <cfRule type="expression" dxfId="528" priority="303">
      <formula>I377=I378</formula>
    </cfRule>
  </conditionalFormatting>
  <conditionalFormatting sqref="I378">
    <cfRule type="expression" dxfId="527" priority="302">
      <formula>I378=I377</formula>
    </cfRule>
  </conditionalFormatting>
  <conditionalFormatting sqref="I379">
    <cfRule type="expression" dxfId="526" priority="301">
      <formula>I379=I380</formula>
    </cfRule>
  </conditionalFormatting>
  <conditionalFormatting sqref="I380">
    <cfRule type="expression" dxfId="525" priority="300">
      <formula>I380=I379</formula>
    </cfRule>
  </conditionalFormatting>
  <conditionalFormatting sqref="I381">
    <cfRule type="expression" dxfId="524" priority="299">
      <formula>I381=I382</formula>
    </cfRule>
  </conditionalFormatting>
  <conditionalFormatting sqref="I382">
    <cfRule type="expression" dxfId="523" priority="298">
      <formula>I382=I381</formula>
    </cfRule>
  </conditionalFormatting>
  <conditionalFormatting sqref="I383">
    <cfRule type="expression" dxfId="522" priority="297">
      <formula>I383=I384</formula>
    </cfRule>
  </conditionalFormatting>
  <conditionalFormatting sqref="I384">
    <cfRule type="expression" dxfId="521" priority="296">
      <formula>I384=I383</formula>
    </cfRule>
  </conditionalFormatting>
  <conditionalFormatting sqref="I385">
    <cfRule type="expression" dxfId="520" priority="295">
      <formula>I385=I386</formula>
    </cfRule>
  </conditionalFormatting>
  <conditionalFormatting sqref="I386">
    <cfRule type="expression" dxfId="519" priority="294">
      <formula>I386=I385</formula>
    </cfRule>
  </conditionalFormatting>
  <conditionalFormatting sqref="I387">
    <cfRule type="expression" dxfId="518" priority="293">
      <formula>I387=I388</formula>
    </cfRule>
  </conditionalFormatting>
  <conditionalFormatting sqref="I388">
    <cfRule type="expression" dxfId="517" priority="292">
      <formula>I388=I387</formula>
    </cfRule>
  </conditionalFormatting>
  <conditionalFormatting sqref="I389">
    <cfRule type="expression" dxfId="516" priority="291">
      <formula>I389=I390</formula>
    </cfRule>
  </conditionalFormatting>
  <conditionalFormatting sqref="I390">
    <cfRule type="expression" dxfId="515" priority="290">
      <formula>I390=I389</formula>
    </cfRule>
  </conditionalFormatting>
  <conditionalFormatting sqref="I391">
    <cfRule type="expression" dxfId="514" priority="289">
      <formula>I391=I392</formula>
    </cfRule>
  </conditionalFormatting>
  <conditionalFormatting sqref="I392">
    <cfRule type="expression" dxfId="513" priority="288">
      <formula>I392=I391</formula>
    </cfRule>
  </conditionalFormatting>
  <conditionalFormatting sqref="I393">
    <cfRule type="expression" dxfId="512" priority="287">
      <formula>I393=I394</formula>
    </cfRule>
  </conditionalFormatting>
  <conditionalFormatting sqref="I394">
    <cfRule type="expression" dxfId="511" priority="286">
      <formula>I394=I393</formula>
    </cfRule>
  </conditionalFormatting>
  <conditionalFormatting sqref="I395">
    <cfRule type="expression" dxfId="510" priority="285">
      <formula>I395=I396</formula>
    </cfRule>
  </conditionalFormatting>
  <conditionalFormatting sqref="I396">
    <cfRule type="expression" dxfId="509" priority="284">
      <formula>I396=I395</formula>
    </cfRule>
  </conditionalFormatting>
  <conditionalFormatting sqref="I397">
    <cfRule type="expression" dxfId="508" priority="283">
      <formula>I397=I398</formula>
    </cfRule>
  </conditionalFormatting>
  <conditionalFormatting sqref="I398">
    <cfRule type="expression" dxfId="507" priority="282">
      <formula>I398=I397</formula>
    </cfRule>
  </conditionalFormatting>
  <conditionalFormatting sqref="I399">
    <cfRule type="expression" dxfId="506" priority="281">
      <formula>I399=I400</formula>
    </cfRule>
  </conditionalFormatting>
  <conditionalFormatting sqref="I400">
    <cfRule type="expression" dxfId="505" priority="280">
      <formula>I400=I399</formula>
    </cfRule>
  </conditionalFormatting>
  <conditionalFormatting sqref="I401">
    <cfRule type="expression" dxfId="504" priority="279">
      <formula>I401=I402</formula>
    </cfRule>
  </conditionalFormatting>
  <conditionalFormatting sqref="I402">
    <cfRule type="expression" dxfId="503" priority="278">
      <formula>I402=I401</formula>
    </cfRule>
  </conditionalFormatting>
  <conditionalFormatting sqref="I403">
    <cfRule type="expression" dxfId="502" priority="277">
      <formula>I403=I404</formula>
    </cfRule>
  </conditionalFormatting>
  <conditionalFormatting sqref="I404">
    <cfRule type="expression" dxfId="501" priority="276">
      <formula>I404=I403</formula>
    </cfRule>
  </conditionalFormatting>
  <conditionalFormatting sqref="I405">
    <cfRule type="expression" dxfId="500" priority="275">
      <formula>I405=I406</formula>
    </cfRule>
  </conditionalFormatting>
  <conditionalFormatting sqref="I406">
    <cfRule type="expression" dxfId="499" priority="274">
      <formula>I406=I405</formula>
    </cfRule>
  </conditionalFormatting>
  <conditionalFormatting sqref="I407">
    <cfRule type="expression" dxfId="498" priority="273">
      <formula>I407=I408</formula>
    </cfRule>
  </conditionalFormatting>
  <conditionalFormatting sqref="I408">
    <cfRule type="expression" dxfId="497" priority="272">
      <formula>I408=I407</formula>
    </cfRule>
  </conditionalFormatting>
  <conditionalFormatting sqref="I409">
    <cfRule type="expression" dxfId="496" priority="271">
      <formula>I409=I410</formula>
    </cfRule>
  </conditionalFormatting>
  <conditionalFormatting sqref="I410">
    <cfRule type="expression" dxfId="495" priority="270">
      <formula>I410=I409</formula>
    </cfRule>
  </conditionalFormatting>
  <conditionalFormatting sqref="I411">
    <cfRule type="expression" dxfId="494" priority="269">
      <formula>I411=I412</formula>
    </cfRule>
  </conditionalFormatting>
  <conditionalFormatting sqref="I412">
    <cfRule type="expression" dxfId="493" priority="268">
      <formula>I412=I411</formula>
    </cfRule>
  </conditionalFormatting>
  <conditionalFormatting sqref="I413">
    <cfRule type="expression" dxfId="492" priority="267">
      <formula>I413=I414</formula>
    </cfRule>
  </conditionalFormatting>
  <conditionalFormatting sqref="I414">
    <cfRule type="expression" dxfId="491" priority="266">
      <formula>I414=I413</formula>
    </cfRule>
  </conditionalFormatting>
  <conditionalFormatting sqref="I415">
    <cfRule type="expression" dxfId="490" priority="265">
      <formula>I415=I416</formula>
    </cfRule>
  </conditionalFormatting>
  <conditionalFormatting sqref="I416">
    <cfRule type="expression" dxfId="489" priority="264">
      <formula>I416=I415</formula>
    </cfRule>
  </conditionalFormatting>
  <conditionalFormatting sqref="I417">
    <cfRule type="expression" dxfId="488" priority="263">
      <formula>I417=I418</formula>
    </cfRule>
  </conditionalFormatting>
  <conditionalFormatting sqref="I418">
    <cfRule type="expression" dxfId="487" priority="262">
      <formula>I418=I417</formula>
    </cfRule>
  </conditionalFormatting>
  <conditionalFormatting sqref="I419">
    <cfRule type="expression" dxfId="486" priority="261">
      <formula>I419=I420</formula>
    </cfRule>
  </conditionalFormatting>
  <conditionalFormatting sqref="I420">
    <cfRule type="expression" dxfId="485" priority="260">
      <formula>I420=I419</formula>
    </cfRule>
  </conditionalFormatting>
  <conditionalFormatting sqref="I421">
    <cfRule type="expression" dxfId="484" priority="259">
      <formula>I421=I422</formula>
    </cfRule>
  </conditionalFormatting>
  <conditionalFormatting sqref="I422">
    <cfRule type="expression" dxfId="483" priority="258">
      <formula>I422=I421</formula>
    </cfRule>
  </conditionalFormatting>
  <conditionalFormatting sqref="I423">
    <cfRule type="expression" dxfId="482" priority="257">
      <formula>I423=I424</formula>
    </cfRule>
  </conditionalFormatting>
  <conditionalFormatting sqref="I424">
    <cfRule type="expression" dxfId="481" priority="256">
      <formula>I424=I423</formula>
    </cfRule>
  </conditionalFormatting>
  <conditionalFormatting sqref="I425">
    <cfRule type="expression" dxfId="480" priority="255">
      <formula>I425=I426</formula>
    </cfRule>
  </conditionalFormatting>
  <conditionalFormatting sqref="I426">
    <cfRule type="expression" dxfId="479" priority="254">
      <formula>I426=I425</formula>
    </cfRule>
  </conditionalFormatting>
  <conditionalFormatting sqref="I427">
    <cfRule type="expression" dxfId="478" priority="253">
      <formula>I427=I428</formula>
    </cfRule>
  </conditionalFormatting>
  <conditionalFormatting sqref="I428">
    <cfRule type="expression" dxfId="477" priority="252">
      <formula>I428=I427</formula>
    </cfRule>
  </conditionalFormatting>
  <conditionalFormatting sqref="I429">
    <cfRule type="expression" dxfId="476" priority="251">
      <formula>I429=I430</formula>
    </cfRule>
  </conditionalFormatting>
  <conditionalFormatting sqref="I430">
    <cfRule type="expression" dxfId="475" priority="250">
      <formula>I430=I429</formula>
    </cfRule>
  </conditionalFormatting>
  <conditionalFormatting sqref="I431">
    <cfRule type="expression" dxfId="474" priority="249">
      <formula>I431=I432</formula>
    </cfRule>
  </conditionalFormatting>
  <conditionalFormatting sqref="I432">
    <cfRule type="expression" dxfId="473" priority="248">
      <formula>I432=I431</formula>
    </cfRule>
  </conditionalFormatting>
  <conditionalFormatting sqref="I433">
    <cfRule type="expression" dxfId="472" priority="247">
      <formula>I433=I434</formula>
    </cfRule>
  </conditionalFormatting>
  <conditionalFormatting sqref="I434">
    <cfRule type="expression" dxfId="471" priority="246">
      <formula>I434=I433</formula>
    </cfRule>
  </conditionalFormatting>
  <conditionalFormatting sqref="I435">
    <cfRule type="expression" dxfId="470" priority="245">
      <formula>I435=I436</formula>
    </cfRule>
  </conditionalFormatting>
  <conditionalFormatting sqref="I436">
    <cfRule type="expression" dxfId="469" priority="244">
      <formula>I436=I435</formula>
    </cfRule>
  </conditionalFormatting>
  <conditionalFormatting sqref="I437">
    <cfRule type="expression" dxfId="468" priority="243">
      <formula>I437=I438</formula>
    </cfRule>
  </conditionalFormatting>
  <conditionalFormatting sqref="I438">
    <cfRule type="expression" dxfId="467" priority="242">
      <formula>I438=I437</formula>
    </cfRule>
  </conditionalFormatting>
  <conditionalFormatting sqref="I439">
    <cfRule type="expression" dxfId="466" priority="241">
      <formula>I439=I440</formula>
    </cfRule>
  </conditionalFormatting>
  <conditionalFormatting sqref="I440">
    <cfRule type="expression" dxfId="465" priority="240">
      <formula>I440=I439</formula>
    </cfRule>
  </conditionalFormatting>
  <conditionalFormatting sqref="I441">
    <cfRule type="expression" dxfId="464" priority="239">
      <formula>I441=I442</formula>
    </cfRule>
  </conditionalFormatting>
  <conditionalFormatting sqref="I442">
    <cfRule type="expression" dxfId="463" priority="238">
      <formula>I442=I441</formula>
    </cfRule>
  </conditionalFormatting>
  <conditionalFormatting sqref="I443">
    <cfRule type="expression" dxfId="462" priority="237">
      <formula>I443=I444</formula>
    </cfRule>
  </conditionalFormatting>
  <conditionalFormatting sqref="I444">
    <cfRule type="expression" dxfId="461" priority="236">
      <formula>I444=I443</formula>
    </cfRule>
  </conditionalFormatting>
  <conditionalFormatting sqref="I445">
    <cfRule type="expression" dxfId="460" priority="235">
      <formula>I445=I446</formula>
    </cfRule>
  </conditionalFormatting>
  <conditionalFormatting sqref="I446">
    <cfRule type="expression" dxfId="459" priority="234">
      <formula>I446=I445</formula>
    </cfRule>
  </conditionalFormatting>
  <conditionalFormatting sqref="I447">
    <cfRule type="expression" dxfId="458" priority="233">
      <formula>I447=I448</formula>
    </cfRule>
  </conditionalFormatting>
  <conditionalFormatting sqref="I448">
    <cfRule type="expression" dxfId="457" priority="232">
      <formula>I448=I447</formula>
    </cfRule>
  </conditionalFormatting>
  <conditionalFormatting sqref="I449">
    <cfRule type="expression" dxfId="456" priority="231">
      <formula>I449=I450</formula>
    </cfRule>
  </conditionalFormatting>
  <conditionalFormatting sqref="I450">
    <cfRule type="expression" dxfId="455" priority="230">
      <formula>I450=I449</formula>
    </cfRule>
  </conditionalFormatting>
  <conditionalFormatting sqref="I451">
    <cfRule type="expression" dxfId="454" priority="229">
      <formula>I451=I452</formula>
    </cfRule>
  </conditionalFormatting>
  <conditionalFormatting sqref="I452">
    <cfRule type="expression" dxfId="453" priority="228">
      <formula>I452=I451</formula>
    </cfRule>
  </conditionalFormatting>
  <conditionalFormatting sqref="I453">
    <cfRule type="expression" dxfId="452" priority="227">
      <formula>I453=I454</formula>
    </cfRule>
  </conditionalFormatting>
  <conditionalFormatting sqref="I454">
    <cfRule type="expression" dxfId="451" priority="226">
      <formula>I454=I453</formula>
    </cfRule>
  </conditionalFormatting>
  <conditionalFormatting sqref="I455">
    <cfRule type="expression" dxfId="450" priority="225">
      <formula>I455=I456</formula>
    </cfRule>
  </conditionalFormatting>
  <conditionalFormatting sqref="I456">
    <cfRule type="expression" dxfId="449" priority="224">
      <formula>I456=I455</formula>
    </cfRule>
  </conditionalFormatting>
  <conditionalFormatting sqref="I457">
    <cfRule type="expression" dxfId="448" priority="223">
      <formula>I457=I458</formula>
    </cfRule>
  </conditionalFormatting>
  <conditionalFormatting sqref="I458">
    <cfRule type="expression" dxfId="447" priority="222">
      <formula>I458=I457</formula>
    </cfRule>
  </conditionalFormatting>
  <conditionalFormatting sqref="I459">
    <cfRule type="expression" dxfId="446" priority="221">
      <formula>I459=I460</formula>
    </cfRule>
  </conditionalFormatting>
  <conditionalFormatting sqref="I460">
    <cfRule type="expression" dxfId="445" priority="220">
      <formula>I460=I459</formula>
    </cfRule>
  </conditionalFormatting>
  <conditionalFormatting sqref="I461">
    <cfRule type="expression" dxfId="444" priority="219">
      <formula>I461=I462</formula>
    </cfRule>
  </conditionalFormatting>
  <conditionalFormatting sqref="I462">
    <cfRule type="expression" dxfId="443" priority="218">
      <formula>I462=I461</formula>
    </cfRule>
  </conditionalFormatting>
  <conditionalFormatting sqref="I463">
    <cfRule type="expression" dxfId="442" priority="217">
      <formula>I463=I464</formula>
    </cfRule>
  </conditionalFormatting>
  <conditionalFormatting sqref="I464">
    <cfRule type="expression" dxfId="441" priority="216">
      <formula>I464=I463</formula>
    </cfRule>
  </conditionalFormatting>
  <conditionalFormatting sqref="I465">
    <cfRule type="expression" dxfId="440" priority="215">
      <formula>I465=I466</formula>
    </cfRule>
  </conditionalFormatting>
  <conditionalFormatting sqref="I466">
    <cfRule type="expression" dxfId="439" priority="214">
      <formula>I466=I465</formula>
    </cfRule>
  </conditionalFormatting>
  <conditionalFormatting sqref="I467">
    <cfRule type="expression" dxfId="438" priority="213">
      <formula>I467=I468</formula>
    </cfRule>
  </conditionalFormatting>
  <conditionalFormatting sqref="I468">
    <cfRule type="expression" dxfId="437" priority="212">
      <formula>I468=I467</formula>
    </cfRule>
  </conditionalFormatting>
  <conditionalFormatting sqref="I469">
    <cfRule type="expression" dxfId="436" priority="211">
      <formula>I469=I470</formula>
    </cfRule>
  </conditionalFormatting>
  <conditionalFormatting sqref="I470">
    <cfRule type="expression" dxfId="435" priority="210">
      <formula>I470=I469</formula>
    </cfRule>
  </conditionalFormatting>
  <conditionalFormatting sqref="I471">
    <cfRule type="expression" dxfId="434" priority="209">
      <formula>I471=I472</formula>
    </cfRule>
  </conditionalFormatting>
  <conditionalFormatting sqref="I472">
    <cfRule type="expression" dxfId="433" priority="208">
      <formula>I472=I471</formula>
    </cfRule>
  </conditionalFormatting>
  <conditionalFormatting sqref="I473">
    <cfRule type="expression" dxfId="432" priority="207">
      <formula>I473=I474</formula>
    </cfRule>
  </conditionalFormatting>
  <conditionalFormatting sqref="I474">
    <cfRule type="expression" dxfId="431" priority="206">
      <formula>I474=I473</formula>
    </cfRule>
  </conditionalFormatting>
  <conditionalFormatting sqref="I475">
    <cfRule type="expression" dxfId="430" priority="205">
      <formula>I475=I476</formula>
    </cfRule>
  </conditionalFormatting>
  <conditionalFormatting sqref="I476">
    <cfRule type="expression" dxfId="429" priority="204">
      <formula>I476=I475</formula>
    </cfRule>
  </conditionalFormatting>
  <conditionalFormatting sqref="I477">
    <cfRule type="expression" dxfId="428" priority="203">
      <formula>I477=I478</formula>
    </cfRule>
  </conditionalFormatting>
  <conditionalFormatting sqref="I478">
    <cfRule type="expression" dxfId="427" priority="202">
      <formula>I478=I477</formula>
    </cfRule>
  </conditionalFormatting>
  <conditionalFormatting sqref="I479">
    <cfRule type="expression" dxfId="426" priority="201">
      <formula>I479=I480</formula>
    </cfRule>
  </conditionalFormatting>
  <conditionalFormatting sqref="I480">
    <cfRule type="expression" dxfId="425" priority="200">
      <formula>I480=I479</formula>
    </cfRule>
  </conditionalFormatting>
  <conditionalFormatting sqref="I481">
    <cfRule type="expression" dxfId="424" priority="199">
      <formula>I481=I482</formula>
    </cfRule>
  </conditionalFormatting>
  <conditionalFormatting sqref="I482">
    <cfRule type="expression" dxfId="423" priority="198">
      <formula>I482=I481</formula>
    </cfRule>
  </conditionalFormatting>
  <conditionalFormatting sqref="I483">
    <cfRule type="expression" dxfId="422" priority="197">
      <formula>I483=I484</formula>
    </cfRule>
  </conditionalFormatting>
  <conditionalFormatting sqref="I484">
    <cfRule type="expression" dxfId="421" priority="196">
      <formula>I484=I483</formula>
    </cfRule>
  </conditionalFormatting>
  <conditionalFormatting sqref="I485">
    <cfRule type="expression" dxfId="420" priority="195">
      <formula>I485=I486</formula>
    </cfRule>
  </conditionalFormatting>
  <conditionalFormatting sqref="I486">
    <cfRule type="expression" dxfId="419" priority="194">
      <formula>I486=I485</formula>
    </cfRule>
  </conditionalFormatting>
  <conditionalFormatting sqref="I487">
    <cfRule type="expression" dxfId="418" priority="193">
      <formula>I487=I488</formula>
    </cfRule>
  </conditionalFormatting>
  <conditionalFormatting sqref="I488">
    <cfRule type="expression" dxfId="417" priority="192">
      <formula>I488=I487</formula>
    </cfRule>
  </conditionalFormatting>
  <conditionalFormatting sqref="I489">
    <cfRule type="expression" dxfId="416" priority="191">
      <formula>I489=I490</formula>
    </cfRule>
  </conditionalFormatting>
  <conditionalFormatting sqref="I490">
    <cfRule type="expression" dxfId="415" priority="190">
      <formula>I490=I489</formula>
    </cfRule>
  </conditionalFormatting>
  <conditionalFormatting sqref="I491">
    <cfRule type="expression" dxfId="414" priority="189">
      <formula>I491=I492</formula>
    </cfRule>
  </conditionalFormatting>
  <conditionalFormatting sqref="I492">
    <cfRule type="expression" dxfId="413" priority="188">
      <formula>I492=I491</formula>
    </cfRule>
  </conditionalFormatting>
  <conditionalFormatting sqref="I493">
    <cfRule type="expression" dxfId="412" priority="187">
      <formula>I493=I494</formula>
    </cfRule>
  </conditionalFormatting>
  <conditionalFormatting sqref="I494">
    <cfRule type="expression" dxfId="411" priority="186">
      <formula>I494=I493</formula>
    </cfRule>
  </conditionalFormatting>
  <conditionalFormatting sqref="I495">
    <cfRule type="expression" dxfId="410" priority="185">
      <formula>I495=I496</formula>
    </cfRule>
  </conditionalFormatting>
  <conditionalFormatting sqref="I496">
    <cfRule type="expression" dxfId="409" priority="184">
      <formula>I496=I495</formula>
    </cfRule>
  </conditionalFormatting>
  <conditionalFormatting sqref="I497">
    <cfRule type="expression" dxfId="408" priority="183">
      <formula>I497=I498</formula>
    </cfRule>
  </conditionalFormatting>
  <conditionalFormatting sqref="I498">
    <cfRule type="expression" dxfId="407" priority="182">
      <formula>I498=I497</formula>
    </cfRule>
  </conditionalFormatting>
  <conditionalFormatting sqref="I499">
    <cfRule type="expression" dxfId="406" priority="181">
      <formula>I499=I500</formula>
    </cfRule>
  </conditionalFormatting>
  <conditionalFormatting sqref="I500">
    <cfRule type="expression" dxfId="405" priority="180">
      <formula>I500=I499</formula>
    </cfRule>
  </conditionalFormatting>
  <conditionalFormatting sqref="I501">
    <cfRule type="expression" dxfId="404" priority="179">
      <formula>I501=I502</formula>
    </cfRule>
  </conditionalFormatting>
  <conditionalFormatting sqref="I502">
    <cfRule type="expression" dxfId="403" priority="178">
      <formula>I502=I501</formula>
    </cfRule>
  </conditionalFormatting>
  <conditionalFormatting sqref="I503">
    <cfRule type="expression" dxfId="402" priority="177">
      <formula>I503=I504</formula>
    </cfRule>
  </conditionalFormatting>
  <conditionalFormatting sqref="I504">
    <cfRule type="expression" dxfId="401" priority="176">
      <formula>I504=I503</formula>
    </cfRule>
  </conditionalFormatting>
  <conditionalFormatting sqref="I505">
    <cfRule type="expression" dxfId="400" priority="175">
      <formula>I505=I506</formula>
    </cfRule>
  </conditionalFormatting>
  <conditionalFormatting sqref="I506">
    <cfRule type="expression" dxfId="399" priority="174">
      <formula>I506=I505</formula>
    </cfRule>
  </conditionalFormatting>
  <conditionalFormatting sqref="I507">
    <cfRule type="expression" dxfId="398" priority="173">
      <formula>I507=I508</formula>
    </cfRule>
  </conditionalFormatting>
  <conditionalFormatting sqref="I508">
    <cfRule type="expression" dxfId="397" priority="172">
      <formula>I508=I507</formula>
    </cfRule>
  </conditionalFormatting>
  <conditionalFormatting sqref="I509">
    <cfRule type="expression" dxfId="396" priority="171">
      <formula>I509=I510</formula>
    </cfRule>
  </conditionalFormatting>
  <conditionalFormatting sqref="I510">
    <cfRule type="expression" dxfId="395" priority="170">
      <formula>I510=I509</formula>
    </cfRule>
  </conditionalFormatting>
  <conditionalFormatting sqref="I511">
    <cfRule type="expression" dxfId="394" priority="169">
      <formula>I511=I512</formula>
    </cfRule>
  </conditionalFormatting>
  <conditionalFormatting sqref="I512">
    <cfRule type="expression" dxfId="393" priority="168">
      <formula>I512=I511</formula>
    </cfRule>
  </conditionalFormatting>
  <conditionalFormatting sqref="I513">
    <cfRule type="expression" dxfId="392" priority="167">
      <formula>I513=I514</formula>
    </cfRule>
  </conditionalFormatting>
  <conditionalFormatting sqref="I514">
    <cfRule type="expression" dxfId="391" priority="166">
      <formula>I514=I513</formula>
    </cfRule>
  </conditionalFormatting>
  <conditionalFormatting sqref="I515">
    <cfRule type="expression" dxfId="390" priority="165">
      <formula>I515=I516</formula>
    </cfRule>
  </conditionalFormatting>
  <conditionalFormatting sqref="I516">
    <cfRule type="expression" dxfId="389" priority="164">
      <formula>I516=I515</formula>
    </cfRule>
  </conditionalFormatting>
  <conditionalFormatting sqref="I517">
    <cfRule type="expression" dxfId="388" priority="163">
      <formula>I517=I518</formula>
    </cfRule>
  </conditionalFormatting>
  <conditionalFormatting sqref="I518">
    <cfRule type="expression" dxfId="387" priority="162">
      <formula>I518=I517</formula>
    </cfRule>
  </conditionalFormatting>
  <conditionalFormatting sqref="I519">
    <cfRule type="expression" dxfId="386" priority="161">
      <formula>I519=I520</formula>
    </cfRule>
  </conditionalFormatting>
  <conditionalFormatting sqref="I520">
    <cfRule type="expression" dxfId="385" priority="160">
      <formula>I520=I519</formula>
    </cfRule>
  </conditionalFormatting>
  <conditionalFormatting sqref="I521">
    <cfRule type="expression" dxfId="384" priority="159">
      <formula>I521=I522</formula>
    </cfRule>
  </conditionalFormatting>
  <conditionalFormatting sqref="I522">
    <cfRule type="expression" dxfId="383" priority="158">
      <formula>I522=I521</formula>
    </cfRule>
  </conditionalFormatting>
  <conditionalFormatting sqref="I523">
    <cfRule type="expression" dxfId="382" priority="157">
      <formula>I523=I524</formula>
    </cfRule>
  </conditionalFormatting>
  <conditionalFormatting sqref="I524">
    <cfRule type="expression" dxfId="381" priority="156">
      <formula>I524=I523</formula>
    </cfRule>
  </conditionalFormatting>
  <conditionalFormatting sqref="I525">
    <cfRule type="expression" dxfId="380" priority="155">
      <formula>I525=I526</formula>
    </cfRule>
  </conditionalFormatting>
  <conditionalFormatting sqref="I526">
    <cfRule type="expression" dxfId="379" priority="154">
      <formula>I526=I525</formula>
    </cfRule>
  </conditionalFormatting>
  <conditionalFormatting sqref="I527">
    <cfRule type="expression" dxfId="378" priority="153">
      <formula>I527=I528</formula>
    </cfRule>
  </conditionalFormatting>
  <conditionalFormatting sqref="I528">
    <cfRule type="expression" dxfId="377" priority="152">
      <formula>I528=I527</formula>
    </cfRule>
  </conditionalFormatting>
  <conditionalFormatting sqref="I529">
    <cfRule type="expression" dxfId="376" priority="151">
      <formula>I529=I530</formula>
    </cfRule>
  </conditionalFormatting>
  <conditionalFormatting sqref="I530">
    <cfRule type="expression" dxfId="375" priority="150">
      <formula>I530=I529</formula>
    </cfRule>
  </conditionalFormatting>
  <conditionalFormatting sqref="I531">
    <cfRule type="expression" dxfId="374" priority="149">
      <formula>I531=I532</formula>
    </cfRule>
  </conditionalFormatting>
  <conditionalFormatting sqref="I532">
    <cfRule type="expression" dxfId="373" priority="148">
      <formula>I532=I531</formula>
    </cfRule>
  </conditionalFormatting>
  <conditionalFormatting sqref="I533">
    <cfRule type="expression" dxfId="372" priority="147">
      <formula>I533=I534</formula>
    </cfRule>
  </conditionalFormatting>
  <conditionalFormatting sqref="I534">
    <cfRule type="expression" dxfId="371" priority="146">
      <formula>I534=I533</formula>
    </cfRule>
  </conditionalFormatting>
  <conditionalFormatting sqref="I535">
    <cfRule type="expression" dxfId="370" priority="145">
      <formula>I535=I536</formula>
    </cfRule>
  </conditionalFormatting>
  <conditionalFormatting sqref="I536">
    <cfRule type="expression" dxfId="369" priority="144">
      <formula>I536=I535</formula>
    </cfRule>
  </conditionalFormatting>
  <conditionalFormatting sqref="I537">
    <cfRule type="expression" dxfId="368" priority="143">
      <formula>I537=I538</formula>
    </cfRule>
  </conditionalFormatting>
  <conditionalFormatting sqref="I538">
    <cfRule type="expression" dxfId="367" priority="142">
      <formula>I538=I537</formula>
    </cfRule>
  </conditionalFormatting>
  <conditionalFormatting sqref="I539">
    <cfRule type="expression" dxfId="366" priority="141">
      <formula>I539=I540</formula>
    </cfRule>
  </conditionalFormatting>
  <conditionalFormatting sqref="I540">
    <cfRule type="expression" dxfId="365" priority="140">
      <formula>I540=I539</formula>
    </cfRule>
  </conditionalFormatting>
  <conditionalFormatting sqref="I541">
    <cfRule type="expression" dxfId="364" priority="139">
      <formula>I541=I542</formula>
    </cfRule>
  </conditionalFormatting>
  <conditionalFormatting sqref="I542">
    <cfRule type="expression" dxfId="363" priority="138">
      <formula>I542=I541</formula>
    </cfRule>
  </conditionalFormatting>
  <conditionalFormatting sqref="I543">
    <cfRule type="expression" dxfId="362" priority="137">
      <formula>I543=I544</formula>
    </cfRule>
  </conditionalFormatting>
  <conditionalFormatting sqref="I544">
    <cfRule type="expression" dxfId="361" priority="136">
      <formula>I544=I543</formula>
    </cfRule>
  </conditionalFormatting>
  <conditionalFormatting sqref="I545">
    <cfRule type="expression" dxfId="360" priority="135">
      <formula>I545=I546</formula>
    </cfRule>
  </conditionalFormatting>
  <conditionalFormatting sqref="I546">
    <cfRule type="expression" dxfId="359" priority="134">
      <formula>I546=I545</formula>
    </cfRule>
  </conditionalFormatting>
  <conditionalFormatting sqref="I547">
    <cfRule type="expression" dxfId="358" priority="133">
      <formula>I547=I548</formula>
    </cfRule>
  </conditionalFormatting>
  <conditionalFormatting sqref="I548">
    <cfRule type="expression" dxfId="357" priority="132">
      <formula>I548=I547</formula>
    </cfRule>
  </conditionalFormatting>
  <conditionalFormatting sqref="I549">
    <cfRule type="expression" dxfId="356" priority="131">
      <formula>I549=I550</formula>
    </cfRule>
  </conditionalFormatting>
  <conditionalFormatting sqref="I550">
    <cfRule type="expression" dxfId="355" priority="130">
      <formula>I550=I549</formula>
    </cfRule>
  </conditionalFormatting>
  <conditionalFormatting sqref="I551">
    <cfRule type="expression" dxfId="354" priority="129">
      <formula>I551=I552</formula>
    </cfRule>
  </conditionalFormatting>
  <conditionalFormatting sqref="I552">
    <cfRule type="expression" dxfId="353" priority="128">
      <formula>I552=I551</formula>
    </cfRule>
  </conditionalFormatting>
  <conditionalFormatting sqref="I553">
    <cfRule type="expression" dxfId="352" priority="127">
      <formula>I553=I554</formula>
    </cfRule>
  </conditionalFormatting>
  <conditionalFormatting sqref="I554">
    <cfRule type="expression" dxfId="351" priority="126">
      <formula>I554=I553</formula>
    </cfRule>
  </conditionalFormatting>
  <conditionalFormatting sqref="I555">
    <cfRule type="expression" dxfId="350" priority="125">
      <formula>I555=I556</formula>
    </cfRule>
  </conditionalFormatting>
  <conditionalFormatting sqref="I556">
    <cfRule type="expression" dxfId="349" priority="124">
      <formula>I556=I555</formula>
    </cfRule>
  </conditionalFormatting>
  <conditionalFormatting sqref="I557">
    <cfRule type="expression" dxfId="348" priority="123">
      <formula>I557=I558</formula>
    </cfRule>
  </conditionalFormatting>
  <conditionalFormatting sqref="I558">
    <cfRule type="expression" dxfId="347" priority="122">
      <formula>I558=I557</formula>
    </cfRule>
  </conditionalFormatting>
  <conditionalFormatting sqref="I559">
    <cfRule type="expression" dxfId="346" priority="121">
      <formula>I559=I560</formula>
    </cfRule>
  </conditionalFormatting>
  <conditionalFormatting sqref="I560">
    <cfRule type="expression" dxfId="345" priority="120">
      <formula>I560=I559</formula>
    </cfRule>
  </conditionalFormatting>
  <conditionalFormatting sqref="I561">
    <cfRule type="expression" dxfId="344" priority="119">
      <formula>I561=I562</formula>
    </cfRule>
  </conditionalFormatting>
  <conditionalFormatting sqref="I562">
    <cfRule type="expression" dxfId="343" priority="118">
      <formula>I562=I561</formula>
    </cfRule>
  </conditionalFormatting>
  <conditionalFormatting sqref="I563">
    <cfRule type="expression" dxfId="342" priority="117">
      <formula>I563=I564</formula>
    </cfRule>
  </conditionalFormatting>
  <conditionalFormatting sqref="I564">
    <cfRule type="expression" dxfId="341" priority="116">
      <formula>I564=I563</formula>
    </cfRule>
  </conditionalFormatting>
  <conditionalFormatting sqref="I565">
    <cfRule type="expression" dxfId="340" priority="115">
      <formula>I565=I566</formula>
    </cfRule>
  </conditionalFormatting>
  <conditionalFormatting sqref="I566">
    <cfRule type="expression" dxfId="339" priority="114">
      <formula>I566=I565</formula>
    </cfRule>
  </conditionalFormatting>
  <conditionalFormatting sqref="I567">
    <cfRule type="expression" dxfId="338" priority="113">
      <formula>I567=I568</formula>
    </cfRule>
  </conditionalFormatting>
  <conditionalFormatting sqref="I568">
    <cfRule type="expression" dxfId="337" priority="112">
      <formula>I568=I567</formula>
    </cfRule>
  </conditionalFormatting>
  <conditionalFormatting sqref="I569">
    <cfRule type="expression" dxfId="336" priority="111">
      <formula>I569=I570</formula>
    </cfRule>
  </conditionalFormatting>
  <conditionalFormatting sqref="I570">
    <cfRule type="expression" dxfId="335" priority="110">
      <formula>I570=I569</formula>
    </cfRule>
  </conditionalFormatting>
  <conditionalFormatting sqref="I571">
    <cfRule type="expression" dxfId="334" priority="109">
      <formula>I571=I572</formula>
    </cfRule>
  </conditionalFormatting>
  <conditionalFormatting sqref="I572">
    <cfRule type="expression" dxfId="333" priority="108">
      <formula>I572=I571</formula>
    </cfRule>
  </conditionalFormatting>
  <conditionalFormatting sqref="I573">
    <cfRule type="expression" dxfId="332" priority="107">
      <formula>I573=I574</formula>
    </cfRule>
  </conditionalFormatting>
  <conditionalFormatting sqref="I574">
    <cfRule type="expression" dxfId="331" priority="106">
      <formula>I574=I573</formula>
    </cfRule>
  </conditionalFormatting>
  <conditionalFormatting sqref="I575">
    <cfRule type="expression" dxfId="330" priority="105">
      <formula>I575=I576</formula>
    </cfRule>
  </conditionalFormatting>
  <conditionalFormatting sqref="I576">
    <cfRule type="expression" dxfId="329" priority="104">
      <formula>I576=I575</formula>
    </cfRule>
  </conditionalFormatting>
  <conditionalFormatting sqref="I577">
    <cfRule type="expression" dxfId="328" priority="103">
      <formula>I577=I578</formula>
    </cfRule>
  </conditionalFormatting>
  <conditionalFormatting sqref="I578">
    <cfRule type="expression" dxfId="327" priority="102">
      <formula>I578=I577</formula>
    </cfRule>
  </conditionalFormatting>
  <conditionalFormatting sqref="I579">
    <cfRule type="expression" dxfId="326" priority="101">
      <formula>I579=I580</formula>
    </cfRule>
  </conditionalFormatting>
  <conditionalFormatting sqref="I580">
    <cfRule type="expression" dxfId="325" priority="100">
      <formula>I580=I579</formula>
    </cfRule>
  </conditionalFormatting>
  <conditionalFormatting sqref="I581">
    <cfRule type="expression" dxfId="324" priority="99">
      <formula>I581=I582</formula>
    </cfRule>
  </conditionalFormatting>
  <conditionalFormatting sqref="I582">
    <cfRule type="expression" dxfId="323" priority="98">
      <formula>I582=I581</formula>
    </cfRule>
  </conditionalFormatting>
  <conditionalFormatting sqref="I583">
    <cfRule type="expression" dxfId="322" priority="97">
      <formula>I583=I584</formula>
    </cfRule>
  </conditionalFormatting>
  <conditionalFormatting sqref="I584">
    <cfRule type="expression" dxfId="321" priority="96">
      <formula>I584=I583</formula>
    </cfRule>
  </conditionalFormatting>
  <conditionalFormatting sqref="I585">
    <cfRule type="expression" dxfId="320" priority="95">
      <formula>I585=I586</formula>
    </cfRule>
  </conditionalFormatting>
  <conditionalFormatting sqref="I586">
    <cfRule type="expression" dxfId="319" priority="94">
      <formula>I586=I585</formula>
    </cfRule>
  </conditionalFormatting>
  <conditionalFormatting sqref="I587">
    <cfRule type="expression" dxfId="318" priority="93">
      <formula>I587=I588</formula>
    </cfRule>
  </conditionalFormatting>
  <conditionalFormatting sqref="I588">
    <cfRule type="expression" dxfId="317" priority="92">
      <formula>I588=I587</formula>
    </cfRule>
  </conditionalFormatting>
  <conditionalFormatting sqref="I589">
    <cfRule type="expression" dxfId="316" priority="91">
      <formula>I589=I590</formula>
    </cfRule>
  </conditionalFormatting>
  <conditionalFormatting sqref="I590">
    <cfRule type="expression" dxfId="315" priority="90">
      <formula>I590=I589</formula>
    </cfRule>
  </conditionalFormatting>
  <conditionalFormatting sqref="I591">
    <cfRule type="expression" dxfId="314" priority="89">
      <formula>I591=I592</formula>
    </cfRule>
  </conditionalFormatting>
  <conditionalFormatting sqref="I592">
    <cfRule type="expression" dxfId="313" priority="88">
      <formula>I592=I591</formula>
    </cfRule>
  </conditionalFormatting>
  <conditionalFormatting sqref="I593">
    <cfRule type="expression" dxfId="312" priority="87">
      <formula>I593=I594</formula>
    </cfRule>
  </conditionalFormatting>
  <conditionalFormatting sqref="I594">
    <cfRule type="expression" dxfId="311" priority="86">
      <formula>I594=I593</formula>
    </cfRule>
  </conditionalFormatting>
  <conditionalFormatting sqref="I595">
    <cfRule type="expression" dxfId="310" priority="85">
      <formula>I595=I596</formula>
    </cfRule>
  </conditionalFormatting>
  <conditionalFormatting sqref="I596">
    <cfRule type="expression" dxfId="309" priority="84">
      <formula>I596=I595</formula>
    </cfRule>
  </conditionalFormatting>
  <conditionalFormatting sqref="I597">
    <cfRule type="expression" dxfId="308" priority="83">
      <formula>I597=I598</formula>
    </cfRule>
  </conditionalFormatting>
  <conditionalFormatting sqref="I598">
    <cfRule type="expression" dxfId="307" priority="82">
      <formula>I598=I597</formula>
    </cfRule>
  </conditionalFormatting>
  <conditionalFormatting sqref="I599">
    <cfRule type="expression" dxfId="306" priority="81">
      <formula>I599=I600</formula>
    </cfRule>
  </conditionalFormatting>
  <conditionalFormatting sqref="I600">
    <cfRule type="expression" dxfId="305" priority="80">
      <formula>I600=I599</formula>
    </cfRule>
  </conditionalFormatting>
  <conditionalFormatting sqref="I601">
    <cfRule type="expression" dxfId="304" priority="79">
      <formula>I601=I602</formula>
    </cfRule>
  </conditionalFormatting>
  <conditionalFormatting sqref="I602">
    <cfRule type="expression" dxfId="303" priority="78">
      <formula>I602=I601</formula>
    </cfRule>
  </conditionalFormatting>
  <conditionalFormatting sqref="I603">
    <cfRule type="expression" dxfId="302" priority="77">
      <formula>I603=I604</formula>
    </cfRule>
  </conditionalFormatting>
  <conditionalFormatting sqref="I604">
    <cfRule type="expression" dxfId="301" priority="76">
      <formula>I604=I603</formula>
    </cfRule>
  </conditionalFormatting>
  <conditionalFormatting sqref="I605">
    <cfRule type="expression" dxfId="300" priority="75">
      <formula>I605=I606</formula>
    </cfRule>
  </conditionalFormatting>
  <conditionalFormatting sqref="I606">
    <cfRule type="expression" dxfId="299" priority="74">
      <formula>I606=I605</formula>
    </cfRule>
  </conditionalFormatting>
  <conditionalFormatting sqref="I607">
    <cfRule type="expression" dxfId="298" priority="73">
      <formula>I607=I608</formula>
    </cfRule>
  </conditionalFormatting>
  <conditionalFormatting sqref="I608">
    <cfRule type="expression" dxfId="297" priority="72">
      <formula>I608=I607</formula>
    </cfRule>
  </conditionalFormatting>
  <conditionalFormatting sqref="I609">
    <cfRule type="expression" dxfId="296" priority="71">
      <formula>I609=I610</formula>
    </cfRule>
  </conditionalFormatting>
  <conditionalFormatting sqref="I610">
    <cfRule type="expression" dxfId="295" priority="70">
      <formula>I610=I609</formula>
    </cfRule>
  </conditionalFormatting>
  <conditionalFormatting sqref="I611">
    <cfRule type="expression" dxfId="294" priority="69">
      <formula>I611=I612</formula>
    </cfRule>
  </conditionalFormatting>
  <conditionalFormatting sqref="I612">
    <cfRule type="expression" dxfId="293" priority="68">
      <formula>I612=I611</formula>
    </cfRule>
  </conditionalFormatting>
  <conditionalFormatting sqref="I613">
    <cfRule type="expression" dxfId="292" priority="67">
      <formula>I613=I614</formula>
    </cfRule>
  </conditionalFormatting>
  <conditionalFormatting sqref="I614">
    <cfRule type="expression" dxfId="291" priority="66">
      <formula>I614=I613</formula>
    </cfRule>
  </conditionalFormatting>
  <conditionalFormatting sqref="I615">
    <cfRule type="expression" dxfId="290" priority="65">
      <formula>I615=I616</formula>
    </cfRule>
  </conditionalFormatting>
  <conditionalFormatting sqref="I616">
    <cfRule type="expression" dxfId="289" priority="64">
      <formula>I616=I615</formula>
    </cfRule>
  </conditionalFormatting>
  <conditionalFormatting sqref="I617">
    <cfRule type="expression" dxfId="288" priority="63">
      <formula>I617=I618</formula>
    </cfRule>
  </conditionalFormatting>
  <conditionalFormatting sqref="I618">
    <cfRule type="expression" dxfId="287" priority="62">
      <formula>I618=I617</formula>
    </cfRule>
  </conditionalFormatting>
  <conditionalFormatting sqref="I619">
    <cfRule type="expression" dxfId="286" priority="61">
      <formula>I619=I620</formula>
    </cfRule>
  </conditionalFormatting>
  <conditionalFormatting sqref="I620">
    <cfRule type="expression" dxfId="285" priority="60">
      <formula>I620=I619</formula>
    </cfRule>
  </conditionalFormatting>
  <conditionalFormatting sqref="I621">
    <cfRule type="expression" dxfId="284" priority="59">
      <formula>I621=I622</formula>
    </cfRule>
  </conditionalFormatting>
  <conditionalFormatting sqref="I622">
    <cfRule type="expression" dxfId="283" priority="58">
      <formula>I622=I621</formula>
    </cfRule>
  </conditionalFormatting>
  <conditionalFormatting sqref="I623">
    <cfRule type="expression" dxfId="282" priority="57">
      <formula>I623=I624</formula>
    </cfRule>
  </conditionalFormatting>
  <conditionalFormatting sqref="I624">
    <cfRule type="expression" dxfId="281" priority="56">
      <formula>I624=I623</formula>
    </cfRule>
  </conditionalFormatting>
  <conditionalFormatting sqref="I625">
    <cfRule type="expression" dxfId="280" priority="55">
      <formula>I625=I626</formula>
    </cfRule>
  </conditionalFormatting>
  <conditionalFormatting sqref="I626">
    <cfRule type="expression" dxfId="279" priority="54">
      <formula>I626=I625</formula>
    </cfRule>
  </conditionalFormatting>
  <conditionalFormatting sqref="I627">
    <cfRule type="expression" dxfId="278" priority="53">
      <formula>I627=I628</formula>
    </cfRule>
  </conditionalFormatting>
  <conditionalFormatting sqref="I628">
    <cfRule type="expression" dxfId="277" priority="52">
      <formula>I628=I627</formula>
    </cfRule>
  </conditionalFormatting>
  <conditionalFormatting sqref="I629">
    <cfRule type="expression" dxfId="276" priority="51">
      <formula>I629=I630</formula>
    </cfRule>
  </conditionalFormatting>
  <conditionalFormatting sqref="I630">
    <cfRule type="expression" dxfId="275" priority="50">
      <formula>I630=I629</formula>
    </cfRule>
  </conditionalFormatting>
  <conditionalFormatting sqref="I631">
    <cfRule type="expression" dxfId="274" priority="49">
      <formula>I631=I632</formula>
    </cfRule>
  </conditionalFormatting>
  <conditionalFormatting sqref="I632">
    <cfRule type="expression" dxfId="273" priority="48">
      <formula>I632=I631</formula>
    </cfRule>
  </conditionalFormatting>
  <conditionalFormatting sqref="I633">
    <cfRule type="expression" dxfId="272" priority="47">
      <formula>I633=I634</formula>
    </cfRule>
  </conditionalFormatting>
  <conditionalFormatting sqref="I634">
    <cfRule type="expression" dxfId="271" priority="46">
      <formula>I634=I633</formula>
    </cfRule>
  </conditionalFormatting>
  <conditionalFormatting sqref="I635">
    <cfRule type="expression" dxfId="270" priority="45">
      <formula>I635=I636</formula>
    </cfRule>
  </conditionalFormatting>
  <conditionalFormatting sqref="I636">
    <cfRule type="expression" dxfId="269" priority="44">
      <formula>I636=I635</formula>
    </cfRule>
  </conditionalFormatting>
  <conditionalFormatting sqref="I637">
    <cfRule type="expression" dxfId="268" priority="43">
      <formula>I637=I638</formula>
    </cfRule>
  </conditionalFormatting>
  <conditionalFormatting sqref="I638">
    <cfRule type="expression" dxfId="267" priority="42">
      <formula>I638=I637</formula>
    </cfRule>
  </conditionalFormatting>
  <conditionalFormatting sqref="I639">
    <cfRule type="expression" dxfId="266" priority="41">
      <formula>I639=I640</formula>
    </cfRule>
  </conditionalFormatting>
  <conditionalFormatting sqref="I640">
    <cfRule type="expression" dxfId="265" priority="40">
      <formula>I640=I639</formula>
    </cfRule>
  </conditionalFormatting>
  <conditionalFormatting sqref="I641">
    <cfRule type="expression" dxfId="264" priority="39">
      <formula>I641=I642</formula>
    </cfRule>
  </conditionalFormatting>
  <conditionalFormatting sqref="I642">
    <cfRule type="expression" dxfId="263" priority="38">
      <formula>I642=I641</formula>
    </cfRule>
  </conditionalFormatting>
  <conditionalFormatting sqref="I643">
    <cfRule type="expression" dxfId="262" priority="37">
      <formula>I643=I644</formula>
    </cfRule>
  </conditionalFormatting>
  <conditionalFormatting sqref="I644">
    <cfRule type="expression" dxfId="261" priority="36">
      <formula>I644=I643</formula>
    </cfRule>
  </conditionalFormatting>
  <conditionalFormatting sqref="I645">
    <cfRule type="expression" dxfId="260" priority="35">
      <formula>I645=I646</formula>
    </cfRule>
  </conditionalFormatting>
  <conditionalFormatting sqref="I646">
    <cfRule type="expression" dxfId="259" priority="34">
      <formula>I646=I645</formula>
    </cfRule>
  </conditionalFormatting>
  <conditionalFormatting sqref="I647">
    <cfRule type="expression" dxfId="258" priority="33">
      <formula>I647=I648</formula>
    </cfRule>
  </conditionalFormatting>
  <conditionalFormatting sqref="I648">
    <cfRule type="expression" dxfId="257" priority="32">
      <formula>I648=I647</formula>
    </cfRule>
  </conditionalFormatting>
  <conditionalFormatting sqref="I649">
    <cfRule type="expression" dxfId="256" priority="31">
      <formula>I649=I650</formula>
    </cfRule>
  </conditionalFormatting>
  <conditionalFormatting sqref="I650">
    <cfRule type="expression" dxfId="255" priority="30">
      <formula>I650=I649</formula>
    </cfRule>
  </conditionalFormatting>
  <conditionalFormatting sqref="I651">
    <cfRule type="expression" dxfId="254" priority="29">
      <formula>I651=I652</formula>
    </cfRule>
  </conditionalFormatting>
  <conditionalFormatting sqref="I652">
    <cfRule type="expression" dxfId="253" priority="28">
      <formula>I652=I651</formula>
    </cfRule>
  </conditionalFormatting>
  <conditionalFormatting sqref="I653">
    <cfRule type="expression" dxfId="252" priority="27">
      <formula>I653=I654</formula>
    </cfRule>
  </conditionalFormatting>
  <conditionalFormatting sqref="I654">
    <cfRule type="expression" dxfId="251" priority="26">
      <formula>I654=I653</formula>
    </cfRule>
  </conditionalFormatting>
  <conditionalFormatting sqref="I655">
    <cfRule type="expression" dxfId="250" priority="25">
      <formula>I655=I656</formula>
    </cfRule>
  </conditionalFormatting>
  <conditionalFormatting sqref="I656">
    <cfRule type="expression" dxfId="249" priority="24">
      <formula>I656=I655</formula>
    </cfRule>
  </conditionalFormatting>
  <conditionalFormatting sqref="I657">
    <cfRule type="expression" dxfId="248" priority="23">
      <formula>I657=I658</formula>
    </cfRule>
  </conditionalFormatting>
  <conditionalFormatting sqref="I658">
    <cfRule type="expression" dxfId="247" priority="22">
      <formula>I658=I657</formula>
    </cfRule>
  </conditionalFormatting>
  <conditionalFormatting sqref="I659">
    <cfRule type="expression" dxfId="246" priority="21">
      <formula>I659=I660</formula>
    </cfRule>
  </conditionalFormatting>
  <conditionalFormatting sqref="I660">
    <cfRule type="expression" dxfId="245" priority="20">
      <formula>I660=I659</formula>
    </cfRule>
  </conditionalFormatting>
  <conditionalFormatting sqref="I661">
    <cfRule type="expression" dxfId="244" priority="19">
      <formula>I661=I662</formula>
    </cfRule>
  </conditionalFormatting>
  <conditionalFormatting sqref="I662">
    <cfRule type="expression" dxfId="243" priority="18">
      <formula>I662=I661</formula>
    </cfRule>
  </conditionalFormatting>
  <conditionalFormatting sqref="I663">
    <cfRule type="expression" dxfId="242" priority="17">
      <formula>I663=I664</formula>
    </cfRule>
  </conditionalFormatting>
  <conditionalFormatting sqref="I664">
    <cfRule type="expression" dxfId="241" priority="16">
      <formula>I664=I663</formula>
    </cfRule>
  </conditionalFormatting>
  <conditionalFormatting sqref="I665">
    <cfRule type="expression" dxfId="240" priority="15">
      <formula>I665=I666</formula>
    </cfRule>
  </conditionalFormatting>
  <conditionalFormatting sqref="I666">
    <cfRule type="expression" dxfId="239" priority="14">
      <formula>I666=I665</formula>
    </cfRule>
  </conditionalFormatting>
  <conditionalFormatting sqref="I667">
    <cfRule type="expression" dxfId="238" priority="13">
      <formula>I667=I668</formula>
    </cfRule>
  </conditionalFormatting>
  <conditionalFormatting sqref="I668">
    <cfRule type="expression" dxfId="237" priority="12">
      <formula>I668=I667</formula>
    </cfRule>
  </conditionalFormatting>
  <conditionalFormatting sqref="I669">
    <cfRule type="expression" dxfId="236" priority="11">
      <formula>I669=I670</formula>
    </cfRule>
  </conditionalFormatting>
  <conditionalFormatting sqref="I670">
    <cfRule type="expression" dxfId="235" priority="10">
      <formula>I670=I669</formula>
    </cfRule>
  </conditionalFormatting>
  <conditionalFormatting sqref="I671">
    <cfRule type="expression" dxfId="234" priority="9">
      <formula>I671=I672</formula>
    </cfRule>
  </conditionalFormatting>
  <conditionalFormatting sqref="I672">
    <cfRule type="expression" dxfId="233" priority="8">
      <formula>I672=I671</formula>
    </cfRule>
  </conditionalFormatting>
  <conditionalFormatting sqref="I673">
    <cfRule type="expression" dxfId="232" priority="7">
      <formula>I673=I674</formula>
    </cfRule>
  </conditionalFormatting>
  <conditionalFormatting sqref="I674">
    <cfRule type="expression" dxfId="231" priority="6">
      <formula>I674=I673</formula>
    </cfRule>
  </conditionalFormatting>
  <conditionalFormatting sqref="I675">
    <cfRule type="expression" dxfId="230" priority="5">
      <formula>I675=I676</formula>
    </cfRule>
  </conditionalFormatting>
  <conditionalFormatting sqref="I676">
    <cfRule type="expression" dxfId="229" priority="4">
      <formula>I676=I675</formula>
    </cfRule>
  </conditionalFormatting>
  <conditionalFormatting sqref="M4 M6 M8 M10 M12 M14 M16 M18 M20 M22 M24 M26 M28 M30 M32 M34 M36 M38 M40 M42 M44 M46 M48 M50 M52 M54 M56 M58 M60 M62 M64 M66 M68 M70 M72 M74 M76 M78 M80 M82 M84 M86 M88 M90 M92 M94 M96 M98 M100 M102 M104 M106 M108 M110 M112 M114 M116 M118 M120 M122 M124 M126 M128 M130 M132 M134 M136 M138 M140 M142 M144 M146 M148 M150 M152 M154 M156 M158 M160 M162 M164 M166 M168 M170 M172 M174 M176 M178 M180 M182 M184 M186 M188 M190 M192 M194 M196 M198 M200 M202 M204 M206 M208 M210 M212 M214 M216 M218 M220 M222 M224 M226 M228 M230 M232 M234 M236 M238 M240 M242 M244 M246 M248 M250 M252 M254 M256 M258 M260 M262 M264 M266 M268 M270 M272 M274 M276 M278 M280 M282 M284 M286 M288 M290 M292 M294 M296 M298 M300 M302 M304 M306 M308 M310 M312 M314 M316 M318 M320 M322 M324 M326 M328 M330 M332 M334 M336 M338 M340 M342 M344 M346 M348 M350 M352 M354 M356 M358 M360 M362 M364 M366 M368 M370 M372 M374 M376 M378 M380 M382 M384 M386">
    <cfRule type="iconSet" priority="3">
      <iconSet iconSet="3Arrows">
        <cfvo type="percent" val="0"/>
        <cfvo type="percent" val="33"/>
        <cfvo type="percent" val="67"/>
      </iconSet>
    </cfRule>
    <cfRule type="expression" dxfId="228" priority="2">
      <formula>M4=H4</formula>
    </cfRule>
    <cfRule type="expression" dxfId="227" priority="1">
      <formula>M4&lt;&gt;H4</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B2:M76"/>
  <sheetViews>
    <sheetView zoomScale="120" zoomScaleNormal="120" workbookViewId="0">
      <selection activeCell="L3" sqref="L3:M76"/>
    </sheetView>
  </sheetViews>
  <sheetFormatPr defaultRowHeight="18" x14ac:dyDescent="0.3"/>
  <cols>
    <col min="1" max="5" width="8.88671875" style="70"/>
    <col min="6" max="6" width="8.44140625" style="70" bestFit="1" customWidth="1"/>
    <col min="7" max="7" width="8.88671875" style="70"/>
    <col min="8" max="8" width="43.21875" style="70" bestFit="1" customWidth="1"/>
    <col min="9" max="9" width="10.77734375" style="70" bestFit="1" customWidth="1"/>
    <col min="10" max="10" width="8.88671875" style="70"/>
    <col min="11" max="11" width="11.44140625" style="70" bestFit="1" customWidth="1"/>
    <col min="12" max="16384" width="8.88671875" style="70"/>
  </cols>
  <sheetData>
    <row r="2" spans="2:13" ht="18.600000000000001" thickBot="1" x14ac:dyDescent="0.35">
      <c r="D2" s="70" t="s">
        <v>1</v>
      </c>
      <c r="E2" s="70" t="s">
        <v>2</v>
      </c>
      <c r="F2" s="70" t="s">
        <v>3</v>
      </c>
      <c r="G2" s="70" t="s">
        <v>4</v>
      </c>
      <c r="H2" s="70" t="s">
        <v>5</v>
      </c>
      <c r="I2" s="70" t="s">
        <v>7</v>
      </c>
      <c r="J2" s="70" t="s">
        <v>8</v>
      </c>
      <c r="K2" s="70" t="s">
        <v>9</v>
      </c>
    </row>
    <row r="3" spans="2:13" x14ac:dyDescent="0.35">
      <c r="B3" s="75">
        <v>1</v>
      </c>
      <c r="C3" s="66" t="s">
        <v>0</v>
      </c>
      <c r="D3" s="66" t="s">
        <v>85</v>
      </c>
      <c r="E3" s="66">
        <v>20</v>
      </c>
      <c r="F3" s="66">
        <v>56</v>
      </c>
      <c r="G3" s="66">
        <v>35</v>
      </c>
      <c r="H3" s="66" t="str">
        <f>CONCATENATE(HEX2BIN(D3,8),HEX2BIN(E3,8),HEX2BIN(F3,8),HEX2BIN(G3,8))</f>
        <v>01101111001000000101011000110101</v>
      </c>
      <c r="I3" s="66">
        <f>MID(H3,1,1)+MID(H3,2,1)+MID(H3,3,1)+MID(H3,4,1)+MID(H3,5,1)+MID(H3,6,1)+MID(H3,7,1)+MID(H3,8,1)+MID(H3,9,1)+MID(H3,10,1)+MID(H3,11,1)+MID(H3,12,1)+MID(H3,13,1)+MID(H3,14,1)+MID(H3,15,1)+MID(H3,16,1)+MID(H3,17,1)+MID(H3,18,1)+MID(H3,19,1)+MID(H3,20,1)+MID(H3,21,1)+MID(H3,22,1)+MID(H3,23,1)+MID(H3,24,1)+MID(H3,25,1)+MID(H3,26,1)+MID(H3,27,1)+MID(H3,28,1)+MID(H3,29,1)+MID(H3,30,1)+MID(H3,31,1)+MID(H3,32,1)</f>
        <v>15</v>
      </c>
      <c r="J3" s="77">
        <v>1</v>
      </c>
      <c r="K3" s="79" t="str">
        <f>HEX2BIN(J3,8)</f>
        <v>00000001</v>
      </c>
      <c r="L3" s="43" t="str">
        <f t="shared" ref="L3" si="0">CONCATENATE(HEX2BIN(G3,8),HEX2BIN(F3,8),HEX2BIN(E3,8),HEX2BIN(D3,8))</f>
        <v>00110101010101100010000001101111</v>
      </c>
      <c r="M3" s="1" t="str">
        <f t="shared" ref="M3:M65" si="1">CONCATENATE(DEC2BIN(MOD(BIN2DEC(MID(L3,1,8))+BIN2DEC(MID(L4,1,8))+INT((BIN2DEC(MID(L3,9,8))+BIN2DEC(MID(L4,9,8))+INT((BIN2DEC(MID(L3,17,8))+BIN2DEC(MID(L4,17,8))+INT((BIN2DEC(MID(L3,25,8))+BIN2DEC(MID(L4,25,8)))/256))/256))/256),256),8),DEC2BIN(MOD(BIN2DEC(MID(L3,9,8))+BIN2DEC(MID(L4,9,8))+INT((BIN2DEC(MID(L3,17,8))+BIN2DEC(MID(L4,17,8))+INT((BIN2DEC(MID(L3,25,8))+BIN2DEC(MID(L4,25,8)))/256))/256),256),8),DEC2BIN(MOD(BIN2DEC(MID(L3,17,8))+BIN2DEC(MID(L4,17,8))+INT((BIN2DEC(MID(L3,25,8))+BIN2DEC(MID(L4,25,8)))/256),256),8),DEC2BIN(MOD(BIN2DEC(MID(L3,25,8))+BIN2DEC(MID(L4,25,8)),256),8))</f>
        <v>00110110010110000010001101110011</v>
      </c>
    </row>
    <row r="4" spans="2:13" ht="18.600000000000001" thickBot="1" x14ac:dyDescent="0.4">
      <c r="B4" s="76"/>
      <c r="C4" s="67" t="s">
        <v>6</v>
      </c>
      <c r="D4" s="67" t="s">
        <v>119</v>
      </c>
      <c r="E4" s="67">
        <v>66</v>
      </c>
      <c r="F4" s="67" t="s">
        <v>91</v>
      </c>
      <c r="G4" s="67">
        <v>4</v>
      </c>
      <c r="H4" s="67" t="str">
        <f>CONCATENATE(HEX2BIN(D4,8),HEX2BIN(E4,8),HEX2BIN(F4,8),HEX2BIN(G4,8))</f>
        <v>11001011011001100110111000000100</v>
      </c>
      <c r="I4" s="67">
        <f>MID(H4,1,1)+MID(H4,2,1)+MID(H4,3,1)+MID(H4,4,1)+MID(H4,5,1)+MID(H4,6,1)+MID(H4,7,1)+MID(H4,8,1)+MID(H4,9,1)+MID(H4,10,1)+MID(H4,11,1)+MID(H4,12,1)+MID(H4,13,1)+MID(H4,14,1)+MID(H4,15,1)+MID(H4,16,1)+MID(H4,17,1)+MID(H4,18,1)+MID(H4,19,1)+MID(H4,20,1)+MID(H4,21,1)+MID(H4,22,1)+MID(H4,23,1)+MID(H4,24,1)+MID(H4,25,1)+MID(H4,26,1)+MID(H4,27,1)+MID(H4,28,1)+MID(H4,29,1)+MID(H4,30,1)+MID(H4,31,1)+MID(H4,32,1)</f>
        <v>15</v>
      </c>
      <c r="J4" s="78"/>
      <c r="K4" s="80"/>
      <c r="L4" s="14" t="str">
        <f t="shared" ref="L4:L66" si="2">CONCATENATE(DEC2BIN(MOD(BIN2DEC(K3)+INT((2*BIN2DEC(K3)+INT((BIN2DEC(K3)+2*BIN2DEC(K3)+BIN2DEC(MID(K3,1,2)))/256))/256),256),8),DEC2BIN(MOD(2*BIN2DEC(K3)+INT((BIN2DEC(K3)+2*BIN2DEC(K3)+BIN2DEC(MID(K3,1,2)))/256),256),8),DEC2BIN(MOD(BIN2DEC(K3)+2*BIN2DEC(K3)+BIN2DEC(MID(K3,1,2)),256),8),MID(K3,3,6),"00")</f>
        <v>00000001000000100000001100000100</v>
      </c>
      <c r="M4" s="14" t="str">
        <f t="shared" ref="M4" si="3">CONCATENATE(MID(M3,6,8),MID(M3,30,3),MID(M3,1,5),MID(M3,22,8),MID(M3,14,8))</f>
        <v>11001011011001100110111000000100</v>
      </c>
    </row>
    <row r="5" spans="2:13" x14ac:dyDescent="0.35">
      <c r="B5" s="75">
        <f>B3+1</f>
        <v>2</v>
      </c>
      <c r="C5" s="66" t="s">
        <v>0</v>
      </c>
      <c r="D5" s="66" t="s">
        <v>48</v>
      </c>
      <c r="E5" s="66" t="s">
        <v>35</v>
      </c>
      <c r="F5" s="66" t="s">
        <v>106</v>
      </c>
      <c r="G5" s="66">
        <v>49</v>
      </c>
      <c r="H5" s="66" t="str">
        <f t="shared" ref="H5:H30" si="4">CONCATENATE(HEX2BIN(D5,8),HEX2BIN(E5,8),HEX2BIN(F5,8),HEX2BIN(G5,8))</f>
        <v>11000101110101101101111001001001</v>
      </c>
      <c r="I5" s="66">
        <f t="shared" ref="I5:I30" si="5">MID(H5,1,1)+MID(H5,2,1)+MID(H5,3,1)+MID(H5,4,1)+MID(H5,5,1)+MID(H5,6,1)+MID(H5,7,1)+MID(H5,8,1)+MID(H5,9,1)+MID(H5,10,1)+MID(H5,11,1)+MID(H5,12,1)+MID(H5,13,1)+MID(H5,14,1)+MID(H5,15,1)+MID(H5,16,1)+MID(H5,17,1)+MID(H5,18,1)+MID(H5,19,1)+MID(H5,20,1)+MID(H5,21,1)+MID(H5,22,1)+MID(H5,23,1)+MID(H5,24,1)+MID(H5,25,1)+MID(H5,26,1)+MID(H5,27,1)+MID(H5,28,1)+MID(H5,29,1)+MID(H5,30,1)+MID(H5,31,1)+MID(H5,32,1)</f>
        <v>18</v>
      </c>
      <c r="J5" s="77">
        <v>1</v>
      </c>
      <c r="K5" s="79" t="str">
        <f>HEX2BIN(J5,8)</f>
        <v>00000001</v>
      </c>
      <c r="L5" s="43" t="str">
        <f t="shared" ref="L5" si="6">CONCATENATE(HEX2BIN(G5,8),HEX2BIN(F5,8),HEX2BIN(E5,8),HEX2BIN(D5,8))</f>
        <v>01001001110111101101011011000101</v>
      </c>
      <c r="M5" s="1" t="str">
        <f t="shared" si="1"/>
        <v>01001010111000001101100111001001</v>
      </c>
    </row>
    <row r="6" spans="2:13" ht="18.600000000000001" thickBot="1" x14ac:dyDescent="0.4">
      <c r="B6" s="76"/>
      <c r="C6" s="67" t="s">
        <v>6</v>
      </c>
      <c r="D6" s="67" t="s">
        <v>58</v>
      </c>
      <c r="E6" s="67">
        <v>29</v>
      </c>
      <c r="F6" s="67">
        <v>39</v>
      </c>
      <c r="G6" s="67" t="s">
        <v>113</v>
      </c>
      <c r="H6" s="67" t="str">
        <f t="shared" si="4"/>
        <v>01011100001010010011100100011011</v>
      </c>
      <c r="I6" s="67">
        <f t="shared" si="5"/>
        <v>15</v>
      </c>
      <c r="J6" s="78"/>
      <c r="K6" s="80"/>
      <c r="L6" s="14" t="str">
        <f t="shared" si="2"/>
        <v>00000001000000100000001100000100</v>
      </c>
      <c r="M6" s="14" t="str">
        <f t="shared" ref="M6" si="7">CONCATENATE(MID(M5,6,8),MID(M5,30,3),MID(M5,1,5),MID(M5,22,8),MID(M5,14,8))</f>
        <v>01011100001010010011100100011011</v>
      </c>
    </row>
    <row r="7" spans="2:13" x14ac:dyDescent="0.35">
      <c r="B7" s="75">
        <f>B5+1</f>
        <v>3</v>
      </c>
      <c r="C7" s="66" t="s">
        <v>0</v>
      </c>
      <c r="D7" s="66" t="s">
        <v>95</v>
      </c>
      <c r="E7" s="66">
        <v>3</v>
      </c>
      <c r="F7" s="66">
        <v>73</v>
      </c>
      <c r="G7" s="66" t="s">
        <v>154</v>
      </c>
      <c r="H7" s="66" t="str">
        <f t="shared" si="4"/>
        <v>00011110000000110111001110100101</v>
      </c>
      <c r="I7" s="66">
        <f t="shared" si="5"/>
        <v>15</v>
      </c>
      <c r="J7" s="77">
        <v>2</v>
      </c>
      <c r="K7" s="79" t="str">
        <f>HEX2BIN(J7,8)</f>
        <v>00000010</v>
      </c>
      <c r="L7" s="43" t="str">
        <f t="shared" ref="L7" si="8">CONCATENATE(HEX2BIN(G7,8),HEX2BIN(F7,8),HEX2BIN(E7,8),HEX2BIN(D7,8))</f>
        <v>10100101011100110000001100011110</v>
      </c>
      <c r="M7" s="1" t="str">
        <f t="shared" si="1"/>
        <v>10100111011101110000100100100110</v>
      </c>
    </row>
    <row r="8" spans="2:13" ht="18.600000000000001" thickBot="1" x14ac:dyDescent="0.4">
      <c r="B8" s="76"/>
      <c r="C8" s="67" t="s">
        <v>6</v>
      </c>
      <c r="D8" s="67" t="s">
        <v>134</v>
      </c>
      <c r="E8" s="67" t="s">
        <v>120</v>
      </c>
      <c r="F8" s="67">
        <v>24</v>
      </c>
      <c r="G8" s="67" t="s">
        <v>88</v>
      </c>
      <c r="H8" s="67" t="str">
        <f t="shared" si="4"/>
        <v>11101110110101000010010011100001</v>
      </c>
      <c r="I8" s="67">
        <f t="shared" si="5"/>
        <v>16</v>
      </c>
      <c r="J8" s="78"/>
      <c r="K8" s="80"/>
      <c r="L8" s="14" t="str">
        <f t="shared" si="2"/>
        <v>00000010000001000000011000001000</v>
      </c>
      <c r="M8" s="14" t="str">
        <f t="shared" ref="M8" si="9">CONCATENATE(MID(M7,6,8),MID(M7,30,3),MID(M7,1,5),MID(M7,22,8),MID(M7,14,8))</f>
        <v>11101110110101000010010011100001</v>
      </c>
    </row>
    <row r="9" spans="2:13" x14ac:dyDescent="0.35">
      <c r="B9" s="75">
        <f>B7+1</f>
        <v>4</v>
      </c>
      <c r="C9" s="66" t="s">
        <v>0</v>
      </c>
      <c r="D9" s="66">
        <v>95</v>
      </c>
      <c r="E9" s="66">
        <v>64</v>
      </c>
      <c r="F9" s="66" t="s">
        <v>93</v>
      </c>
      <c r="G9" s="66" t="s">
        <v>26</v>
      </c>
      <c r="H9" s="66" t="str">
        <f t="shared" si="4"/>
        <v>10010101011001000000110101001101</v>
      </c>
      <c r="I9" s="66">
        <f t="shared" si="5"/>
        <v>14</v>
      </c>
      <c r="J9" s="77">
        <v>4</v>
      </c>
      <c r="K9" s="79" t="str">
        <f>HEX2BIN(J9,8)</f>
        <v>00000100</v>
      </c>
      <c r="L9" s="43" t="str">
        <f t="shared" ref="L9" si="10">CONCATENATE(HEX2BIN(G9,8),HEX2BIN(F9,8),HEX2BIN(E9,8),HEX2BIN(D9,8))</f>
        <v>01001101000011010110010010010101</v>
      </c>
      <c r="M9" s="1" t="str">
        <f t="shared" si="1"/>
        <v>01010001000101010111000010100101</v>
      </c>
    </row>
    <row r="10" spans="2:13" ht="18.600000000000001" thickBot="1" x14ac:dyDescent="0.4">
      <c r="B10" s="76"/>
      <c r="C10" s="67" t="s">
        <v>6</v>
      </c>
      <c r="D10" s="67">
        <v>22</v>
      </c>
      <c r="E10" s="67" t="s">
        <v>51</v>
      </c>
      <c r="F10" s="67">
        <v>14</v>
      </c>
      <c r="G10" s="67" t="s">
        <v>116</v>
      </c>
      <c r="H10" s="67" t="str">
        <f t="shared" si="4"/>
        <v>00100010101010100001010010101110</v>
      </c>
      <c r="I10" s="67">
        <f t="shared" si="5"/>
        <v>13</v>
      </c>
      <c r="J10" s="78"/>
      <c r="K10" s="80"/>
      <c r="L10" s="14" t="str">
        <f t="shared" si="2"/>
        <v>00000100000010000000110000010000</v>
      </c>
      <c r="M10" s="14" t="str">
        <f t="shared" ref="M10" si="11">CONCATENATE(MID(M9,6,8),MID(M9,30,3),MID(M9,1,5),MID(M9,22,8),MID(M9,14,8))</f>
        <v>00100010101010100001010010101110</v>
      </c>
    </row>
    <row r="11" spans="2:13" x14ac:dyDescent="0.35">
      <c r="B11" s="75">
        <f>B9+1</f>
        <v>5</v>
      </c>
      <c r="C11" s="66" t="s">
        <v>0</v>
      </c>
      <c r="D11" s="66" t="s">
        <v>46</v>
      </c>
      <c r="E11" s="66" t="s">
        <v>139</v>
      </c>
      <c r="F11" s="66" t="s">
        <v>87</v>
      </c>
      <c r="G11" s="66" t="s">
        <v>120</v>
      </c>
      <c r="H11" s="66" t="str">
        <f t="shared" si="4"/>
        <v>11011000010110111011001111010100</v>
      </c>
      <c r="I11" s="66">
        <f t="shared" si="5"/>
        <v>18</v>
      </c>
      <c r="J11" s="77">
        <v>4</v>
      </c>
      <c r="K11" s="79" t="str">
        <f>HEX2BIN(J11,8)</f>
        <v>00000100</v>
      </c>
      <c r="L11" s="43" t="str">
        <f t="shared" ref="L11" si="12">CONCATENATE(HEX2BIN(G11,8),HEX2BIN(F11,8),HEX2BIN(E11,8),HEX2BIN(D11,8))</f>
        <v>11010100101100110101101111011000</v>
      </c>
      <c r="M11" s="1" t="str">
        <f t="shared" si="1"/>
        <v>11011000101110110110011111101000</v>
      </c>
    </row>
    <row r="12" spans="2:13" ht="18.600000000000001" thickBot="1" x14ac:dyDescent="0.4">
      <c r="B12" s="76"/>
      <c r="C12" s="67" t="s">
        <v>6</v>
      </c>
      <c r="D12" s="67">
        <v>17</v>
      </c>
      <c r="E12" s="67" t="s">
        <v>113</v>
      </c>
      <c r="F12" s="67" t="s">
        <v>156</v>
      </c>
      <c r="G12" s="67" t="s">
        <v>17</v>
      </c>
      <c r="H12" s="67" t="str">
        <f t="shared" si="4"/>
        <v>00010111000110111111110101101100</v>
      </c>
      <c r="I12" s="67">
        <f t="shared" si="5"/>
        <v>19</v>
      </c>
      <c r="J12" s="78"/>
      <c r="K12" s="80"/>
      <c r="L12" s="14" t="str">
        <f t="shared" si="2"/>
        <v>00000100000010000000110000010000</v>
      </c>
      <c r="M12" s="14" t="str">
        <f t="shared" ref="M12" si="13">CONCATENATE(MID(M11,6,8),MID(M11,30,3),MID(M11,1,5),MID(M11,22,8),MID(M11,14,8))</f>
        <v>00010111000110111111110101101100</v>
      </c>
    </row>
    <row r="13" spans="2:13" x14ac:dyDescent="0.35">
      <c r="B13" s="75">
        <f>B11+1</f>
        <v>6</v>
      </c>
      <c r="C13" s="66" t="s">
        <v>0</v>
      </c>
      <c r="D13" s="66">
        <v>97</v>
      </c>
      <c r="E13" s="66">
        <v>38</v>
      </c>
      <c r="F13" s="66">
        <v>93</v>
      </c>
      <c r="G13" s="66" t="s">
        <v>161</v>
      </c>
      <c r="H13" s="66" t="str">
        <f t="shared" si="4"/>
        <v>10010111001110001001001101001010</v>
      </c>
      <c r="I13" s="66">
        <f t="shared" si="5"/>
        <v>15</v>
      </c>
      <c r="J13" s="77">
        <v>4</v>
      </c>
      <c r="K13" s="79" t="str">
        <f>HEX2BIN(J13,8)</f>
        <v>00000100</v>
      </c>
      <c r="L13" s="43" t="str">
        <f t="shared" ref="L13" si="14">CONCATENATE(HEX2BIN(G13,8),HEX2BIN(F13,8),HEX2BIN(E13,8),HEX2BIN(D13,8))</f>
        <v>01001010100100110011100010010111</v>
      </c>
      <c r="M13" s="1" t="str">
        <f t="shared" si="1"/>
        <v>01001110100110110100010010100111</v>
      </c>
    </row>
    <row r="14" spans="2:13" ht="18.600000000000001" thickBot="1" x14ac:dyDescent="0.4">
      <c r="B14" s="76"/>
      <c r="C14" s="67" t="s">
        <v>6</v>
      </c>
      <c r="D14" s="67" t="s">
        <v>75</v>
      </c>
      <c r="E14" s="67" t="s">
        <v>37</v>
      </c>
      <c r="F14" s="67">
        <v>94</v>
      </c>
      <c r="G14" s="67">
        <v>68</v>
      </c>
      <c r="H14" s="67" t="str">
        <f t="shared" si="4"/>
        <v>11010011111010011001010001101000</v>
      </c>
      <c r="I14" s="67">
        <f t="shared" si="5"/>
        <v>16</v>
      </c>
      <c r="J14" s="78"/>
      <c r="K14" s="80"/>
      <c r="L14" s="14" t="str">
        <f t="shared" si="2"/>
        <v>00000100000010000000110000010000</v>
      </c>
      <c r="M14" s="14" t="str">
        <f t="shared" ref="M14" si="15">CONCATENATE(MID(M13,6,8),MID(M13,30,3),MID(M13,1,5),MID(M13,22,8),MID(M13,14,8))</f>
        <v>11010011111010011001010001101000</v>
      </c>
    </row>
    <row r="15" spans="2:13" x14ac:dyDescent="0.35">
      <c r="B15" s="75">
        <f>B13+1</f>
        <v>7</v>
      </c>
      <c r="C15" s="66" t="s">
        <v>0</v>
      </c>
      <c r="D15" s="66" t="s">
        <v>95</v>
      </c>
      <c r="E15" s="66" t="s">
        <v>28</v>
      </c>
      <c r="F15" s="66">
        <v>67</v>
      </c>
      <c r="G15" s="66" t="s">
        <v>59</v>
      </c>
      <c r="H15" s="66" t="str">
        <f t="shared" si="4"/>
        <v>00011110011111010110011101101010</v>
      </c>
      <c r="I15" s="66">
        <f t="shared" si="5"/>
        <v>19</v>
      </c>
      <c r="J15" s="77">
        <v>4</v>
      </c>
      <c r="K15" s="79" t="str">
        <f>HEX2BIN(J15,8)</f>
        <v>00000100</v>
      </c>
      <c r="L15" s="43" t="str">
        <f t="shared" ref="L15" si="16">CONCATENATE(HEX2BIN(G15,8),HEX2BIN(F15,8),HEX2BIN(E15,8),HEX2BIN(D15,8))</f>
        <v>01101010011001110111110100011110</v>
      </c>
      <c r="M15" s="1" t="str">
        <f t="shared" si="1"/>
        <v>01101110011011111000100100101110</v>
      </c>
    </row>
    <row r="16" spans="2:13" ht="18.600000000000001" thickBot="1" x14ac:dyDescent="0.4">
      <c r="B16" s="76"/>
      <c r="C16" s="67" t="s">
        <v>6</v>
      </c>
      <c r="D16" s="67" t="s">
        <v>82</v>
      </c>
      <c r="E16" s="67" t="s">
        <v>82</v>
      </c>
      <c r="F16" s="67">
        <v>25</v>
      </c>
      <c r="G16" s="67" t="s">
        <v>148</v>
      </c>
      <c r="H16" s="67" t="str">
        <f t="shared" si="4"/>
        <v>11001101110011010010010111110001</v>
      </c>
      <c r="I16" s="67">
        <f t="shared" si="5"/>
        <v>18</v>
      </c>
      <c r="J16" s="78"/>
      <c r="K16" s="80"/>
      <c r="L16" s="14" t="str">
        <f t="shared" si="2"/>
        <v>00000100000010000000110000010000</v>
      </c>
      <c r="M16" s="14" t="str">
        <f t="shared" ref="M16" si="17">CONCATENATE(MID(M15,6,8),MID(M15,30,3),MID(M15,1,5),MID(M15,22,8),MID(M15,14,8))</f>
        <v>11001101110011010010010111110001</v>
      </c>
    </row>
    <row r="17" spans="2:13" x14ac:dyDescent="0.35">
      <c r="B17" s="75">
        <f>B15+1</f>
        <v>8</v>
      </c>
      <c r="C17" s="66" t="s">
        <v>0</v>
      </c>
      <c r="D17" s="66" t="s">
        <v>30</v>
      </c>
      <c r="E17" s="66" t="s">
        <v>87</v>
      </c>
      <c r="F17" s="66">
        <v>55</v>
      </c>
      <c r="G17" s="66" t="s">
        <v>24</v>
      </c>
      <c r="H17" s="66" t="str">
        <f t="shared" si="4"/>
        <v>11011111101100110101010110110101</v>
      </c>
      <c r="I17" s="66">
        <f t="shared" si="5"/>
        <v>21</v>
      </c>
      <c r="J17" s="77">
        <v>8</v>
      </c>
      <c r="K17" s="79" t="str">
        <f>HEX2BIN(J17,8)</f>
        <v>00001000</v>
      </c>
      <c r="L17" s="43" t="str">
        <f t="shared" ref="L17" si="18">CONCATENATE(HEX2BIN(G17,8),HEX2BIN(F17,8),HEX2BIN(E17,8),HEX2BIN(D17,8))</f>
        <v>10110101010101011011001111011111</v>
      </c>
      <c r="M17" s="1" t="str">
        <f t="shared" si="1"/>
        <v>10111101011001011100101111111111</v>
      </c>
    </row>
    <row r="18" spans="2:13" ht="18.600000000000001" thickBot="1" x14ac:dyDescent="0.4">
      <c r="B18" s="76"/>
      <c r="C18" s="67" t="s">
        <v>6</v>
      </c>
      <c r="D18" s="67" t="s">
        <v>160</v>
      </c>
      <c r="E18" s="67" t="s">
        <v>145</v>
      </c>
      <c r="F18" s="67" t="s">
        <v>42</v>
      </c>
      <c r="G18" s="67" t="s">
        <v>165</v>
      </c>
      <c r="H18" s="67" t="str">
        <f t="shared" si="4"/>
        <v>10101100111101110111111110111001</v>
      </c>
      <c r="I18" s="67">
        <f t="shared" si="5"/>
        <v>23</v>
      </c>
      <c r="J18" s="78"/>
      <c r="K18" s="80"/>
      <c r="L18" s="14" t="str">
        <f t="shared" si="2"/>
        <v>00001000000100000001100000100000</v>
      </c>
      <c r="M18" s="14" t="str">
        <f t="shared" ref="M18" si="19">CONCATENATE(MID(M17,6,8),MID(M17,30,3),MID(M17,1,5),MID(M17,22,8),MID(M17,14,8))</f>
        <v>10101100111101110111111110111001</v>
      </c>
    </row>
    <row r="19" spans="2:13" x14ac:dyDescent="0.35">
      <c r="B19" s="75">
        <f>B17+1</f>
        <v>9</v>
      </c>
      <c r="C19" s="66" t="s">
        <v>0</v>
      </c>
      <c r="D19" s="66" t="s">
        <v>88</v>
      </c>
      <c r="E19" s="66" t="s">
        <v>125</v>
      </c>
      <c r="F19" s="66" t="s">
        <v>74</v>
      </c>
      <c r="G19" s="66" t="s">
        <v>101</v>
      </c>
      <c r="H19" s="66" t="str">
        <f t="shared" si="4"/>
        <v>11100001101111110010111111011100</v>
      </c>
      <c r="I19" s="66">
        <f t="shared" si="5"/>
        <v>21</v>
      </c>
      <c r="J19" s="77">
        <v>10</v>
      </c>
      <c r="K19" s="79" t="str">
        <f>HEX2BIN(J19,8)</f>
        <v>00010000</v>
      </c>
      <c r="L19" s="43" t="str">
        <f t="shared" ref="L19" si="20">CONCATENATE(HEX2BIN(G19,8),HEX2BIN(F19,8),HEX2BIN(E19,8),HEX2BIN(D19,8))</f>
        <v>11011100001011111011111111100001</v>
      </c>
      <c r="M19" s="1" t="str">
        <f t="shared" si="1"/>
        <v>11101100010011111111000000100001</v>
      </c>
    </row>
    <row r="20" spans="2:13" ht="18.600000000000001" thickBot="1" x14ac:dyDescent="0.4">
      <c r="B20" s="76"/>
      <c r="C20" s="67" t="s">
        <v>6</v>
      </c>
      <c r="D20" s="67">
        <v>89</v>
      </c>
      <c r="E20" s="67" t="s">
        <v>60</v>
      </c>
      <c r="F20" s="67">
        <v>4</v>
      </c>
      <c r="G20" s="67" t="s">
        <v>68</v>
      </c>
      <c r="H20" s="67" t="str">
        <f t="shared" si="4"/>
        <v>10001001001111010000010011111110</v>
      </c>
      <c r="I20" s="67">
        <f t="shared" si="5"/>
        <v>16</v>
      </c>
      <c r="J20" s="78"/>
      <c r="K20" s="80"/>
      <c r="L20" s="14" t="str">
        <f t="shared" si="2"/>
        <v>00010000001000000011000001000000</v>
      </c>
      <c r="M20" s="14" t="str">
        <f t="shared" ref="M20" si="21">CONCATENATE(MID(M19,6,8),MID(M19,30,3),MID(M19,1,5),MID(M19,22,8),MID(M19,14,8))</f>
        <v>10001001001111010000010011111110</v>
      </c>
    </row>
    <row r="21" spans="2:13" x14ac:dyDescent="0.35">
      <c r="B21" s="75">
        <f>B19+1</f>
        <v>10</v>
      </c>
      <c r="C21" s="66" t="s">
        <v>0</v>
      </c>
      <c r="D21" s="66" t="s">
        <v>160</v>
      </c>
      <c r="E21" s="66" t="s">
        <v>34</v>
      </c>
      <c r="F21" s="66">
        <v>94</v>
      </c>
      <c r="G21" s="66" t="s">
        <v>139</v>
      </c>
      <c r="H21" s="66" t="str">
        <f t="shared" si="4"/>
        <v>10101100111010101001010001011011</v>
      </c>
      <c r="I21" s="66">
        <f t="shared" si="5"/>
        <v>17</v>
      </c>
      <c r="J21" s="77">
        <v>10</v>
      </c>
      <c r="K21" s="79" t="str">
        <f>HEX2BIN(J21,8)</f>
        <v>00010000</v>
      </c>
      <c r="L21" s="43" t="str">
        <f t="shared" ref="L21" si="22">CONCATENATE(HEX2BIN(G21,8),HEX2BIN(F21,8),HEX2BIN(E21,8),HEX2BIN(D21,8))</f>
        <v>01011011100101001110101010101100</v>
      </c>
      <c r="M21" s="1" t="str">
        <f t="shared" si="1"/>
        <v>01101011101101010001101011101100</v>
      </c>
    </row>
    <row r="22" spans="2:13" ht="18.600000000000001" thickBot="1" x14ac:dyDescent="0.4">
      <c r="B22" s="76"/>
      <c r="C22" s="67" t="s">
        <v>6</v>
      </c>
      <c r="D22" s="67">
        <v>76</v>
      </c>
      <c r="E22" s="67" t="s">
        <v>15</v>
      </c>
      <c r="F22" s="67" t="s">
        <v>70</v>
      </c>
      <c r="G22" s="67" t="s">
        <v>12</v>
      </c>
      <c r="H22" s="67" t="str">
        <f t="shared" si="4"/>
        <v>01110110100011010101110110100011</v>
      </c>
      <c r="I22" s="67">
        <f t="shared" si="5"/>
        <v>18</v>
      </c>
      <c r="J22" s="78"/>
      <c r="K22" s="80"/>
      <c r="L22" s="14" t="str">
        <f t="shared" si="2"/>
        <v>00010000001000000011000001000000</v>
      </c>
      <c r="M22" s="14" t="str">
        <f t="shared" ref="M22" si="23">CONCATENATE(MID(M21,6,8),MID(M21,30,3),MID(M21,1,5),MID(M21,22,8),MID(M21,14,8))</f>
        <v>01110110100011010101110110100011</v>
      </c>
    </row>
    <row r="23" spans="2:13" x14ac:dyDescent="0.35">
      <c r="B23" s="75">
        <f>B21+1</f>
        <v>11</v>
      </c>
      <c r="C23" s="66" t="s">
        <v>0</v>
      </c>
      <c r="D23" s="66" t="s">
        <v>69</v>
      </c>
      <c r="E23" s="66">
        <v>87</v>
      </c>
      <c r="F23" s="66" t="s">
        <v>47</v>
      </c>
      <c r="G23" s="66" t="s">
        <v>104</v>
      </c>
      <c r="H23" s="66" t="str">
        <f t="shared" si="4"/>
        <v>01001011100001111111111100101110</v>
      </c>
      <c r="I23" s="66">
        <f t="shared" si="5"/>
        <v>20</v>
      </c>
      <c r="J23" s="77">
        <v>10</v>
      </c>
      <c r="K23" s="79" t="str">
        <f>HEX2BIN(J23,8)</f>
        <v>00010000</v>
      </c>
      <c r="L23" s="43" t="str">
        <f t="shared" ref="L23" si="24">CONCATENATE(HEX2BIN(G23,8),HEX2BIN(F23,8),HEX2BIN(E23,8),HEX2BIN(D23,8))</f>
        <v>00101110111111111000011101001011</v>
      </c>
      <c r="M23" s="1" t="str">
        <f t="shared" si="1"/>
        <v>00111111000111111011011110001011</v>
      </c>
    </row>
    <row r="24" spans="2:13" ht="18.600000000000001" thickBot="1" x14ac:dyDescent="0.4">
      <c r="B24" s="76"/>
      <c r="C24" s="67" t="s">
        <v>6</v>
      </c>
      <c r="D24" s="67" t="s">
        <v>89</v>
      </c>
      <c r="E24" s="67">
        <v>67</v>
      </c>
      <c r="F24" s="67" t="s">
        <v>148</v>
      </c>
      <c r="G24" s="67" t="s">
        <v>63</v>
      </c>
      <c r="H24" s="67" t="str">
        <f t="shared" si="4"/>
        <v>11100011011001111111000111110110</v>
      </c>
      <c r="I24" s="67">
        <f t="shared" si="5"/>
        <v>21</v>
      </c>
      <c r="J24" s="78"/>
      <c r="K24" s="80"/>
      <c r="L24" s="14" t="str">
        <f t="shared" si="2"/>
        <v>00010000001000000011000001000000</v>
      </c>
      <c r="M24" s="14" t="str">
        <f t="shared" ref="M24" si="25">CONCATENATE(MID(M23,6,8),MID(M23,30,3),MID(M23,1,5),MID(M23,22,8),MID(M23,14,8))</f>
        <v>11100011011001111111000111110110</v>
      </c>
    </row>
    <row r="25" spans="2:13" x14ac:dyDescent="0.35">
      <c r="B25" s="75">
        <f>B23+1</f>
        <v>12</v>
      </c>
      <c r="C25" s="66" t="s">
        <v>0</v>
      </c>
      <c r="D25" s="66" t="s">
        <v>18</v>
      </c>
      <c r="E25" s="66" t="s">
        <v>161</v>
      </c>
      <c r="F25" s="66" t="s">
        <v>84</v>
      </c>
      <c r="G25" s="66">
        <v>72</v>
      </c>
      <c r="H25" s="66" t="str">
        <f t="shared" si="4"/>
        <v>00101011010010100011110001110010</v>
      </c>
      <c r="I25" s="66">
        <f t="shared" si="5"/>
        <v>15</v>
      </c>
      <c r="J25" s="77">
        <v>10</v>
      </c>
      <c r="K25" s="79" t="str">
        <f>HEX2BIN(J25,8)</f>
        <v>00010000</v>
      </c>
      <c r="L25" s="43" t="str">
        <f t="shared" ref="L25" si="26">CONCATENATE(HEX2BIN(G25,8),HEX2BIN(F25,8),HEX2BIN(E25,8),HEX2BIN(D25,8))</f>
        <v>01110010001111000100101000101011</v>
      </c>
      <c r="M25" s="1" t="str">
        <f t="shared" si="1"/>
        <v>10000010010111000111101001101011</v>
      </c>
    </row>
    <row r="26" spans="2:13" ht="18.600000000000001" thickBot="1" x14ac:dyDescent="0.4">
      <c r="B26" s="76"/>
      <c r="C26" s="67" t="s">
        <v>6</v>
      </c>
      <c r="D26" s="67" t="s">
        <v>69</v>
      </c>
      <c r="E26" s="67">
        <v>70</v>
      </c>
      <c r="F26" s="67" t="s">
        <v>26</v>
      </c>
      <c r="G26" s="67" t="s">
        <v>153</v>
      </c>
      <c r="H26" s="67" t="str">
        <f t="shared" si="4"/>
        <v>01001011011100000100110110001111</v>
      </c>
      <c r="I26" s="67">
        <f t="shared" si="5"/>
        <v>16</v>
      </c>
      <c r="J26" s="78"/>
      <c r="K26" s="80"/>
      <c r="L26" s="14" t="str">
        <f t="shared" si="2"/>
        <v>00010000001000000011000001000000</v>
      </c>
      <c r="M26" s="14" t="str">
        <f t="shared" ref="M26" si="27">CONCATENATE(MID(M25,6,8),MID(M25,30,3),MID(M25,1,5),MID(M25,22,8),MID(M25,14,8))</f>
        <v>01001011011100000100110110001111</v>
      </c>
    </row>
    <row r="27" spans="2:13" x14ac:dyDescent="0.35">
      <c r="B27" s="75">
        <f>B25+1</f>
        <v>13</v>
      </c>
      <c r="C27" s="66" t="s">
        <v>0</v>
      </c>
      <c r="D27" s="66" t="s">
        <v>76</v>
      </c>
      <c r="E27" s="66" t="s">
        <v>161</v>
      </c>
      <c r="F27" s="66">
        <v>30</v>
      </c>
      <c r="G27" s="66" t="s">
        <v>47</v>
      </c>
      <c r="H27" s="66" t="str">
        <f t="shared" si="4"/>
        <v>11101000010010100011000011111111</v>
      </c>
      <c r="I27" s="66">
        <f t="shared" si="5"/>
        <v>17</v>
      </c>
      <c r="J27" s="77">
        <v>10</v>
      </c>
      <c r="K27" s="79" t="str">
        <f>HEX2BIN(J27,8)</f>
        <v>00010000</v>
      </c>
      <c r="L27" s="43" t="str">
        <f t="shared" ref="L27" si="28">CONCATENATE(HEX2BIN(G27,8),HEX2BIN(F27,8),HEX2BIN(E27,8),HEX2BIN(D27,8))</f>
        <v>11111111001100000100101011101000</v>
      </c>
      <c r="M27" s="1" t="str">
        <f t="shared" si="1"/>
        <v>00001111010100000111101100101000</v>
      </c>
    </row>
    <row r="28" spans="2:13" ht="18.600000000000001" thickBot="1" x14ac:dyDescent="0.4">
      <c r="B28" s="76"/>
      <c r="C28" s="67" t="s">
        <v>6</v>
      </c>
      <c r="D28" s="67" t="s">
        <v>34</v>
      </c>
      <c r="E28" s="67">
        <v>1</v>
      </c>
      <c r="F28" s="67">
        <v>65</v>
      </c>
      <c r="G28" s="67" t="s">
        <v>33</v>
      </c>
      <c r="H28" s="67" t="str">
        <f t="shared" si="4"/>
        <v>11101010000000010110010100001111</v>
      </c>
      <c r="I28" s="67">
        <f t="shared" si="5"/>
        <v>14</v>
      </c>
      <c r="J28" s="78"/>
      <c r="K28" s="80"/>
      <c r="L28" s="14" t="str">
        <f t="shared" si="2"/>
        <v>00010000001000000011000001000000</v>
      </c>
      <c r="M28" s="14" t="str">
        <f t="shared" ref="M28" si="29">CONCATENATE(MID(M27,6,8),MID(M27,30,3),MID(M27,1,5),MID(M27,22,8),MID(M27,14,8))</f>
        <v>11101010000000010110010100001111</v>
      </c>
    </row>
    <row r="29" spans="2:13" x14ac:dyDescent="0.35">
      <c r="B29" s="75">
        <f>B27+1</f>
        <v>14</v>
      </c>
      <c r="C29" s="66" t="s">
        <v>0</v>
      </c>
      <c r="D29" s="66">
        <v>66</v>
      </c>
      <c r="E29" s="66" t="s">
        <v>24</v>
      </c>
      <c r="F29" s="66" t="s">
        <v>134</v>
      </c>
      <c r="G29" s="66">
        <v>57</v>
      </c>
      <c r="H29" s="66" t="str">
        <f t="shared" si="4"/>
        <v>01100110101101011110111001010111</v>
      </c>
      <c r="I29" s="66">
        <f t="shared" si="5"/>
        <v>20</v>
      </c>
      <c r="J29" s="77">
        <v>10</v>
      </c>
      <c r="K29" s="79" t="str">
        <f>HEX2BIN(J29,8)</f>
        <v>00010000</v>
      </c>
      <c r="L29" s="43" t="str">
        <f t="shared" ref="L29" si="30">CONCATENATE(HEX2BIN(G29,8),HEX2BIN(F29,8),HEX2BIN(E29,8),HEX2BIN(D29,8))</f>
        <v>01010111111011101011010101100110</v>
      </c>
      <c r="M29" s="1" t="str">
        <f t="shared" si="1"/>
        <v>01101000000011101110010110100110</v>
      </c>
    </row>
    <row r="30" spans="2:13" ht="18.600000000000001" thickBot="1" x14ac:dyDescent="0.4">
      <c r="B30" s="76"/>
      <c r="C30" s="67" t="s">
        <v>6</v>
      </c>
      <c r="D30" s="67">
        <v>1</v>
      </c>
      <c r="E30" s="67" t="s">
        <v>82</v>
      </c>
      <c r="F30" s="67" t="s">
        <v>155</v>
      </c>
      <c r="G30" s="67" t="s">
        <v>101</v>
      </c>
      <c r="H30" s="67" t="str">
        <f t="shared" si="4"/>
        <v>00000001110011011011010011011100</v>
      </c>
      <c r="I30" s="67">
        <f t="shared" si="5"/>
        <v>15</v>
      </c>
      <c r="J30" s="78"/>
      <c r="K30" s="80"/>
      <c r="L30" s="14" t="str">
        <f t="shared" si="2"/>
        <v>00010000001000000011000001000000</v>
      </c>
      <c r="M30" s="14" t="str">
        <f t="shared" ref="M30" si="31">CONCATENATE(MID(M29,6,8),MID(M29,30,3),MID(M29,1,5),MID(M29,22,8),MID(M29,14,8))</f>
        <v>00000001110011011011010011011100</v>
      </c>
    </row>
    <row r="31" spans="2:13" x14ac:dyDescent="0.35">
      <c r="B31" s="75">
        <f>B29+1</f>
        <v>15</v>
      </c>
      <c r="C31" s="66" t="s">
        <v>0</v>
      </c>
      <c r="D31" s="66">
        <v>13</v>
      </c>
      <c r="E31" s="66" t="s">
        <v>79</v>
      </c>
      <c r="F31" s="66">
        <v>41</v>
      </c>
      <c r="G31" s="66" t="s">
        <v>117</v>
      </c>
      <c r="H31" s="66" t="str">
        <f>CONCATENATE(HEX2BIN(D31,8),HEX2BIN(E31,8),HEX2BIN(F31,8),HEX2BIN(G31,8))</f>
        <v>00010011011111100100000111000001</v>
      </c>
      <c r="I31" s="66">
        <f>MID(H31,1,1)+MID(H31,2,1)+MID(H31,3,1)+MID(H31,4,1)+MID(H31,5,1)+MID(H31,6,1)+MID(H31,7,1)+MID(H31,8,1)+MID(H31,9,1)+MID(H31,10,1)+MID(H31,11,1)+MID(H31,12,1)+MID(H31,13,1)+MID(H31,14,1)+MID(H31,15,1)+MID(H31,16,1)+MID(H31,17,1)+MID(H31,18,1)+MID(H31,19,1)+MID(H31,20,1)+MID(H31,21,1)+MID(H31,22,1)+MID(H31,23,1)+MID(H31,24,1)+MID(H31,25,1)+MID(H31,26,1)+MID(H31,27,1)+MID(H31,28,1)+MID(H31,29,1)+MID(H31,30,1)+MID(H31,31,1)+MID(H31,32,1)</f>
        <v>14</v>
      </c>
      <c r="J31" s="77">
        <v>10</v>
      </c>
      <c r="K31" s="79" t="str">
        <f>HEX2BIN(J31,8)</f>
        <v>00010000</v>
      </c>
      <c r="L31" s="43" t="str">
        <f t="shared" ref="L31" si="32">CONCATENATE(HEX2BIN(G31,8),HEX2BIN(F31,8),HEX2BIN(E31,8),HEX2BIN(D31,8))</f>
        <v>11000001010000010111111000010011</v>
      </c>
      <c r="M31" s="1" t="str">
        <f t="shared" si="1"/>
        <v>11010001011000011010111001010011</v>
      </c>
    </row>
    <row r="32" spans="2:13" ht="18.600000000000001" thickBot="1" x14ac:dyDescent="0.4">
      <c r="B32" s="76"/>
      <c r="C32" s="67" t="s">
        <v>6</v>
      </c>
      <c r="D32" s="67" t="s">
        <v>152</v>
      </c>
      <c r="E32" s="67" t="s">
        <v>150</v>
      </c>
      <c r="F32" s="67" t="s">
        <v>130</v>
      </c>
      <c r="G32" s="67">
        <v>35</v>
      </c>
      <c r="H32" s="67" t="str">
        <f>CONCATENATE(HEX2BIN(D32,8),HEX2BIN(E32,8),HEX2BIN(F32,8),HEX2BIN(G32,8))</f>
        <v>00101100011110101100101000110101</v>
      </c>
      <c r="I32" s="67">
        <f>MID(H32,1,1)+MID(H32,2,1)+MID(H32,3,1)+MID(H32,4,1)+MID(H32,5,1)+MID(H32,6,1)+MID(H32,7,1)+MID(H32,8,1)+MID(H32,9,1)+MID(H32,10,1)+MID(H32,11,1)+MID(H32,12,1)+MID(H32,13,1)+MID(H32,14,1)+MID(H32,15,1)+MID(H32,16,1)+MID(H32,17,1)+MID(H32,18,1)+MID(H32,19,1)+MID(H32,20,1)+MID(H32,21,1)+MID(H32,22,1)+MID(H32,23,1)+MID(H32,24,1)+MID(H32,25,1)+MID(H32,26,1)+MID(H32,27,1)+MID(H32,28,1)+MID(H32,29,1)+MID(H32,30,1)+MID(H32,31,1)+MID(H32,32,1)</f>
        <v>16</v>
      </c>
      <c r="J32" s="78"/>
      <c r="K32" s="80"/>
      <c r="L32" s="14" t="str">
        <f t="shared" si="2"/>
        <v>00010000001000000011000001000000</v>
      </c>
      <c r="M32" s="14" t="str">
        <f t="shared" ref="M32" si="33">CONCATENATE(MID(M31,6,8),MID(M31,30,3),MID(M31,1,5),MID(M31,22,8),MID(M31,14,8))</f>
        <v>00101100011110101100101000110101</v>
      </c>
    </row>
    <row r="33" spans="2:13" x14ac:dyDescent="0.35">
      <c r="B33" s="75">
        <f>B31+1</f>
        <v>16</v>
      </c>
      <c r="C33" s="66" t="s">
        <v>0</v>
      </c>
      <c r="D33" s="66">
        <v>9</v>
      </c>
      <c r="E33" s="66" t="s">
        <v>32</v>
      </c>
      <c r="F33" s="66" t="s">
        <v>24</v>
      </c>
      <c r="G33" s="66" t="s">
        <v>130</v>
      </c>
      <c r="H33" s="66" t="str">
        <f t="shared" ref="H33:H54" si="34">CONCATENATE(HEX2BIN(D33,8),HEX2BIN(E33,8),HEX2BIN(F33,8),HEX2BIN(G33,8))</f>
        <v>00001001101001111011010111001010</v>
      </c>
      <c r="I33" s="66">
        <f t="shared" ref="I33:I54" si="35">MID(H33,1,1)+MID(H33,2,1)+MID(H33,3,1)+MID(H33,4,1)+MID(H33,5,1)+MID(H33,6,1)+MID(H33,7,1)+MID(H33,8,1)+MID(H33,9,1)+MID(H33,10,1)+MID(H33,11,1)+MID(H33,12,1)+MID(H33,13,1)+MID(H33,14,1)+MID(H33,15,1)+MID(H33,16,1)+MID(H33,17,1)+MID(H33,18,1)+MID(H33,19,1)+MID(H33,20,1)+MID(H33,21,1)+MID(H33,22,1)+MID(H33,23,1)+MID(H33,24,1)+MID(H33,25,1)+MID(H33,26,1)+MID(H33,27,1)+MID(H33,28,1)+MID(H33,29,1)+MID(H33,30,1)+MID(H33,31,1)+MID(H33,32,1)</f>
        <v>16</v>
      </c>
      <c r="J33" s="77">
        <v>10</v>
      </c>
      <c r="K33" s="79" t="str">
        <f>HEX2BIN(J33,8)</f>
        <v>00010000</v>
      </c>
      <c r="L33" s="43" t="str">
        <f t="shared" ref="L33" si="36">CONCATENATE(HEX2BIN(G33,8),HEX2BIN(F33,8),HEX2BIN(E33,8),HEX2BIN(D33,8))</f>
        <v>11001010101101011010011100001001</v>
      </c>
      <c r="M33" s="1" t="str">
        <f t="shared" si="1"/>
        <v>11011010110101011101011101001001</v>
      </c>
    </row>
    <row r="34" spans="2:13" ht="18.600000000000001" thickBot="1" x14ac:dyDescent="0.4">
      <c r="B34" s="76"/>
      <c r="C34" s="67" t="s">
        <v>6</v>
      </c>
      <c r="D34" s="67" t="s">
        <v>72</v>
      </c>
      <c r="E34" s="67" t="s">
        <v>90</v>
      </c>
      <c r="F34" s="67" t="s">
        <v>37</v>
      </c>
      <c r="G34" s="67" t="s">
        <v>135</v>
      </c>
      <c r="H34" s="67" t="str">
        <f t="shared" si="34"/>
        <v>01011010001110111110100110111010</v>
      </c>
      <c r="I34" s="67">
        <f t="shared" si="35"/>
        <v>19</v>
      </c>
      <c r="J34" s="78"/>
      <c r="K34" s="80"/>
      <c r="L34" s="14" t="str">
        <f t="shared" si="2"/>
        <v>00010000001000000011000001000000</v>
      </c>
      <c r="M34" s="14" t="str">
        <f t="shared" ref="M34" si="37">CONCATENATE(MID(M33,6,8),MID(M33,30,3),MID(M33,1,5),MID(M33,22,8),MID(M33,14,8))</f>
        <v>01011010001110111110100110111010</v>
      </c>
    </row>
    <row r="35" spans="2:13" x14ac:dyDescent="0.35">
      <c r="B35" s="75">
        <f>B33+1</f>
        <v>17</v>
      </c>
      <c r="C35" s="66" t="s">
        <v>0</v>
      </c>
      <c r="D35" s="66" t="s">
        <v>162</v>
      </c>
      <c r="E35" s="66" t="s">
        <v>117</v>
      </c>
      <c r="F35" s="66">
        <v>61</v>
      </c>
      <c r="G35" s="66">
        <v>36</v>
      </c>
      <c r="H35" s="66" t="str">
        <f t="shared" si="34"/>
        <v>10100110110000010110000100110110</v>
      </c>
      <c r="I35" s="66">
        <f t="shared" si="35"/>
        <v>14</v>
      </c>
      <c r="J35" s="77">
        <v>20</v>
      </c>
      <c r="K35" s="79" t="str">
        <f>HEX2BIN(J35,8)</f>
        <v>00100000</v>
      </c>
      <c r="L35" s="43" t="str">
        <f t="shared" ref="L35" si="38">CONCATENATE(HEX2BIN(G35,8),HEX2BIN(F35,8),HEX2BIN(E35,8),HEX2BIN(D35,8))</f>
        <v>00110110011000011100000110100110</v>
      </c>
      <c r="M35" s="1" t="str">
        <f t="shared" si="1"/>
        <v>01010110101000100010001000100110</v>
      </c>
    </row>
    <row r="36" spans="2:13" ht="18.600000000000001" thickBot="1" x14ac:dyDescent="0.4">
      <c r="B36" s="76"/>
      <c r="C36" s="67" t="s">
        <v>6</v>
      </c>
      <c r="D36" s="67" t="s">
        <v>120</v>
      </c>
      <c r="E36" s="67" t="s">
        <v>130</v>
      </c>
      <c r="F36" s="67">
        <v>44</v>
      </c>
      <c r="G36" s="67">
        <v>44</v>
      </c>
      <c r="H36" s="67" t="str">
        <f t="shared" si="34"/>
        <v>11010100110010100100010001000100</v>
      </c>
      <c r="I36" s="67">
        <f t="shared" si="35"/>
        <v>12</v>
      </c>
      <c r="J36" s="78"/>
      <c r="K36" s="80"/>
      <c r="L36" s="14" t="str">
        <f t="shared" si="2"/>
        <v>00100000010000000110000010000000</v>
      </c>
      <c r="M36" s="14" t="str">
        <f t="shared" ref="M36" si="39">CONCATENATE(MID(M35,6,8),MID(M35,30,3),MID(M35,1,5),MID(M35,22,8),MID(M35,14,8))</f>
        <v>11010100110010100100010001000100</v>
      </c>
    </row>
    <row r="37" spans="2:13" x14ac:dyDescent="0.35">
      <c r="B37" s="75">
        <f>B35+1</f>
        <v>18</v>
      </c>
      <c r="C37" s="66" t="s">
        <v>0</v>
      </c>
      <c r="D37" s="66">
        <v>42</v>
      </c>
      <c r="E37" s="66">
        <v>37</v>
      </c>
      <c r="F37" s="66" t="s">
        <v>153</v>
      </c>
      <c r="G37" s="66" t="s">
        <v>85</v>
      </c>
      <c r="H37" s="66" t="str">
        <f t="shared" si="34"/>
        <v>01000010001101111000111101101111</v>
      </c>
      <c r="I37" s="66">
        <f t="shared" si="35"/>
        <v>18</v>
      </c>
      <c r="J37" s="77">
        <v>20</v>
      </c>
      <c r="K37" s="79" t="str">
        <f>HEX2BIN(J37,8)</f>
        <v>00100000</v>
      </c>
      <c r="L37" s="43" t="str">
        <f t="shared" ref="L37" si="40">CONCATENATE(HEX2BIN(G37,8),HEX2BIN(F37,8),HEX2BIN(E37,8),HEX2BIN(D37,8))</f>
        <v>01101111100011110011011101000010</v>
      </c>
      <c r="M37" s="1" t="str">
        <f t="shared" si="1"/>
        <v>10001111110011111001011111000010</v>
      </c>
    </row>
    <row r="38" spans="2:13" ht="18.600000000000001" thickBot="1" x14ac:dyDescent="0.4">
      <c r="B38" s="76"/>
      <c r="C38" s="67" t="s">
        <v>6</v>
      </c>
      <c r="D38" s="67" t="s">
        <v>86</v>
      </c>
      <c r="E38" s="67">
        <v>51</v>
      </c>
      <c r="F38" s="67" t="s">
        <v>66</v>
      </c>
      <c r="G38" s="67" t="s">
        <v>96</v>
      </c>
      <c r="H38" s="67" t="str">
        <f t="shared" si="34"/>
        <v>11111001010100011111100011110010</v>
      </c>
      <c r="I38" s="67">
        <f t="shared" si="35"/>
        <v>19</v>
      </c>
      <c r="J38" s="78"/>
      <c r="K38" s="80"/>
      <c r="L38" s="14" t="str">
        <f t="shared" si="2"/>
        <v>00100000010000000110000010000000</v>
      </c>
      <c r="M38" s="14" t="str">
        <f t="shared" ref="M38" si="41">CONCATENATE(MID(M37,6,8),MID(M37,30,3),MID(M37,1,5),MID(M37,22,8),MID(M37,14,8))</f>
        <v>11111001010100011111100011110010</v>
      </c>
    </row>
    <row r="39" spans="2:13" x14ac:dyDescent="0.35">
      <c r="B39" s="75">
        <f>B37+1</f>
        <v>19</v>
      </c>
      <c r="C39" s="66" t="s">
        <v>0</v>
      </c>
      <c r="D39" s="66" t="s">
        <v>79</v>
      </c>
      <c r="E39" s="66" t="s">
        <v>99</v>
      </c>
      <c r="F39" s="66" t="s">
        <v>107</v>
      </c>
      <c r="G39" s="66" t="s">
        <v>14</v>
      </c>
      <c r="H39" s="66" t="str">
        <f t="shared" si="34"/>
        <v>01111110101000101100110011011101</v>
      </c>
      <c r="I39" s="66">
        <f t="shared" si="35"/>
        <v>19</v>
      </c>
      <c r="J39" s="77">
        <v>20</v>
      </c>
      <c r="K39" s="79" t="str">
        <f>HEX2BIN(J39,8)</f>
        <v>00100000</v>
      </c>
      <c r="L39" s="43" t="str">
        <f t="shared" ref="L39" si="42">CONCATENATE(HEX2BIN(G39,8),HEX2BIN(F39,8),HEX2BIN(E39,8),HEX2BIN(D39,8))</f>
        <v>11011101110011001010001001111110</v>
      </c>
      <c r="M39" s="1" t="str">
        <f t="shared" si="1"/>
        <v>11111110000011010000001011111110</v>
      </c>
    </row>
    <row r="40" spans="2:13" ht="18.600000000000001" thickBot="1" x14ac:dyDescent="0.4">
      <c r="B40" s="76"/>
      <c r="C40" s="67" t="s">
        <v>6</v>
      </c>
      <c r="D40" s="67" t="s">
        <v>117</v>
      </c>
      <c r="E40" s="67" t="s">
        <v>30</v>
      </c>
      <c r="F40" s="67" t="s">
        <v>36</v>
      </c>
      <c r="G40" s="67" t="s">
        <v>124</v>
      </c>
      <c r="H40" s="67" t="str">
        <f t="shared" si="34"/>
        <v>11000001110111110101111110100000</v>
      </c>
      <c r="I40" s="67">
        <f t="shared" si="35"/>
        <v>18</v>
      </c>
      <c r="J40" s="78"/>
      <c r="K40" s="80"/>
      <c r="L40" s="14" t="str">
        <f t="shared" si="2"/>
        <v>00100000010000000110000010000000</v>
      </c>
      <c r="M40" s="14" t="str">
        <f t="shared" ref="M40" si="43">CONCATENATE(MID(M39,6,8),MID(M39,30,3),MID(M39,1,5),MID(M39,22,8),MID(M39,14,8))</f>
        <v>11000001110111110101111110100000</v>
      </c>
    </row>
    <row r="41" spans="2:13" x14ac:dyDescent="0.35">
      <c r="B41" s="75">
        <f>B39+1</f>
        <v>20</v>
      </c>
      <c r="C41" s="66" t="s">
        <v>0</v>
      </c>
      <c r="D41" s="66">
        <v>34</v>
      </c>
      <c r="E41" s="66" t="s">
        <v>151</v>
      </c>
      <c r="F41" s="66">
        <v>57</v>
      </c>
      <c r="G41" s="66" t="s">
        <v>86</v>
      </c>
      <c r="H41" s="66" t="str">
        <f t="shared" si="34"/>
        <v>00110100110010010101011111111001</v>
      </c>
      <c r="I41" s="66">
        <f t="shared" si="35"/>
        <v>18</v>
      </c>
      <c r="J41" s="77">
        <v>20</v>
      </c>
      <c r="K41" s="79" t="str">
        <f>HEX2BIN(J41,8)</f>
        <v>00100000</v>
      </c>
      <c r="L41" s="43" t="str">
        <f t="shared" ref="L41" si="44">CONCATENATE(HEX2BIN(G41,8),HEX2BIN(F41,8),HEX2BIN(E41,8),HEX2BIN(D41,8))</f>
        <v>11111001010101111100100100110100</v>
      </c>
      <c r="M41" s="1" t="str">
        <f t="shared" si="1"/>
        <v>00011001100110000010100110110100</v>
      </c>
    </row>
    <row r="42" spans="2:13" ht="18.600000000000001" thickBot="1" x14ac:dyDescent="0.4">
      <c r="B42" s="76"/>
      <c r="C42" s="67" t="s">
        <v>6</v>
      </c>
      <c r="D42" s="67">
        <v>33</v>
      </c>
      <c r="E42" s="67">
        <v>83</v>
      </c>
      <c r="F42" s="67">
        <v>36</v>
      </c>
      <c r="G42" s="67">
        <v>5</v>
      </c>
      <c r="H42" s="67" t="str">
        <f t="shared" si="34"/>
        <v>00110011100000110011011000000101</v>
      </c>
      <c r="I42" s="67">
        <f t="shared" si="35"/>
        <v>13</v>
      </c>
      <c r="J42" s="78"/>
      <c r="K42" s="80"/>
      <c r="L42" s="14" t="str">
        <f t="shared" si="2"/>
        <v>00100000010000000110000010000000</v>
      </c>
      <c r="M42" s="14" t="str">
        <f t="shared" ref="M42" si="45">CONCATENATE(MID(M41,6,8),MID(M41,30,3),MID(M41,1,5),MID(M41,22,8),MID(M41,14,8))</f>
        <v>00110011100000110011011000000101</v>
      </c>
    </row>
    <row r="43" spans="2:13" x14ac:dyDescent="0.35">
      <c r="B43" s="75">
        <f>B41+1</f>
        <v>21</v>
      </c>
      <c r="C43" s="66" t="s">
        <v>0</v>
      </c>
      <c r="D43" s="66">
        <v>89</v>
      </c>
      <c r="E43" s="66" t="s">
        <v>146</v>
      </c>
      <c r="F43" s="66" t="s">
        <v>138</v>
      </c>
      <c r="G43" s="66">
        <v>93</v>
      </c>
      <c r="H43" s="66" t="str">
        <f t="shared" si="34"/>
        <v>10001001101110111100111010010011</v>
      </c>
      <c r="I43" s="66">
        <f t="shared" si="35"/>
        <v>18</v>
      </c>
      <c r="J43" s="77">
        <v>20</v>
      </c>
      <c r="K43" s="79" t="str">
        <f>HEX2BIN(J43,8)</f>
        <v>00100000</v>
      </c>
      <c r="L43" s="43" t="str">
        <f t="shared" ref="L43" si="46">CONCATENATE(HEX2BIN(G43,8),HEX2BIN(F43,8),HEX2BIN(E43,8),HEX2BIN(D43,8))</f>
        <v>10010011110011101011101110001001</v>
      </c>
      <c r="M43" s="1" t="str">
        <f t="shared" si="1"/>
        <v>10110100000011110001110000001001</v>
      </c>
    </row>
    <row r="44" spans="2:13" ht="18.600000000000001" thickBot="1" x14ac:dyDescent="0.4">
      <c r="B44" s="76"/>
      <c r="C44" s="67" t="s">
        <v>6</v>
      </c>
      <c r="D44" s="67">
        <v>81</v>
      </c>
      <c r="E44" s="67">
        <v>36</v>
      </c>
      <c r="F44" s="67">
        <v>81</v>
      </c>
      <c r="G44" s="67" t="s">
        <v>89</v>
      </c>
      <c r="H44" s="67" t="str">
        <f t="shared" si="34"/>
        <v>10000001001101101000000111100011</v>
      </c>
      <c r="I44" s="67">
        <f t="shared" si="35"/>
        <v>13</v>
      </c>
      <c r="J44" s="78"/>
      <c r="K44" s="80"/>
      <c r="L44" s="14" t="str">
        <f t="shared" si="2"/>
        <v>00100000010000000110000010000000</v>
      </c>
      <c r="M44" s="14" t="str">
        <f t="shared" ref="M44" si="47">CONCATENATE(MID(M43,6,8),MID(M43,30,3),MID(M43,1,5),MID(M43,22,8),MID(M43,14,8))</f>
        <v>10000001001101101000000111100011</v>
      </c>
    </row>
    <row r="45" spans="2:13" x14ac:dyDescent="0.35">
      <c r="B45" s="75">
        <f>B43+1</f>
        <v>22</v>
      </c>
      <c r="C45" s="66" t="s">
        <v>0</v>
      </c>
      <c r="D45" s="66" t="s">
        <v>17</v>
      </c>
      <c r="E45" s="66" t="s">
        <v>30</v>
      </c>
      <c r="F45" s="66" t="s">
        <v>81</v>
      </c>
      <c r="G45" s="66">
        <v>62</v>
      </c>
      <c r="H45" s="66" t="str">
        <f t="shared" si="34"/>
        <v>01101100110111111111010001100010</v>
      </c>
      <c r="I45" s="66">
        <f t="shared" si="35"/>
        <v>19</v>
      </c>
      <c r="J45" s="77">
        <v>20</v>
      </c>
      <c r="K45" s="79" t="str">
        <f>HEX2BIN(J45,8)</f>
        <v>00100000</v>
      </c>
      <c r="L45" s="43" t="str">
        <f t="shared" ref="L45" si="48">CONCATENATE(HEX2BIN(G45,8),HEX2BIN(F45,8),HEX2BIN(E45,8),HEX2BIN(D45,8))</f>
        <v>01100010111101001101111101101100</v>
      </c>
      <c r="M45" s="1" t="str">
        <f t="shared" si="1"/>
        <v>10000011001101010011111111101100</v>
      </c>
    </row>
    <row r="46" spans="2:13" ht="18.600000000000001" thickBot="1" x14ac:dyDescent="0.4">
      <c r="B46" s="76"/>
      <c r="C46" s="67" t="s">
        <v>6</v>
      </c>
      <c r="D46" s="67">
        <v>66</v>
      </c>
      <c r="E46" s="67">
        <v>90</v>
      </c>
      <c r="F46" s="67" t="s">
        <v>156</v>
      </c>
      <c r="G46" s="67" t="s">
        <v>32</v>
      </c>
      <c r="H46" s="67" t="str">
        <f t="shared" si="34"/>
        <v>01100110100100001111110110100111</v>
      </c>
      <c r="I46" s="67">
        <f t="shared" si="35"/>
        <v>18</v>
      </c>
      <c r="J46" s="78"/>
      <c r="K46" s="80"/>
      <c r="L46" s="14" t="str">
        <f t="shared" si="2"/>
        <v>00100000010000000110000010000000</v>
      </c>
      <c r="M46" s="14" t="str">
        <f t="shared" ref="M46" si="49">CONCATENATE(MID(M45,6,8),MID(M45,30,3),MID(M45,1,5),MID(M45,22,8),MID(M45,14,8))</f>
        <v>01100110100100001111110110100111</v>
      </c>
    </row>
    <row r="47" spans="2:13" x14ac:dyDescent="0.35">
      <c r="B47" s="75">
        <f>B45+1</f>
        <v>23</v>
      </c>
      <c r="C47" s="66" t="s">
        <v>0</v>
      </c>
      <c r="D47" s="66" t="s">
        <v>128</v>
      </c>
      <c r="E47" s="66" t="s">
        <v>92</v>
      </c>
      <c r="F47" s="66" t="s">
        <v>134</v>
      </c>
      <c r="G47" s="66">
        <v>51</v>
      </c>
      <c r="H47" s="66" t="str">
        <f t="shared" si="34"/>
        <v>10110001110010001110111001010001</v>
      </c>
      <c r="I47" s="66">
        <f t="shared" si="35"/>
        <v>16</v>
      </c>
      <c r="J47" s="77">
        <v>20</v>
      </c>
      <c r="K47" s="79" t="str">
        <f>HEX2BIN(J47,8)</f>
        <v>00100000</v>
      </c>
      <c r="L47" s="43" t="str">
        <f t="shared" ref="L47" si="50">CONCATENATE(HEX2BIN(G47,8),HEX2BIN(F47,8),HEX2BIN(E47,8),HEX2BIN(D47,8))</f>
        <v>01010001111011101100100010110001</v>
      </c>
      <c r="M47" s="1" t="str">
        <f t="shared" si="1"/>
        <v>01110010001011110010100100110001</v>
      </c>
    </row>
    <row r="48" spans="2:13" ht="18.600000000000001" thickBot="1" x14ac:dyDescent="0.4">
      <c r="B48" s="76"/>
      <c r="C48" s="67" t="s">
        <v>6</v>
      </c>
      <c r="D48" s="67">
        <v>45</v>
      </c>
      <c r="E48" s="67" t="s">
        <v>104</v>
      </c>
      <c r="F48" s="67">
        <v>26</v>
      </c>
      <c r="G48" s="67" t="s">
        <v>158</v>
      </c>
      <c r="H48" s="67" t="str">
        <f t="shared" si="34"/>
        <v>01000101001011100010011011100101</v>
      </c>
      <c r="I48" s="67">
        <f t="shared" si="35"/>
        <v>15</v>
      </c>
      <c r="J48" s="78"/>
      <c r="K48" s="80"/>
      <c r="L48" s="14" t="str">
        <f t="shared" si="2"/>
        <v>00100000010000000110000010000000</v>
      </c>
      <c r="M48" s="14" t="str">
        <f t="shared" ref="M48" si="51">CONCATENATE(MID(M47,6,8),MID(M47,30,3),MID(M47,1,5),MID(M47,22,8),MID(M47,14,8))</f>
        <v>01000101001011100010011011100101</v>
      </c>
    </row>
    <row r="49" spans="2:13" x14ac:dyDescent="0.35">
      <c r="B49" s="75">
        <f>B47+1</f>
        <v>24</v>
      </c>
      <c r="C49" s="66" t="s">
        <v>0</v>
      </c>
      <c r="D49" s="66" t="s">
        <v>36</v>
      </c>
      <c r="E49" s="66">
        <v>91</v>
      </c>
      <c r="F49" s="66">
        <v>81</v>
      </c>
      <c r="G49" s="66">
        <v>9</v>
      </c>
      <c r="H49" s="66" t="str">
        <f t="shared" si="34"/>
        <v>01011111100100011000000100001001</v>
      </c>
      <c r="I49" s="66">
        <f t="shared" si="35"/>
        <v>13</v>
      </c>
      <c r="J49" s="77">
        <v>20</v>
      </c>
      <c r="K49" s="79" t="str">
        <f>HEX2BIN(J49,8)</f>
        <v>00100000</v>
      </c>
      <c r="L49" s="43" t="str">
        <f t="shared" ref="L49" si="52">CONCATENATE(HEX2BIN(G49,8),HEX2BIN(F49,8),HEX2BIN(E49,8),HEX2BIN(D49,8))</f>
        <v>00001001100000011001000101011111</v>
      </c>
      <c r="M49" s="1" t="str">
        <f t="shared" si="1"/>
        <v>00101001110000011111000111011111</v>
      </c>
    </row>
    <row r="50" spans="2:13" ht="18.600000000000001" thickBot="1" x14ac:dyDescent="0.4">
      <c r="B50" s="76"/>
      <c r="C50" s="67" t="s">
        <v>6</v>
      </c>
      <c r="D50" s="67">
        <v>38</v>
      </c>
      <c r="E50" s="67" t="s">
        <v>158</v>
      </c>
      <c r="F50" s="67" t="s">
        <v>90</v>
      </c>
      <c r="G50" s="67" t="s">
        <v>142</v>
      </c>
      <c r="H50" s="67" t="str">
        <f t="shared" si="34"/>
        <v>00111000111001010011101100111110</v>
      </c>
      <c r="I50" s="67">
        <f t="shared" si="35"/>
        <v>18</v>
      </c>
      <c r="J50" s="78"/>
      <c r="K50" s="80"/>
      <c r="L50" s="14" t="str">
        <f t="shared" si="2"/>
        <v>00100000010000000110000010000000</v>
      </c>
      <c r="M50" s="14" t="str">
        <f t="shared" ref="M50" si="53">CONCATENATE(MID(M49,6,8),MID(M49,30,3),MID(M49,1,5),MID(M49,22,8),MID(M49,14,8))</f>
        <v>00111000111001010011101100111110</v>
      </c>
    </row>
    <row r="51" spans="2:13" x14ac:dyDescent="0.35">
      <c r="B51" s="75">
        <f>B49+1</f>
        <v>25</v>
      </c>
      <c r="C51" s="66" t="s">
        <v>0</v>
      </c>
      <c r="D51" s="66" t="s">
        <v>27</v>
      </c>
      <c r="E51" s="66">
        <v>41</v>
      </c>
      <c r="F51" s="66">
        <v>21</v>
      </c>
      <c r="G51" s="66" t="s">
        <v>96</v>
      </c>
      <c r="H51" s="66" t="str">
        <f t="shared" si="34"/>
        <v>11010001010000010010000111110010</v>
      </c>
      <c r="I51" s="66">
        <f t="shared" si="35"/>
        <v>13</v>
      </c>
      <c r="J51" s="66">
        <v>20</v>
      </c>
      <c r="K51" s="68" t="str">
        <f>HEX2BIN(J51,8)</f>
        <v>00100000</v>
      </c>
      <c r="L51" s="43" t="str">
        <f t="shared" ref="L51" si="54">CONCATENATE(HEX2BIN(G51,8),HEX2BIN(F51,8),HEX2BIN(E51,8),HEX2BIN(D51,8))</f>
        <v>11110010001000010100000111010001</v>
      </c>
      <c r="M51" s="1" t="str">
        <f t="shared" si="1"/>
        <v>00010010011000011010001001010001</v>
      </c>
    </row>
    <row r="52" spans="2:13" ht="18.600000000000001" thickBot="1" x14ac:dyDescent="0.4">
      <c r="B52" s="76"/>
      <c r="C52" s="67" t="s">
        <v>6</v>
      </c>
      <c r="D52" s="67" t="s">
        <v>122</v>
      </c>
      <c r="E52" s="67">
        <v>22</v>
      </c>
      <c r="F52" s="67" t="s">
        <v>161</v>
      </c>
      <c r="G52" s="67">
        <v>34</v>
      </c>
      <c r="H52" s="67" t="str">
        <f t="shared" si="34"/>
        <v>01001100001000100100101000110100</v>
      </c>
      <c r="I52" s="67">
        <f t="shared" si="35"/>
        <v>11</v>
      </c>
      <c r="J52" s="67"/>
      <c r="K52" s="69"/>
      <c r="L52" s="14" t="str">
        <f t="shared" si="2"/>
        <v>00100000010000000110000010000000</v>
      </c>
      <c r="M52" s="14" t="str">
        <f t="shared" ref="M52" si="55">CONCATENATE(MID(M51,6,8),MID(M51,30,3),MID(M51,1,5),MID(M51,22,8),MID(M51,14,8))</f>
        <v>01001100001000100100101000110100</v>
      </c>
    </row>
    <row r="53" spans="2:13" x14ac:dyDescent="0.35">
      <c r="B53" s="75">
        <f>B51+1</f>
        <v>26</v>
      </c>
      <c r="C53" s="66" t="s">
        <v>0</v>
      </c>
      <c r="D53" s="66" t="s">
        <v>161</v>
      </c>
      <c r="E53" s="66">
        <v>56</v>
      </c>
      <c r="F53" s="66" t="s">
        <v>59</v>
      </c>
      <c r="G53" s="66">
        <v>17</v>
      </c>
      <c r="H53" s="66" t="str">
        <f t="shared" si="34"/>
        <v>01001010010101100110101000010111</v>
      </c>
      <c r="I53" s="66">
        <f t="shared" si="35"/>
        <v>15</v>
      </c>
      <c r="J53" s="66">
        <v>20</v>
      </c>
      <c r="K53" s="68" t="str">
        <f>HEX2BIN(J53,8)</f>
        <v>00100000</v>
      </c>
      <c r="L53" s="43" t="str">
        <f t="shared" ref="L53" si="56">CONCATENATE(HEX2BIN(G53,8),HEX2BIN(F53,8),HEX2BIN(E53,8),HEX2BIN(D53,8))</f>
        <v>00010111011010100101011001001010</v>
      </c>
      <c r="M53" s="1" t="str">
        <f t="shared" si="1"/>
        <v>00110111101010101011011011001010</v>
      </c>
    </row>
    <row r="54" spans="2:13" ht="18.600000000000001" thickBot="1" x14ac:dyDescent="0.4">
      <c r="B54" s="76"/>
      <c r="C54" s="67" t="s">
        <v>6</v>
      </c>
      <c r="D54" s="67" t="s">
        <v>100</v>
      </c>
      <c r="E54" s="67">
        <v>46</v>
      </c>
      <c r="F54" s="67" t="s">
        <v>163</v>
      </c>
      <c r="G54" s="67">
        <v>56</v>
      </c>
      <c r="H54" s="67" t="str">
        <f t="shared" si="34"/>
        <v>11110101010001101101100101010110</v>
      </c>
      <c r="I54" s="67">
        <f t="shared" si="35"/>
        <v>18</v>
      </c>
      <c r="J54" s="67"/>
      <c r="K54" s="69"/>
      <c r="L54" s="14" t="str">
        <f t="shared" si="2"/>
        <v>00100000010000000110000010000000</v>
      </c>
      <c r="M54" s="14" t="str">
        <f t="shared" ref="M54" si="57">CONCATENATE(MID(M53,6,8),MID(M53,30,3),MID(M53,1,5),MID(M53,22,8),MID(M53,14,8))</f>
        <v>11110101010001101101100101010110</v>
      </c>
    </row>
    <row r="55" spans="2:13" x14ac:dyDescent="0.35">
      <c r="B55" s="75">
        <f>B53+1</f>
        <v>27</v>
      </c>
      <c r="C55" s="66" t="s">
        <v>0</v>
      </c>
      <c r="D55" s="66" t="s">
        <v>106</v>
      </c>
      <c r="E55" s="66" t="s">
        <v>161</v>
      </c>
      <c r="F55" s="66" t="s">
        <v>35</v>
      </c>
      <c r="G55" s="66" t="s">
        <v>131</v>
      </c>
      <c r="H55" s="66" t="str">
        <f>CONCATENATE(HEX2BIN(D55,8),HEX2BIN(E55,8),HEX2BIN(F55,8),HEX2BIN(G55,8))</f>
        <v>11011110010010101101011000011111</v>
      </c>
      <c r="I55" s="66">
        <f>MID(H55,1,1)+MID(H55,2,1)+MID(H55,3,1)+MID(H55,4,1)+MID(H55,5,1)+MID(H55,6,1)+MID(H55,7,1)+MID(H55,8,1)+MID(H55,9,1)+MID(H55,10,1)+MID(H55,11,1)+MID(H55,12,1)+MID(H55,13,1)+MID(H55,14,1)+MID(H55,15,1)+MID(H55,16,1)+MID(H55,17,1)+MID(H55,18,1)+MID(H55,19,1)+MID(H55,20,1)+MID(H55,21,1)+MID(H55,22,1)+MID(H55,23,1)+MID(H55,24,1)+MID(H55,25,1)+MID(H55,26,1)+MID(H55,27,1)+MID(H55,28,1)+MID(H55,29,1)+MID(H55,30,1)+MID(H55,31,1)+MID(H55,32,1)</f>
        <v>19</v>
      </c>
      <c r="J55" s="66">
        <v>20</v>
      </c>
      <c r="K55" s="68" t="str">
        <f>HEX2BIN(J55,8)</f>
        <v>00100000</v>
      </c>
      <c r="L55" s="43" t="str">
        <f t="shared" ref="L55" si="58">CONCATENATE(HEX2BIN(G55,8),HEX2BIN(F55,8),HEX2BIN(E55,8),HEX2BIN(D55,8))</f>
        <v>00011111110101100100101011011110</v>
      </c>
      <c r="M55" s="1" t="str">
        <f t="shared" si="1"/>
        <v>01000000000101101010101101011110</v>
      </c>
    </row>
    <row r="56" spans="2:13" ht="18.600000000000001" thickBot="1" x14ac:dyDescent="0.4">
      <c r="B56" s="76"/>
      <c r="C56" s="67" t="s">
        <v>6</v>
      </c>
      <c r="D56" s="67">
        <v>2</v>
      </c>
      <c r="E56" s="67" t="s">
        <v>92</v>
      </c>
      <c r="F56" s="67" t="s">
        <v>97</v>
      </c>
      <c r="G56" s="67" t="s">
        <v>22</v>
      </c>
      <c r="H56" s="67" t="str">
        <f>CONCATENATE(HEX2BIN(D56,8),HEX2BIN(E56,8),HEX2BIN(F56,8),HEX2BIN(G56,8))</f>
        <v>00000010110010000110101111010101</v>
      </c>
      <c r="I56" s="67">
        <f>MID(H56,1,1)+MID(H56,2,1)+MID(H56,3,1)+MID(H56,4,1)+MID(H56,5,1)+MID(H56,6,1)+MID(H56,7,1)+MID(H56,8,1)+MID(H56,9,1)+MID(H56,10,1)+MID(H56,11,1)+MID(H56,12,1)+MID(H56,13,1)+MID(H56,14,1)+MID(H56,15,1)+MID(H56,16,1)+MID(H56,17,1)+MID(H56,18,1)+MID(H56,19,1)+MID(H56,20,1)+MID(H56,21,1)+MID(H56,22,1)+MID(H56,23,1)+MID(H56,24,1)+MID(H56,25,1)+MID(H56,26,1)+MID(H56,27,1)+MID(H56,28,1)+MID(H56,29,1)+MID(H56,30,1)+MID(H56,31,1)+MID(H56,32,1)</f>
        <v>14</v>
      </c>
      <c r="J56" s="67"/>
      <c r="K56" s="69"/>
      <c r="L56" s="14" t="str">
        <f t="shared" si="2"/>
        <v>00100000010000000110000010000000</v>
      </c>
      <c r="M56" s="14" t="str">
        <f t="shared" ref="M56" si="59">CONCATENATE(MID(M55,6,8),MID(M55,30,3),MID(M55,1,5),MID(M55,22,8),MID(M55,14,8))</f>
        <v>00000010110010000110101111010101</v>
      </c>
    </row>
    <row r="57" spans="2:13" x14ac:dyDescent="0.35">
      <c r="B57" s="75">
        <f>B55+1</f>
        <v>28</v>
      </c>
      <c r="C57" s="66" t="s">
        <v>0</v>
      </c>
      <c r="D57" s="66">
        <v>99</v>
      </c>
      <c r="E57" s="66" t="s">
        <v>143</v>
      </c>
      <c r="F57" s="66" t="s">
        <v>18</v>
      </c>
      <c r="G57" s="66">
        <v>65</v>
      </c>
      <c r="H57" s="66" t="str">
        <f t="shared" ref="H57:H70" si="60">CONCATENATE(HEX2BIN(D57,8),HEX2BIN(E57,8),HEX2BIN(F57,8),HEX2BIN(G57,8))</f>
        <v>10011001101101110010101101100101</v>
      </c>
      <c r="I57" s="66">
        <f t="shared" ref="I57:I70" si="61">MID(H57,1,1)+MID(H57,2,1)+MID(H57,3,1)+MID(H57,4,1)+MID(H57,5,1)+MID(H57,6,1)+MID(H57,7,1)+MID(H57,8,1)+MID(H57,9,1)+MID(H57,10,1)+MID(H57,11,1)+MID(H57,12,1)+MID(H57,13,1)+MID(H57,14,1)+MID(H57,15,1)+MID(H57,16,1)+MID(H57,17,1)+MID(H57,18,1)+MID(H57,19,1)+MID(H57,20,1)+MID(H57,21,1)+MID(H57,22,1)+MID(H57,23,1)+MID(H57,24,1)+MID(H57,25,1)+MID(H57,26,1)+MID(H57,27,1)+MID(H57,28,1)+MID(H57,29,1)+MID(H57,30,1)+MID(H57,31,1)+MID(H57,32,1)</f>
        <v>18</v>
      </c>
      <c r="J57" s="66">
        <v>40</v>
      </c>
      <c r="K57" s="68" t="str">
        <f>HEX2BIN(J57,8)</f>
        <v>01000000</v>
      </c>
      <c r="L57" s="43" t="str">
        <f t="shared" ref="L57" si="62">CONCATENATE(HEX2BIN(G57,8),HEX2BIN(F57,8),HEX2BIN(E57,8),HEX2BIN(D57,8))</f>
        <v>01100101001010111011011110011001</v>
      </c>
      <c r="M57" s="1" t="str">
        <f t="shared" si="1"/>
        <v>10100101101011000111100010011001</v>
      </c>
    </row>
    <row r="58" spans="2:13" ht="18.600000000000001" thickBot="1" x14ac:dyDescent="0.4">
      <c r="B58" s="76"/>
      <c r="C58" s="67" t="s">
        <v>6</v>
      </c>
      <c r="D58" s="67" t="s">
        <v>24</v>
      </c>
      <c r="E58" s="67">
        <v>34</v>
      </c>
      <c r="F58" s="67">
        <v>13</v>
      </c>
      <c r="G58" s="67" t="s">
        <v>153</v>
      </c>
      <c r="H58" s="67" t="str">
        <f t="shared" si="60"/>
        <v>10110101001101000001001110001111</v>
      </c>
      <c r="I58" s="67">
        <f t="shared" si="61"/>
        <v>16</v>
      </c>
      <c r="J58" s="67"/>
      <c r="K58" s="69"/>
      <c r="L58" s="14" t="str">
        <f t="shared" si="2"/>
        <v>01000000100000001100000100000000</v>
      </c>
      <c r="M58" s="14" t="str">
        <f t="shared" ref="M58" si="63">CONCATENATE(MID(M57,6,8),MID(M57,30,3),MID(M57,1,5),MID(M57,22,8),MID(M57,14,8))</f>
        <v>10110101001101000001001110001111</v>
      </c>
    </row>
    <row r="59" spans="2:13" x14ac:dyDescent="0.35">
      <c r="B59" s="75">
        <f>B57+1</f>
        <v>29</v>
      </c>
      <c r="C59" s="66" t="s">
        <v>0</v>
      </c>
      <c r="D59" s="66" t="s">
        <v>126</v>
      </c>
      <c r="E59" s="66">
        <v>39</v>
      </c>
      <c r="F59" s="66">
        <v>95</v>
      </c>
      <c r="G59" s="66">
        <v>2</v>
      </c>
      <c r="H59" s="66" t="str">
        <f t="shared" si="60"/>
        <v>11000110001110011001010100000010</v>
      </c>
      <c r="I59" s="66">
        <f t="shared" si="61"/>
        <v>13</v>
      </c>
      <c r="J59" s="66">
        <v>40</v>
      </c>
      <c r="K59" s="68" t="str">
        <f>HEX2BIN(J59,8)</f>
        <v>01000000</v>
      </c>
      <c r="L59" s="43" t="str">
        <f t="shared" ref="L59" si="64">CONCATENATE(HEX2BIN(G59,8),HEX2BIN(F59,8),HEX2BIN(E59,8),HEX2BIN(D59,8))</f>
        <v>00000010100101010011100111000110</v>
      </c>
      <c r="M59" s="1" t="str">
        <f t="shared" si="1"/>
        <v>01000011000101011111101011000110</v>
      </c>
    </row>
    <row r="60" spans="2:13" ht="18.600000000000001" thickBot="1" x14ac:dyDescent="0.4">
      <c r="B60" s="76"/>
      <c r="C60" s="67" t="s">
        <v>6</v>
      </c>
      <c r="D60" s="67">
        <v>62</v>
      </c>
      <c r="E60" s="67" t="s">
        <v>92</v>
      </c>
      <c r="F60" s="67">
        <v>58</v>
      </c>
      <c r="G60" s="67" t="s">
        <v>125</v>
      </c>
      <c r="H60" s="67" t="str">
        <f t="shared" si="60"/>
        <v>01100010110010000101100010111111</v>
      </c>
      <c r="I60" s="67">
        <f t="shared" si="61"/>
        <v>16</v>
      </c>
      <c r="J60" s="67"/>
      <c r="K60" s="69"/>
      <c r="L60" s="14" t="str">
        <f t="shared" si="2"/>
        <v>01000000100000001100000100000000</v>
      </c>
      <c r="M60" s="14" t="str">
        <f t="shared" ref="M60" si="65">CONCATENATE(MID(M59,6,8),MID(M59,30,3),MID(M59,1,5),MID(M59,22,8),MID(M59,14,8))</f>
        <v>01100010110010000101100010111111</v>
      </c>
    </row>
    <row r="61" spans="2:13" x14ac:dyDescent="0.35">
      <c r="B61" s="75">
        <f>B59+1</f>
        <v>30</v>
      </c>
      <c r="C61" s="66" t="s">
        <v>0</v>
      </c>
      <c r="D61" s="66" t="s">
        <v>55</v>
      </c>
      <c r="E61" s="66">
        <v>84</v>
      </c>
      <c r="F61" s="66">
        <v>25</v>
      </c>
      <c r="G61" s="66">
        <v>76</v>
      </c>
      <c r="H61" s="66" t="str">
        <f t="shared" si="60"/>
        <v>10001010100001000010010101110110</v>
      </c>
      <c r="I61" s="66">
        <f t="shared" si="61"/>
        <v>13</v>
      </c>
      <c r="J61" s="66">
        <v>40</v>
      </c>
      <c r="K61" s="68" t="str">
        <f>HEX2BIN(J61,8)</f>
        <v>01000000</v>
      </c>
      <c r="L61" s="43" t="str">
        <f t="shared" ref="L61" si="66">CONCATENATE(HEX2BIN(G61,8),HEX2BIN(F61,8),HEX2BIN(E61,8),HEX2BIN(D61,8))</f>
        <v>01110110001001011000010010001010</v>
      </c>
      <c r="M61" s="1" t="str">
        <f t="shared" si="1"/>
        <v>10110110101001100100010110001010</v>
      </c>
    </row>
    <row r="62" spans="2:13" ht="18.600000000000001" thickBot="1" x14ac:dyDescent="0.4">
      <c r="B62" s="76"/>
      <c r="C62" s="67" t="s">
        <v>6</v>
      </c>
      <c r="D62" s="67" t="s">
        <v>120</v>
      </c>
      <c r="E62" s="67">
        <v>56</v>
      </c>
      <c r="F62" s="67" t="s">
        <v>128</v>
      </c>
      <c r="G62" s="67" t="s">
        <v>92</v>
      </c>
      <c r="H62" s="67" t="str">
        <f t="shared" si="60"/>
        <v>11010100010101101011000111001000</v>
      </c>
      <c r="I62" s="67">
        <f t="shared" si="61"/>
        <v>15</v>
      </c>
      <c r="J62" s="67"/>
      <c r="K62" s="69"/>
      <c r="L62" s="14" t="str">
        <f t="shared" si="2"/>
        <v>01000000100000001100000100000000</v>
      </c>
      <c r="M62" s="14" t="str">
        <f t="shared" ref="M62" si="67">CONCATENATE(MID(M61,6,8),MID(M61,30,3),MID(M61,1,5),MID(M61,22,8),MID(M61,14,8))</f>
        <v>11010100010101101011000111001000</v>
      </c>
    </row>
    <row r="63" spans="2:13" x14ac:dyDescent="0.35">
      <c r="B63" s="75">
        <f>B61+1</f>
        <v>31</v>
      </c>
      <c r="C63" s="66" t="s">
        <v>0</v>
      </c>
      <c r="D63" s="66" t="s">
        <v>78</v>
      </c>
      <c r="E63" s="66">
        <v>1</v>
      </c>
      <c r="F63" s="66" t="s">
        <v>122</v>
      </c>
      <c r="G63" s="66" t="s">
        <v>159</v>
      </c>
      <c r="H63" s="66" t="str">
        <f t="shared" si="60"/>
        <v>11000011000000010100110000011010</v>
      </c>
      <c r="I63" s="66">
        <f t="shared" si="61"/>
        <v>11</v>
      </c>
      <c r="J63" s="66">
        <v>40</v>
      </c>
      <c r="K63" s="68" t="str">
        <f>HEX2BIN(J63,8)</f>
        <v>01000000</v>
      </c>
      <c r="L63" s="43" t="str">
        <f t="shared" ref="L63" si="68">CONCATENATE(HEX2BIN(G63,8),HEX2BIN(F63,8),HEX2BIN(E63,8),HEX2BIN(D63,8))</f>
        <v>00011010010011000000000111000011</v>
      </c>
      <c r="M63" s="1" t="str">
        <f t="shared" si="1"/>
        <v>01011010110011001100001011000011</v>
      </c>
    </row>
    <row r="64" spans="2:13" ht="18.600000000000001" thickBot="1" x14ac:dyDescent="0.4">
      <c r="B64" s="76"/>
      <c r="C64" s="67" t="s">
        <v>6</v>
      </c>
      <c r="D64" s="67">
        <v>59</v>
      </c>
      <c r="E64" s="67" t="s">
        <v>97</v>
      </c>
      <c r="F64" s="67">
        <v>58</v>
      </c>
      <c r="G64" s="67">
        <v>98</v>
      </c>
      <c r="H64" s="67" t="str">
        <f t="shared" si="60"/>
        <v>01011001011010110101100010011000</v>
      </c>
      <c r="I64" s="67">
        <f t="shared" si="61"/>
        <v>15</v>
      </c>
      <c r="J64" s="67"/>
      <c r="K64" s="69"/>
      <c r="L64" s="14" t="str">
        <f t="shared" si="2"/>
        <v>01000000100000001100000100000000</v>
      </c>
      <c r="M64" s="14" t="str">
        <f t="shared" ref="M64" si="69">CONCATENATE(MID(M63,6,8),MID(M63,30,3),MID(M63,1,5),MID(M63,22,8),MID(M63,14,8))</f>
        <v>01011001011010110101100010011000</v>
      </c>
    </row>
    <row r="65" spans="2:13" x14ac:dyDescent="0.35">
      <c r="B65" s="75">
        <f>B63+1</f>
        <v>32</v>
      </c>
      <c r="C65" s="66" t="s">
        <v>0</v>
      </c>
      <c r="D65" s="66">
        <v>57</v>
      </c>
      <c r="E65" s="66" t="s">
        <v>144</v>
      </c>
      <c r="F65" s="66">
        <v>71</v>
      </c>
      <c r="G65" s="66" t="s">
        <v>113</v>
      </c>
      <c r="H65" s="66" t="str">
        <f t="shared" si="60"/>
        <v>01010111111000000111000100011011</v>
      </c>
      <c r="I65" s="66">
        <f t="shared" si="61"/>
        <v>16</v>
      </c>
      <c r="J65" s="77">
        <v>40</v>
      </c>
      <c r="K65" s="79" t="str">
        <f>HEX2BIN(J65,8)</f>
        <v>01000000</v>
      </c>
      <c r="L65" s="43" t="str">
        <f t="shared" ref="L65" si="70">CONCATENATE(HEX2BIN(G65,8),HEX2BIN(F65,8),HEX2BIN(E65,8),HEX2BIN(D65,8))</f>
        <v>00011011011100011110000001010111</v>
      </c>
      <c r="M65" s="1" t="str">
        <f t="shared" si="1"/>
        <v>01011011111100101010000101010111</v>
      </c>
    </row>
    <row r="66" spans="2:13" ht="18.600000000000001" thickBot="1" x14ac:dyDescent="0.4">
      <c r="B66" s="76"/>
      <c r="C66" s="67" t="s">
        <v>6</v>
      </c>
      <c r="D66" s="67" t="s">
        <v>79</v>
      </c>
      <c r="E66" s="67" t="s">
        <v>73</v>
      </c>
      <c r="F66" s="67" t="s">
        <v>98</v>
      </c>
      <c r="G66" s="67">
        <v>54</v>
      </c>
      <c r="H66" s="67" t="str">
        <f t="shared" si="60"/>
        <v>01111110111010110010101001010100</v>
      </c>
      <c r="I66" s="67">
        <f t="shared" si="61"/>
        <v>18</v>
      </c>
      <c r="J66" s="78"/>
      <c r="K66" s="80"/>
      <c r="L66" s="14" t="str">
        <f t="shared" si="2"/>
        <v>01000000100000001100000100000000</v>
      </c>
      <c r="M66" s="14" t="str">
        <f t="shared" ref="M66" si="71">CONCATENATE(MID(M65,6,8),MID(M65,30,3),MID(M65,1,5),MID(M65,22,8),MID(M65,14,8))</f>
        <v>01111110111010110010101001010100</v>
      </c>
    </row>
    <row r="67" spans="2:13" x14ac:dyDescent="0.35">
      <c r="B67" s="75">
        <f>B65+1</f>
        <v>33</v>
      </c>
      <c r="C67" s="66" t="s">
        <v>0</v>
      </c>
      <c r="D67" s="66">
        <v>20</v>
      </c>
      <c r="E67" s="66" t="s">
        <v>125</v>
      </c>
      <c r="F67" s="66" t="s">
        <v>71</v>
      </c>
      <c r="G67" s="66">
        <v>22</v>
      </c>
      <c r="H67" s="66" t="str">
        <f t="shared" si="60"/>
        <v>00100000101111111010000100100010</v>
      </c>
      <c r="I67" s="66">
        <f t="shared" si="61"/>
        <v>13</v>
      </c>
      <c r="J67" s="77">
        <v>80</v>
      </c>
      <c r="K67" s="79" t="str">
        <f>HEX2BIN(J67,8)</f>
        <v>10000000</v>
      </c>
      <c r="L67" s="43" t="str">
        <f t="shared" ref="L67" si="72">CONCATENATE(HEX2BIN(G67,8),HEX2BIN(F67,8),HEX2BIN(E67,8),HEX2BIN(D67,8))</f>
        <v>00100010101000011011111100100000</v>
      </c>
      <c r="M67" s="1" t="str">
        <f t="shared" ref="M67:M75" si="73">CONCATENATE(DEC2BIN(MOD(BIN2DEC(MID(L67,1,8))+BIN2DEC(MID(L68,1,8))+INT((BIN2DEC(MID(L67,9,8))+BIN2DEC(MID(L68,9,8))+INT((BIN2DEC(MID(L67,17,8))+BIN2DEC(MID(L68,17,8))+INT((BIN2DEC(MID(L67,25,8))+BIN2DEC(MID(L68,25,8)))/256))/256))/256),256),8),DEC2BIN(MOD(BIN2DEC(MID(L67,9,8))+BIN2DEC(MID(L68,9,8))+INT((BIN2DEC(MID(L67,17,8))+BIN2DEC(MID(L68,17,8))+INT((BIN2DEC(MID(L67,25,8))+BIN2DEC(MID(L68,25,8)))/256))/256),256),8),DEC2BIN(MOD(BIN2DEC(MID(L67,17,8))+BIN2DEC(MID(L68,17,8))+INT((BIN2DEC(MID(L67,25,8))+BIN2DEC(MID(L68,25,8)))/256),256),8),DEC2BIN(MOD(BIN2DEC(MID(L67,25,8))+BIN2DEC(MID(L68,25,8)),256),8))</f>
        <v>10100011101000110100000100100000</v>
      </c>
    </row>
    <row r="68" spans="2:13" ht="18.600000000000001" thickBot="1" x14ac:dyDescent="0.4">
      <c r="B68" s="76"/>
      <c r="C68" s="67" t="s">
        <v>6</v>
      </c>
      <c r="D68" s="67">
        <v>74</v>
      </c>
      <c r="E68" s="67">
        <v>14</v>
      </c>
      <c r="F68" s="67">
        <v>24</v>
      </c>
      <c r="G68" s="67">
        <v>68</v>
      </c>
      <c r="H68" s="67" t="str">
        <f t="shared" si="60"/>
        <v>01110100000101000010010001101000</v>
      </c>
      <c r="I68" s="67">
        <f t="shared" si="61"/>
        <v>11</v>
      </c>
      <c r="J68" s="78"/>
      <c r="K68" s="80"/>
      <c r="L68" s="14" t="str">
        <f t="shared" ref="L68:L76" si="74">CONCATENATE(DEC2BIN(MOD(BIN2DEC(K67)+INT((2*BIN2DEC(K67)+INT((BIN2DEC(K67)+2*BIN2DEC(K67)+BIN2DEC(MID(K67,1,2)))/256))/256),256),8),DEC2BIN(MOD(2*BIN2DEC(K67)+INT((BIN2DEC(K67)+2*BIN2DEC(K67)+BIN2DEC(MID(K67,1,2)))/256),256),8),DEC2BIN(MOD(BIN2DEC(K67)+2*BIN2DEC(K67)+BIN2DEC(MID(K67,1,2)),256),8),MID(K67,3,6),"00")</f>
        <v>10000001000000011000001000000000</v>
      </c>
      <c r="M68" s="14" t="str">
        <f t="shared" ref="M68" si="75">CONCATENATE(MID(M67,6,8),MID(M67,30,3),MID(M67,1,5),MID(M67,22,8),MID(M67,14,8))</f>
        <v>01110100000101000010010001101000</v>
      </c>
    </row>
    <row r="69" spans="2:13" x14ac:dyDescent="0.35">
      <c r="B69" s="75">
        <f>B67+1</f>
        <v>34</v>
      </c>
      <c r="C69" s="66" t="s">
        <v>0</v>
      </c>
      <c r="D69" s="66" t="s">
        <v>68</v>
      </c>
      <c r="E69" s="66" t="s">
        <v>116</v>
      </c>
      <c r="F69" s="66">
        <v>55</v>
      </c>
      <c r="G69" s="66" t="s">
        <v>72</v>
      </c>
      <c r="H69" s="66" t="str">
        <f t="shared" si="60"/>
        <v>11111110101011100101010101011010</v>
      </c>
      <c r="I69" s="66">
        <f t="shared" si="61"/>
        <v>20</v>
      </c>
      <c r="J69" s="77">
        <v>80</v>
      </c>
      <c r="K69" s="79" t="str">
        <f>HEX2BIN(J69,8)</f>
        <v>10000000</v>
      </c>
      <c r="L69" s="43" t="str">
        <f t="shared" ref="L69" si="76">CONCATENATE(HEX2BIN(G69,8),HEX2BIN(F69,8),HEX2BIN(E69,8),HEX2BIN(D69,8))</f>
        <v>01011010010101011010111011111110</v>
      </c>
      <c r="M69" s="1" t="str">
        <f t="shared" si="73"/>
        <v>11011011010101110011000011111110</v>
      </c>
    </row>
    <row r="70" spans="2:13" ht="18.600000000000001" thickBot="1" x14ac:dyDescent="0.4">
      <c r="B70" s="76"/>
      <c r="C70" s="67" t="s">
        <v>6</v>
      </c>
      <c r="D70" s="67" t="s">
        <v>59</v>
      </c>
      <c r="E70" s="67" t="s">
        <v>19</v>
      </c>
      <c r="F70" s="67" t="s">
        <v>131</v>
      </c>
      <c r="G70" s="67" t="s">
        <v>77</v>
      </c>
      <c r="H70" s="67" t="str">
        <f t="shared" si="60"/>
        <v>01101010110110110001111111100110</v>
      </c>
      <c r="I70" s="67">
        <f t="shared" si="61"/>
        <v>20</v>
      </c>
      <c r="J70" s="78"/>
      <c r="K70" s="80"/>
      <c r="L70" s="14" t="str">
        <f t="shared" si="74"/>
        <v>10000001000000011000001000000000</v>
      </c>
      <c r="M70" s="14" t="str">
        <f t="shared" ref="M70" si="77">CONCATENATE(MID(M69,6,8),MID(M69,30,3),MID(M69,1,5),MID(M69,22,8),MID(M69,14,8))</f>
        <v>01101010110110110001111111100110</v>
      </c>
    </row>
    <row r="71" spans="2:13" x14ac:dyDescent="0.35">
      <c r="B71" s="75">
        <f>B69+1</f>
        <v>35</v>
      </c>
      <c r="C71" s="66" t="s">
        <v>0</v>
      </c>
      <c r="D71" s="66" t="s">
        <v>40</v>
      </c>
      <c r="E71" s="66" t="s">
        <v>68</v>
      </c>
      <c r="F71" s="66">
        <v>80</v>
      </c>
      <c r="G71" s="66" t="s">
        <v>58</v>
      </c>
      <c r="H71" s="66" t="str">
        <f t="shared" ref="H71:H76" si="78">CONCATENATE(HEX2BIN(D71,8),HEX2BIN(E71,8),HEX2BIN(F71,8),HEX2BIN(G71,8))</f>
        <v>10011011111111101000000001011100</v>
      </c>
      <c r="I71" s="66">
        <f t="shared" ref="I71:I76" si="79">MID(H71,1,1)+MID(H71,2,1)+MID(H71,3,1)+MID(H71,4,1)+MID(H71,5,1)+MID(H71,6,1)+MID(H71,7,1)+MID(H71,8,1)+MID(H71,9,1)+MID(H71,10,1)+MID(H71,11,1)+MID(H71,12,1)+MID(H71,13,1)+MID(H71,14,1)+MID(H71,15,1)+MID(H71,16,1)+MID(H71,17,1)+MID(H71,18,1)+MID(H71,19,1)+MID(H71,20,1)+MID(H71,21,1)+MID(H71,22,1)+MID(H71,23,1)+MID(H71,24,1)+MID(H71,25,1)+MID(H71,26,1)+MID(H71,27,1)+MID(H71,28,1)+MID(H71,29,1)+MID(H71,30,1)+MID(H71,31,1)+MID(H71,32,1)</f>
        <v>17</v>
      </c>
      <c r="J71" s="77">
        <v>80</v>
      </c>
      <c r="K71" s="79" t="str">
        <f>HEX2BIN(J71,8)</f>
        <v>10000000</v>
      </c>
      <c r="L71" s="43" t="str">
        <f t="shared" ref="L71" si="80">CONCATENATE(HEX2BIN(G71,8),HEX2BIN(F71,8),HEX2BIN(E71,8),HEX2BIN(D71,8))</f>
        <v>01011100100000001111111010011011</v>
      </c>
      <c r="M71" s="1" t="str">
        <f t="shared" si="73"/>
        <v>11011101100000101000000010011011</v>
      </c>
    </row>
    <row r="72" spans="2:13" ht="18.600000000000001" thickBot="1" x14ac:dyDescent="0.4">
      <c r="B72" s="76"/>
      <c r="C72" s="67" t="s">
        <v>6</v>
      </c>
      <c r="D72" s="67" t="s">
        <v>109</v>
      </c>
      <c r="E72" s="67" t="s">
        <v>41</v>
      </c>
      <c r="F72" s="67">
        <v>13</v>
      </c>
      <c r="G72" s="67">
        <v>50</v>
      </c>
      <c r="H72" s="67" t="str">
        <f t="shared" si="78"/>
        <v>10110000011110110001001101010000</v>
      </c>
      <c r="I72" s="67">
        <f t="shared" si="79"/>
        <v>14</v>
      </c>
      <c r="J72" s="78"/>
      <c r="K72" s="80"/>
      <c r="L72" s="14" t="str">
        <f t="shared" si="74"/>
        <v>10000001000000011000001000000000</v>
      </c>
      <c r="M72" s="14" t="str">
        <f t="shared" ref="M72" si="81">CONCATENATE(MID(M71,6,8),MID(M71,30,3),MID(M71,1,5),MID(M71,22,8),MID(M71,14,8))</f>
        <v>10110000011110110001001101010000</v>
      </c>
    </row>
    <row r="73" spans="2:13" x14ac:dyDescent="0.35">
      <c r="B73" s="75">
        <f>B71+1</f>
        <v>36</v>
      </c>
      <c r="C73" s="66" t="s">
        <v>0</v>
      </c>
      <c r="D73" s="66">
        <v>6</v>
      </c>
      <c r="E73" s="66" t="s">
        <v>85</v>
      </c>
      <c r="F73" s="66">
        <v>78</v>
      </c>
      <c r="G73" s="66" t="s">
        <v>97</v>
      </c>
      <c r="H73" s="66" t="str">
        <f t="shared" si="78"/>
        <v>00000110011011110111100001101011</v>
      </c>
      <c r="I73" s="66">
        <f t="shared" si="79"/>
        <v>17</v>
      </c>
      <c r="J73" s="77">
        <v>80</v>
      </c>
      <c r="K73" s="79" t="str">
        <f>HEX2BIN(J73,8)</f>
        <v>10000000</v>
      </c>
      <c r="L73" s="43" t="str">
        <f t="shared" ref="L73" si="82">CONCATENATE(HEX2BIN(G73,8),HEX2BIN(F73,8),HEX2BIN(E73,8),HEX2BIN(D73,8))</f>
        <v>01101011011110000110111100000110</v>
      </c>
      <c r="M73" s="1" t="str">
        <f t="shared" si="73"/>
        <v>11101100011110011111000100000110</v>
      </c>
    </row>
    <row r="74" spans="2:13" ht="18.600000000000001" thickBot="1" x14ac:dyDescent="0.4">
      <c r="B74" s="76"/>
      <c r="C74" s="67" t="s">
        <v>6</v>
      </c>
      <c r="D74" s="67" t="s">
        <v>153</v>
      </c>
      <c r="E74" s="67" t="s">
        <v>14</v>
      </c>
      <c r="F74" s="67">
        <v>20</v>
      </c>
      <c r="G74" s="67" t="s">
        <v>142</v>
      </c>
      <c r="H74" s="67" t="str">
        <f t="shared" si="78"/>
        <v>10001111110111010010000000111110</v>
      </c>
      <c r="I74" s="67">
        <f t="shared" si="79"/>
        <v>17</v>
      </c>
      <c r="J74" s="78"/>
      <c r="K74" s="80"/>
      <c r="L74" s="14" t="str">
        <f t="shared" si="74"/>
        <v>10000001000000011000001000000000</v>
      </c>
      <c r="M74" s="14" t="str">
        <f t="shared" ref="M74" si="83">CONCATENATE(MID(M73,6,8),MID(M73,30,3),MID(M73,1,5),MID(M73,22,8),MID(M73,14,8))</f>
        <v>10001111110111010010000000111110</v>
      </c>
    </row>
    <row r="75" spans="2:13" x14ac:dyDescent="0.35">
      <c r="B75" s="75">
        <f>B73+1</f>
        <v>37</v>
      </c>
      <c r="C75" s="66" t="s">
        <v>0</v>
      </c>
      <c r="D75" s="66" t="s">
        <v>38</v>
      </c>
      <c r="E75" s="66">
        <v>7</v>
      </c>
      <c r="F75" s="66" t="s">
        <v>124</v>
      </c>
      <c r="G75" s="66" t="s">
        <v>101</v>
      </c>
      <c r="H75" s="66" t="str">
        <f t="shared" si="78"/>
        <v>10100100000001111010000011011100</v>
      </c>
      <c r="I75" s="66">
        <f t="shared" si="79"/>
        <v>13</v>
      </c>
      <c r="J75" s="77">
        <v>80</v>
      </c>
      <c r="K75" s="79" t="str">
        <f>HEX2BIN(J75,8)</f>
        <v>10000000</v>
      </c>
      <c r="L75" s="43" t="str">
        <f t="shared" ref="L75" si="84">CONCATENATE(HEX2BIN(G75,8),HEX2BIN(F75,8),HEX2BIN(E75,8),HEX2BIN(D75,8))</f>
        <v>11011100101000000000011110100100</v>
      </c>
      <c r="M75" s="1" t="str">
        <f t="shared" si="73"/>
        <v>01011101101000011000100110100100</v>
      </c>
    </row>
    <row r="76" spans="2:13" ht="18.600000000000001" thickBot="1" x14ac:dyDescent="0.4">
      <c r="B76" s="76"/>
      <c r="C76" s="67" t="s">
        <v>6</v>
      </c>
      <c r="D76" s="67" t="s">
        <v>155</v>
      </c>
      <c r="E76" s="67" t="s">
        <v>157</v>
      </c>
      <c r="F76" s="67">
        <v>34</v>
      </c>
      <c r="G76" s="67">
        <v>31</v>
      </c>
      <c r="H76" s="67" t="str">
        <f t="shared" si="78"/>
        <v>10110100100010110011010000110001</v>
      </c>
      <c r="I76" s="67">
        <f t="shared" si="79"/>
        <v>14</v>
      </c>
      <c r="J76" s="78"/>
      <c r="K76" s="80"/>
      <c r="L76" s="14" t="str">
        <f t="shared" si="74"/>
        <v>10000001000000011000001000000000</v>
      </c>
      <c r="M76" s="14" t="str">
        <f t="shared" ref="M76" si="85">CONCATENATE(MID(M75,6,8),MID(M75,30,3),MID(M75,1,5),MID(M75,22,8),MID(M75,14,8))</f>
        <v>10110100100010110011010000110001</v>
      </c>
    </row>
  </sheetData>
  <mergeCells count="97">
    <mergeCell ref="B5:B6"/>
    <mergeCell ref="B7:B8"/>
    <mergeCell ref="J69:J70"/>
    <mergeCell ref="K69:K70"/>
    <mergeCell ref="B3:B4"/>
    <mergeCell ref="J9:J10"/>
    <mergeCell ref="K9:K10"/>
    <mergeCell ref="J7:J8"/>
    <mergeCell ref="K7:K8"/>
    <mergeCell ref="B19:B20"/>
    <mergeCell ref="J25:J26"/>
    <mergeCell ref="K25:K26"/>
    <mergeCell ref="B13:B14"/>
    <mergeCell ref="B15:B16"/>
    <mergeCell ref="J21:J22"/>
    <mergeCell ref="K21:K22"/>
    <mergeCell ref="B9:B10"/>
    <mergeCell ref="B11:B12"/>
    <mergeCell ref="J19:J20"/>
    <mergeCell ref="K19:K20"/>
    <mergeCell ref="J11:J12"/>
    <mergeCell ref="K11:K12"/>
    <mergeCell ref="J13:J14"/>
    <mergeCell ref="K13:K14"/>
    <mergeCell ref="B29:B30"/>
    <mergeCell ref="B31:B32"/>
    <mergeCell ref="B25:B26"/>
    <mergeCell ref="B27:B28"/>
    <mergeCell ref="B21:B22"/>
    <mergeCell ref="B23:B24"/>
    <mergeCell ref="J23:J24"/>
    <mergeCell ref="K23:K24"/>
    <mergeCell ref="B17:B18"/>
    <mergeCell ref="J29:J30"/>
    <mergeCell ref="K29:K30"/>
    <mergeCell ref="J75:J76"/>
    <mergeCell ref="K75:K76"/>
    <mergeCell ref="B37:B38"/>
    <mergeCell ref="J27:J28"/>
    <mergeCell ref="K27:K28"/>
    <mergeCell ref="B39:B40"/>
    <mergeCell ref="J43:J44"/>
    <mergeCell ref="K43:K44"/>
    <mergeCell ref="B33:B34"/>
    <mergeCell ref="J67:J68"/>
    <mergeCell ref="K67:K68"/>
    <mergeCell ref="J39:J40"/>
    <mergeCell ref="K39:K40"/>
    <mergeCell ref="J41:J42"/>
    <mergeCell ref="K41:K42"/>
    <mergeCell ref="J45:J46"/>
    <mergeCell ref="K33:K34"/>
    <mergeCell ref="B51:B52"/>
    <mergeCell ref="J47:J48"/>
    <mergeCell ref="K47:K48"/>
    <mergeCell ref="B45:B46"/>
    <mergeCell ref="B47:B48"/>
    <mergeCell ref="J37:J38"/>
    <mergeCell ref="K37:K38"/>
    <mergeCell ref="B41:B42"/>
    <mergeCell ref="B43:B44"/>
    <mergeCell ref="K45:K46"/>
    <mergeCell ref="B35:B36"/>
    <mergeCell ref="J35:J36"/>
    <mergeCell ref="K35:K36"/>
    <mergeCell ref="B75:B76"/>
    <mergeCell ref="B69:B70"/>
    <mergeCell ref="J17:J18"/>
    <mergeCell ref="K17:K18"/>
    <mergeCell ref="B71:B72"/>
    <mergeCell ref="J71:J72"/>
    <mergeCell ref="K71:K72"/>
    <mergeCell ref="B65:B66"/>
    <mergeCell ref="B67:B68"/>
    <mergeCell ref="J65:J66"/>
    <mergeCell ref="K65:K66"/>
    <mergeCell ref="B61:B62"/>
    <mergeCell ref="B63:B64"/>
    <mergeCell ref="B57:B58"/>
    <mergeCell ref="B59:B60"/>
    <mergeCell ref="B53:B54"/>
    <mergeCell ref="J3:J4"/>
    <mergeCell ref="K3:K4"/>
    <mergeCell ref="J31:J32"/>
    <mergeCell ref="K31:K32"/>
    <mergeCell ref="B73:B74"/>
    <mergeCell ref="J73:J74"/>
    <mergeCell ref="K73:K74"/>
    <mergeCell ref="J15:J16"/>
    <mergeCell ref="K15:K16"/>
    <mergeCell ref="J49:J50"/>
    <mergeCell ref="K49:K50"/>
    <mergeCell ref="B55:B56"/>
    <mergeCell ref="J5:J6"/>
    <mergeCell ref="K5:K6"/>
    <mergeCell ref="B49:B50"/>
    <mergeCell ref="J33:J34"/>
  </mergeCells>
  <conditionalFormatting sqref="I4">
    <cfRule type="expression" dxfId="226" priority="10">
      <formula>I4=I3</formula>
    </cfRule>
  </conditionalFormatting>
  <conditionalFormatting sqref="I3">
    <cfRule type="expression" dxfId="225" priority="11">
      <formula>I3=I4</formula>
    </cfRule>
  </conditionalFormatting>
  <conditionalFormatting sqref="I32">
    <cfRule type="expression" dxfId="224" priority="8">
      <formula>I32=I31</formula>
    </cfRule>
  </conditionalFormatting>
  <conditionalFormatting sqref="I9">
    <cfRule type="expression" dxfId="223" priority="85">
      <formula>I9=I10</formula>
    </cfRule>
  </conditionalFormatting>
  <conditionalFormatting sqref="I10">
    <cfRule type="expression" dxfId="222" priority="84">
      <formula>I10=I9</formula>
    </cfRule>
  </conditionalFormatting>
  <conditionalFormatting sqref="I35">
    <cfRule type="expression" dxfId="221" priority="79">
      <formula>I35=I36</formula>
    </cfRule>
  </conditionalFormatting>
  <conditionalFormatting sqref="I36">
    <cfRule type="expression" dxfId="220" priority="78">
      <formula>I36=I35</formula>
    </cfRule>
  </conditionalFormatting>
  <conditionalFormatting sqref="I69">
    <cfRule type="expression" dxfId="219" priority="81">
      <formula>I69=I70</formula>
    </cfRule>
  </conditionalFormatting>
  <conditionalFormatting sqref="I70">
    <cfRule type="expression" dxfId="218" priority="80">
      <formula>I70=I69</formula>
    </cfRule>
  </conditionalFormatting>
  <conditionalFormatting sqref="I19">
    <cfRule type="expression" dxfId="217" priority="77">
      <formula>I19=I20</formula>
    </cfRule>
  </conditionalFormatting>
  <conditionalFormatting sqref="I20">
    <cfRule type="expression" dxfId="216" priority="76">
      <formula>I20=I19</formula>
    </cfRule>
  </conditionalFormatting>
  <conditionalFormatting sqref="I45">
    <cfRule type="expression" dxfId="215" priority="75">
      <formula>I45=I46</formula>
    </cfRule>
  </conditionalFormatting>
  <conditionalFormatting sqref="I46">
    <cfRule type="expression" dxfId="214" priority="74">
      <formula>I46=I45</formula>
    </cfRule>
  </conditionalFormatting>
  <conditionalFormatting sqref="I21">
    <cfRule type="expression" dxfId="213" priority="73">
      <formula>I21=I22</formula>
    </cfRule>
  </conditionalFormatting>
  <conditionalFormatting sqref="I22">
    <cfRule type="expression" dxfId="212" priority="72">
      <formula>I22=I21</formula>
    </cfRule>
  </conditionalFormatting>
  <conditionalFormatting sqref="I7">
    <cfRule type="expression" dxfId="211" priority="71">
      <formula>I7=I8</formula>
    </cfRule>
  </conditionalFormatting>
  <conditionalFormatting sqref="I8">
    <cfRule type="expression" dxfId="210" priority="70">
      <formula>I8=I7</formula>
    </cfRule>
  </conditionalFormatting>
  <conditionalFormatting sqref="I25">
    <cfRule type="expression" dxfId="209" priority="69">
      <formula>I25=I26</formula>
    </cfRule>
  </conditionalFormatting>
  <conditionalFormatting sqref="I26">
    <cfRule type="expression" dxfId="208" priority="68">
      <formula>I26=I25</formula>
    </cfRule>
  </conditionalFormatting>
  <conditionalFormatting sqref="I41">
    <cfRule type="expression" dxfId="207" priority="67">
      <formula>I41=I42</formula>
    </cfRule>
  </conditionalFormatting>
  <conditionalFormatting sqref="I42">
    <cfRule type="expression" dxfId="206" priority="66">
      <formula>I42=I41</formula>
    </cfRule>
  </conditionalFormatting>
  <conditionalFormatting sqref="I23">
    <cfRule type="expression" dxfId="205" priority="65">
      <formula>I23=I24</formula>
    </cfRule>
  </conditionalFormatting>
  <conditionalFormatting sqref="I24">
    <cfRule type="expression" dxfId="204" priority="64">
      <formula>I24=I23</formula>
    </cfRule>
  </conditionalFormatting>
  <conditionalFormatting sqref="I59">
    <cfRule type="expression" dxfId="203" priority="63">
      <formula>I59=I60</formula>
    </cfRule>
  </conditionalFormatting>
  <conditionalFormatting sqref="I60">
    <cfRule type="expression" dxfId="202" priority="62">
      <formula>I60=I59</formula>
    </cfRule>
  </conditionalFormatting>
  <conditionalFormatting sqref="I39">
    <cfRule type="expression" dxfId="201" priority="61">
      <formula>I39=I40</formula>
    </cfRule>
  </conditionalFormatting>
  <conditionalFormatting sqref="I40">
    <cfRule type="expression" dxfId="200" priority="60">
      <formula>I40=I39</formula>
    </cfRule>
  </conditionalFormatting>
  <conditionalFormatting sqref="I67">
    <cfRule type="expression" dxfId="199" priority="57">
      <formula>I67=I68</formula>
    </cfRule>
  </conditionalFormatting>
  <conditionalFormatting sqref="I68">
    <cfRule type="expression" dxfId="198" priority="56">
      <formula>I68=I67</formula>
    </cfRule>
  </conditionalFormatting>
  <conditionalFormatting sqref="I13">
    <cfRule type="expression" dxfId="197" priority="53">
      <formula>I13=I14</formula>
    </cfRule>
  </conditionalFormatting>
  <conditionalFormatting sqref="I14">
    <cfRule type="expression" dxfId="196" priority="52">
      <formula>I14=I13</formula>
    </cfRule>
  </conditionalFormatting>
  <conditionalFormatting sqref="I11">
    <cfRule type="expression" dxfId="195" priority="55">
      <formula>I11=I12</formula>
    </cfRule>
  </conditionalFormatting>
  <conditionalFormatting sqref="I12">
    <cfRule type="expression" dxfId="194" priority="54">
      <formula>I12=I11</formula>
    </cfRule>
  </conditionalFormatting>
  <conditionalFormatting sqref="I27">
    <cfRule type="expression" dxfId="193" priority="51">
      <formula>I27=I28</formula>
    </cfRule>
  </conditionalFormatting>
  <conditionalFormatting sqref="I28">
    <cfRule type="expression" dxfId="192" priority="50">
      <formula>I28=I27</formula>
    </cfRule>
  </conditionalFormatting>
  <conditionalFormatting sqref="I43">
    <cfRule type="expression" dxfId="191" priority="49">
      <formula>I43=I44</formula>
    </cfRule>
  </conditionalFormatting>
  <conditionalFormatting sqref="I44">
    <cfRule type="expression" dxfId="190" priority="48">
      <formula>I44=I43</formula>
    </cfRule>
  </conditionalFormatting>
  <conditionalFormatting sqref="I57">
    <cfRule type="expression" dxfId="189" priority="47">
      <formula>I57=I58</formula>
    </cfRule>
  </conditionalFormatting>
  <conditionalFormatting sqref="I58">
    <cfRule type="expression" dxfId="188" priority="46">
      <formula>I58=I57</formula>
    </cfRule>
  </conditionalFormatting>
  <conditionalFormatting sqref="I75">
    <cfRule type="expression" dxfId="187" priority="45">
      <formula>I75=I76</formula>
    </cfRule>
  </conditionalFormatting>
  <conditionalFormatting sqref="I76">
    <cfRule type="expression" dxfId="186" priority="44">
      <formula>I76=I75</formula>
    </cfRule>
  </conditionalFormatting>
  <conditionalFormatting sqref="I29">
    <cfRule type="expression" dxfId="185" priority="43">
      <formula>I29=I30</formula>
    </cfRule>
  </conditionalFormatting>
  <conditionalFormatting sqref="I30">
    <cfRule type="expression" dxfId="184" priority="42">
      <formula>I30=I29</formula>
    </cfRule>
  </conditionalFormatting>
  <conditionalFormatting sqref="I37">
    <cfRule type="expression" dxfId="183" priority="41">
      <formula>I37=I38</formula>
    </cfRule>
  </conditionalFormatting>
  <conditionalFormatting sqref="I38">
    <cfRule type="expression" dxfId="182" priority="40">
      <formula>I38=I37</formula>
    </cfRule>
  </conditionalFormatting>
  <conditionalFormatting sqref="I33">
    <cfRule type="expression" dxfId="181" priority="39">
      <formula>I33=I34</formula>
    </cfRule>
  </conditionalFormatting>
  <conditionalFormatting sqref="I34">
    <cfRule type="expression" dxfId="180" priority="38">
      <formula>I34=I33</formula>
    </cfRule>
  </conditionalFormatting>
  <conditionalFormatting sqref="I47">
    <cfRule type="expression" dxfId="179" priority="37">
      <formula>I47=I48</formula>
    </cfRule>
  </conditionalFormatting>
  <conditionalFormatting sqref="I48">
    <cfRule type="expression" dxfId="178" priority="36">
      <formula>I48=I47</formula>
    </cfRule>
  </conditionalFormatting>
  <conditionalFormatting sqref="I49">
    <cfRule type="expression" dxfId="177" priority="35">
      <formula>I49=I50</formula>
    </cfRule>
  </conditionalFormatting>
  <conditionalFormatting sqref="I50">
    <cfRule type="expression" dxfId="176" priority="34">
      <formula>I50=I49</formula>
    </cfRule>
  </conditionalFormatting>
  <conditionalFormatting sqref="I5">
    <cfRule type="expression" dxfId="175" priority="33">
      <formula>I5=I6</formula>
    </cfRule>
  </conditionalFormatting>
  <conditionalFormatting sqref="I6">
    <cfRule type="expression" dxfId="174" priority="32">
      <formula>I6=I5</formula>
    </cfRule>
  </conditionalFormatting>
  <conditionalFormatting sqref="I15">
    <cfRule type="expression" dxfId="173" priority="31">
      <formula>I15=I16</formula>
    </cfRule>
  </conditionalFormatting>
  <conditionalFormatting sqref="I16">
    <cfRule type="expression" dxfId="172" priority="30">
      <formula>I16=I15</formula>
    </cfRule>
  </conditionalFormatting>
  <conditionalFormatting sqref="I61">
    <cfRule type="expression" dxfId="171" priority="29">
      <formula>I61=I62</formula>
    </cfRule>
  </conditionalFormatting>
  <conditionalFormatting sqref="I62">
    <cfRule type="expression" dxfId="170" priority="28">
      <formula>I62=I61</formula>
    </cfRule>
  </conditionalFormatting>
  <conditionalFormatting sqref="I63">
    <cfRule type="expression" dxfId="169" priority="27">
      <formula>I63=I64</formula>
    </cfRule>
  </conditionalFormatting>
  <conditionalFormatting sqref="I64">
    <cfRule type="expression" dxfId="168" priority="26">
      <formula>I64=I63</formula>
    </cfRule>
  </conditionalFormatting>
  <conditionalFormatting sqref="I51">
    <cfRule type="expression" dxfId="167" priority="25">
      <formula>I51=I52</formula>
    </cfRule>
  </conditionalFormatting>
  <conditionalFormatting sqref="I52">
    <cfRule type="expression" dxfId="166" priority="24">
      <formula>I52=I51</formula>
    </cfRule>
  </conditionalFormatting>
  <conditionalFormatting sqref="I53">
    <cfRule type="expression" dxfId="165" priority="23">
      <formula>I53=I54</formula>
    </cfRule>
  </conditionalFormatting>
  <conditionalFormatting sqref="I54">
    <cfRule type="expression" dxfId="164" priority="22">
      <formula>I54=I53</formula>
    </cfRule>
  </conditionalFormatting>
  <conditionalFormatting sqref="I65">
    <cfRule type="expression" dxfId="163" priority="21">
      <formula>I65=I66</formula>
    </cfRule>
  </conditionalFormatting>
  <conditionalFormatting sqref="I66">
    <cfRule type="expression" dxfId="162" priority="20">
      <formula>I66=I65</formula>
    </cfRule>
  </conditionalFormatting>
  <conditionalFormatting sqref="I17">
    <cfRule type="expression" dxfId="161" priority="19">
      <formula>I17=I18</formula>
    </cfRule>
  </conditionalFormatting>
  <conditionalFormatting sqref="I18">
    <cfRule type="expression" dxfId="160" priority="18">
      <formula>I18=I17</formula>
    </cfRule>
  </conditionalFormatting>
  <conditionalFormatting sqref="I71">
    <cfRule type="expression" dxfId="159" priority="17">
      <formula>I71=I72</formula>
    </cfRule>
  </conditionalFormatting>
  <conditionalFormatting sqref="I72">
    <cfRule type="expression" dxfId="158" priority="16">
      <formula>I72=I71</formula>
    </cfRule>
  </conditionalFormatting>
  <conditionalFormatting sqref="I73">
    <cfRule type="expression" dxfId="157" priority="15">
      <formula>I73=I74</formula>
    </cfRule>
  </conditionalFormatting>
  <conditionalFormatting sqref="I74">
    <cfRule type="expression" dxfId="156" priority="14">
      <formula>I74=I73</formula>
    </cfRule>
  </conditionalFormatting>
  <conditionalFormatting sqref="I55">
    <cfRule type="expression" dxfId="155" priority="13">
      <formula>I55=I56</formula>
    </cfRule>
  </conditionalFormatting>
  <conditionalFormatting sqref="I56">
    <cfRule type="expression" dxfId="154" priority="12">
      <formula>I56=I55</formula>
    </cfRule>
  </conditionalFormatting>
  <conditionalFormatting sqref="I31">
    <cfRule type="expression" dxfId="153" priority="9">
      <formula>I31=I32</formula>
    </cfRule>
  </conditionalFormatting>
  <conditionalFormatting sqref="M4 M6 M8 M10 M12 M14 M16 M18 M20 M22 M24 M26 M28 M30 M32 M34 M36 M38 M40 M42 M44 M46 M48 M50 M52 M54 M56 M58 M60 M62 M64 M66 M68 M70 M72 M74 M76">
    <cfRule type="expression" dxfId="152" priority="1">
      <formula>M4&lt;&gt;H4</formula>
    </cfRule>
    <cfRule type="expression" dxfId="151" priority="2">
      <formula>M4=H4</formula>
    </cfRule>
    <cfRule type="iconSet" priority="3">
      <iconSet iconSet="3Arrows">
        <cfvo type="percent" val="0"/>
        <cfvo type="percent" val="33"/>
        <cfvo type="percent" val="67"/>
      </iconSet>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JM41"/>
  <sheetViews>
    <sheetView workbookViewId="0">
      <selection activeCell="L12" sqref="L12"/>
    </sheetView>
  </sheetViews>
  <sheetFormatPr defaultRowHeight="18" x14ac:dyDescent="0.35"/>
  <cols>
    <col min="1" max="7" width="8.88671875" style="1"/>
    <col min="8" max="8" width="40.88671875" style="1" bestFit="1" customWidth="1"/>
    <col min="9" max="10" width="8.88671875" style="1"/>
    <col min="11" max="11" width="10.77734375" style="1" bestFit="1" customWidth="1"/>
    <col min="12" max="12" width="40.88671875" style="42" bestFit="1" customWidth="1"/>
    <col min="13" max="16" width="10.77734375" style="1" bestFit="1" customWidth="1"/>
    <col min="17" max="20" width="5.5546875" style="1" bestFit="1" customWidth="1"/>
    <col min="21" max="28" width="5.88671875" style="1" bestFit="1" customWidth="1"/>
    <col min="29" max="31" width="3.109375" style="1" bestFit="1" customWidth="1"/>
    <col min="32" max="33" width="4.33203125" style="1" bestFit="1" customWidth="1"/>
    <col min="34" max="34" width="3.44140625" style="1" bestFit="1" customWidth="1"/>
    <col min="35" max="35" width="3.109375" style="1" bestFit="1" customWidth="1"/>
    <col min="36" max="36" width="3.44140625" style="1" bestFit="1" customWidth="1"/>
    <col min="37" max="38" width="20.77734375" style="1" bestFit="1" customWidth="1"/>
    <col min="39" max="40" width="8" style="1" bestFit="1" customWidth="1"/>
    <col min="41" max="41" width="40.88671875" style="42" bestFit="1" customWidth="1"/>
    <col min="42" max="45" width="10.77734375" style="1" bestFit="1" customWidth="1"/>
    <col min="46" max="49" width="5.5546875" style="1" bestFit="1" customWidth="1"/>
    <col min="50" max="57" width="5.88671875" style="1" bestFit="1" customWidth="1"/>
    <col min="58" max="60" width="3.109375" style="1" bestFit="1" customWidth="1"/>
    <col min="61" max="62" width="4.33203125" style="1" bestFit="1" customWidth="1"/>
    <col min="63" max="63" width="3.44140625" style="1" bestFit="1" customWidth="1"/>
    <col min="64" max="64" width="3.109375" style="1" bestFit="1" customWidth="1"/>
    <col min="65" max="65" width="3.44140625" style="1" bestFit="1" customWidth="1"/>
    <col min="66" max="67" width="20.77734375" style="1" bestFit="1" customWidth="1"/>
    <col min="68" max="69" width="8" style="1" bestFit="1" customWidth="1"/>
    <col min="70" max="70" width="40.88671875" style="42" bestFit="1" customWidth="1"/>
    <col min="71" max="74" width="10.77734375" style="1" bestFit="1" customWidth="1"/>
    <col min="75" max="78" width="4.6640625" style="1" bestFit="1" customWidth="1"/>
    <col min="79" max="86" width="5.88671875" style="1" bestFit="1" customWidth="1"/>
    <col min="87" max="89" width="3.109375" style="1" bestFit="1" customWidth="1"/>
    <col min="90" max="91" width="4.33203125" style="1" bestFit="1" customWidth="1"/>
    <col min="92" max="92" width="3.44140625" style="1" bestFit="1" customWidth="1"/>
    <col min="93" max="93" width="3.109375" style="1" bestFit="1" customWidth="1"/>
    <col min="94" max="94" width="3.44140625" style="1" bestFit="1" customWidth="1"/>
    <col min="95" max="96" width="20.77734375" style="1" bestFit="1" customWidth="1"/>
    <col min="97" max="97" width="7.109375" style="1" bestFit="1" customWidth="1"/>
    <col min="98" max="98" width="8" style="1" bestFit="1" customWidth="1"/>
    <col min="99" max="99" width="40.88671875" style="42" bestFit="1" customWidth="1"/>
    <col min="100" max="103" width="10.77734375" style="1" bestFit="1" customWidth="1"/>
    <col min="104" max="104" width="4.33203125" style="1" bestFit="1" customWidth="1"/>
    <col min="105" max="107" width="4.6640625" style="1" bestFit="1" customWidth="1"/>
    <col min="108" max="115" width="5.88671875" style="1" bestFit="1" customWidth="1"/>
    <col min="116" max="118" width="3.109375" style="1" bestFit="1" customWidth="1"/>
    <col min="119" max="120" width="4.33203125" style="1" bestFit="1" customWidth="1"/>
    <col min="121" max="121" width="3.44140625" style="1" bestFit="1" customWidth="1"/>
    <col min="122" max="122" width="3.109375" style="1" bestFit="1" customWidth="1"/>
    <col min="123" max="123" width="3.44140625" style="1" bestFit="1" customWidth="1"/>
    <col min="124" max="125" width="20.77734375" style="1" bestFit="1" customWidth="1"/>
    <col min="126" max="127" width="8" style="1" bestFit="1" customWidth="1"/>
    <col min="128" max="128" width="40.88671875" style="1" bestFit="1" customWidth="1"/>
    <col min="129" max="129" width="40.88671875" style="42" bestFit="1" customWidth="1"/>
    <col min="130" max="133" width="10.77734375" style="1" bestFit="1" customWidth="1"/>
    <col min="134" max="137" width="5.5546875" style="1" bestFit="1" customWidth="1"/>
    <col min="138" max="145" width="5.88671875" style="1" bestFit="1" customWidth="1"/>
    <col min="146" max="148" width="3.109375" style="1" bestFit="1" customWidth="1"/>
    <col min="149" max="150" width="4.33203125" style="1" bestFit="1" customWidth="1"/>
    <col min="151" max="151" width="3.44140625" style="1" bestFit="1" customWidth="1"/>
    <col min="152" max="152" width="3.109375" style="1" bestFit="1" customWidth="1"/>
    <col min="153" max="153" width="3.44140625" style="1" bestFit="1" customWidth="1"/>
    <col min="154" max="155" width="20.77734375" style="1" bestFit="1" customWidth="1"/>
    <col min="156" max="157" width="8" style="1" bestFit="1" customWidth="1"/>
    <col min="158" max="158" width="40.88671875" style="42" bestFit="1" customWidth="1"/>
    <col min="159" max="162" width="10.77734375" style="1" bestFit="1" customWidth="1"/>
    <col min="163" max="166" width="5.5546875" style="1" bestFit="1" customWidth="1"/>
    <col min="167" max="174" width="5.88671875" style="1" bestFit="1" customWidth="1"/>
    <col min="175" max="177" width="3.109375" style="1" bestFit="1" customWidth="1"/>
    <col min="178" max="179" width="4.33203125" style="1" bestFit="1" customWidth="1"/>
    <col min="180" max="180" width="3.44140625" style="1" bestFit="1" customWidth="1"/>
    <col min="181" max="181" width="3.109375" style="1" bestFit="1" customWidth="1"/>
    <col min="182" max="182" width="3.44140625" style="1" bestFit="1" customWidth="1"/>
    <col min="183" max="184" width="20.77734375" style="1" bestFit="1" customWidth="1"/>
    <col min="185" max="185" width="8.88671875" style="1"/>
    <col min="186" max="186" width="8" style="1" bestFit="1" customWidth="1"/>
    <col min="187" max="187" width="40.88671875" style="42" bestFit="1" customWidth="1"/>
    <col min="188" max="191" width="10.77734375" style="1" bestFit="1" customWidth="1"/>
    <col min="192" max="194" width="5.5546875" style="1" bestFit="1" customWidth="1"/>
    <col min="195" max="195" width="4.6640625" style="1" bestFit="1" customWidth="1"/>
    <col min="196" max="203" width="5.88671875" style="1" bestFit="1" customWidth="1"/>
    <col min="204" max="206" width="3.109375" style="1" bestFit="1" customWidth="1"/>
    <col min="207" max="208" width="4.33203125" style="1" bestFit="1" customWidth="1"/>
    <col min="209" max="209" width="3.44140625" style="1" bestFit="1" customWidth="1"/>
    <col min="210" max="210" width="3.109375" style="1" bestFit="1" customWidth="1"/>
    <col min="211" max="211" width="3.44140625" style="1" bestFit="1" customWidth="1"/>
    <col min="212" max="213" width="20.77734375" style="1" bestFit="1" customWidth="1"/>
    <col min="214" max="215" width="8" style="1" bestFit="1" customWidth="1"/>
    <col min="216" max="216" width="44.5546875" style="42" bestFit="1" customWidth="1"/>
    <col min="217" max="220" width="10.77734375" style="1" bestFit="1" customWidth="1"/>
    <col min="221" max="223" width="5.5546875" style="1" bestFit="1" customWidth="1"/>
    <col min="224" max="224" width="4.33203125" style="1" bestFit="1" customWidth="1"/>
    <col min="225" max="232" width="5.88671875" style="1" bestFit="1" customWidth="1"/>
    <col min="233" max="235" width="3.109375" style="1" bestFit="1" customWidth="1"/>
    <col min="236" max="237" width="4.33203125" style="1" bestFit="1" customWidth="1"/>
    <col min="238" max="238" width="3.44140625" style="1" bestFit="1" customWidth="1"/>
    <col min="239" max="239" width="3.109375" style="1" bestFit="1" customWidth="1"/>
    <col min="240" max="240" width="3.44140625" style="1" bestFit="1" customWidth="1"/>
    <col min="241" max="242" width="20.77734375" style="1" bestFit="1" customWidth="1"/>
    <col min="243" max="244" width="8" style="1" bestFit="1" customWidth="1"/>
    <col min="245" max="245" width="40.88671875" style="1" bestFit="1" customWidth="1"/>
    <col min="246" max="249" width="10.77734375" style="1" bestFit="1" customWidth="1"/>
    <col min="250" max="253" width="5.5546875" style="1" bestFit="1" customWidth="1"/>
    <col min="254" max="261" width="5.88671875" style="1" bestFit="1" customWidth="1"/>
    <col min="262" max="264" width="3.109375" style="1" bestFit="1" customWidth="1"/>
    <col min="265" max="266" width="4.33203125" style="1" bestFit="1" customWidth="1"/>
    <col min="267" max="267" width="3.44140625" style="1" bestFit="1" customWidth="1"/>
    <col min="268" max="268" width="3.109375" style="1" bestFit="1" customWidth="1"/>
    <col min="269" max="269" width="3.44140625" style="1" bestFit="1" customWidth="1"/>
    <col min="270" max="271" width="20.77734375" style="1" bestFit="1" customWidth="1"/>
    <col min="272" max="273" width="8" style="1" bestFit="1" customWidth="1"/>
    <col min="274" max="16384" width="8.88671875" style="1"/>
  </cols>
  <sheetData>
    <row r="1" spans="1:273" ht="18.600000000000001" thickBot="1" x14ac:dyDescent="0.4">
      <c r="L1" s="42" t="s">
        <v>214</v>
      </c>
      <c r="M1" s="94" t="s">
        <v>215</v>
      </c>
      <c r="N1" s="94"/>
      <c r="O1" s="94"/>
      <c r="P1" s="94"/>
      <c r="Q1" s="94" t="s">
        <v>219</v>
      </c>
      <c r="R1" s="94"/>
      <c r="S1" s="94"/>
      <c r="T1" s="94"/>
      <c r="U1" s="94" t="s">
        <v>216</v>
      </c>
      <c r="V1" s="94"/>
      <c r="W1" s="94"/>
      <c r="X1" s="94"/>
      <c r="Y1" s="94"/>
      <c r="Z1" s="94"/>
      <c r="AA1" s="94"/>
      <c r="AB1" s="94"/>
      <c r="AC1" s="94" t="s">
        <v>219</v>
      </c>
      <c r="AD1" s="94"/>
      <c r="AE1" s="94"/>
      <c r="AF1" s="94"/>
      <c r="AG1" s="94"/>
      <c r="AH1" s="94"/>
      <c r="AI1" s="94"/>
      <c r="AJ1" s="94"/>
      <c r="AK1" s="98" t="s">
        <v>217</v>
      </c>
      <c r="AL1" s="98"/>
      <c r="AM1" s="99" t="s">
        <v>219</v>
      </c>
      <c r="AN1" s="99"/>
      <c r="AO1" s="42" t="s">
        <v>218</v>
      </c>
      <c r="AP1" s="94" t="s">
        <v>215</v>
      </c>
      <c r="AQ1" s="94"/>
      <c r="AR1" s="94"/>
      <c r="AS1" s="94"/>
      <c r="AT1" s="94" t="s">
        <v>219</v>
      </c>
      <c r="AU1" s="94"/>
      <c r="AV1" s="94"/>
      <c r="AW1" s="94"/>
      <c r="AX1" s="94" t="s">
        <v>216</v>
      </c>
      <c r="AY1" s="94"/>
      <c r="AZ1" s="94"/>
      <c r="BA1" s="94"/>
      <c r="BB1" s="94"/>
      <c r="BC1" s="94"/>
      <c r="BD1" s="94"/>
      <c r="BE1" s="94"/>
      <c r="BF1" s="94" t="s">
        <v>219</v>
      </c>
      <c r="BG1" s="94"/>
      <c r="BH1" s="94"/>
      <c r="BI1" s="94"/>
      <c r="BJ1" s="94"/>
      <c r="BK1" s="94"/>
      <c r="BL1" s="94"/>
      <c r="BM1" s="94"/>
      <c r="BN1" s="98" t="s">
        <v>217</v>
      </c>
      <c r="BO1" s="98"/>
      <c r="BP1" s="99" t="s">
        <v>219</v>
      </c>
      <c r="BQ1" s="99"/>
      <c r="BR1" s="42" t="s">
        <v>220</v>
      </c>
      <c r="BS1" s="94" t="s">
        <v>215</v>
      </c>
      <c r="BT1" s="94"/>
      <c r="BU1" s="94"/>
      <c r="BV1" s="94"/>
      <c r="BW1" s="94" t="s">
        <v>219</v>
      </c>
      <c r="BX1" s="94"/>
      <c r="BY1" s="94"/>
      <c r="BZ1" s="94"/>
      <c r="CA1" s="94" t="s">
        <v>216</v>
      </c>
      <c r="CB1" s="94"/>
      <c r="CC1" s="94"/>
      <c r="CD1" s="94"/>
      <c r="CE1" s="94"/>
      <c r="CF1" s="94"/>
      <c r="CG1" s="94"/>
      <c r="CH1" s="94"/>
      <c r="CI1" s="94" t="s">
        <v>219</v>
      </c>
      <c r="CJ1" s="94"/>
      <c r="CK1" s="94"/>
      <c r="CL1" s="94"/>
      <c r="CM1" s="94"/>
      <c r="CN1" s="94"/>
      <c r="CO1" s="94"/>
      <c r="CP1" s="94"/>
      <c r="CQ1" s="98" t="s">
        <v>217</v>
      </c>
      <c r="CR1" s="98"/>
      <c r="CS1" s="99" t="s">
        <v>219</v>
      </c>
      <c r="CT1" s="99"/>
      <c r="CU1" s="42" t="s">
        <v>221</v>
      </c>
      <c r="CV1" s="94" t="s">
        <v>215</v>
      </c>
      <c r="CW1" s="94"/>
      <c r="CX1" s="94"/>
      <c r="CY1" s="94"/>
      <c r="CZ1" s="94" t="s">
        <v>219</v>
      </c>
      <c r="DA1" s="94"/>
      <c r="DB1" s="94"/>
      <c r="DC1" s="94"/>
      <c r="DD1" s="94" t="s">
        <v>216</v>
      </c>
      <c r="DE1" s="94"/>
      <c r="DF1" s="94"/>
      <c r="DG1" s="94"/>
      <c r="DH1" s="94"/>
      <c r="DI1" s="94"/>
      <c r="DJ1" s="94"/>
      <c r="DK1" s="94"/>
      <c r="DL1" s="94" t="s">
        <v>219</v>
      </c>
      <c r="DM1" s="94"/>
      <c r="DN1" s="94"/>
      <c r="DO1" s="94"/>
      <c r="DP1" s="94"/>
      <c r="DQ1" s="94"/>
      <c r="DR1" s="94"/>
      <c r="DS1" s="94"/>
      <c r="DT1" s="98" t="s">
        <v>217</v>
      </c>
      <c r="DU1" s="98"/>
      <c r="DV1" s="99" t="s">
        <v>219</v>
      </c>
      <c r="DW1" s="99"/>
      <c r="DX1" s="1" t="s">
        <v>222</v>
      </c>
      <c r="DY1" s="42" t="s">
        <v>223</v>
      </c>
      <c r="DZ1" s="94" t="s">
        <v>215</v>
      </c>
      <c r="EA1" s="94"/>
      <c r="EB1" s="94"/>
      <c r="EC1" s="94"/>
      <c r="ED1" s="94" t="s">
        <v>219</v>
      </c>
      <c r="EE1" s="94"/>
      <c r="EF1" s="94"/>
      <c r="EG1" s="94"/>
      <c r="EH1" s="94" t="s">
        <v>216</v>
      </c>
      <c r="EI1" s="94"/>
      <c r="EJ1" s="94"/>
      <c r="EK1" s="94"/>
      <c r="EL1" s="94"/>
      <c r="EM1" s="94"/>
      <c r="EN1" s="94"/>
      <c r="EO1" s="94"/>
      <c r="EP1" s="94" t="s">
        <v>219</v>
      </c>
      <c r="EQ1" s="94"/>
      <c r="ER1" s="94"/>
      <c r="ES1" s="94"/>
      <c r="ET1" s="94"/>
      <c r="EU1" s="94"/>
      <c r="EV1" s="94"/>
      <c r="EW1" s="94"/>
      <c r="EX1" s="98" t="s">
        <v>217</v>
      </c>
      <c r="EY1" s="98"/>
      <c r="EZ1" s="99" t="s">
        <v>219</v>
      </c>
      <c r="FA1" s="99"/>
      <c r="FB1" s="42" t="s">
        <v>224</v>
      </c>
      <c r="FC1" s="94" t="s">
        <v>215</v>
      </c>
      <c r="FD1" s="94"/>
      <c r="FE1" s="94"/>
      <c r="FF1" s="94"/>
      <c r="FG1" s="94" t="s">
        <v>219</v>
      </c>
      <c r="FH1" s="94"/>
      <c r="FI1" s="94"/>
      <c r="FJ1" s="94"/>
      <c r="FK1" s="94" t="s">
        <v>216</v>
      </c>
      <c r="FL1" s="94"/>
      <c r="FM1" s="94"/>
      <c r="FN1" s="94"/>
      <c r="FO1" s="94"/>
      <c r="FP1" s="94"/>
      <c r="FQ1" s="94"/>
      <c r="FR1" s="94"/>
      <c r="FS1" s="94" t="s">
        <v>219</v>
      </c>
      <c r="FT1" s="94"/>
      <c r="FU1" s="94"/>
      <c r="FV1" s="94"/>
      <c r="FW1" s="94"/>
      <c r="FX1" s="94"/>
      <c r="FY1" s="94"/>
      <c r="FZ1" s="94"/>
      <c r="GA1" s="98" t="s">
        <v>217</v>
      </c>
      <c r="GB1" s="98"/>
      <c r="GC1" s="99" t="s">
        <v>219</v>
      </c>
      <c r="GD1" s="99"/>
      <c r="GE1" s="42" t="s">
        <v>225</v>
      </c>
      <c r="GF1" s="94" t="s">
        <v>215</v>
      </c>
      <c r="GG1" s="94"/>
      <c r="GH1" s="94"/>
      <c r="GI1" s="94"/>
      <c r="GJ1" s="94" t="s">
        <v>219</v>
      </c>
      <c r="GK1" s="94"/>
      <c r="GL1" s="94"/>
      <c r="GM1" s="94"/>
      <c r="GN1" s="94" t="s">
        <v>216</v>
      </c>
      <c r="GO1" s="94"/>
      <c r="GP1" s="94"/>
      <c r="GQ1" s="94"/>
      <c r="GR1" s="94"/>
      <c r="GS1" s="94"/>
      <c r="GT1" s="94"/>
      <c r="GU1" s="94"/>
      <c r="GV1" s="94" t="s">
        <v>219</v>
      </c>
      <c r="GW1" s="94"/>
      <c r="GX1" s="94"/>
      <c r="GY1" s="94"/>
      <c r="GZ1" s="94"/>
      <c r="HA1" s="94"/>
      <c r="HB1" s="94"/>
      <c r="HC1" s="94"/>
      <c r="HD1" s="98" t="s">
        <v>217</v>
      </c>
      <c r="HE1" s="98"/>
      <c r="HF1" s="99" t="s">
        <v>219</v>
      </c>
      <c r="HG1" s="99"/>
      <c r="HH1" s="42" t="s">
        <v>226</v>
      </c>
      <c r="HI1" s="94" t="s">
        <v>215</v>
      </c>
      <c r="HJ1" s="94"/>
      <c r="HK1" s="94"/>
      <c r="HL1" s="94"/>
      <c r="HM1" s="94" t="s">
        <v>219</v>
      </c>
      <c r="HN1" s="94"/>
      <c r="HO1" s="94"/>
      <c r="HP1" s="94"/>
      <c r="HQ1" s="94" t="s">
        <v>216</v>
      </c>
      <c r="HR1" s="94"/>
      <c r="HS1" s="94"/>
      <c r="HT1" s="94"/>
      <c r="HU1" s="94"/>
      <c r="HV1" s="94"/>
      <c r="HW1" s="94"/>
      <c r="HX1" s="94"/>
      <c r="HY1" s="94" t="s">
        <v>219</v>
      </c>
      <c r="HZ1" s="94"/>
      <c r="IA1" s="94"/>
      <c r="IB1" s="94"/>
      <c r="IC1" s="94"/>
      <c r="ID1" s="94"/>
      <c r="IE1" s="94"/>
      <c r="IF1" s="94"/>
      <c r="IG1" s="98" t="s">
        <v>217</v>
      </c>
      <c r="IH1" s="98"/>
      <c r="II1" s="99" t="s">
        <v>219</v>
      </c>
      <c r="IJ1" s="99"/>
      <c r="IL1" s="14"/>
      <c r="IM1" s="14"/>
      <c r="IN1" s="14"/>
      <c r="IO1" s="14"/>
      <c r="IP1" s="14"/>
      <c r="IQ1" s="14"/>
      <c r="IR1" s="14"/>
      <c r="IS1" s="14"/>
      <c r="IT1" s="14"/>
      <c r="IU1" s="14"/>
      <c r="IV1" s="14"/>
      <c r="IW1" s="14"/>
      <c r="IX1" s="14"/>
      <c r="IY1" s="14"/>
      <c r="IZ1" s="14"/>
      <c r="JA1" s="14"/>
      <c r="JB1" s="14"/>
      <c r="JC1" s="14"/>
      <c r="JD1" s="14"/>
      <c r="JE1" s="14"/>
      <c r="JF1" s="14"/>
      <c r="JG1" s="14"/>
      <c r="JH1" s="14"/>
      <c r="JI1" s="14"/>
      <c r="JJ1" s="49"/>
      <c r="JK1" s="49"/>
      <c r="JL1" s="30"/>
      <c r="JM1" s="30"/>
    </row>
    <row r="2" spans="1:273" s="27" customFormat="1" x14ac:dyDescent="0.35">
      <c r="A2" s="24"/>
      <c r="B2" s="25"/>
      <c r="C2" s="16" t="s">
        <v>0</v>
      </c>
      <c r="D2" s="66" t="s">
        <v>76</v>
      </c>
      <c r="E2" s="66" t="s">
        <v>161</v>
      </c>
      <c r="F2" s="66">
        <v>30</v>
      </c>
      <c r="G2" s="66" t="s">
        <v>47</v>
      </c>
      <c r="H2" s="66" t="str">
        <f>CONCATENATE(HEX2BIN(D2,8),HEX2BIN(E2,8),HEX2BIN(F2,8),HEX2BIN(G2,8))</f>
        <v>11101000010010100011000011111111</v>
      </c>
      <c r="I2" s="66">
        <f>MID(H2,1,1)+MID(H2,2,1)+MID(H2,3,1)+MID(H2,4,1)+MID(H2,5,1)+MID(H2,6,1)+MID(H2,7,1)+MID(H2,8,1)+MID(H2,9,1)+MID(H2,10,1)+MID(H2,11,1)+MID(H2,12,1)+MID(H2,13,1)+MID(H2,14,1)+MID(H2,15,1)+MID(H2,16,1)+MID(H2,17,1)+MID(H2,18,1)+MID(H2,19,1)+MID(H2,20,1)+MID(H2,21,1)+MID(H2,22,1)+MID(H2,23,1)+MID(H2,24,1)+MID(H2,25,1)+MID(H2,26,1)+MID(H2,27,1)+MID(H2,28,1)+MID(H2,29,1)+MID(H2,30,1)+MID(H2,31,1)+MID(H2,32,1)</f>
        <v>17</v>
      </c>
      <c r="J2" s="77">
        <v>10</v>
      </c>
      <c r="K2" s="79" t="str">
        <f>HEX2BIN(J2,8)</f>
        <v>00010000</v>
      </c>
      <c r="L2" s="43" t="str">
        <f>CONCATENATE(MID(H2,30,3),MID(H2,17,5),MID(H2,6,3),MID(H2,25,5),MID(H2,14,3),MID(H2,1,5),MID(H2,22,3),MID(H2,9,5))</f>
        <v>11100110000111110101110100001001</v>
      </c>
      <c r="M2" s="26" t="str">
        <f>MID(L2,1,8)</f>
        <v>11100110</v>
      </c>
      <c r="N2" s="26" t="str">
        <f>MID(L2,9,8)</f>
        <v>00011111</v>
      </c>
      <c r="O2" s="26" t="str">
        <f>MID(L2,17,8)</f>
        <v>01011101</v>
      </c>
      <c r="P2" s="26" t="str">
        <f>MID(L2,25,8)</f>
        <v>00001001</v>
      </c>
      <c r="Q2" s="77">
        <f>BIN2DEC(M2)-BIN2DEC(M3)</f>
        <v>-4</v>
      </c>
      <c r="R2" s="77">
        <f>BIN2DEC(N2)-BIN2DEC(N3)</f>
        <v>30</v>
      </c>
      <c r="S2" s="77">
        <f>BIN2DEC(O2)-BIN2DEC(O3)</f>
        <v>-8</v>
      </c>
      <c r="T2" s="77">
        <f>BIN2DEC(P2)-BIN2DEC(P3)</f>
        <v>-6</v>
      </c>
      <c r="U2" s="27" t="str">
        <f>MID($L2,1,4)</f>
        <v>1110</v>
      </c>
      <c r="V2" s="27" t="str">
        <f>MID($L2,5,4)</f>
        <v>0110</v>
      </c>
      <c r="W2" s="27" t="str">
        <f>MID($L2,9,4)</f>
        <v>0001</v>
      </c>
      <c r="X2" s="27" t="str">
        <f>MID($L2,13,4)</f>
        <v>1111</v>
      </c>
      <c r="Y2" s="27" t="str">
        <f>MID($L2,17,4)</f>
        <v>0101</v>
      </c>
      <c r="Z2" s="27" t="str">
        <f>MID($L2,21,4)</f>
        <v>1101</v>
      </c>
      <c r="AA2" s="27" t="str">
        <f>MID($L2,25,4)</f>
        <v>0000</v>
      </c>
      <c r="AB2" s="27" t="str">
        <f>MID($L2,29,4)</f>
        <v>1001</v>
      </c>
      <c r="AC2" s="77">
        <f>BIN2DEC(U2)-BIN2DEC(U3)</f>
        <v>0</v>
      </c>
      <c r="AD2" s="77">
        <f t="shared" ref="AD2:AI2" si="0">BIN2DEC(V2)-BIN2DEC(V3)</f>
        <v>-4</v>
      </c>
      <c r="AE2" s="77">
        <f t="shared" si="0"/>
        <v>1</v>
      </c>
      <c r="AF2" s="77">
        <f t="shared" si="0"/>
        <v>14</v>
      </c>
      <c r="AG2" s="77">
        <f t="shared" si="0"/>
        <v>-1</v>
      </c>
      <c r="AH2" s="77">
        <f t="shared" si="0"/>
        <v>8</v>
      </c>
      <c r="AI2" s="77">
        <f t="shared" si="0"/>
        <v>0</v>
      </c>
      <c r="AJ2" s="77">
        <f>BIN2DEC(AB2)-BIN2DEC(AB3)</f>
        <v>-6</v>
      </c>
      <c r="AK2" s="26" t="str">
        <f t="shared" ref="AK2:AK41" si="1">MID(L2,1,16)</f>
        <v>1110011000011111</v>
      </c>
      <c r="AL2" s="26" t="str">
        <f t="shared" ref="AL2:AL41" si="2">MID(L2,17,16)</f>
        <v>0101110100001001</v>
      </c>
      <c r="AM2" s="77">
        <f>MID(AK2,16,1)*POWER(2,0)+MID(AK2,15,1)*POWER(2,1)+MID(AK2,14,1)*POWER(2,2)+MID(AK2,13,1)*POWER(2,3)+MID(AK2,12,1)*POWER(2,4)+MID(AK2,11,1)*POWER(2,5)+MID(AK2,10,1)*POWER(2,6)+MID(AK2,9,1)*POWER(2,7)+MID(AK2,8,1)*POWER(2,8)+MID(AK2,7,1)*POWER(2,9)+MID(AK2,6,1)*POWER(2,10)+MID(AK2,5,1)*POWER(2,11)+MID(AK2,4,1)*POWER(2,12)+MID(AK2,3,1)*POWER(2,13)+MID(AK2,2,1)*POWER(2,14)+MID(AK2,1,1)*POWER(2,15)-(MID(AK3,16,1)*POWER(2,0)+MID(AK3,15,1)*POWER(2,1)+MID(AK3,14,1)*POWER(2,2)+MID(AK3,13,1)*POWER(2,3)+MID(AK3,12,1)*POWER(2,4)+MID(AK3,11,1)*POWER(2,5)+MID(AK3,10,1)*POWER(2,6)+MID(AK3,9,1)*POWER(2,7)+MID(AK3,8,1)*POWER(2,8)+MID(AK3,7,1)*POWER(2,9)+MID(AK3,6,1)*POWER(2,10)+MID(AK3,5,1)*POWER(2,11)+MID(AK3,4,1)*POWER(2,12)+MID(AK3,3,1)*POWER(2,13)+MID(AK3,2,1)*POWER(2,14)+MID(AK3,1,1)*POWER(2,15))</f>
        <v>-994</v>
      </c>
      <c r="AN2" s="77">
        <f>MID(AL2,16,1)*POWER(2,0)+MID(AL2,15,1)*POWER(2,1)+MID(AL2,14,1)*POWER(2,2)+MID(AL2,13,1)*POWER(2,3)+MID(AL2,12,1)*POWER(2,4)+MID(AL2,11,1)*POWER(2,5)+MID(AL2,10,1)*POWER(2,6)+MID(AL2,9,1)*POWER(2,7)+MID(AL2,8,1)*POWER(2,8)+MID(AL2,7,1)*POWER(2,9)+MID(AL2,6,1)*POWER(2,10)+MID(AL2,5,1)*POWER(2,11)+MID(AL2,4,1)*POWER(2,12)+MID(AL2,3,1)*POWER(2,13)+MID(AL2,2,1)*POWER(2,14)+MID(AL2,1,1)*POWER(2,15)-(MID(AL3,16,1)*POWER(2,0)+MID(AL3,15,1)*POWER(2,1)+MID(AL3,14,1)*POWER(2,2)+MID(AL3,13,1)*POWER(2,3)+MID(AL3,12,1)*POWER(2,4)+MID(AL3,11,1)*POWER(2,5)+MID(AL3,10,1)*POWER(2,6)+MID(AL3,9,1)*POWER(2,7)+MID(AL3,8,1)*POWER(2,8)+MID(AL3,7,1)*POWER(2,9)+MID(AL3,6,1)*POWER(2,10)+MID(AL3,5,1)*POWER(2,11)+MID(AL3,4,1)*POWER(2,12)+MID(AL3,3,1)*POWER(2,13)+MID(AL3,2,1)*POWER(2,14)+MID(AL3,1,1)*POWER(2,15))</f>
        <v>-2054</v>
      </c>
      <c r="AO2" s="45" t="str">
        <f>CONCATENATE(MID(L2,1,1)*MID(K2,1,1),MID(L2,2,1)*MID(K2,2,1),MID(L2,3,1)*MID(K2,3,1),MID(L2,4,1)*MID(K2,4,1),MID(L2,5,1)*MID(K2,5,1),MID(L2,6,1)*MID(K2,6,1),MID(L2,7,1)*MID(K2,7,1),MID(L2,8,1)*MID(K2,8,1),MID(L2,9,1)*MID(K2,1,1),MID(L2,10,1)*MID(K2,2,1),MID(L2,11,1)*MID(K2,3,1),MID(L2,12,1)*MID(K2,4,1),MID(L2,13,1)*MID(K2,5,1),MID(L2,14,1)*MID(K2,6,1),MID(L2,15,1)*MID(K2,7,1),MID(L2,16,1)*MID(K2,8,1),MID(L2,17,1)*MID(K2,1,1),MID(L2,18,1)*MID(K2,2,1),MID(L2,19,1)*MID(K2,3,1),MID(L2,20,1)*MID(K2,4,1),MID(L2,21,1)*MID(K2,5,1),MID(L2,22,1)*MID(K2,6,1),MID(L2,23,1)*MID(K2,7,1),MID(L2,24,1)*MID(K2,8,1),MID(L2,25,1)*MID(K2,1,1),MID(L2,26,1)*MID(K2,2,1),MID(L2,27,1)*MID(K2,3,1),MID(L2,28,1)*MID(K2,4,1),MID(L2,29,1)*MID(K2,5,1),MID(L2,30,1)*MID(K2,6,1),MID(L2,31,1)*MID(K2,7,1),MID(L2,32,1)*MID(K2,8,1))</f>
        <v>00000000000100000001000000000000</v>
      </c>
      <c r="AP2" s="26" t="str">
        <f>MID(AO2,1,8)</f>
        <v>00000000</v>
      </c>
      <c r="AQ2" s="26" t="str">
        <f>MID(AO2,9,8)</f>
        <v>00010000</v>
      </c>
      <c r="AR2" s="26" t="str">
        <f>MID(AO2,17,8)</f>
        <v>00010000</v>
      </c>
      <c r="AS2" s="26" t="str">
        <f>MID(AO2,25,8)</f>
        <v>00000000</v>
      </c>
      <c r="AT2" s="77">
        <f>BIN2DEC(AP2)-BIN2DEC(AP3)</f>
        <v>-234</v>
      </c>
      <c r="AU2" s="77">
        <f>BIN2DEC(AQ2)-BIN2DEC(AQ3)</f>
        <v>15</v>
      </c>
      <c r="AV2" s="77">
        <f>BIN2DEC(AR2)-BIN2DEC(AR3)</f>
        <v>-85</v>
      </c>
      <c r="AW2" s="77">
        <f>BIN2DEC(AS2)-BIN2DEC(AS3)</f>
        <v>-15</v>
      </c>
      <c r="AX2" s="27" t="str">
        <f>MID($L2,1,4)</f>
        <v>1110</v>
      </c>
      <c r="AY2" s="27" t="str">
        <f>MID($L2,5,4)</f>
        <v>0110</v>
      </c>
      <c r="AZ2" s="27" t="str">
        <f>MID($L2,9,4)</f>
        <v>0001</v>
      </c>
      <c r="BA2" s="27" t="str">
        <f>MID($L2,13,4)</f>
        <v>1111</v>
      </c>
      <c r="BB2" s="27" t="str">
        <f>MID($L2,17,4)</f>
        <v>0101</v>
      </c>
      <c r="BC2" s="27" t="str">
        <f>MID($L2,21,4)</f>
        <v>1101</v>
      </c>
      <c r="BD2" s="27" t="str">
        <f>MID($L2,25,4)</f>
        <v>0000</v>
      </c>
      <c r="BE2" s="27" t="str">
        <f>MID($L2,29,4)</f>
        <v>1001</v>
      </c>
      <c r="BF2" s="77">
        <f t="shared" ref="BF2:BM2" si="3">BIN2DEC(AX2)-BIN2DEC(AX3)</f>
        <v>0</v>
      </c>
      <c r="BG2" s="77">
        <f t="shared" si="3"/>
        <v>-4</v>
      </c>
      <c r="BH2" s="77">
        <f t="shared" si="3"/>
        <v>1</v>
      </c>
      <c r="BI2" s="77">
        <f t="shared" si="3"/>
        <v>14</v>
      </c>
      <c r="BJ2" s="77">
        <f t="shared" si="3"/>
        <v>-1</v>
      </c>
      <c r="BK2" s="77">
        <f t="shared" si="3"/>
        <v>8</v>
      </c>
      <c r="BL2" s="77">
        <f t="shared" si="3"/>
        <v>0</v>
      </c>
      <c r="BM2" s="77">
        <f t="shared" si="3"/>
        <v>-6</v>
      </c>
      <c r="BN2" s="26" t="str">
        <f t="shared" ref="BN2:BN41" si="4">MID(AO2,1,16)</f>
        <v>0000000000010000</v>
      </c>
      <c r="BO2" s="26" t="str">
        <f t="shared" ref="BO2:BO41" si="5">MID(AO2,17,16)</f>
        <v>0001000000000000</v>
      </c>
      <c r="BP2" s="77">
        <f>MID(BN2,16,1)*POWER(2,0)+MID(BN2,15,1)*POWER(2,1)+MID(BN2,14,1)*POWER(2,2)+MID(BN2,13,1)*POWER(2,3)+MID(BN2,12,1)*POWER(2,4)+MID(BN2,11,1)*POWER(2,5)+MID(BN2,10,1)*POWER(2,6)+MID(BN2,9,1)*POWER(2,7)+MID(BN2,8,1)*POWER(2,8)+MID(BN2,7,1)*POWER(2,9)+MID(BN2,6,1)*POWER(2,10)+MID(BN2,5,1)*POWER(2,11)+MID(BN2,4,1)*POWER(2,12)+MID(BN2,3,1)*POWER(2,13)+MID(BN2,2,1)*POWER(2,14)+MID(BN2,1,1)*POWER(2,15)-(MID(BN3,16,1)*POWER(2,0)+MID(BN3,15,1)*POWER(2,1)+MID(BN3,14,1)*POWER(2,2)+MID(BN3,13,1)*POWER(2,3)+MID(BN3,12,1)*POWER(2,4)+MID(BN3,11,1)*POWER(2,5)+MID(BN3,10,1)*POWER(2,6)+MID(BN3,9,1)*POWER(2,7)+MID(BN3,8,1)*POWER(2,8)+MID(BN3,7,1)*POWER(2,9)+MID(BN3,6,1)*POWER(2,10)+MID(BN3,5,1)*POWER(2,11)+MID(BN3,4,1)*POWER(2,12)+MID(BN3,3,1)*POWER(2,13)+MID(BN3,2,1)*POWER(2,14)+MID(BN3,1,1)*POWER(2,15))</f>
        <v>-59889</v>
      </c>
      <c r="BQ2" s="77">
        <f>MID(BO2,16,1)*POWER(2,0)+MID(BO2,15,1)*POWER(2,1)+MID(BO2,14,1)*POWER(2,2)+MID(BO2,13,1)*POWER(2,3)+MID(BO2,12,1)*POWER(2,4)+MID(BO2,11,1)*POWER(2,5)+MID(BO2,10,1)*POWER(2,6)+MID(BO2,9,1)*POWER(2,7)+MID(BO2,8,1)*POWER(2,8)+MID(BO2,7,1)*POWER(2,9)+MID(BO2,6,1)*POWER(2,10)+MID(BO2,5,1)*POWER(2,11)+MID(BO2,4,1)*POWER(2,12)+MID(BO2,3,1)*POWER(2,13)+MID(BO2,2,1)*POWER(2,14)+MID(BO2,1,1)*POWER(2,15)-(MID(BO3,16,1)*POWER(2,0)+MID(BO3,15,1)*POWER(2,1)+MID(BO3,14,1)*POWER(2,2)+MID(BO3,13,1)*POWER(2,3)+MID(BO3,12,1)*POWER(2,4)+MID(BO3,11,1)*POWER(2,5)+MID(BO3,10,1)*POWER(2,6)+MID(BO3,9,1)*POWER(2,7)+MID(BO3,8,1)*POWER(2,8)+MID(BO3,7,1)*POWER(2,9)+MID(BO3,6,1)*POWER(2,10)+MID(BO3,5,1)*POWER(2,11)+MID(BO3,4,1)*POWER(2,12)+MID(BO3,3,1)*POWER(2,13)+MID(BO3,2,1)*POWER(2,14)+MID(BO3,1,1)*POWER(2,15))</f>
        <v>-21775</v>
      </c>
      <c r="BR2" s="47" t="str">
        <f>L2</f>
        <v>11100110000111110101110100001001</v>
      </c>
      <c r="BS2" s="26" t="str">
        <f>MID(BR2,1,8)</f>
        <v>11100110</v>
      </c>
      <c r="BT2" s="26" t="str">
        <f>MID(BR2,9,8)</f>
        <v>00011111</v>
      </c>
      <c r="BU2" s="26" t="str">
        <f>MID(BR2,17,8)</f>
        <v>01011101</v>
      </c>
      <c r="BV2" s="26" t="str">
        <f>MID(BR2,25,8)</f>
        <v>00001001</v>
      </c>
      <c r="BW2" s="77">
        <f>BIN2DEC(BS2)-BIN2DEC(BS3)</f>
        <v>230</v>
      </c>
      <c r="BX2" s="77">
        <f>BIN2DEC(BT2)-BIN2DEC(BT3)</f>
        <v>31</v>
      </c>
      <c r="BY2" s="77">
        <f>BIN2DEC(BU2)-BIN2DEC(BU3)</f>
        <v>93</v>
      </c>
      <c r="BZ2" s="77">
        <f>BIN2DEC(BV2)-BIN2DEC(BV3)</f>
        <v>9</v>
      </c>
      <c r="CA2" s="27" t="str">
        <f>MID($L2,1,4)</f>
        <v>1110</v>
      </c>
      <c r="CB2" s="27" t="str">
        <f>MID($L2,5,4)</f>
        <v>0110</v>
      </c>
      <c r="CC2" s="27" t="str">
        <f>MID($L2,9,4)</f>
        <v>0001</v>
      </c>
      <c r="CD2" s="27" t="str">
        <f>MID($L2,13,4)</f>
        <v>1111</v>
      </c>
      <c r="CE2" s="27" t="str">
        <f>MID($L2,17,4)</f>
        <v>0101</v>
      </c>
      <c r="CF2" s="27" t="str">
        <f>MID($L2,21,4)</f>
        <v>1101</v>
      </c>
      <c r="CG2" s="27" t="str">
        <f>MID($L2,25,4)</f>
        <v>0000</v>
      </c>
      <c r="CH2" s="27" t="str">
        <f>MID($L2,29,4)</f>
        <v>1001</v>
      </c>
      <c r="CI2" s="77">
        <f t="shared" ref="CI2:CP2" si="6">BIN2DEC(CA2)-BIN2DEC(CA3)</f>
        <v>0</v>
      </c>
      <c r="CJ2" s="77">
        <f t="shared" si="6"/>
        <v>-4</v>
      </c>
      <c r="CK2" s="77">
        <f t="shared" si="6"/>
        <v>1</v>
      </c>
      <c r="CL2" s="77">
        <f t="shared" si="6"/>
        <v>14</v>
      </c>
      <c r="CM2" s="77">
        <f t="shared" si="6"/>
        <v>-1</v>
      </c>
      <c r="CN2" s="77">
        <f t="shared" si="6"/>
        <v>8</v>
      </c>
      <c r="CO2" s="77">
        <f t="shared" si="6"/>
        <v>0</v>
      </c>
      <c r="CP2" s="77">
        <f t="shared" si="6"/>
        <v>-6</v>
      </c>
      <c r="CQ2" s="26" t="str">
        <f t="shared" ref="CQ2:CQ41" si="7">MID(BR2,1,16)</f>
        <v>1110011000011111</v>
      </c>
      <c r="CR2" s="26" t="str">
        <f t="shared" ref="CR2:CR41" si="8">MID(BR2,17,16)</f>
        <v>0101110100001001</v>
      </c>
      <c r="CS2" s="77">
        <f>MID(CQ2,16,1)*POWER(2,0)+MID(CQ2,15,1)*POWER(2,1)+MID(CQ2,14,1)*POWER(2,2)+MID(CQ2,13,1)*POWER(2,3)+MID(CQ2,12,1)*POWER(2,4)+MID(CQ2,11,1)*POWER(2,5)+MID(CQ2,10,1)*POWER(2,6)+MID(CQ2,9,1)*POWER(2,7)+MID(CQ2,8,1)*POWER(2,8)+MID(CQ2,7,1)*POWER(2,9)+MID(CQ2,6,1)*POWER(2,10)+MID(CQ2,5,1)*POWER(2,11)+MID(CQ2,4,1)*POWER(2,12)+MID(CQ2,3,1)*POWER(2,13)+MID(CQ2,2,1)*POWER(2,14)+MID(CQ2,1,1)*POWER(2,15)-(MID(CQ3,16,1)*POWER(2,0)+MID(CQ3,15,1)*POWER(2,1)+MID(CQ3,14,1)*POWER(2,2)+MID(CQ3,13,1)*POWER(2,3)+MID(CQ3,12,1)*POWER(2,4)+MID(CQ3,11,1)*POWER(2,5)+MID(CQ3,10,1)*POWER(2,6)+MID(CQ3,9,1)*POWER(2,7)+MID(CQ3,8,1)*POWER(2,8)+MID(CQ3,7,1)*POWER(2,9)+MID(CQ3,6,1)*POWER(2,10)+MID(CQ3,5,1)*POWER(2,11)+MID(CQ3,4,1)*POWER(2,12)+MID(CQ3,3,1)*POWER(2,13)+MID(CQ3,2,1)*POWER(2,14)+MID(CQ3,1,1)*POWER(2,15))</f>
        <v>58911</v>
      </c>
      <c r="CT2" s="77">
        <f>MID(CR2,16,1)*POWER(2,0)+MID(CR2,15,1)*POWER(2,1)+MID(CR2,14,1)*POWER(2,2)+MID(CR2,13,1)*POWER(2,3)+MID(CR2,12,1)*POWER(2,4)+MID(CR2,11,1)*POWER(2,5)+MID(CR2,10,1)*POWER(2,6)+MID(CR2,9,1)*POWER(2,7)+MID(CR2,8,1)*POWER(2,8)+MID(CR2,7,1)*POWER(2,9)+MID(CR2,6,1)*POWER(2,10)+MID(CR2,5,1)*POWER(2,11)+MID(CR2,4,1)*POWER(2,12)+MID(CR2,3,1)*POWER(2,13)+MID(CR2,2,1)*POWER(2,14)+MID(CR2,1,1)*POWER(2,15)-(MID(CR3,16,1)*POWER(2,0)+MID(CR3,15,1)*POWER(2,1)+MID(CR3,14,1)*POWER(2,2)+MID(CR3,13,1)*POWER(2,3)+MID(CR3,12,1)*POWER(2,4)+MID(CR3,11,1)*POWER(2,5)+MID(CR3,10,1)*POWER(2,6)+MID(CR3,9,1)*POWER(2,7)+MID(CR3,8,1)*POWER(2,8)+MID(CR3,7,1)*POWER(2,9)+MID(CR3,6,1)*POWER(2,10)+MID(CR3,5,1)*POWER(2,11)+MID(CR3,4,1)*POWER(2,12)+MID(CR3,3,1)*POWER(2,13)+MID(CR3,2,1)*POWER(2,14)+MID(CR3,1,1)*POWER(2,15))</f>
        <v>23817</v>
      </c>
      <c r="CU2" s="45" t="str">
        <f>CONCATENATE(MID($L2,1,1)*MID($K2,1,1),MID($L2,2,1)*MID($K2,2,1),MID($L2,3,1)*MID($K2,3,1),MID($L2,4,1)*MID($K2,4,1),MID($L2,5,1)*MID($K2,5,1),MID($L2,6,1)*MID($K2,6,1),MID($L2,7,1)*MID($K2,7,1),MID($L2,8,1)*MID($K2,8,1),MID($L2,9,1)*MID($K2,1,1),MID($L2,10,1)*MID($K2,2,1),MID($L2,11,1)*MID($K2,3,1),MID($L2,12,1)*MID($K2,4,1),MID($L2,13,1)*MID($K2,5,1),MID($L2,14,1)*MID($K2,6,1),MID($L2,15,1)*MID($K2,7,1),MID($L2,16,1)*MID($K2,8,1),MID($L2,17,1)*MID($K2,1,1),MID($L2,18,1)*MID($K2,2,1),MID($L2,19,1)*MID($K2,3,1),MID($L2,20,1)*MID($K2,4,1),MID($L2,21,1)*MID($K2,5,1),MID($L2,22,1)*MID($K2,6,1),MID($L2,23,1)*MID($K2,7,1),MID($L2,24,1)*MID($K2,8,1),MID($L2,25,1)*MID($K2,1,1),MID($L2,26,1)*MID($K2,2,1),MID($L2,27,1)*MID($K2,3,1),MID($L2,28,1)*MID($K2,4,1),MID($L2,29,1)*MID($K2,5,1),MID($L2,30,1)*MID($K2,6,1),MID($L2,31,1)*MID($K2,7,1),MID($L2,32,1)*MID($K2,8,1))</f>
        <v>00000000000100000001000000000000</v>
      </c>
      <c r="CV2" s="26" t="str">
        <f>MID(CU2,1,8)</f>
        <v>00000000</v>
      </c>
      <c r="CW2" s="26" t="str">
        <f>MID(CU2,9,8)</f>
        <v>00010000</v>
      </c>
      <c r="CX2" s="26" t="str">
        <f>MID(CU2,17,8)</f>
        <v>00010000</v>
      </c>
      <c r="CY2" s="26" t="str">
        <f>MID(CU2,25,8)</f>
        <v>00000000</v>
      </c>
      <c r="CZ2" s="77">
        <f>BIN2DEC(CV2)-BIN2DEC(CV3)</f>
        <v>0</v>
      </c>
      <c r="DA2" s="77">
        <f>BIN2DEC(CW2)-BIN2DEC(CW3)</f>
        <v>16</v>
      </c>
      <c r="DB2" s="77">
        <f>BIN2DEC(CX2)-BIN2DEC(CX3)</f>
        <v>16</v>
      </c>
      <c r="DC2" s="77">
        <f>BIN2DEC(CY2)-BIN2DEC(CY3)</f>
        <v>0</v>
      </c>
      <c r="DD2" s="27" t="str">
        <f>MID($L2,1,4)</f>
        <v>1110</v>
      </c>
      <c r="DE2" s="27" t="str">
        <f>MID($L2,5,4)</f>
        <v>0110</v>
      </c>
      <c r="DF2" s="27" t="str">
        <f>MID($L2,9,4)</f>
        <v>0001</v>
      </c>
      <c r="DG2" s="27" t="str">
        <f>MID($L2,13,4)</f>
        <v>1111</v>
      </c>
      <c r="DH2" s="27" t="str">
        <f>MID($L2,17,4)</f>
        <v>0101</v>
      </c>
      <c r="DI2" s="27" t="str">
        <f>MID($L2,21,4)</f>
        <v>1101</v>
      </c>
      <c r="DJ2" s="27" t="str">
        <f>MID($L2,25,4)</f>
        <v>0000</v>
      </c>
      <c r="DK2" s="27" t="str">
        <f>MID($L2,29,4)</f>
        <v>1001</v>
      </c>
      <c r="DL2" s="77">
        <f t="shared" ref="DL2:DS2" si="9">BIN2DEC(DD2)-BIN2DEC(DD3)</f>
        <v>0</v>
      </c>
      <c r="DM2" s="77">
        <f t="shared" si="9"/>
        <v>-4</v>
      </c>
      <c r="DN2" s="77">
        <f t="shared" si="9"/>
        <v>1</v>
      </c>
      <c r="DO2" s="77">
        <f t="shared" si="9"/>
        <v>14</v>
      </c>
      <c r="DP2" s="77">
        <f t="shared" si="9"/>
        <v>-1</v>
      </c>
      <c r="DQ2" s="77">
        <f t="shared" si="9"/>
        <v>8</v>
      </c>
      <c r="DR2" s="77">
        <f t="shared" si="9"/>
        <v>0</v>
      </c>
      <c r="DS2" s="77">
        <f t="shared" si="9"/>
        <v>-6</v>
      </c>
      <c r="DT2" s="26" t="str">
        <f t="shared" ref="DT2:DT41" si="10">MID(CU2,1,16)</f>
        <v>0000000000010000</v>
      </c>
      <c r="DU2" s="26" t="str">
        <f t="shared" ref="DU2:DU41" si="11">MID(CU2,17,16)</f>
        <v>0001000000000000</v>
      </c>
      <c r="DV2" s="77">
        <f>MID(DT2,16,1)*POWER(2,0)+MID(DT2,15,1)*POWER(2,1)+MID(DT2,14,1)*POWER(2,2)+MID(DT2,13,1)*POWER(2,3)+MID(DT2,12,1)*POWER(2,4)+MID(DT2,11,1)*POWER(2,5)+MID(DT2,10,1)*POWER(2,6)+MID(DT2,9,1)*POWER(2,7)+MID(DT2,8,1)*POWER(2,8)+MID(DT2,7,1)*POWER(2,9)+MID(DT2,6,1)*POWER(2,10)+MID(DT2,5,1)*POWER(2,11)+MID(DT2,4,1)*POWER(2,12)+MID(DT2,3,1)*POWER(2,13)+MID(DT2,2,1)*POWER(2,14)+MID(DT2,1,1)*POWER(2,15)-(MID(DT3,16,1)*POWER(2,0)+MID(DT3,15,1)*POWER(2,1)+MID(DT3,14,1)*POWER(2,2)+MID(DT3,13,1)*POWER(2,3)+MID(DT3,12,1)*POWER(2,4)+MID(DT3,11,1)*POWER(2,5)+MID(DT3,10,1)*POWER(2,6)+MID(DT3,9,1)*POWER(2,7)+MID(DT3,8,1)*POWER(2,8)+MID(DT3,7,1)*POWER(2,9)+MID(DT3,6,1)*POWER(2,10)+MID(DT3,5,1)*POWER(2,11)+MID(DT3,4,1)*POWER(2,12)+MID(DT3,3,1)*POWER(2,13)+MID(DT3,2,1)*POWER(2,14)+MID(DT3,1,1)*POWER(2,15))</f>
        <v>16</v>
      </c>
      <c r="DW2" s="77">
        <f>MID(DU2,16,1)*POWER(2,0)+MID(DU2,15,1)*POWER(2,1)+MID(DU2,14,1)*POWER(2,2)+MID(DU2,13,1)*POWER(2,3)+MID(DU2,12,1)*POWER(2,4)+MID(DU2,11,1)*POWER(2,5)+MID(DU2,10,1)*POWER(2,6)+MID(DU2,9,1)*POWER(2,7)+MID(DU2,8,1)*POWER(2,8)+MID(DU2,7,1)*POWER(2,9)+MID(DU2,6,1)*POWER(2,10)+MID(DU2,5,1)*POWER(2,11)+MID(DU2,4,1)*POWER(2,12)+MID(DU2,3,1)*POWER(2,13)+MID(DU2,2,1)*POWER(2,14)+MID(DU2,1,1)*POWER(2,15)-(MID(DU3,16,1)*POWER(2,0)+MID(DU3,15,1)*POWER(2,1)+MID(DU3,14,1)*POWER(2,2)+MID(DU3,13,1)*POWER(2,3)+MID(DU3,12,1)*POWER(2,4)+MID(DU3,11,1)*POWER(2,5)+MID(DU3,10,1)*POWER(2,6)+MID(DU3,9,1)*POWER(2,7)+MID(DU3,8,1)*POWER(2,8)+MID(DU3,7,1)*POWER(2,9)+MID(DU3,6,1)*POWER(2,10)+MID(DU3,5,1)*POWER(2,11)+MID(DU3,4,1)*POWER(2,12)+MID(DU3,3,1)*POWER(2,13)+MID(DU3,2,1)*POWER(2,14)+MID(DU3,1,1)*POWER(2,15))</f>
        <v>4096</v>
      </c>
      <c r="DX2" s="18" t="str">
        <f>CONCATENATE(MID($H2,1,1)*MID($K2,1,1),MID($H2,2,1)*MID($K2,2,1),MID($H2,3,1)*MID($K2,3,1),MID($H2,4,1)*MID($K2,4,1),MID($H2,5,1)*MID($K2,5,1),MID($H2,6,1)*MID($K2,6,1),MID($H2,7,1)*MID($K2,7,1),MID($H2,8,1)*MID($K2,8,1),MID($H2,9,1)*MID($K2,1,1),MID($H2,10,1)*MID($K2,2,1),MID($H2,11,1)*MID($K2,3,1),MID($H2,12,1)*MID($K2,4,1),MID($H2,13,1)*MID($K2,5,1),MID($H2,14,1)*MID($K2,6,1),MID($H2,15,1)*MID($K2,7,1),MID($H2,16,1)*MID($K2,8,1),MID($H2,17,1)*MID($K2,1,1),MID($H2,18,1)*MID($K2,2,1),MID($H2,19,1)*MID($K2,3,1),MID($H2,20,1)*MID($K2,4,1),MID($H2,21,1)*MID($K2,5,1),MID($H2,22,1)*MID($K2,6,1),MID($H2,23,1)*MID($K2,7,1),MID($H2,24,1)*MID($K2,8,1),MID($H2,25,1)*MID($K2,1,1),MID($H2,26,1)*MID($K2,2,1),MID($H2,27,1)*MID($K2,3,1),MID($H2,28,1)*MID($K2,4,1),MID($H2,29,1)*MID($K2,5,1),MID($H2,30,1)*MID($K2,6,1),MID($H2,31,1)*MID($K2,7,1),MID($H2,32,1)*MID($K2,8,1))</f>
        <v>00000000000000000001000000010000</v>
      </c>
      <c r="DY2" s="43" t="str">
        <f>CONCATENATE(MID(DX2,30,3),MID(DX2,17,5),MID(DX2,6,3),MID(DX2,25,5),MID(DX2,14,3),MID(DX2,1,5),MID(DX2,22,3),MID(DX2,9,5))</f>
        <v>00000010000000100000000000000000</v>
      </c>
      <c r="DZ2" s="26" t="str">
        <f>MID(DY2,1,8)</f>
        <v>00000010</v>
      </c>
      <c r="EA2" s="26" t="str">
        <f>MID(DY2,9,8)</f>
        <v>00000010</v>
      </c>
      <c r="EB2" s="26" t="str">
        <f>MID(DY2,17,8)</f>
        <v>00000000</v>
      </c>
      <c r="EC2" s="26" t="str">
        <f>MID(DY2,25,8)</f>
        <v>00000000</v>
      </c>
      <c r="ED2" s="77">
        <f>BIN2DEC(DZ2)-BIN2DEC(DZ3)</f>
        <v>-232</v>
      </c>
      <c r="EE2" s="77">
        <f>BIN2DEC(EA2)-BIN2DEC(EA3)</f>
        <v>1</v>
      </c>
      <c r="EF2" s="77">
        <f>BIN2DEC(EB2)-BIN2DEC(EB3)</f>
        <v>-101</v>
      </c>
      <c r="EG2" s="77">
        <f>BIN2DEC(EC2)-BIN2DEC(EC3)</f>
        <v>-15</v>
      </c>
      <c r="EH2" s="27" t="str">
        <f>MID($L2,1,4)</f>
        <v>1110</v>
      </c>
      <c r="EI2" s="27" t="str">
        <f>MID($L2,5,4)</f>
        <v>0110</v>
      </c>
      <c r="EJ2" s="27" t="str">
        <f>MID($L2,9,4)</f>
        <v>0001</v>
      </c>
      <c r="EK2" s="27" t="str">
        <f>MID($L2,13,4)</f>
        <v>1111</v>
      </c>
      <c r="EL2" s="27" t="str">
        <f>MID($L2,17,4)</f>
        <v>0101</v>
      </c>
      <c r="EM2" s="27" t="str">
        <f>MID($L2,21,4)</f>
        <v>1101</v>
      </c>
      <c r="EN2" s="27" t="str">
        <f>MID($L2,25,4)</f>
        <v>0000</v>
      </c>
      <c r="EO2" s="27" t="str">
        <f>MID($L2,29,4)</f>
        <v>1001</v>
      </c>
      <c r="EP2" s="77">
        <f t="shared" ref="EP2:EW2" si="12">BIN2DEC(EH2)-BIN2DEC(EH3)</f>
        <v>0</v>
      </c>
      <c r="EQ2" s="77">
        <f t="shared" si="12"/>
        <v>-4</v>
      </c>
      <c r="ER2" s="77">
        <f t="shared" si="12"/>
        <v>1</v>
      </c>
      <c r="ES2" s="77">
        <f t="shared" si="12"/>
        <v>14</v>
      </c>
      <c r="ET2" s="77">
        <f t="shared" si="12"/>
        <v>-1</v>
      </c>
      <c r="EU2" s="77">
        <f t="shared" si="12"/>
        <v>8</v>
      </c>
      <c r="EV2" s="77">
        <f t="shared" si="12"/>
        <v>0</v>
      </c>
      <c r="EW2" s="77">
        <f t="shared" si="12"/>
        <v>-6</v>
      </c>
      <c r="EX2" s="26" t="str">
        <f t="shared" ref="EX2:EX41" si="13">MID(DY2,1,16)</f>
        <v>0000001000000010</v>
      </c>
      <c r="EY2" s="26" t="str">
        <f t="shared" ref="EY2:EY41" si="14">MID(DY2,17,16)</f>
        <v>0000000000000000</v>
      </c>
      <c r="EZ2" s="77">
        <f>MID(EX2,16,1)*POWER(2,0)+MID(EX2,15,1)*POWER(2,1)+MID(EX2,14,1)*POWER(2,2)+MID(EX2,13,1)*POWER(2,3)+MID(EX2,12,1)*POWER(2,4)+MID(EX2,11,1)*POWER(2,5)+MID(EX2,10,1)*POWER(2,6)+MID(EX2,9,1)*POWER(2,7)+MID(EX2,8,1)*POWER(2,8)+MID(EX2,7,1)*POWER(2,9)+MID(EX2,6,1)*POWER(2,10)+MID(EX2,5,1)*POWER(2,11)+MID(EX2,4,1)*POWER(2,12)+MID(EX2,3,1)*POWER(2,13)+MID(EX2,2,1)*POWER(2,14)+MID(EX2,1,1)*POWER(2,15)-(MID(EX3,16,1)*POWER(2,0)+MID(EX3,15,1)*POWER(2,1)+MID(EX3,14,1)*POWER(2,2)+MID(EX3,13,1)*POWER(2,3)+MID(EX3,12,1)*POWER(2,4)+MID(EX3,11,1)*POWER(2,5)+MID(EX3,10,1)*POWER(2,6)+MID(EX3,9,1)*POWER(2,7)+MID(EX3,8,1)*POWER(2,8)+MID(EX3,7,1)*POWER(2,9)+MID(EX3,6,1)*POWER(2,10)+MID(EX3,5,1)*POWER(2,11)+MID(EX3,4,1)*POWER(2,12)+MID(EX3,3,1)*POWER(2,13)+MID(EX3,2,1)*POWER(2,14)+MID(EX3,1,1)*POWER(2,15))</f>
        <v>-59391</v>
      </c>
      <c r="FA2" s="77">
        <f>MID(EY2,16,1)*POWER(2,0)+MID(EY2,15,1)*POWER(2,1)+MID(EY2,14,1)*POWER(2,2)+MID(EY2,13,1)*POWER(2,3)+MID(EY2,12,1)*POWER(2,4)+MID(EY2,11,1)*POWER(2,5)+MID(EY2,10,1)*POWER(2,6)+MID(EY2,9,1)*POWER(2,7)+MID(EY2,8,1)*POWER(2,8)+MID(EY2,7,1)*POWER(2,9)+MID(EY2,6,1)*POWER(2,10)+MID(EY2,5,1)*POWER(2,11)+MID(EY2,4,1)*POWER(2,12)+MID(EY2,3,1)*POWER(2,13)+MID(EY2,2,1)*POWER(2,14)+MID(EY2,1,1)*POWER(2,15)-(MID(EY3,16,1)*POWER(2,0)+MID(EY3,15,1)*POWER(2,1)+MID(EY3,14,1)*POWER(2,2)+MID(EY3,13,1)*POWER(2,3)+MID(EY3,12,1)*POWER(2,4)+MID(EY3,11,1)*POWER(2,5)+MID(EY3,10,1)*POWER(2,6)+MID(EY3,9,1)*POWER(2,7)+MID(EY3,8,1)*POWER(2,8)+MID(EY3,7,1)*POWER(2,9)+MID(EY3,6,1)*POWER(2,10)+MID(EY3,5,1)*POWER(2,11)+MID(EY3,4,1)*POWER(2,12)+MID(EY3,3,1)*POWER(2,13)+MID(EY3,2,1)*POWER(2,14)+MID(EY3,1,1)*POWER(2,15))</f>
        <v>-25871</v>
      </c>
      <c r="FB2" s="45" t="str">
        <f>CONCATENATE(MID(DY2,1,1)*MID($K2,1,1),MID(DY2,2,1)*MID($K2,2,1),MID(DY2,3,1)*MID($K2,3,1),MID(DY2,4,1)*MID($K2,4,1),MID(DY2,5,1)*MID($K2,5,1),MID(DY2,6,1)*MID($K2,6,1),MID(DY2,7,1)*MID($K2,7,1),MID(DY2,8,1)*MID($K2,8,1),MID(DY2,9,1)*MID($K2,1,1),MID(DY2,10,1)*MID($K2,2,1),MID(DY2,11,1)*MID($K2,3,1),MID(DY2,12,1)*MID($K2,4,1),MID(DY2,13,1)*MID($K2,5,1),MID(DY2,14,1)*MID($K2,6,1),MID(DY2,15,1)*MID($K2,7,1),MID(DY2,16,1)*MID($K2,8,1),MID(DY2,17,1)*MID($K2,1,1),MID(DY2,18,1)*MID($K2,2,1),MID(DY2,19,1)*MID($K2,3,1),MID(DY2,20,1)*MID($K2,4,1),MID(DY2,21,1)*MID($K2,5,1),MID(DY2,22,1)*MID($K2,6,1),MID(DY2,23,1)*MID($K2,7,1),MID(DY2,24,1)*MID($K2,8,1),MID(DY2,25,1)*MID($K2,1,1),MID(DY2,26,1)*MID($K2,2,1),MID(DY2,27,1)*MID($K2,3,1),MID(DY2,28,1)*MID($K2,4,1),MID(DY2,29,1)*MID($K2,5,1),MID(DY2,30,1)*MID($K2,6,1),MID(DY2,31,1)*MID($K2,7,1),MID(DY2,32,1)*MID($K2,8,1))</f>
        <v>00000000000000000000000000000000</v>
      </c>
      <c r="FC2" s="26" t="str">
        <f>MID(FB2,1,8)</f>
        <v>00000000</v>
      </c>
      <c r="FD2" s="26" t="str">
        <f>MID(FB2,9,8)</f>
        <v>00000000</v>
      </c>
      <c r="FE2" s="26" t="str">
        <f>MID(FB2,17,8)</f>
        <v>00000000</v>
      </c>
      <c r="FF2" s="26" t="str">
        <f>MID(FB2,25,8)</f>
        <v>00000000</v>
      </c>
      <c r="FG2" s="77">
        <f>BIN2DEC(FC2)-BIN2DEC(FC3)</f>
        <v>-234</v>
      </c>
      <c r="FH2" s="77">
        <f>BIN2DEC(FD2)-BIN2DEC(FD3)</f>
        <v>-1</v>
      </c>
      <c r="FI2" s="77">
        <f>BIN2DEC(FE2)-BIN2DEC(FE3)</f>
        <v>-101</v>
      </c>
      <c r="FJ2" s="77">
        <f>BIN2DEC(FF2)-BIN2DEC(FF3)</f>
        <v>-15</v>
      </c>
      <c r="FK2" s="27" t="str">
        <f>MID($L2,1,4)</f>
        <v>1110</v>
      </c>
      <c r="FL2" s="27" t="str">
        <f>MID($L2,5,4)</f>
        <v>0110</v>
      </c>
      <c r="FM2" s="27" t="str">
        <f>MID($L2,9,4)</f>
        <v>0001</v>
      </c>
      <c r="FN2" s="27" t="str">
        <f>MID($L2,13,4)</f>
        <v>1111</v>
      </c>
      <c r="FO2" s="27" t="str">
        <f>MID($L2,17,4)</f>
        <v>0101</v>
      </c>
      <c r="FP2" s="27" t="str">
        <f>MID($L2,21,4)</f>
        <v>1101</v>
      </c>
      <c r="FQ2" s="27" t="str">
        <f>MID($L2,25,4)</f>
        <v>0000</v>
      </c>
      <c r="FR2" s="27" t="str">
        <f>MID($L2,29,4)</f>
        <v>1001</v>
      </c>
      <c r="FS2" s="77">
        <f t="shared" ref="FS2:FZ2" si="15">BIN2DEC(FK2)-BIN2DEC(FK3)</f>
        <v>0</v>
      </c>
      <c r="FT2" s="77">
        <f t="shared" si="15"/>
        <v>-4</v>
      </c>
      <c r="FU2" s="77">
        <f t="shared" si="15"/>
        <v>1</v>
      </c>
      <c r="FV2" s="77">
        <f t="shared" si="15"/>
        <v>14</v>
      </c>
      <c r="FW2" s="77">
        <f t="shared" si="15"/>
        <v>-1</v>
      </c>
      <c r="FX2" s="77">
        <f t="shared" si="15"/>
        <v>8</v>
      </c>
      <c r="FY2" s="77">
        <f t="shared" si="15"/>
        <v>0</v>
      </c>
      <c r="FZ2" s="77">
        <f t="shared" si="15"/>
        <v>-6</v>
      </c>
      <c r="GA2" s="26" t="str">
        <f t="shared" ref="GA2:GA41" si="16">MID(FB2,1,16)</f>
        <v>0000000000000000</v>
      </c>
      <c r="GB2" s="26" t="str">
        <f t="shared" ref="GB2:GB41" si="17">MID(FB2,17,16)</f>
        <v>0000000000000000</v>
      </c>
      <c r="GC2" s="77">
        <f>MID(GA2,16,1)*POWER(2,0)+MID(GA2,15,1)*POWER(2,1)+MID(GA2,14,1)*POWER(2,2)+MID(GA2,13,1)*POWER(2,3)+MID(GA2,12,1)*POWER(2,4)+MID(GA2,11,1)*POWER(2,5)+MID(GA2,10,1)*POWER(2,6)+MID(GA2,9,1)*POWER(2,7)+MID(GA2,8,1)*POWER(2,8)+MID(GA2,7,1)*POWER(2,9)+MID(GA2,6,1)*POWER(2,10)+MID(GA2,5,1)*POWER(2,11)+MID(GA2,4,1)*POWER(2,12)+MID(GA2,3,1)*POWER(2,13)+MID(GA2,2,1)*POWER(2,14)+MID(GA2,1,1)*POWER(2,15)-(MID(GA3,16,1)*POWER(2,0)+MID(GA3,15,1)*POWER(2,1)+MID(GA3,14,1)*POWER(2,2)+MID(GA3,13,1)*POWER(2,3)+MID(GA3,12,1)*POWER(2,4)+MID(GA3,11,1)*POWER(2,5)+MID(GA3,10,1)*POWER(2,6)+MID(GA3,9,1)*POWER(2,7)+MID(GA3,8,1)*POWER(2,8)+MID(GA3,7,1)*POWER(2,9)+MID(GA3,6,1)*POWER(2,10)+MID(GA3,5,1)*POWER(2,11)+MID(GA3,4,1)*POWER(2,12)+MID(GA3,3,1)*POWER(2,13)+MID(GA3,2,1)*POWER(2,14)+MID(GA3,1,1)*POWER(2,15))</f>
        <v>-59905</v>
      </c>
      <c r="GD2" s="77">
        <f>MID(GB2,16,1)*POWER(2,0)+MID(GB2,15,1)*POWER(2,1)+MID(GB2,14,1)*POWER(2,2)+MID(GB2,13,1)*POWER(2,3)+MID(GB2,12,1)*POWER(2,4)+MID(GB2,11,1)*POWER(2,5)+MID(GB2,10,1)*POWER(2,6)+MID(GB2,9,1)*POWER(2,7)+MID(GB2,8,1)*POWER(2,8)+MID(GB2,7,1)*POWER(2,9)+MID(GB2,6,1)*POWER(2,10)+MID(GB2,5,1)*POWER(2,11)+MID(GB2,4,1)*POWER(2,12)+MID(GB2,3,1)*POWER(2,13)+MID(GB2,2,1)*POWER(2,14)+MID(GB2,1,1)*POWER(2,15)-(MID(GB3,16,1)*POWER(2,0)+MID(GB3,15,1)*POWER(2,1)+MID(GB3,14,1)*POWER(2,2)+MID(GB3,13,1)*POWER(2,3)+MID(GB3,12,1)*POWER(2,4)+MID(GB3,11,1)*POWER(2,5)+MID(GB3,10,1)*POWER(2,6)+MID(GB3,9,1)*POWER(2,7)+MID(GB3,8,1)*POWER(2,8)+MID(GB3,7,1)*POWER(2,9)+MID(GB3,6,1)*POWER(2,10)+MID(GB3,5,1)*POWER(2,11)+MID(GB3,4,1)*POWER(2,12)+MID(GB3,3,1)*POWER(2,13)+MID(GB3,2,1)*POWER(2,14)+MID(GB3,1,1)*POWER(2,15))</f>
        <v>-25871</v>
      </c>
      <c r="GE2" s="47" t="str">
        <f>DY2</f>
        <v>00000010000000100000000000000000</v>
      </c>
      <c r="GF2" s="26" t="str">
        <f>MID(GE2,1,8)</f>
        <v>00000010</v>
      </c>
      <c r="GG2" s="26" t="str">
        <f>MID(GE2,9,8)</f>
        <v>00000010</v>
      </c>
      <c r="GH2" s="26" t="str">
        <f>MID(GE2,17,8)</f>
        <v>00000000</v>
      </c>
      <c r="GI2" s="26" t="str">
        <f>MID(GE2,25,8)</f>
        <v>00000000</v>
      </c>
      <c r="GJ2" s="77">
        <f>BIN2DEC(GF2)-BIN2DEC(GF3)</f>
        <v>2</v>
      </c>
      <c r="GK2" s="77">
        <f>BIN2DEC(GG2)-BIN2DEC(GG3)</f>
        <v>2</v>
      </c>
      <c r="GL2" s="77">
        <f>BIN2DEC(GH2)-BIN2DEC(GH3)</f>
        <v>0</v>
      </c>
      <c r="GM2" s="77">
        <f>BIN2DEC(GI2)-BIN2DEC(GI3)</f>
        <v>0</v>
      </c>
      <c r="GN2" s="27" t="str">
        <f>MID($L2,1,4)</f>
        <v>1110</v>
      </c>
      <c r="GO2" s="27" t="str">
        <f>MID($L2,5,4)</f>
        <v>0110</v>
      </c>
      <c r="GP2" s="27" t="str">
        <f>MID($L2,9,4)</f>
        <v>0001</v>
      </c>
      <c r="GQ2" s="27" t="str">
        <f>MID($L2,13,4)</f>
        <v>1111</v>
      </c>
      <c r="GR2" s="27" t="str">
        <f>MID($L2,17,4)</f>
        <v>0101</v>
      </c>
      <c r="GS2" s="27" t="str">
        <f>MID($L2,21,4)</f>
        <v>1101</v>
      </c>
      <c r="GT2" s="27" t="str">
        <f>MID($L2,25,4)</f>
        <v>0000</v>
      </c>
      <c r="GU2" s="27" t="str">
        <f>MID($L2,29,4)</f>
        <v>1001</v>
      </c>
      <c r="GV2" s="77">
        <f t="shared" ref="GV2:HC2" si="18">BIN2DEC(GN2)-BIN2DEC(GN3)</f>
        <v>0</v>
      </c>
      <c r="GW2" s="77">
        <f t="shared" si="18"/>
        <v>-4</v>
      </c>
      <c r="GX2" s="77">
        <f t="shared" si="18"/>
        <v>1</v>
      </c>
      <c r="GY2" s="77">
        <f t="shared" si="18"/>
        <v>14</v>
      </c>
      <c r="GZ2" s="77">
        <f t="shared" si="18"/>
        <v>-1</v>
      </c>
      <c r="HA2" s="77">
        <f t="shared" si="18"/>
        <v>8</v>
      </c>
      <c r="HB2" s="77">
        <f t="shared" si="18"/>
        <v>0</v>
      </c>
      <c r="HC2" s="77">
        <f t="shared" si="18"/>
        <v>-6</v>
      </c>
      <c r="HD2" s="26" t="str">
        <f t="shared" ref="HD2:HD41" si="19">MID(GE2,1,16)</f>
        <v>0000001000000010</v>
      </c>
      <c r="HE2" s="26" t="str">
        <f t="shared" ref="HE2:HE41" si="20">MID(GE2,17,16)</f>
        <v>0000000000000000</v>
      </c>
      <c r="HF2" s="77">
        <f>MID(HD2,16,1)*POWER(2,0)+MID(HD2,15,1)*POWER(2,1)+MID(HD2,14,1)*POWER(2,2)+MID(HD2,13,1)*POWER(2,3)+MID(HD2,12,1)*POWER(2,4)+MID(HD2,11,1)*POWER(2,5)+MID(HD2,10,1)*POWER(2,6)+MID(HD2,9,1)*POWER(2,7)+MID(HD2,8,1)*POWER(2,8)+MID(HD2,7,1)*POWER(2,9)+MID(HD2,6,1)*POWER(2,10)+MID(HD2,5,1)*POWER(2,11)+MID(HD2,4,1)*POWER(2,12)+MID(HD2,3,1)*POWER(2,13)+MID(HD2,2,1)*POWER(2,14)+MID(HD2,1,1)*POWER(2,15)-(MID(HD3,16,1)*POWER(2,0)+MID(HD3,15,1)*POWER(2,1)+MID(HD3,14,1)*POWER(2,2)+MID(HD3,13,1)*POWER(2,3)+MID(HD3,12,1)*POWER(2,4)+MID(HD3,11,1)*POWER(2,5)+MID(HD3,10,1)*POWER(2,6)+MID(HD3,9,1)*POWER(2,7)+MID(HD3,8,1)*POWER(2,8)+MID(HD3,7,1)*POWER(2,9)+MID(HD3,6,1)*POWER(2,10)+MID(HD3,5,1)*POWER(2,11)+MID(HD3,4,1)*POWER(2,12)+MID(HD3,3,1)*POWER(2,13)+MID(HD3,2,1)*POWER(2,14)+MID(HD3,1,1)*POWER(2,15))</f>
        <v>514</v>
      </c>
      <c r="HG2" s="77">
        <f>MID(HE2,16,1)*POWER(2,0)+MID(HE2,15,1)*POWER(2,1)+MID(HE2,14,1)*POWER(2,2)+MID(HE2,13,1)*POWER(2,3)+MID(HE2,12,1)*POWER(2,4)+MID(HE2,11,1)*POWER(2,5)+MID(HE2,10,1)*POWER(2,6)+MID(HE2,9,1)*POWER(2,7)+MID(HE2,8,1)*POWER(2,8)+MID(HE2,7,1)*POWER(2,9)+MID(HE2,6,1)*POWER(2,10)+MID(HE2,5,1)*POWER(2,11)+MID(HE2,4,1)*POWER(2,12)+MID(HE2,3,1)*POWER(2,13)+MID(HE2,2,1)*POWER(2,14)+MID(HE2,1,1)*POWER(2,15)-(MID(HE3,16,1)*POWER(2,0)+MID(HE3,15,1)*POWER(2,1)+MID(HE3,14,1)*POWER(2,2)+MID(HE3,13,1)*POWER(2,3)+MID(HE3,12,1)*POWER(2,4)+MID(HE3,11,1)*POWER(2,5)+MID(HE3,10,1)*POWER(2,6)+MID(HE3,9,1)*POWER(2,7)+MID(HE3,8,1)*POWER(2,8)+MID(HE3,7,1)*POWER(2,9)+MID(HE3,6,1)*POWER(2,10)+MID(HE3,5,1)*POWER(2,11)+MID(HE3,4,1)*POWER(2,12)+MID(HE3,3,1)*POWER(2,13)+MID(HE3,2,1)*POWER(2,14)+MID(HE3,1,1)*POWER(2,15))</f>
        <v>0</v>
      </c>
      <c r="HH2" s="45" t="str">
        <f>CONCATENATE(MID(GE2,1,1)*MID($K2,1,1),MID(GE2,2,1)*MID($K2,2,1),MID(GE2,3,1)*MID($K2,3,1),MID(GE2,4,1)*MID($K2,4,1),MID(GE2,5,1)*MID($K2,5,1),MID(GE2,6,1)*MID($K2,6,1),MID(GE2,7,1)*MID($K2,7,1),MID(GE2,8,1)*MID($K2,8,1),MID(GE2,9,1)*MID($K2,1,1),MID(GE2,10,1)*MID($K2,2,1),MID(GE2,11,1)*MID($K2,3,1),MID(GE2,12,1)*MID($K2,4,1),MID(GE2,13,1)*MID($K2,5,1),MID(GE2,14,1)*MID($K2,6,1),MID(GE2,15,1)*MID($K2,7,1),MID(GE2,16,1)*MID($K2,8,1),MID(GE2,17,1)*MID($K2,1,1),MID(GE2,18,1)*MID($K2,2,1),MID(GE2,19,1)*MID($K2,3,1),MID(GE2,20,1)*MID($K2,4,1),MID(GE2,21,1)*MID($K2,5,1),MID(GE2,22,1)*MID($K2,6,1),MID(GE2,23,1)*MID($K2,7,1),MID(GE2,24,1)*MID($K2,8,1),MID(GE2,25,1)*MID($K2,1,1),MID(GE2,26,1)*MID($K2,2,1),MID(GE2,27,1)*MID($K2,3,1),MID(GE2,28,1)*MID($K2,4,1),MID(GE2,29,1)*MID($K2,5,1),MID(GE2,30,1)*MID($K2,6,1),MID(GE2,31,1)*MID($K2,7,1),MID(GE2,32,1)*MID($K2,8,1))</f>
        <v>00000000000000000000000000000000</v>
      </c>
      <c r="HI2" s="26" t="str">
        <f>MID(HH2,1,8)</f>
        <v>00000000</v>
      </c>
      <c r="HJ2" s="26" t="str">
        <f>MID(HH2,9,8)</f>
        <v>00000000</v>
      </c>
      <c r="HK2" s="26" t="str">
        <f>MID(HH2,17,8)</f>
        <v>00000000</v>
      </c>
      <c r="HL2" s="26" t="str">
        <f>MID(HH2,25,8)</f>
        <v>00000000</v>
      </c>
      <c r="HM2" s="77">
        <f>BIN2DEC(HI2)-BIN2DEC(HI3)</f>
        <v>0</v>
      </c>
      <c r="HN2" s="77">
        <f>BIN2DEC(HJ2)-BIN2DEC(HJ3)</f>
        <v>0</v>
      </c>
      <c r="HO2" s="77">
        <f>BIN2DEC(HK2)-BIN2DEC(HK3)</f>
        <v>0</v>
      </c>
      <c r="HP2" s="77">
        <f>BIN2DEC(HL2)-BIN2DEC(HL3)</f>
        <v>0</v>
      </c>
      <c r="HQ2" s="27" t="str">
        <f>MID($L2,1,4)</f>
        <v>1110</v>
      </c>
      <c r="HR2" s="27" t="str">
        <f>MID($L2,5,4)</f>
        <v>0110</v>
      </c>
      <c r="HS2" s="27" t="str">
        <f>MID($L2,9,4)</f>
        <v>0001</v>
      </c>
      <c r="HT2" s="27" t="str">
        <f>MID($L2,13,4)</f>
        <v>1111</v>
      </c>
      <c r="HU2" s="27" t="str">
        <f>MID($L2,17,4)</f>
        <v>0101</v>
      </c>
      <c r="HV2" s="27" t="str">
        <f>MID($L2,21,4)</f>
        <v>1101</v>
      </c>
      <c r="HW2" s="27" t="str">
        <f>MID($L2,25,4)</f>
        <v>0000</v>
      </c>
      <c r="HX2" s="27" t="str">
        <f>MID($L2,29,4)</f>
        <v>1001</v>
      </c>
      <c r="HY2" s="77">
        <f t="shared" ref="HY2:IF2" si="21">BIN2DEC(HQ2)-BIN2DEC(HQ3)</f>
        <v>0</v>
      </c>
      <c r="HZ2" s="77">
        <f t="shared" si="21"/>
        <v>-4</v>
      </c>
      <c r="IA2" s="77">
        <f t="shared" si="21"/>
        <v>1</v>
      </c>
      <c r="IB2" s="77">
        <f t="shared" si="21"/>
        <v>14</v>
      </c>
      <c r="IC2" s="77">
        <f t="shared" si="21"/>
        <v>-1</v>
      </c>
      <c r="ID2" s="77">
        <f t="shared" si="21"/>
        <v>8</v>
      </c>
      <c r="IE2" s="77">
        <f t="shared" si="21"/>
        <v>0</v>
      </c>
      <c r="IF2" s="77">
        <f t="shared" si="21"/>
        <v>-6</v>
      </c>
      <c r="IG2" s="26" t="str">
        <f t="shared" ref="IG2:IG41" si="22">MID(HH2,1,16)</f>
        <v>0000000000000000</v>
      </c>
      <c r="IH2" s="26" t="str">
        <f t="shared" ref="IH2:IH41" si="23">MID(HH2,17,16)</f>
        <v>0000000000000000</v>
      </c>
      <c r="II2" s="77">
        <f>MID(IG2,16,1)*POWER(2,0)+MID(IG2,15,1)*POWER(2,1)+MID(IG2,14,1)*POWER(2,2)+MID(IG2,13,1)*POWER(2,3)+MID(IG2,12,1)*POWER(2,4)+MID(IG2,11,1)*POWER(2,5)+MID(IG2,10,1)*POWER(2,6)+MID(IG2,9,1)*POWER(2,7)+MID(IG2,8,1)*POWER(2,8)+MID(IG2,7,1)*POWER(2,9)+MID(IG2,6,1)*POWER(2,10)+MID(IG2,5,1)*POWER(2,11)+MID(IG2,4,1)*POWER(2,12)+MID(IG2,3,1)*POWER(2,13)+MID(IG2,2,1)*POWER(2,14)+MID(IG2,1,1)*POWER(2,15)-(MID(IG3,16,1)*POWER(2,0)+MID(IG3,15,1)*POWER(2,1)+MID(IG3,14,1)*POWER(2,2)+MID(IG3,13,1)*POWER(2,3)+MID(IG3,12,1)*POWER(2,4)+MID(IG3,11,1)*POWER(2,5)+MID(IG3,10,1)*POWER(2,6)+MID(IG3,9,1)*POWER(2,7)+MID(IG3,8,1)*POWER(2,8)+MID(IG3,7,1)*POWER(2,9)+MID(IG3,6,1)*POWER(2,10)+MID(IG3,5,1)*POWER(2,11)+MID(IG3,4,1)*POWER(2,12)+MID(IG3,3,1)*POWER(2,13)+MID(IG3,2,1)*POWER(2,14)+MID(IG3,1,1)*POWER(2,15))</f>
        <v>0</v>
      </c>
      <c r="IJ2" s="77">
        <f>MID(IH2,16,1)*POWER(2,0)+MID(IH2,15,1)*POWER(2,1)+MID(IH2,14,1)*POWER(2,2)+MID(IH2,13,1)*POWER(2,3)+MID(IH2,12,1)*POWER(2,4)+MID(IH2,11,1)*POWER(2,5)+MID(IH2,10,1)*POWER(2,6)+MID(IH2,9,1)*POWER(2,7)+MID(IH2,8,1)*POWER(2,8)+MID(IH2,7,1)*POWER(2,9)+MID(IH2,6,1)*POWER(2,10)+MID(IH2,5,1)*POWER(2,11)+MID(IH2,4,1)*POWER(2,12)+MID(IH2,3,1)*POWER(2,13)+MID(IH2,2,1)*POWER(2,14)+MID(IH2,1,1)*POWER(2,15)-(MID(IH3,16,1)*POWER(2,0)+MID(IH3,15,1)*POWER(2,1)+MID(IH3,14,1)*POWER(2,2)+MID(IH3,13,1)*POWER(2,3)+MID(IH3,12,1)*POWER(2,4)+MID(IH3,11,1)*POWER(2,5)+MID(IH3,10,1)*POWER(2,6)+MID(IH3,9,1)*POWER(2,7)+MID(IH3,8,1)*POWER(2,8)+MID(IH3,7,1)*POWER(2,9)+MID(IH3,6,1)*POWER(2,10)+MID(IH3,5,1)*POWER(2,11)+MID(IH3,4,1)*POWER(2,12)+MID(IH3,3,1)*POWER(2,13)+MID(IH3,2,1)*POWER(2,14)+MID(IH3,1,1)*POWER(2,15))</f>
        <v>0</v>
      </c>
      <c r="IL2" s="26"/>
      <c r="IM2" s="26"/>
      <c r="IN2" s="26"/>
      <c r="IO2" s="26"/>
      <c r="IP2" s="22"/>
      <c r="IQ2" s="22"/>
      <c r="IR2" s="22"/>
      <c r="IS2" s="22"/>
      <c r="JB2" s="22"/>
      <c r="JC2" s="22"/>
      <c r="JD2" s="22"/>
      <c r="JE2" s="22"/>
      <c r="JF2" s="22"/>
      <c r="JG2" s="22"/>
      <c r="JH2" s="22"/>
      <c r="JI2" s="22"/>
      <c r="JJ2" s="26"/>
      <c r="JK2" s="26"/>
      <c r="JL2" s="22"/>
      <c r="JM2" s="22"/>
    </row>
    <row r="3" spans="1:273" s="31" customFormat="1" ht="18.600000000000001" thickBot="1" x14ac:dyDescent="0.4">
      <c r="A3" s="28"/>
      <c r="B3" s="29"/>
      <c r="C3" s="17" t="s">
        <v>6</v>
      </c>
      <c r="D3" s="67" t="s">
        <v>34</v>
      </c>
      <c r="E3" s="67">
        <v>1</v>
      </c>
      <c r="F3" s="67">
        <v>65</v>
      </c>
      <c r="G3" s="67" t="s">
        <v>33</v>
      </c>
      <c r="H3" s="67" t="str">
        <f>CONCATENATE(HEX2BIN(D3,8),HEX2BIN(E3,8),HEX2BIN(F3,8),HEX2BIN(G3,8))</f>
        <v>11101010000000010110010100001111</v>
      </c>
      <c r="I3" s="67">
        <f>MID(H3,1,1)+MID(H3,2,1)+MID(H3,3,1)+MID(H3,4,1)+MID(H3,5,1)+MID(H3,6,1)+MID(H3,7,1)+MID(H3,8,1)+MID(H3,9,1)+MID(H3,10,1)+MID(H3,11,1)+MID(H3,12,1)+MID(H3,13,1)+MID(H3,14,1)+MID(H3,15,1)+MID(H3,16,1)+MID(H3,17,1)+MID(H3,18,1)+MID(H3,19,1)+MID(H3,20,1)+MID(H3,21,1)+MID(H3,22,1)+MID(H3,23,1)+MID(H3,24,1)+MID(H3,25,1)+MID(H3,26,1)+MID(H3,27,1)+MID(H3,28,1)+MID(H3,29,1)+MID(H3,30,1)+MID(H3,31,1)+MID(H3,32,1)</f>
        <v>14</v>
      </c>
      <c r="J3" s="78"/>
      <c r="K3" s="80"/>
      <c r="L3" s="44" t="str">
        <f>H3</f>
        <v>11101010000000010110010100001111</v>
      </c>
      <c r="M3" s="30" t="str">
        <f t="shared" ref="M3:M41" si="24">MID(L3,1,8)</f>
        <v>11101010</v>
      </c>
      <c r="N3" s="30" t="str">
        <f t="shared" ref="N3:N41" si="25">MID(L3,9,8)</f>
        <v>00000001</v>
      </c>
      <c r="O3" s="30" t="str">
        <f t="shared" ref="O3:O41" si="26">MID(L3,17,8)</f>
        <v>01100101</v>
      </c>
      <c r="P3" s="30" t="str">
        <f t="shared" ref="P3:P41" si="27">MID(L3,25,8)</f>
        <v>00001111</v>
      </c>
      <c r="Q3" s="78"/>
      <c r="R3" s="78"/>
      <c r="S3" s="78"/>
      <c r="T3" s="78"/>
      <c r="U3" s="31" t="str">
        <f t="shared" ref="U3:U41" si="28">MID($L3,1,4)</f>
        <v>1110</v>
      </c>
      <c r="V3" s="31" t="str">
        <f t="shared" ref="V3:V41" si="29">MID($L3,5,4)</f>
        <v>1010</v>
      </c>
      <c r="W3" s="31" t="str">
        <f t="shared" ref="W3:W41" si="30">MID($L3,9,4)</f>
        <v>0000</v>
      </c>
      <c r="X3" s="31" t="str">
        <f t="shared" ref="X3:X41" si="31">MID($L3,13,4)</f>
        <v>0001</v>
      </c>
      <c r="Y3" s="31" t="str">
        <f t="shared" ref="Y3:Y41" si="32">MID($L3,17,4)</f>
        <v>0110</v>
      </c>
      <c r="Z3" s="31" t="str">
        <f t="shared" ref="Z3:Z41" si="33">MID($L3,21,4)</f>
        <v>0101</v>
      </c>
      <c r="AA3" s="31" t="str">
        <f t="shared" ref="AA3:AA41" si="34">MID($L3,25,4)</f>
        <v>0000</v>
      </c>
      <c r="AB3" s="31" t="str">
        <f t="shared" ref="AB3:AB41" si="35">MID($L3,29,4)</f>
        <v>1111</v>
      </c>
      <c r="AC3" s="78"/>
      <c r="AD3" s="78"/>
      <c r="AE3" s="78"/>
      <c r="AF3" s="78"/>
      <c r="AG3" s="78"/>
      <c r="AH3" s="78"/>
      <c r="AI3" s="78"/>
      <c r="AJ3" s="78"/>
      <c r="AK3" s="30" t="str">
        <f t="shared" si="1"/>
        <v>1110101000000001</v>
      </c>
      <c r="AL3" s="30" t="str">
        <f t="shared" si="2"/>
        <v>0110010100001111</v>
      </c>
      <c r="AM3" s="78"/>
      <c r="AN3" s="78"/>
      <c r="AO3" s="46" t="str">
        <f>L3</f>
        <v>11101010000000010110010100001111</v>
      </c>
      <c r="AP3" s="30" t="str">
        <f t="shared" ref="AP3:AP41" si="36">MID(AO3,1,8)</f>
        <v>11101010</v>
      </c>
      <c r="AQ3" s="30" t="str">
        <f t="shared" ref="AQ3:AQ41" si="37">MID(AO3,9,8)</f>
        <v>00000001</v>
      </c>
      <c r="AR3" s="30" t="str">
        <f t="shared" ref="AR3:AR41" si="38">MID(AO3,17,8)</f>
        <v>01100101</v>
      </c>
      <c r="AS3" s="30" t="str">
        <f t="shared" ref="AS3:AS41" si="39">MID(AO3,25,8)</f>
        <v>00001111</v>
      </c>
      <c r="AT3" s="78"/>
      <c r="AU3" s="78"/>
      <c r="AV3" s="78"/>
      <c r="AW3" s="78"/>
      <c r="AX3" s="31" t="str">
        <f t="shared" ref="AX3:AX41" si="40">MID($L3,1,4)</f>
        <v>1110</v>
      </c>
      <c r="AY3" s="31" t="str">
        <f t="shared" ref="AY3:AY41" si="41">MID($L3,5,4)</f>
        <v>1010</v>
      </c>
      <c r="AZ3" s="31" t="str">
        <f t="shared" ref="AZ3:AZ41" si="42">MID($L3,9,4)</f>
        <v>0000</v>
      </c>
      <c r="BA3" s="31" t="str">
        <f t="shared" ref="BA3:BA41" si="43">MID($L3,13,4)</f>
        <v>0001</v>
      </c>
      <c r="BB3" s="31" t="str">
        <f t="shared" ref="BB3:BB41" si="44">MID($L3,17,4)</f>
        <v>0110</v>
      </c>
      <c r="BC3" s="31" t="str">
        <f t="shared" ref="BC3:BC41" si="45">MID($L3,21,4)</f>
        <v>0101</v>
      </c>
      <c r="BD3" s="31" t="str">
        <f t="shared" ref="BD3:BD41" si="46">MID($L3,25,4)</f>
        <v>0000</v>
      </c>
      <c r="BE3" s="31" t="str">
        <f t="shared" ref="BE3:BE41" si="47">MID($L3,29,4)</f>
        <v>1111</v>
      </c>
      <c r="BF3" s="78"/>
      <c r="BG3" s="78"/>
      <c r="BH3" s="78"/>
      <c r="BI3" s="78"/>
      <c r="BJ3" s="78"/>
      <c r="BK3" s="78"/>
      <c r="BL3" s="78"/>
      <c r="BM3" s="78"/>
      <c r="BN3" s="30" t="str">
        <f t="shared" si="4"/>
        <v>1110101000000001</v>
      </c>
      <c r="BO3" s="30" t="str">
        <f t="shared" si="5"/>
        <v>0110010100001111</v>
      </c>
      <c r="BP3" s="78"/>
      <c r="BQ3" s="78"/>
      <c r="BR3" s="46" t="str">
        <f>CONCATENATE(MID(L3,1,1)*MID(K2,1,1),MID(L3,2,1)*MID(K2,2,1),MID(L3,3,1)*MID(K2,3,1),MID(L3,4,1)*MID(K2,4,1),MID(L3,5,1)*MID(K2,5,1),MID(L3,6,1)*MID(K2,6,1),MID(L3,7,1)*MID(K2,7,1),MID(L3,8,1)*MID(K2,8,1),MID(L3,9,1)*MID(K2,1,1),MID(L3,10,1)*MID(K2,2,1),MID(L3,11,1)*MID(K2,3,1),MID(L3,12,1)*MID(K2,4,1),MID(L3,13,1)*MID(K2,5,1),MID(L3,14,1)*MID(K2,6,1),MID(L3,15,1)*MID(K2,7,1),MID(L3,16,1)*MID(K2,8,1),MID(L3,17,1)*MID(K2,1,1),MID(L3,18,1)*MID(K2,2,1),MID(L3,19,1)*MID(K2,3,1),MID(L3,20,1)*MID(K2,4,1),MID(L3,21,1)*MID(K2,5,1),MID(L3,22,1)*MID(K2,6,1),MID(L3,23,1)*MID(K2,7,1),MID(L3,24,1)*MID(K2,8,1),MID(L3,25,1)*MID(K2,1,1),MID(L3,26,1)*MID(K2,2,1),MID(L3,27,1)*MID(K2,3,1),MID(L3,28,1)*MID(K2,4,1),MID(L3,29,1)*MID(K2,5,1),MID(L3,30,1)*MID(K2,6,1),MID(L3,31,1)*MID(K2,7,1),MID(L3,32,1)*MID(K2,8,1))</f>
        <v>00000000000000000000000000000000</v>
      </c>
      <c r="BS3" s="30" t="str">
        <f t="shared" ref="BS3:BS41" si="48">MID(BR3,1,8)</f>
        <v>00000000</v>
      </c>
      <c r="BT3" s="30" t="str">
        <f t="shared" ref="BT3:BT41" si="49">MID(BR3,9,8)</f>
        <v>00000000</v>
      </c>
      <c r="BU3" s="30" t="str">
        <f t="shared" ref="BU3:BU41" si="50">MID(BR3,17,8)</f>
        <v>00000000</v>
      </c>
      <c r="BV3" s="30" t="str">
        <f t="shared" ref="BV3:BV41" si="51">MID(BR3,25,8)</f>
        <v>00000000</v>
      </c>
      <c r="BW3" s="78"/>
      <c r="BX3" s="78"/>
      <c r="BY3" s="78"/>
      <c r="BZ3" s="78"/>
      <c r="CA3" s="31" t="str">
        <f t="shared" ref="CA3:CA41" si="52">MID($L3,1,4)</f>
        <v>1110</v>
      </c>
      <c r="CB3" s="31" t="str">
        <f t="shared" ref="CB3:CB41" si="53">MID($L3,5,4)</f>
        <v>1010</v>
      </c>
      <c r="CC3" s="31" t="str">
        <f t="shared" ref="CC3:CC41" si="54">MID($L3,9,4)</f>
        <v>0000</v>
      </c>
      <c r="CD3" s="31" t="str">
        <f t="shared" ref="CD3:CD41" si="55">MID($L3,13,4)</f>
        <v>0001</v>
      </c>
      <c r="CE3" s="31" t="str">
        <f t="shared" ref="CE3:CE41" si="56">MID($L3,17,4)</f>
        <v>0110</v>
      </c>
      <c r="CF3" s="31" t="str">
        <f t="shared" ref="CF3:CF41" si="57">MID($L3,21,4)</f>
        <v>0101</v>
      </c>
      <c r="CG3" s="31" t="str">
        <f t="shared" ref="CG3:CG41" si="58">MID($L3,25,4)</f>
        <v>0000</v>
      </c>
      <c r="CH3" s="31" t="str">
        <f t="shared" ref="CH3:CH41" si="59">MID($L3,29,4)</f>
        <v>1111</v>
      </c>
      <c r="CI3" s="78"/>
      <c r="CJ3" s="78"/>
      <c r="CK3" s="78"/>
      <c r="CL3" s="78"/>
      <c r="CM3" s="78"/>
      <c r="CN3" s="78"/>
      <c r="CO3" s="78"/>
      <c r="CP3" s="78"/>
      <c r="CQ3" s="30" t="str">
        <f t="shared" si="7"/>
        <v>0000000000000000</v>
      </c>
      <c r="CR3" s="30" t="str">
        <f t="shared" si="8"/>
        <v>0000000000000000</v>
      </c>
      <c r="CS3" s="78"/>
      <c r="CT3" s="78"/>
      <c r="CU3" s="46" t="str">
        <f>CONCATENATE(MID($L3,1,1)*MID($K2,1,1),MID($L3,2,1)*MID($K2,2,1),MID($L3,3,1)*MID($K2,3,1),MID($L3,4,1)*MID($K2,4,1),MID($L3,5,1)*MID($K2,5,1),MID($L3,6,1)*MID($K2,6,1),MID($L3,7,1)*MID($K2,7,1),MID($L3,8,1)*MID($K2,8,1),MID($L3,9,1)*MID($K2,1,1),MID($L3,10,1)*MID($K2,2,1),MID($L3,11,1)*MID($K2,3,1),MID($L3,12,1)*MID($K2,4,1),MID($L3,13,1)*MID($K2,5,1),MID($L3,14,1)*MID($K2,6,1),MID($L3,15,1)*MID($K2,7,1),MID($L3,16,1)*MID($K2,8,1),MID($L3,17,1)*MID($K2,1,1),MID($L3,18,1)*MID($K2,2,1),MID($L3,19,1)*MID($K2,3,1),MID($L3,20,1)*MID($K2,4,1),MID($L3,21,1)*MID($K2,5,1),MID($L3,22,1)*MID($K2,6,1),MID($L3,23,1)*MID($K2,7,1),MID($L3,24,1)*MID($K2,8,1),MID($L3,25,1)*MID($K2,1,1),MID($L3,26,1)*MID($K2,2,1),MID($L3,27,1)*MID($K2,3,1),MID($L3,28,1)*MID($K2,4,1),MID($L3,29,1)*MID($K2,5,1),MID($L3,30,1)*MID($K2,6,1),MID($L3,31,1)*MID($K2,7,1),MID($L3,32,1)*MID($K2,8,1))</f>
        <v>00000000000000000000000000000000</v>
      </c>
      <c r="CV3" s="30" t="str">
        <f t="shared" ref="CV3:CV41" si="60">MID(CU3,1,8)</f>
        <v>00000000</v>
      </c>
      <c r="CW3" s="30" t="str">
        <f t="shared" ref="CW3:CW41" si="61">MID(CU3,9,8)</f>
        <v>00000000</v>
      </c>
      <c r="CX3" s="30" t="str">
        <f t="shared" ref="CX3:CX41" si="62">MID(CU3,17,8)</f>
        <v>00000000</v>
      </c>
      <c r="CY3" s="30" t="str">
        <f t="shared" ref="CY3:CY41" si="63">MID(CU3,25,8)</f>
        <v>00000000</v>
      </c>
      <c r="CZ3" s="78"/>
      <c r="DA3" s="78"/>
      <c r="DB3" s="78"/>
      <c r="DC3" s="78"/>
      <c r="DD3" s="31" t="str">
        <f t="shared" ref="DD3:DD41" si="64">MID($L3,1,4)</f>
        <v>1110</v>
      </c>
      <c r="DE3" s="31" t="str">
        <f t="shared" ref="DE3:DE41" si="65">MID($L3,5,4)</f>
        <v>1010</v>
      </c>
      <c r="DF3" s="31" t="str">
        <f t="shared" ref="DF3:DF41" si="66">MID($L3,9,4)</f>
        <v>0000</v>
      </c>
      <c r="DG3" s="31" t="str">
        <f t="shared" ref="DG3:DG41" si="67">MID($L3,13,4)</f>
        <v>0001</v>
      </c>
      <c r="DH3" s="31" t="str">
        <f t="shared" ref="DH3:DH41" si="68">MID($L3,17,4)</f>
        <v>0110</v>
      </c>
      <c r="DI3" s="31" t="str">
        <f t="shared" ref="DI3:DI41" si="69">MID($L3,21,4)</f>
        <v>0101</v>
      </c>
      <c r="DJ3" s="31" t="str">
        <f t="shared" ref="DJ3:DJ41" si="70">MID($L3,25,4)</f>
        <v>0000</v>
      </c>
      <c r="DK3" s="31" t="str">
        <f t="shared" ref="DK3:DK41" si="71">MID($L3,29,4)</f>
        <v>1111</v>
      </c>
      <c r="DL3" s="78"/>
      <c r="DM3" s="78"/>
      <c r="DN3" s="78"/>
      <c r="DO3" s="78"/>
      <c r="DP3" s="78"/>
      <c r="DQ3" s="78"/>
      <c r="DR3" s="78"/>
      <c r="DS3" s="78"/>
      <c r="DT3" s="30" t="str">
        <f t="shared" si="10"/>
        <v>0000000000000000</v>
      </c>
      <c r="DU3" s="30" t="str">
        <f t="shared" si="11"/>
        <v>0000000000000000</v>
      </c>
      <c r="DV3" s="78"/>
      <c r="DW3" s="78"/>
      <c r="DX3" s="19"/>
      <c r="DY3" s="48" t="str">
        <f>H3</f>
        <v>11101010000000010110010100001111</v>
      </c>
      <c r="DZ3" s="30" t="str">
        <f>MID(DY3,1,8)</f>
        <v>11101010</v>
      </c>
      <c r="EA3" s="30" t="str">
        <f t="shared" ref="EA3:EA41" si="72">MID(DY3,9,8)</f>
        <v>00000001</v>
      </c>
      <c r="EB3" s="30" t="str">
        <f t="shared" ref="EB3:EB41" si="73">MID(DY3,17,8)</f>
        <v>01100101</v>
      </c>
      <c r="EC3" s="30" t="str">
        <f t="shared" ref="EC3:EC41" si="74">MID(DY3,25,8)</f>
        <v>00001111</v>
      </c>
      <c r="ED3" s="78"/>
      <c r="EE3" s="78"/>
      <c r="EF3" s="78"/>
      <c r="EG3" s="78"/>
      <c r="EH3" s="31" t="str">
        <f t="shared" ref="EH3:EH41" si="75">MID($L3,1,4)</f>
        <v>1110</v>
      </c>
      <c r="EI3" s="31" t="str">
        <f t="shared" ref="EI3:EI41" si="76">MID($L3,5,4)</f>
        <v>1010</v>
      </c>
      <c r="EJ3" s="31" t="str">
        <f t="shared" ref="EJ3:EJ41" si="77">MID($L3,9,4)</f>
        <v>0000</v>
      </c>
      <c r="EK3" s="31" t="str">
        <f t="shared" ref="EK3:EK41" si="78">MID($L3,13,4)</f>
        <v>0001</v>
      </c>
      <c r="EL3" s="31" t="str">
        <f t="shared" ref="EL3:EL41" si="79">MID($L3,17,4)</f>
        <v>0110</v>
      </c>
      <c r="EM3" s="31" t="str">
        <f t="shared" ref="EM3:EM41" si="80">MID($L3,21,4)</f>
        <v>0101</v>
      </c>
      <c r="EN3" s="31" t="str">
        <f t="shared" ref="EN3:EN41" si="81">MID($L3,25,4)</f>
        <v>0000</v>
      </c>
      <c r="EO3" s="31" t="str">
        <f t="shared" ref="EO3:EO41" si="82">MID($L3,29,4)</f>
        <v>1111</v>
      </c>
      <c r="EP3" s="78"/>
      <c r="EQ3" s="78"/>
      <c r="ER3" s="78"/>
      <c r="ES3" s="78"/>
      <c r="ET3" s="78"/>
      <c r="EU3" s="78"/>
      <c r="EV3" s="78"/>
      <c r="EW3" s="78"/>
      <c r="EX3" s="30" t="str">
        <f t="shared" si="13"/>
        <v>1110101000000001</v>
      </c>
      <c r="EY3" s="30" t="str">
        <f t="shared" si="14"/>
        <v>0110010100001111</v>
      </c>
      <c r="EZ3" s="78"/>
      <c r="FA3" s="78"/>
      <c r="FB3" s="48" t="str">
        <f>H3</f>
        <v>11101010000000010110010100001111</v>
      </c>
      <c r="FC3" s="30" t="str">
        <f>MID(FB3,1,8)</f>
        <v>11101010</v>
      </c>
      <c r="FD3" s="30" t="str">
        <f t="shared" ref="FD3:FD41" si="83">MID(FB3,9,8)</f>
        <v>00000001</v>
      </c>
      <c r="FE3" s="30" t="str">
        <f t="shared" ref="FE3:FE41" si="84">MID(FB3,17,8)</f>
        <v>01100101</v>
      </c>
      <c r="FF3" s="30" t="str">
        <f t="shared" ref="FF3:FF41" si="85">MID(FB3,25,8)</f>
        <v>00001111</v>
      </c>
      <c r="FG3" s="78"/>
      <c r="FH3" s="78"/>
      <c r="FI3" s="78"/>
      <c r="FJ3" s="78"/>
      <c r="FK3" s="31" t="str">
        <f t="shared" ref="FK3:FK41" si="86">MID($L3,1,4)</f>
        <v>1110</v>
      </c>
      <c r="FL3" s="31" t="str">
        <f t="shared" ref="FL3:FL41" si="87">MID($L3,5,4)</f>
        <v>1010</v>
      </c>
      <c r="FM3" s="31" t="str">
        <f t="shared" ref="FM3:FM41" si="88">MID($L3,9,4)</f>
        <v>0000</v>
      </c>
      <c r="FN3" s="31" t="str">
        <f t="shared" ref="FN3:FN41" si="89">MID($L3,13,4)</f>
        <v>0001</v>
      </c>
      <c r="FO3" s="31" t="str">
        <f t="shared" ref="FO3:FO41" si="90">MID($L3,17,4)</f>
        <v>0110</v>
      </c>
      <c r="FP3" s="31" t="str">
        <f t="shared" ref="FP3:FP41" si="91">MID($L3,21,4)</f>
        <v>0101</v>
      </c>
      <c r="FQ3" s="31" t="str">
        <f t="shared" ref="FQ3:FQ41" si="92">MID($L3,25,4)</f>
        <v>0000</v>
      </c>
      <c r="FR3" s="31" t="str">
        <f t="shared" ref="FR3:FR41" si="93">MID($L3,29,4)</f>
        <v>1111</v>
      </c>
      <c r="FS3" s="78"/>
      <c r="FT3" s="78"/>
      <c r="FU3" s="78"/>
      <c r="FV3" s="78"/>
      <c r="FW3" s="78"/>
      <c r="FX3" s="78"/>
      <c r="FY3" s="78"/>
      <c r="FZ3" s="78"/>
      <c r="GA3" s="30" t="str">
        <f t="shared" si="16"/>
        <v>1110101000000001</v>
      </c>
      <c r="GB3" s="30" t="str">
        <f t="shared" si="17"/>
        <v>0110010100001111</v>
      </c>
      <c r="GC3" s="78"/>
      <c r="GD3" s="78"/>
      <c r="GE3" s="48" t="str">
        <f>BR3</f>
        <v>00000000000000000000000000000000</v>
      </c>
      <c r="GF3" s="30" t="str">
        <f>MID(GE3,1,8)</f>
        <v>00000000</v>
      </c>
      <c r="GG3" s="30" t="str">
        <f t="shared" ref="GG3:GG41" si="94">MID(GE3,9,8)</f>
        <v>00000000</v>
      </c>
      <c r="GH3" s="30" t="str">
        <f t="shared" ref="GH3:GH41" si="95">MID(GE3,17,8)</f>
        <v>00000000</v>
      </c>
      <c r="GI3" s="30" t="str">
        <f t="shared" ref="GI3:GI41" si="96">MID(GE3,25,8)</f>
        <v>00000000</v>
      </c>
      <c r="GJ3" s="78"/>
      <c r="GK3" s="78"/>
      <c r="GL3" s="78"/>
      <c r="GM3" s="78"/>
      <c r="GN3" s="31" t="str">
        <f t="shared" ref="GN3:GN41" si="97">MID($L3,1,4)</f>
        <v>1110</v>
      </c>
      <c r="GO3" s="31" t="str">
        <f t="shared" ref="GO3:GO41" si="98">MID($L3,5,4)</f>
        <v>1010</v>
      </c>
      <c r="GP3" s="31" t="str">
        <f t="shared" ref="GP3:GP41" si="99">MID($L3,9,4)</f>
        <v>0000</v>
      </c>
      <c r="GQ3" s="31" t="str">
        <f t="shared" ref="GQ3:GQ41" si="100">MID($L3,13,4)</f>
        <v>0001</v>
      </c>
      <c r="GR3" s="31" t="str">
        <f t="shared" ref="GR3:GR41" si="101">MID($L3,17,4)</f>
        <v>0110</v>
      </c>
      <c r="GS3" s="31" t="str">
        <f t="shared" ref="GS3:GS41" si="102">MID($L3,21,4)</f>
        <v>0101</v>
      </c>
      <c r="GT3" s="31" t="str">
        <f t="shared" ref="GT3:GT41" si="103">MID($L3,25,4)</f>
        <v>0000</v>
      </c>
      <c r="GU3" s="31" t="str">
        <f t="shared" ref="GU3:GU41" si="104">MID($L3,29,4)</f>
        <v>1111</v>
      </c>
      <c r="GV3" s="78"/>
      <c r="GW3" s="78"/>
      <c r="GX3" s="78"/>
      <c r="GY3" s="78"/>
      <c r="GZ3" s="78"/>
      <c r="HA3" s="78"/>
      <c r="HB3" s="78"/>
      <c r="HC3" s="78"/>
      <c r="HD3" s="30" t="str">
        <f t="shared" si="19"/>
        <v>0000000000000000</v>
      </c>
      <c r="HE3" s="30" t="str">
        <f t="shared" si="20"/>
        <v>0000000000000000</v>
      </c>
      <c r="HF3" s="78"/>
      <c r="HG3" s="78"/>
      <c r="HH3" s="48" t="str">
        <f>GE3</f>
        <v>00000000000000000000000000000000</v>
      </c>
      <c r="HI3" s="30" t="str">
        <f>MID(HH3,1,8)</f>
        <v>00000000</v>
      </c>
      <c r="HJ3" s="30" t="str">
        <f t="shared" ref="HJ3:HJ41" si="105">MID(HH3,9,8)</f>
        <v>00000000</v>
      </c>
      <c r="HK3" s="30" t="str">
        <f t="shared" ref="HK3:HK41" si="106">MID(HH3,17,8)</f>
        <v>00000000</v>
      </c>
      <c r="HL3" s="30" t="str">
        <f t="shared" ref="HL3:HL41" si="107">MID(HH3,25,8)</f>
        <v>00000000</v>
      </c>
      <c r="HM3" s="78"/>
      <c r="HN3" s="78"/>
      <c r="HO3" s="78"/>
      <c r="HP3" s="78"/>
      <c r="HQ3" s="31" t="str">
        <f t="shared" ref="HQ3:HQ41" si="108">MID($L3,1,4)</f>
        <v>1110</v>
      </c>
      <c r="HR3" s="31" t="str">
        <f t="shared" ref="HR3:HR41" si="109">MID($L3,5,4)</f>
        <v>1010</v>
      </c>
      <c r="HS3" s="31" t="str">
        <f t="shared" ref="HS3:HS41" si="110">MID($L3,9,4)</f>
        <v>0000</v>
      </c>
      <c r="HT3" s="31" t="str">
        <f t="shared" ref="HT3:HT41" si="111">MID($L3,13,4)</f>
        <v>0001</v>
      </c>
      <c r="HU3" s="31" t="str">
        <f t="shared" ref="HU3:HU41" si="112">MID($L3,17,4)</f>
        <v>0110</v>
      </c>
      <c r="HV3" s="31" t="str">
        <f t="shared" ref="HV3:HV41" si="113">MID($L3,21,4)</f>
        <v>0101</v>
      </c>
      <c r="HW3" s="31" t="str">
        <f t="shared" ref="HW3:HW41" si="114">MID($L3,25,4)</f>
        <v>0000</v>
      </c>
      <c r="HX3" s="31" t="str">
        <f t="shared" ref="HX3:HX41" si="115">MID($L3,29,4)</f>
        <v>1111</v>
      </c>
      <c r="HY3" s="78"/>
      <c r="HZ3" s="78"/>
      <c r="IA3" s="78"/>
      <c r="IB3" s="78"/>
      <c r="IC3" s="78"/>
      <c r="ID3" s="78"/>
      <c r="IE3" s="78"/>
      <c r="IF3" s="78"/>
      <c r="IG3" s="30" t="str">
        <f t="shared" si="22"/>
        <v>0000000000000000</v>
      </c>
      <c r="IH3" s="30" t="str">
        <f t="shared" si="23"/>
        <v>0000000000000000</v>
      </c>
      <c r="II3" s="78"/>
      <c r="IJ3" s="78"/>
      <c r="IL3" s="30"/>
      <c r="IM3" s="30"/>
      <c r="IN3" s="30"/>
      <c r="IO3" s="30"/>
      <c r="IP3" s="23"/>
      <c r="IQ3" s="23"/>
      <c r="IR3" s="23"/>
      <c r="IS3" s="23"/>
      <c r="JB3" s="23"/>
      <c r="JC3" s="23"/>
      <c r="JD3" s="23"/>
      <c r="JE3" s="23"/>
      <c r="JF3" s="23"/>
      <c r="JG3" s="23"/>
      <c r="JH3" s="23"/>
      <c r="JI3" s="23"/>
      <c r="JJ3" s="30"/>
      <c r="JK3" s="30"/>
      <c r="JL3" s="23"/>
      <c r="JM3" s="23"/>
    </row>
    <row r="4" spans="1:273" s="27" customFormat="1" x14ac:dyDescent="0.35">
      <c r="A4" s="24"/>
      <c r="B4" s="25"/>
      <c r="C4" s="16" t="s">
        <v>0</v>
      </c>
      <c r="D4" s="16" t="s">
        <v>93</v>
      </c>
      <c r="E4" s="16">
        <v>82</v>
      </c>
      <c r="F4" s="16">
        <v>4</v>
      </c>
      <c r="G4" s="16" t="s">
        <v>58</v>
      </c>
      <c r="H4" s="16" t="str">
        <f t="shared" ref="H4:H9" si="116">CONCATENATE(HEX2BIN(D4,8),HEX2BIN(E4,8),HEX2BIN(F4,8),HEX2BIN(G4,8))</f>
        <v>00001101100000100000010001011100</v>
      </c>
      <c r="I4" s="16">
        <f t="shared" ref="I4:I9" si="117">MID(H4,1,1)+MID(H4,2,1)+MID(H4,3,1)+MID(H4,4,1)+MID(H4,5,1)+MID(H4,6,1)+MID(H4,7,1)+MID(H4,8,1)+MID(H4,9,1)+MID(H4,10,1)+MID(H4,11,1)+MID(H4,12,1)+MID(H4,13,1)+MID(H4,14,1)+MID(H4,15,1)+MID(H4,16,1)+MID(H4,17,1)+MID(H4,18,1)+MID(H4,19,1)+MID(H4,20,1)+MID(H4,21,1)+MID(H4,22,1)+MID(H4,23,1)+MID(H4,24,1)+MID(H4,25,1)+MID(H4,26,1)+MID(H4,27,1)+MID(H4,28,1)+MID(H4,29,1)+MID(H4,30,1)+MID(H4,31,1)+MID(H4,32,1)</f>
        <v>10</v>
      </c>
      <c r="J4" s="16">
        <v>64</v>
      </c>
      <c r="K4" s="16" t="str">
        <f>HEX2BIN(J4,8)</f>
        <v>01100100</v>
      </c>
      <c r="L4" s="43" t="str">
        <f>CONCATENATE(MID(H4,30,3),MID(H4,17,5),MID(H4,6,3),MID(H4,25,5),MID(H4,14,3),MID(H4,1,5),MID(H4,22,3),MID(H4,9,5))</f>
        <v>10000000101010110100000110010000</v>
      </c>
      <c r="M4" s="26" t="str">
        <f t="shared" si="24"/>
        <v>10000000</v>
      </c>
      <c r="N4" s="26" t="str">
        <f t="shared" si="25"/>
        <v>10101011</v>
      </c>
      <c r="O4" s="26" t="str">
        <f t="shared" si="26"/>
        <v>01000001</v>
      </c>
      <c r="P4" s="26" t="str">
        <f t="shared" si="27"/>
        <v>10010000</v>
      </c>
      <c r="Q4" s="77">
        <f>BIN2DEC(M4)-BIN2DEC(M5)</f>
        <v>103</v>
      </c>
      <c r="R4" s="77">
        <f>BIN2DEC(N4)-BIN2DEC(N5)</f>
        <v>-13</v>
      </c>
      <c r="S4" s="77">
        <f>BIN2DEC(O4)-BIN2DEC(O5)</f>
        <v>-178</v>
      </c>
      <c r="T4" s="77">
        <f>BIN2DEC(P4)-BIN2DEC(P5)</f>
        <v>-37</v>
      </c>
      <c r="U4" s="27" t="str">
        <f t="shared" si="28"/>
        <v>1000</v>
      </c>
      <c r="V4" s="27" t="str">
        <f t="shared" si="29"/>
        <v>0000</v>
      </c>
      <c r="W4" s="27" t="str">
        <f t="shared" si="30"/>
        <v>1010</v>
      </c>
      <c r="X4" s="27" t="str">
        <f t="shared" si="31"/>
        <v>1011</v>
      </c>
      <c r="Y4" s="27" t="str">
        <f t="shared" si="32"/>
        <v>0100</v>
      </c>
      <c r="Z4" s="27" t="str">
        <f t="shared" si="33"/>
        <v>0001</v>
      </c>
      <c r="AA4" s="27" t="str">
        <f t="shared" si="34"/>
        <v>1001</v>
      </c>
      <c r="AB4" s="27" t="str">
        <f t="shared" si="35"/>
        <v>0000</v>
      </c>
      <c r="AC4" s="77">
        <f t="shared" ref="AC4:AJ4" si="118">BIN2DEC(U4)-BIN2DEC(U5)</f>
        <v>7</v>
      </c>
      <c r="AD4" s="77">
        <f t="shared" si="118"/>
        <v>-9</v>
      </c>
      <c r="AE4" s="77">
        <f t="shared" si="118"/>
        <v>-1</v>
      </c>
      <c r="AF4" s="77">
        <f t="shared" si="118"/>
        <v>3</v>
      </c>
      <c r="AG4" s="77">
        <f t="shared" si="118"/>
        <v>-11</v>
      </c>
      <c r="AH4" s="77">
        <f t="shared" si="118"/>
        <v>-2</v>
      </c>
      <c r="AI4" s="77">
        <f t="shared" si="118"/>
        <v>-2</v>
      </c>
      <c r="AJ4" s="77">
        <f t="shared" si="118"/>
        <v>-5</v>
      </c>
      <c r="AK4" s="26" t="str">
        <f t="shared" si="1"/>
        <v>1000000010101011</v>
      </c>
      <c r="AL4" s="26" t="str">
        <f t="shared" si="2"/>
        <v>0100000110010000</v>
      </c>
      <c r="AM4" s="77">
        <f>MID(AK4,16,1)*POWER(2,0)+MID(AK4,15,1)*POWER(2,1)+MID(AK4,14,1)*POWER(2,2)+MID(AK4,13,1)*POWER(2,3)+MID(AK4,12,1)*POWER(2,4)+MID(AK4,11,1)*POWER(2,5)+MID(AK4,10,1)*POWER(2,6)+MID(AK4,9,1)*POWER(2,7)+MID(AK4,8,1)*POWER(2,8)+MID(AK4,7,1)*POWER(2,9)+MID(AK4,6,1)*POWER(2,10)+MID(AK4,5,1)*POWER(2,11)+MID(AK4,4,1)*POWER(2,12)+MID(AK4,3,1)*POWER(2,13)+MID(AK4,2,1)*POWER(2,14)+MID(AK4,1,1)*POWER(2,15)-(MID(AK5,16,1)*POWER(2,0)+MID(AK5,15,1)*POWER(2,1)+MID(AK5,14,1)*POWER(2,2)+MID(AK5,13,1)*POWER(2,3)+MID(AK5,12,1)*POWER(2,4)+MID(AK5,11,1)*POWER(2,5)+MID(AK5,10,1)*POWER(2,6)+MID(AK5,9,1)*POWER(2,7)+MID(AK5,8,1)*POWER(2,8)+MID(AK5,7,1)*POWER(2,9)+MID(AK5,6,1)*POWER(2,10)+MID(AK5,5,1)*POWER(2,11)+MID(AK5,4,1)*POWER(2,12)+MID(AK5,3,1)*POWER(2,13)+MID(AK5,2,1)*POWER(2,14)+MID(AK5,1,1)*POWER(2,15))</f>
        <v>26355</v>
      </c>
      <c r="AN4" s="77">
        <f>MID(AL4,16,1)*POWER(2,0)+MID(AL4,15,1)*POWER(2,1)+MID(AL4,14,1)*POWER(2,2)+MID(AL4,13,1)*POWER(2,3)+MID(AL4,12,1)*POWER(2,4)+MID(AL4,11,1)*POWER(2,5)+MID(AL4,10,1)*POWER(2,6)+MID(AL4,9,1)*POWER(2,7)+MID(AL4,8,1)*POWER(2,8)+MID(AL4,7,1)*POWER(2,9)+MID(AL4,6,1)*POWER(2,10)+MID(AL4,5,1)*POWER(2,11)+MID(AL4,4,1)*POWER(2,12)+MID(AL4,3,1)*POWER(2,13)+MID(AL4,2,1)*POWER(2,14)+MID(AL4,1,1)*POWER(2,15)-(MID(AL5,16,1)*POWER(2,0)+MID(AL5,15,1)*POWER(2,1)+MID(AL5,14,1)*POWER(2,2)+MID(AL5,13,1)*POWER(2,3)+MID(AL5,12,1)*POWER(2,4)+MID(AL5,11,1)*POWER(2,5)+MID(AL5,10,1)*POWER(2,6)+MID(AL5,9,1)*POWER(2,7)+MID(AL5,8,1)*POWER(2,8)+MID(AL5,7,1)*POWER(2,9)+MID(AL5,6,1)*POWER(2,10)+MID(AL5,5,1)*POWER(2,11)+MID(AL5,4,1)*POWER(2,12)+MID(AL5,3,1)*POWER(2,13)+MID(AL5,2,1)*POWER(2,14)+MID(AL5,1,1)*POWER(2,15))</f>
        <v>-45605</v>
      </c>
      <c r="AO4" s="45" t="str">
        <f>CONCATENATE(MID(L4,1,1)*MID(K4,1,1),MID(L4,2,1)*MID(K4,2,1),MID(L4,3,1)*MID(K4,3,1),MID(L4,4,1)*MID(K4,4,1),MID(L4,5,1)*MID(K4,5,1),MID(L4,6,1)*MID(K4,6,1),MID(L4,7,1)*MID(K4,7,1),MID(L4,8,1)*MID(K4,8,1),MID(L4,9,1)*MID(K4,1,1),MID(L4,10,1)*MID(K4,2,1),MID(L4,11,1)*MID(K4,3,1),MID(L4,12,1)*MID(K4,4,1),MID(L4,13,1)*MID(K4,5,1),MID(L4,14,1)*MID(K4,6,1),MID(L4,15,1)*MID(K4,7,1),MID(L4,16,1)*MID(K4,8,1),MID(L4,17,1)*MID(K4,1,1),MID(L4,18,1)*MID(K4,2,1),MID(L4,19,1)*MID(K4,3,1),MID(L4,20,1)*MID(K4,4,1),MID(L4,21,1)*MID(K4,5,1),MID(L4,22,1)*MID(K4,6,1),MID(L4,23,1)*MID(K4,7,1),MID(L4,24,1)*MID(K4,8,1),MID(L4,25,1)*MID(K4,1,1),MID(L4,26,1)*MID(K4,2,1),MID(L4,27,1)*MID(K4,3,1),MID(L4,28,1)*MID(K4,4,1),MID(L4,29,1)*MID(K4,5,1),MID(L4,30,1)*MID(K4,6,1),MID(L4,31,1)*MID(K4,7,1),MID(L4,32,1)*MID(K4,8,1))</f>
        <v>00000000001000000100000000000000</v>
      </c>
      <c r="AP4" s="26" t="str">
        <f t="shared" si="36"/>
        <v>00000000</v>
      </c>
      <c r="AQ4" s="26" t="str">
        <f t="shared" si="37"/>
        <v>00100000</v>
      </c>
      <c r="AR4" s="26" t="str">
        <f t="shared" si="38"/>
        <v>01000000</v>
      </c>
      <c r="AS4" s="26" t="str">
        <f t="shared" si="39"/>
        <v>00000000</v>
      </c>
      <c r="AT4" s="77">
        <f>BIN2DEC(AP4)-BIN2DEC(AP5)</f>
        <v>-25</v>
      </c>
      <c r="AU4" s="77">
        <f>BIN2DEC(AQ4)-BIN2DEC(AQ5)</f>
        <v>-152</v>
      </c>
      <c r="AV4" s="77">
        <f>BIN2DEC(AR4)-BIN2DEC(AR5)</f>
        <v>-179</v>
      </c>
      <c r="AW4" s="77">
        <f>BIN2DEC(AS4)-BIN2DEC(AS5)</f>
        <v>-181</v>
      </c>
      <c r="AX4" s="27" t="str">
        <f t="shared" si="40"/>
        <v>1000</v>
      </c>
      <c r="AY4" s="27" t="str">
        <f t="shared" si="41"/>
        <v>0000</v>
      </c>
      <c r="AZ4" s="27" t="str">
        <f t="shared" si="42"/>
        <v>1010</v>
      </c>
      <c r="BA4" s="27" t="str">
        <f t="shared" si="43"/>
        <v>1011</v>
      </c>
      <c r="BB4" s="27" t="str">
        <f t="shared" si="44"/>
        <v>0100</v>
      </c>
      <c r="BC4" s="27" t="str">
        <f t="shared" si="45"/>
        <v>0001</v>
      </c>
      <c r="BD4" s="27" t="str">
        <f t="shared" si="46"/>
        <v>1001</v>
      </c>
      <c r="BE4" s="27" t="str">
        <f t="shared" si="47"/>
        <v>0000</v>
      </c>
      <c r="BF4" s="77">
        <f t="shared" ref="BF4:BM4" si="119">BIN2DEC(AX4)-BIN2DEC(AX5)</f>
        <v>7</v>
      </c>
      <c r="BG4" s="77">
        <f t="shared" si="119"/>
        <v>-9</v>
      </c>
      <c r="BH4" s="77">
        <f t="shared" si="119"/>
        <v>-1</v>
      </c>
      <c r="BI4" s="77">
        <f t="shared" si="119"/>
        <v>3</v>
      </c>
      <c r="BJ4" s="77">
        <f t="shared" si="119"/>
        <v>-11</v>
      </c>
      <c r="BK4" s="77">
        <f t="shared" si="119"/>
        <v>-2</v>
      </c>
      <c r="BL4" s="77">
        <f t="shared" si="119"/>
        <v>-2</v>
      </c>
      <c r="BM4" s="77">
        <f t="shared" si="119"/>
        <v>-5</v>
      </c>
      <c r="BN4" s="26" t="str">
        <f t="shared" si="4"/>
        <v>0000000000100000</v>
      </c>
      <c r="BO4" s="26" t="str">
        <f t="shared" si="5"/>
        <v>0100000000000000</v>
      </c>
      <c r="BP4" s="77">
        <f>MID(BN4,16,1)*POWER(2,0)+MID(BN4,15,1)*POWER(2,1)+MID(BN4,14,1)*POWER(2,2)+MID(BN4,13,1)*POWER(2,3)+MID(BN4,12,1)*POWER(2,4)+MID(BN4,11,1)*POWER(2,5)+MID(BN4,10,1)*POWER(2,6)+MID(BN4,9,1)*POWER(2,7)+MID(BN4,8,1)*POWER(2,8)+MID(BN4,7,1)*POWER(2,9)+MID(BN4,6,1)*POWER(2,10)+MID(BN4,5,1)*POWER(2,11)+MID(BN4,4,1)*POWER(2,12)+MID(BN4,3,1)*POWER(2,13)+MID(BN4,2,1)*POWER(2,14)+MID(BN4,1,1)*POWER(2,15)-(MID(BN5,16,1)*POWER(2,0)+MID(BN5,15,1)*POWER(2,1)+MID(BN5,14,1)*POWER(2,2)+MID(BN5,13,1)*POWER(2,3)+MID(BN5,12,1)*POWER(2,4)+MID(BN5,11,1)*POWER(2,5)+MID(BN5,10,1)*POWER(2,6)+MID(BN5,9,1)*POWER(2,7)+MID(BN5,8,1)*POWER(2,8)+MID(BN5,7,1)*POWER(2,9)+MID(BN5,6,1)*POWER(2,10)+MID(BN5,5,1)*POWER(2,11)+MID(BN5,4,1)*POWER(2,12)+MID(BN5,3,1)*POWER(2,13)+MID(BN5,2,1)*POWER(2,14)+MID(BN5,1,1)*POWER(2,15))</f>
        <v>-6552</v>
      </c>
      <c r="BQ4" s="77">
        <f>MID(BO4,16,1)*POWER(2,0)+MID(BO4,15,1)*POWER(2,1)+MID(BO4,14,1)*POWER(2,2)+MID(BO4,13,1)*POWER(2,3)+MID(BO4,12,1)*POWER(2,4)+MID(BO4,11,1)*POWER(2,5)+MID(BO4,10,1)*POWER(2,6)+MID(BO4,9,1)*POWER(2,7)+MID(BO4,8,1)*POWER(2,8)+MID(BO4,7,1)*POWER(2,9)+MID(BO4,6,1)*POWER(2,10)+MID(BO4,5,1)*POWER(2,11)+MID(BO4,4,1)*POWER(2,12)+MID(BO4,3,1)*POWER(2,13)+MID(BO4,2,1)*POWER(2,14)+MID(BO4,1,1)*POWER(2,15)-(MID(BO5,16,1)*POWER(2,0)+MID(BO5,15,1)*POWER(2,1)+MID(BO5,14,1)*POWER(2,2)+MID(BO5,13,1)*POWER(2,3)+MID(BO5,12,1)*POWER(2,4)+MID(BO5,11,1)*POWER(2,5)+MID(BO5,10,1)*POWER(2,6)+MID(BO5,9,1)*POWER(2,7)+MID(BO5,8,1)*POWER(2,8)+MID(BO5,7,1)*POWER(2,9)+MID(BO5,6,1)*POWER(2,10)+MID(BO5,5,1)*POWER(2,11)+MID(BO5,4,1)*POWER(2,12)+MID(BO5,3,1)*POWER(2,13)+MID(BO5,2,1)*POWER(2,14)+MID(BO5,1,1)*POWER(2,15))</f>
        <v>-46005</v>
      </c>
      <c r="BR4" s="47" t="str">
        <f>L4</f>
        <v>10000000101010110100000110010000</v>
      </c>
      <c r="BS4" s="26" t="str">
        <f t="shared" si="48"/>
        <v>10000000</v>
      </c>
      <c r="BT4" s="26" t="str">
        <f t="shared" si="49"/>
        <v>10101011</v>
      </c>
      <c r="BU4" s="26" t="str">
        <f t="shared" si="50"/>
        <v>01000001</v>
      </c>
      <c r="BV4" s="26" t="str">
        <f t="shared" si="51"/>
        <v>10010000</v>
      </c>
      <c r="BW4" s="77">
        <f>BIN2DEC(BS4)-BIN2DEC(BS5)</f>
        <v>128</v>
      </c>
      <c r="BX4" s="77">
        <f>BIN2DEC(BT4)-BIN2DEC(BT5)</f>
        <v>139</v>
      </c>
      <c r="BY4" s="77">
        <f>BIN2DEC(BU4)-BIN2DEC(BU5)</f>
        <v>-31</v>
      </c>
      <c r="BZ4" s="77">
        <f>BIN2DEC(BV4)-BIN2DEC(BV5)</f>
        <v>108</v>
      </c>
      <c r="CA4" s="27" t="str">
        <f t="shared" si="52"/>
        <v>1000</v>
      </c>
      <c r="CB4" s="27" t="str">
        <f t="shared" si="53"/>
        <v>0000</v>
      </c>
      <c r="CC4" s="27" t="str">
        <f t="shared" si="54"/>
        <v>1010</v>
      </c>
      <c r="CD4" s="27" t="str">
        <f t="shared" si="55"/>
        <v>1011</v>
      </c>
      <c r="CE4" s="27" t="str">
        <f t="shared" si="56"/>
        <v>0100</v>
      </c>
      <c r="CF4" s="27" t="str">
        <f t="shared" si="57"/>
        <v>0001</v>
      </c>
      <c r="CG4" s="27" t="str">
        <f t="shared" si="58"/>
        <v>1001</v>
      </c>
      <c r="CH4" s="27" t="str">
        <f t="shared" si="59"/>
        <v>0000</v>
      </c>
      <c r="CI4" s="77">
        <f t="shared" ref="CI4:CP4" si="120">BIN2DEC(CA4)-BIN2DEC(CA5)</f>
        <v>7</v>
      </c>
      <c r="CJ4" s="77">
        <f t="shared" si="120"/>
        <v>-9</v>
      </c>
      <c r="CK4" s="77">
        <f t="shared" si="120"/>
        <v>-1</v>
      </c>
      <c r="CL4" s="77">
        <f t="shared" si="120"/>
        <v>3</v>
      </c>
      <c r="CM4" s="77">
        <f t="shared" si="120"/>
        <v>-11</v>
      </c>
      <c r="CN4" s="77">
        <f t="shared" si="120"/>
        <v>-2</v>
      </c>
      <c r="CO4" s="77">
        <f t="shared" si="120"/>
        <v>-2</v>
      </c>
      <c r="CP4" s="77">
        <f t="shared" si="120"/>
        <v>-5</v>
      </c>
      <c r="CQ4" s="26" t="str">
        <f t="shared" si="7"/>
        <v>1000000010101011</v>
      </c>
      <c r="CR4" s="26" t="str">
        <f t="shared" si="8"/>
        <v>0100000110010000</v>
      </c>
      <c r="CS4" s="77">
        <f>MID(CQ4,16,1)*POWER(2,0)+MID(CQ4,15,1)*POWER(2,1)+MID(CQ4,14,1)*POWER(2,2)+MID(CQ4,13,1)*POWER(2,3)+MID(CQ4,12,1)*POWER(2,4)+MID(CQ4,11,1)*POWER(2,5)+MID(CQ4,10,1)*POWER(2,6)+MID(CQ4,9,1)*POWER(2,7)+MID(CQ4,8,1)*POWER(2,8)+MID(CQ4,7,1)*POWER(2,9)+MID(CQ4,6,1)*POWER(2,10)+MID(CQ4,5,1)*POWER(2,11)+MID(CQ4,4,1)*POWER(2,12)+MID(CQ4,3,1)*POWER(2,13)+MID(CQ4,2,1)*POWER(2,14)+MID(CQ4,1,1)*POWER(2,15)-(MID(CQ5,16,1)*POWER(2,0)+MID(CQ5,15,1)*POWER(2,1)+MID(CQ5,14,1)*POWER(2,2)+MID(CQ5,13,1)*POWER(2,3)+MID(CQ5,12,1)*POWER(2,4)+MID(CQ5,11,1)*POWER(2,5)+MID(CQ5,10,1)*POWER(2,6)+MID(CQ5,9,1)*POWER(2,7)+MID(CQ5,8,1)*POWER(2,8)+MID(CQ5,7,1)*POWER(2,9)+MID(CQ5,6,1)*POWER(2,10)+MID(CQ5,5,1)*POWER(2,11)+MID(CQ5,4,1)*POWER(2,12)+MID(CQ5,3,1)*POWER(2,13)+MID(CQ5,2,1)*POWER(2,14)+MID(CQ5,1,1)*POWER(2,15))</f>
        <v>32907</v>
      </c>
      <c r="CT4" s="77">
        <f>MID(CR4,16,1)*POWER(2,0)+MID(CR4,15,1)*POWER(2,1)+MID(CR4,14,1)*POWER(2,2)+MID(CR4,13,1)*POWER(2,3)+MID(CR4,12,1)*POWER(2,4)+MID(CR4,11,1)*POWER(2,5)+MID(CR4,10,1)*POWER(2,6)+MID(CR4,9,1)*POWER(2,7)+MID(CR4,8,1)*POWER(2,8)+MID(CR4,7,1)*POWER(2,9)+MID(CR4,6,1)*POWER(2,10)+MID(CR4,5,1)*POWER(2,11)+MID(CR4,4,1)*POWER(2,12)+MID(CR4,3,1)*POWER(2,13)+MID(CR4,2,1)*POWER(2,14)+MID(CR4,1,1)*POWER(2,15)-(MID(CR5,16,1)*POWER(2,0)+MID(CR5,15,1)*POWER(2,1)+MID(CR5,14,1)*POWER(2,2)+MID(CR5,13,1)*POWER(2,3)+MID(CR5,12,1)*POWER(2,4)+MID(CR5,11,1)*POWER(2,5)+MID(CR5,10,1)*POWER(2,6)+MID(CR5,9,1)*POWER(2,7)+MID(CR5,8,1)*POWER(2,8)+MID(CR5,7,1)*POWER(2,9)+MID(CR5,6,1)*POWER(2,10)+MID(CR5,5,1)*POWER(2,11)+MID(CR5,4,1)*POWER(2,12)+MID(CR5,3,1)*POWER(2,13)+MID(CR5,2,1)*POWER(2,14)+MID(CR5,1,1)*POWER(2,15))</f>
        <v>-7828</v>
      </c>
      <c r="CU4" s="45" t="str">
        <f>CONCATENATE(MID($L4,1,1)*MID($K4,1,1),MID($L4,2,1)*MID($K4,2,1),MID($L4,3,1)*MID($K4,3,1),MID($L4,4,1)*MID($K4,4,1),MID($L4,5,1)*MID($K4,5,1),MID($L4,6,1)*MID($K4,6,1),MID($L4,7,1)*MID($K4,7,1),MID($L4,8,1)*MID($K4,8,1),MID($L4,9,1)*MID($K4,1,1),MID($L4,10,1)*MID($K4,2,1),MID($L4,11,1)*MID($K4,3,1),MID($L4,12,1)*MID($K4,4,1),MID($L4,13,1)*MID($K4,5,1),MID($L4,14,1)*MID($K4,6,1),MID($L4,15,1)*MID($K4,7,1),MID($L4,16,1)*MID($K4,8,1),MID($L4,17,1)*MID($K4,1,1),MID($L4,18,1)*MID($K4,2,1),MID($L4,19,1)*MID($K4,3,1),MID($L4,20,1)*MID($K4,4,1),MID($L4,21,1)*MID($K4,5,1),MID($L4,22,1)*MID($K4,6,1),MID($L4,23,1)*MID($K4,7,1),MID($L4,24,1)*MID($K4,8,1),MID($L4,25,1)*MID($K4,1,1),MID($L4,26,1)*MID($K4,2,1),MID($L4,27,1)*MID($K4,3,1),MID($L4,28,1)*MID($K4,4,1),MID($L4,29,1)*MID($K4,5,1),MID($L4,30,1)*MID($K4,6,1),MID($L4,31,1)*MID($K4,7,1),MID($L4,32,1)*MID($K4,8,1))</f>
        <v>00000000001000000100000000000000</v>
      </c>
      <c r="CV4" s="26" t="str">
        <f t="shared" si="60"/>
        <v>00000000</v>
      </c>
      <c r="CW4" s="26" t="str">
        <f t="shared" si="61"/>
        <v>00100000</v>
      </c>
      <c r="CX4" s="26" t="str">
        <f t="shared" si="62"/>
        <v>01000000</v>
      </c>
      <c r="CY4" s="26" t="str">
        <f t="shared" si="63"/>
        <v>00000000</v>
      </c>
      <c r="CZ4" s="77">
        <f>BIN2DEC(CV4)-BIN2DEC(CV5)</f>
        <v>0</v>
      </c>
      <c r="DA4" s="77">
        <f>BIN2DEC(CW4)-BIN2DEC(CW5)</f>
        <v>0</v>
      </c>
      <c r="DB4" s="77">
        <f>BIN2DEC(CX4)-BIN2DEC(CX5)</f>
        <v>-32</v>
      </c>
      <c r="DC4" s="77">
        <f>BIN2DEC(CY4)-BIN2DEC(CY5)</f>
        <v>-36</v>
      </c>
      <c r="DD4" s="27" t="str">
        <f t="shared" si="64"/>
        <v>1000</v>
      </c>
      <c r="DE4" s="27" t="str">
        <f t="shared" si="65"/>
        <v>0000</v>
      </c>
      <c r="DF4" s="27" t="str">
        <f t="shared" si="66"/>
        <v>1010</v>
      </c>
      <c r="DG4" s="27" t="str">
        <f t="shared" si="67"/>
        <v>1011</v>
      </c>
      <c r="DH4" s="27" t="str">
        <f t="shared" si="68"/>
        <v>0100</v>
      </c>
      <c r="DI4" s="27" t="str">
        <f t="shared" si="69"/>
        <v>0001</v>
      </c>
      <c r="DJ4" s="27" t="str">
        <f t="shared" si="70"/>
        <v>1001</v>
      </c>
      <c r="DK4" s="27" t="str">
        <f t="shared" si="71"/>
        <v>0000</v>
      </c>
      <c r="DL4" s="77">
        <f t="shared" ref="DL4:DS4" si="121">BIN2DEC(DD4)-BIN2DEC(DD5)</f>
        <v>7</v>
      </c>
      <c r="DM4" s="77">
        <f t="shared" si="121"/>
        <v>-9</v>
      </c>
      <c r="DN4" s="77">
        <f t="shared" si="121"/>
        <v>-1</v>
      </c>
      <c r="DO4" s="77">
        <f t="shared" si="121"/>
        <v>3</v>
      </c>
      <c r="DP4" s="77">
        <f t="shared" si="121"/>
        <v>-11</v>
      </c>
      <c r="DQ4" s="77">
        <f t="shared" si="121"/>
        <v>-2</v>
      </c>
      <c r="DR4" s="77">
        <f t="shared" si="121"/>
        <v>-2</v>
      </c>
      <c r="DS4" s="77">
        <f t="shared" si="121"/>
        <v>-5</v>
      </c>
      <c r="DT4" s="26" t="str">
        <f t="shared" si="10"/>
        <v>0000000000100000</v>
      </c>
      <c r="DU4" s="26" t="str">
        <f t="shared" si="11"/>
        <v>0100000000000000</v>
      </c>
      <c r="DV4" s="77">
        <f>MID(DT4,16,1)*POWER(2,0)+MID(DT4,15,1)*POWER(2,1)+MID(DT4,14,1)*POWER(2,2)+MID(DT4,13,1)*POWER(2,3)+MID(DT4,12,1)*POWER(2,4)+MID(DT4,11,1)*POWER(2,5)+MID(DT4,10,1)*POWER(2,6)+MID(DT4,9,1)*POWER(2,7)+MID(DT4,8,1)*POWER(2,8)+MID(DT4,7,1)*POWER(2,9)+MID(DT4,6,1)*POWER(2,10)+MID(DT4,5,1)*POWER(2,11)+MID(DT4,4,1)*POWER(2,12)+MID(DT4,3,1)*POWER(2,13)+MID(DT4,2,1)*POWER(2,14)+MID(DT4,1,1)*POWER(2,15)-(MID(DT5,16,1)*POWER(2,0)+MID(DT5,15,1)*POWER(2,1)+MID(DT5,14,1)*POWER(2,2)+MID(DT5,13,1)*POWER(2,3)+MID(DT5,12,1)*POWER(2,4)+MID(DT5,11,1)*POWER(2,5)+MID(DT5,10,1)*POWER(2,6)+MID(DT5,9,1)*POWER(2,7)+MID(DT5,8,1)*POWER(2,8)+MID(DT5,7,1)*POWER(2,9)+MID(DT5,6,1)*POWER(2,10)+MID(DT5,5,1)*POWER(2,11)+MID(DT5,4,1)*POWER(2,12)+MID(DT5,3,1)*POWER(2,13)+MID(DT5,2,1)*POWER(2,14)+MID(DT5,1,1)*POWER(2,15))</f>
        <v>0</v>
      </c>
      <c r="DW4" s="77">
        <f>MID(DU4,16,1)*POWER(2,0)+MID(DU4,15,1)*POWER(2,1)+MID(DU4,14,1)*POWER(2,2)+MID(DU4,13,1)*POWER(2,3)+MID(DU4,12,1)*POWER(2,4)+MID(DU4,11,1)*POWER(2,5)+MID(DU4,10,1)*POWER(2,6)+MID(DU4,9,1)*POWER(2,7)+MID(DU4,8,1)*POWER(2,8)+MID(DU4,7,1)*POWER(2,9)+MID(DU4,6,1)*POWER(2,10)+MID(DU4,5,1)*POWER(2,11)+MID(DU4,4,1)*POWER(2,12)+MID(DU4,3,1)*POWER(2,13)+MID(DU4,2,1)*POWER(2,14)+MID(DU4,1,1)*POWER(2,15)-(MID(DU5,16,1)*POWER(2,0)+MID(DU5,15,1)*POWER(2,1)+MID(DU5,14,1)*POWER(2,2)+MID(DU5,13,1)*POWER(2,3)+MID(DU5,12,1)*POWER(2,4)+MID(DU5,11,1)*POWER(2,5)+MID(DU5,10,1)*POWER(2,6)+MID(DU5,9,1)*POWER(2,7)+MID(DU5,8,1)*POWER(2,8)+MID(DU5,7,1)*POWER(2,9)+MID(DU5,6,1)*POWER(2,10)+MID(DU5,5,1)*POWER(2,11)+MID(DU5,4,1)*POWER(2,12)+MID(DU5,3,1)*POWER(2,13)+MID(DU5,2,1)*POWER(2,14)+MID(DU5,1,1)*POWER(2,15))</f>
        <v>-8228</v>
      </c>
      <c r="DX4" s="22" t="str">
        <f>CONCATENATE(MID($H4,1,1)*MID($K4,1,1),MID($H4,2,1)*MID($K4,2,1),MID($H4,3,1)*MID($K4,3,1),MID($H4,4,1)*MID($K4,4,1),MID($H4,5,1)*MID($K4,5,1),MID($H4,6,1)*MID($K4,6,1),MID($H4,7,1)*MID($K4,7,1),MID($H4,8,1)*MID($K4,8,1),MID($H4,9,1)*MID($K4,1,1),MID($H4,10,1)*MID($K4,2,1),MID($H4,11,1)*MID($K4,3,1),MID($H4,12,1)*MID($K4,4,1),MID($H4,13,1)*MID($K4,5,1),MID($H4,14,1)*MID($K4,6,1),MID($H4,15,1)*MID($K4,7,1),MID($H4,16,1)*MID($K4,8,1),MID($H4,17,1)*MID($K4,1,1),MID($H4,18,1)*MID($K4,2,1),MID($H4,19,1)*MID($K4,3,1),MID($H4,20,1)*MID($K4,4,1),MID($H4,21,1)*MID($K4,5,1),MID($H4,22,1)*MID($K4,6,1),MID($H4,23,1)*MID($K4,7,1),MID($H4,24,1)*MID($K4,8,1),MID($H4,25,1)*MID($K4,1,1),MID($H4,26,1)*MID($K4,2,1),MID($H4,27,1)*MID($K4,3,1),MID($H4,28,1)*MID($K4,4,1),MID($H4,29,1)*MID($K4,5,1),MID($H4,30,1)*MID($K4,6,1),MID($H4,31,1)*MID($K4,7,1),MID($H4,32,1)*MID($K4,8,1))</f>
        <v>00000100000000000000010001000100</v>
      </c>
      <c r="DY4" s="43" t="str">
        <f>CONCATENATE(MID(DX4,30,3),MID(DX4,17,5),MID(DX4,6,3),MID(DX4,25,5),MID(DX4,14,3),MID(DX4,1,5),MID(DX4,22,3),MID(DX4,9,5))</f>
        <v>10000000100010000000000010000000</v>
      </c>
      <c r="DZ4" s="26" t="str">
        <f t="shared" ref="DZ4:DZ41" si="122">MID(DY4,1,8)</f>
        <v>10000000</v>
      </c>
      <c r="EA4" s="26" t="str">
        <f t="shared" si="72"/>
        <v>10001000</v>
      </c>
      <c r="EB4" s="26" t="str">
        <f t="shared" si="73"/>
        <v>00000000</v>
      </c>
      <c r="EC4" s="26" t="str">
        <f t="shared" si="74"/>
        <v>10000000</v>
      </c>
      <c r="ED4" s="77">
        <f>BIN2DEC(DZ4)-BIN2DEC(DZ5)</f>
        <v>103</v>
      </c>
      <c r="EE4" s="77">
        <f>BIN2DEC(EA4)-BIN2DEC(EA5)</f>
        <v>-48</v>
      </c>
      <c r="EF4" s="77">
        <f>BIN2DEC(EB4)-BIN2DEC(EB5)</f>
        <v>-243</v>
      </c>
      <c r="EG4" s="77">
        <f>BIN2DEC(EC4)-BIN2DEC(EC5)</f>
        <v>-53</v>
      </c>
      <c r="EH4" s="27" t="str">
        <f t="shared" si="75"/>
        <v>1000</v>
      </c>
      <c r="EI4" s="27" t="str">
        <f t="shared" si="76"/>
        <v>0000</v>
      </c>
      <c r="EJ4" s="27" t="str">
        <f t="shared" si="77"/>
        <v>1010</v>
      </c>
      <c r="EK4" s="27" t="str">
        <f t="shared" si="78"/>
        <v>1011</v>
      </c>
      <c r="EL4" s="27" t="str">
        <f t="shared" si="79"/>
        <v>0100</v>
      </c>
      <c r="EM4" s="27" t="str">
        <f t="shared" si="80"/>
        <v>0001</v>
      </c>
      <c r="EN4" s="27" t="str">
        <f t="shared" si="81"/>
        <v>1001</v>
      </c>
      <c r="EO4" s="27" t="str">
        <f t="shared" si="82"/>
        <v>0000</v>
      </c>
      <c r="EP4" s="77">
        <f t="shared" ref="EP4:EW4" si="123">BIN2DEC(EH4)-BIN2DEC(EH5)</f>
        <v>7</v>
      </c>
      <c r="EQ4" s="77">
        <f t="shared" si="123"/>
        <v>-9</v>
      </c>
      <c r="ER4" s="77">
        <f t="shared" si="123"/>
        <v>-1</v>
      </c>
      <c r="ES4" s="77">
        <f t="shared" si="123"/>
        <v>3</v>
      </c>
      <c r="ET4" s="77">
        <f t="shared" si="123"/>
        <v>-11</v>
      </c>
      <c r="EU4" s="77">
        <f t="shared" si="123"/>
        <v>-2</v>
      </c>
      <c r="EV4" s="77">
        <f t="shared" si="123"/>
        <v>-2</v>
      </c>
      <c r="EW4" s="77">
        <f t="shared" si="123"/>
        <v>-5</v>
      </c>
      <c r="EX4" s="26" t="str">
        <f t="shared" si="13"/>
        <v>1000000010001000</v>
      </c>
      <c r="EY4" s="26" t="str">
        <f t="shared" si="14"/>
        <v>0000000010000000</v>
      </c>
      <c r="EZ4" s="77">
        <f>MID(EX4,16,1)*POWER(2,0)+MID(EX4,15,1)*POWER(2,1)+MID(EX4,14,1)*POWER(2,2)+MID(EX4,13,1)*POWER(2,3)+MID(EX4,12,1)*POWER(2,4)+MID(EX4,11,1)*POWER(2,5)+MID(EX4,10,1)*POWER(2,6)+MID(EX4,9,1)*POWER(2,7)+MID(EX4,8,1)*POWER(2,8)+MID(EX4,7,1)*POWER(2,9)+MID(EX4,6,1)*POWER(2,10)+MID(EX4,5,1)*POWER(2,11)+MID(EX4,4,1)*POWER(2,12)+MID(EX4,3,1)*POWER(2,13)+MID(EX4,2,1)*POWER(2,14)+MID(EX4,1,1)*POWER(2,15)-(MID(EX5,16,1)*POWER(2,0)+MID(EX5,15,1)*POWER(2,1)+MID(EX5,14,1)*POWER(2,2)+MID(EX5,13,1)*POWER(2,3)+MID(EX5,12,1)*POWER(2,4)+MID(EX5,11,1)*POWER(2,5)+MID(EX5,10,1)*POWER(2,6)+MID(EX5,9,1)*POWER(2,7)+MID(EX5,8,1)*POWER(2,8)+MID(EX5,7,1)*POWER(2,9)+MID(EX5,6,1)*POWER(2,10)+MID(EX5,5,1)*POWER(2,11)+MID(EX5,4,1)*POWER(2,12)+MID(EX5,3,1)*POWER(2,13)+MID(EX5,2,1)*POWER(2,14)+MID(EX5,1,1)*POWER(2,15))</f>
        <v>26320</v>
      </c>
      <c r="FA4" s="77">
        <f>MID(EY4,16,1)*POWER(2,0)+MID(EY4,15,1)*POWER(2,1)+MID(EY4,14,1)*POWER(2,2)+MID(EY4,13,1)*POWER(2,3)+MID(EY4,12,1)*POWER(2,4)+MID(EY4,11,1)*POWER(2,5)+MID(EY4,10,1)*POWER(2,6)+MID(EY4,9,1)*POWER(2,7)+MID(EY4,8,1)*POWER(2,8)+MID(EY4,7,1)*POWER(2,9)+MID(EY4,6,1)*POWER(2,10)+MID(EY4,5,1)*POWER(2,11)+MID(EY4,4,1)*POWER(2,12)+MID(EY4,3,1)*POWER(2,13)+MID(EY4,2,1)*POWER(2,14)+MID(EY4,1,1)*POWER(2,15)-(MID(EY5,16,1)*POWER(2,0)+MID(EY5,15,1)*POWER(2,1)+MID(EY5,14,1)*POWER(2,2)+MID(EY5,13,1)*POWER(2,3)+MID(EY5,12,1)*POWER(2,4)+MID(EY5,11,1)*POWER(2,5)+MID(EY5,10,1)*POWER(2,6)+MID(EY5,9,1)*POWER(2,7)+MID(EY5,8,1)*POWER(2,8)+MID(EY5,7,1)*POWER(2,9)+MID(EY5,6,1)*POWER(2,10)+MID(EY5,5,1)*POWER(2,11)+MID(EY5,4,1)*POWER(2,12)+MID(EY5,3,1)*POWER(2,13)+MID(EY5,2,1)*POWER(2,14)+MID(EY5,1,1)*POWER(2,15))</f>
        <v>-62261</v>
      </c>
      <c r="FB4" s="45" t="str">
        <f>CONCATENATE(MID(DY4,1,1)*MID($K4,1,1),MID(DY4,2,1)*MID($K4,2,1),MID(DY4,3,1)*MID($K4,3,1),MID(DY4,4,1)*MID($K4,4,1),MID(DY4,5,1)*MID($K4,5,1),MID(DY4,6,1)*MID($K4,6,1),MID(DY4,7,1)*MID($K4,7,1),MID(DY4,8,1)*MID($K4,8,1),MID(DY4,9,1)*MID($K4,1,1),MID(DY4,10,1)*MID($K4,2,1),MID(DY4,11,1)*MID($K4,3,1),MID(DY4,12,1)*MID($K4,4,1),MID(DY4,13,1)*MID($K4,5,1),MID(DY4,14,1)*MID($K4,6,1),MID(DY4,15,1)*MID($K4,7,1),MID(DY4,16,1)*MID($K4,8,1),MID(DY4,17,1)*MID($K4,1,1),MID(DY4,18,1)*MID($K4,2,1),MID(DY4,19,1)*MID($K4,3,1),MID(DY4,20,1)*MID($K4,4,1),MID(DY4,21,1)*MID($K4,5,1),MID(DY4,22,1)*MID($K4,6,1),MID(DY4,23,1)*MID($K4,7,1),MID(DY4,24,1)*MID($K4,8,1),MID(DY4,25,1)*MID($K4,1,1),MID(DY4,26,1)*MID($K4,2,1),MID(DY4,27,1)*MID($K4,3,1),MID(DY4,28,1)*MID($K4,4,1),MID(DY4,29,1)*MID($K4,5,1),MID(DY4,30,1)*MID($K4,6,1),MID(DY4,31,1)*MID($K4,7,1),MID(DY4,32,1)*MID($K4,8,1))</f>
        <v>00000000000000000000000000000000</v>
      </c>
      <c r="FC4" s="26" t="str">
        <f t="shared" ref="FC4:FC41" si="124">MID(FB4,1,8)</f>
        <v>00000000</v>
      </c>
      <c r="FD4" s="26" t="str">
        <f t="shared" si="83"/>
        <v>00000000</v>
      </c>
      <c r="FE4" s="26" t="str">
        <f t="shared" si="84"/>
        <v>00000000</v>
      </c>
      <c r="FF4" s="26" t="str">
        <f t="shared" si="85"/>
        <v>00000000</v>
      </c>
      <c r="FG4" s="77">
        <f>BIN2DEC(FC4)-BIN2DEC(FC5)</f>
        <v>-25</v>
      </c>
      <c r="FH4" s="77">
        <f>BIN2DEC(FD4)-BIN2DEC(FD5)</f>
        <v>-184</v>
      </c>
      <c r="FI4" s="77">
        <f>BIN2DEC(FE4)-BIN2DEC(FE5)</f>
        <v>-243</v>
      </c>
      <c r="FJ4" s="77">
        <f>BIN2DEC(FF4)-BIN2DEC(FF5)</f>
        <v>-181</v>
      </c>
      <c r="FK4" s="27" t="str">
        <f t="shared" si="86"/>
        <v>1000</v>
      </c>
      <c r="FL4" s="27" t="str">
        <f t="shared" si="87"/>
        <v>0000</v>
      </c>
      <c r="FM4" s="27" t="str">
        <f t="shared" si="88"/>
        <v>1010</v>
      </c>
      <c r="FN4" s="27" t="str">
        <f t="shared" si="89"/>
        <v>1011</v>
      </c>
      <c r="FO4" s="27" t="str">
        <f t="shared" si="90"/>
        <v>0100</v>
      </c>
      <c r="FP4" s="27" t="str">
        <f t="shared" si="91"/>
        <v>0001</v>
      </c>
      <c r="FQ4" s="27" t="str">
        <f t="shared" si="92"/>
        <v>1001</v>
      </c>
      <c r="FR4" s="27" t="str">
        <f t="shared" si="93"/>
        <v>0000</v>
      </c>
      <c r="FS4" s="77">
        <f t="shared" ref="FS4:FZ4" si="125">BIN2DEC(FK4)-BIN2DEC(FK5)</f>
        <v>7</v>
      </c>
      <c r="FT4" s="77">
        <f t="shared" si="125"/>
        <v>-9</v>
      </c>
      <c r="FU4" s="77">
        <f t="shared" si="125"/>
        <v>-1</v>
      </c>
      <c r="FV4" s="77">
        <f t="shared" si="125"/>
        <v>3</v>
      </c>
      <c r="FW4" s="77">
        <f t="shared" si="125"/>
        <v>-11</v>
      </c>
      <c r="FX4" s="77">
        <f t="shared" si="125"/>
        <v>-2</v>
      </c>
      <c r="FY4" s="77">
        <f t="shared" si="125"/>
        <v>-2</v>
      </c>
      <c r="FZ4" s="77">
        <f t="shared" si="125"/>
        <v>-5</v>
      </c>
      <c r="GA4" s="26" t="str">
        <f t="shared" si="16"/>
        <v>0000000000000000</v>
      </c>
      <c r="GB4" s="26" t="str">
        <f t="shared" si="17"/>
        <v>0000000000000000</v>
      </c>
      <c r="GC4" s="77">
        <f>MID(GA4,16,1)*POWER(2,0)+MID(GA4,15,1)*POWER(2,1)+MID(GA4,14,1)*POWER(2,2)+MID(GA4,13,1)*POWER(2,3)+MID(GA4,12,1)*POWER(2,4)+MID(GA4,11,1)*POWER(2,5)+MID(GA4,10,1)*POWER(2,6)+MID(GA4,9,1)*POWER(2,7)+MID(GA4,8,1)*POWER(2,8)+MID(GA4,7,1)*POWER(2,9)+MID(GA4,6,1)*POWER(2,10)+MID(GA4,5,1)*POWER(2,11)+MID(GA4,4,1)*POWER(2,12)+MID(GA4,3,1)*POWER(2,13)+MID(GA4,2,1)*POWER(2,14)+MID(GA4,1,1)*POWER(2,15)-(MID(GA5,16,1)*POWER(2,0)+MID(GA5,15,1)*POWER(2,1)+MID(GA5,14,1)*POWER(2,2)+MID(GA5,13,1)*POWER(2,3)+MID(GA5,12,1)*POWER(2,4)+MID(GA5,11,1)*POWER(2,5)+MID(GA5,10,1)*POWER(2,6)+MID(GA5,9,1)*POWER(2,7)+MID(GA5,8,1)*POWER(2,8)+MID(GA5,7,1)*POWER(2,9)+MID(GA5,6,1)*POWER(2,10)+MID(GA5,5,1)*POWER(2,11)+MID(GA5,4,1)*POWER(2,12)+MID(GA5,3,1)*POWER(2,13)+MID(GA5,2,1)*POWER(2,14)+MID(GA5,1,1)*POWER(2,15))</f>
        <v>-6584</v>
      </c>
      <c r="GD4" s="77">
        <f>MID(GB4,16,1)*POWER(2,0)+MID(GB4,15,1)*POWER(2,1)+MID(GB4,14,1)*POWER(2,2)+MID(GB4,13,1)*POWER(2,3)+MID(GB4,12,1)*POWER(2,4)+MID(GB4,11,1)*POWER(2,5)+MID(GB4,10,1)*POWER(2,6)+MID(GB4,9,1)*POWER(2,7)+MID(GB4,8,1)*POWER(2,8)+MID(GB4,7,1)*POWER(2,9)+MID(GB4,6,1)*POWER(2,10)+MID(GB4,5,1)*POWER(2,11)+MID(GB4,4,1)*POWER(2,12)+MID(GB4,3,1)*POWER(2,13)+MID(GB4,2,1)*POWER(2,14)+MID(GB4,1,1)*POWER(2,15)-(MID(GB5,16,1)*POWER(2,0)+MID(GB5,15,1)*POWER(2,1)+MID(GB5,14,1)*POWER(2,2)+MID(GB5,13,1)*POWER(2,3)+MID(GB5,12,1)*POWER(2,4)+MID(GB5,11,1)*POWER(2,5)+MID(GB5,10,1)*POWER(2,6)+MID(GB5,9,1)*POWER(2,7)+MID(GB5,8,1)*POWER(2,8)+MID(GB5,7,1)*POWER(2,9)+MID(GB5,6,1)*POWER(2,10)+MID(GB5,5,1)*POWER(2,11)+MID(GB5,4,1)*POWER(2,12)+MID(GB5,3,1)*POWER(2,13)+MID(GB5,2,1)*POWER(2,14)+MID(GB5,1,1)*POWER(2,15))</f>
        <v>-62389</v>
      </c>
      <c r="GE4" s="47" t="str">
        <f>DY4</f>
        <v>10000000100010000000000010000000</v>
      </c>
      <c r="GF4" s="26" t="str">
        <f t="shared" ref="GF4:GF41" si="126">MID(GE4,1,8)</f>
        <v>10000000</v>
      </c>
      <c r="GG4" s="26" t="str">
        <f t="shared" si="94"/>
        <v>10001000</v>
      </c>
      <c r="GH4" s="26" t="str">
        <f t="shared" si="95"/>
        <v>00000000</v>
      </c>
      <c r="GI4" s="26" t="str">
        <f t="shared" si="96"/>
        <v>10000000</v>
      </c>
      <c r="GJ4" s="77">
        <f>BIN2DEC(GF4)-BIN2DEC(GF5)</f>
        <v>128</v>
      </c>
      <c r="GK4" s="77">
        <f>BIN2DEC(GG4)-BIN2DEC(GG5)</f>
        <v>104</v>
      </c>
      <c r="GL4" s="77">
        <f>BIN2DEC(GH4)-BIN2DEC(GH5)</f>
        <v>-96</v>
      </c>
      <c r="GM4" s="77">
        <f>BIN2DEC(GI4)-BIN2DEC(GI5)</f>
        <v>92</v>
      </c>
      <c r="GN4" s="27" t="str">
        <f t="shared" si="97"/>
        <v>1000</v>
      </c>
      <c r="GO4" s="27" t="str">
        <f t="shared" si="98"/>
        <v>0000</v>
      </c>
      <c r="GP4" s="27" t="str">
        <f t="shared" si="99"/>
        <v>1010</v>
      </c>
      <c r="GQ4" s="27" t="str">
        <f t="shared" si="100"/>
        <v>1011</v>
      </c>
      <c r="GR4" s="27" t="str">
        <f t="shared" si="101"/>
        <v>0100</v>
      </c>
      <c r="GS4" s="27" t="str">
        <f t="shared" si="102"/>
        <v>0001</v>
      </c>
      <c r="GT4" s="27" t="str">
        <f t="shared" si="103"/>
        <v>1001</v>
      </c>
      <c r="GU4" s="27" t="str">
        <f t="shared" si="104"/>
        <v>0000</v>
      </c>
      <c r="GV4" s="77">
        <f t="shared" ref="GV4:HC4" si="127">BIN2DEC(GN4)-BIN2DEC(GN5)</f>
        <v>7</v>
      </c>
      <c r="GW4" s="77">
        <f t="shared" si="127"/>
        <v>-9</v>
      </c>
      <c r="GX4" s="77">
        <f t="shared" si="127"/>
        <v>-1</v>
      </c>
      <c r="GY4" s="77">
        <f t="shared" si="127"/>
        <v>3</v>
      </c>
      <c r="GZ4" s="77">
        <f t="shared" si="127"/>
        <v>-11</v>
      </c>
      <c r="HA4" s="77">
        <f t="shared" si="127"/>
        <v>-2</v>
      </c>
      <c r="HB4" s="77">
        <f t="shared" si="127"/>
        <v>-2</v>
      </c>
      <c r="HC4" s="77">
        <f t="shared" si="127"/>
        <v>-5</v>
      </c>
      <c r="HD4" s="26" t="str">
        <f t="shared" si="19"/>
        <v>1000000010001000</v>
      </c>
      <c r="HE4" s="26" t="str">
        <f t="shared" si="20"/>
        <v>0000000010000000</v>
      </c>
      <c r="HF4" s="77">
        <f>MID(HD4,16,1)*POWER(2,0)+MID(HD4,15,1)*POWER(2,1)+MID(HD4,14,1)*POWER(2,2)+MID(HD4,13,1)*POWER(2,3)+MID(HD4,12,1)*POWER(2,4)+MID(HD4,11,1)*POWER(2,5)+MID(HD4,10,1)*POWER(2,6)+MID(HD4,9,1)*POWER(2,7)+MID(HD4,8,1)*POWER(2,8)+MID(HD4,7,1)*POWER(2,9)+MID(HD4,6,1)*POWER(2,10)+MID(HD4,5,1)*POWER(2,11)+MID(HD4,4,1)*POWER(2,12)+MID(HD4,3,1)*POWER(2,13)+MID(HD4,2,1)*POWER(2,14)+MID(HD4,1,1)*POWER(2,15)-(MID(HD5,16,1)*POWER(2,0)+MID(HD5,15,1)*POWER(2,1)+MID(HD5,14,1)*POWER(2,2)+MID(HD5,13,1)*POWER(2,3)+MID(HD5,12,1)*POWER(2,4)+MID(HD5,11,1)*POWER(2,5)+MID(HD5,10,1)*POWER(2,6)+MID(HD5,9,1)*POWER(2,7)+MID(HD5,8,1)*POWER(2,8)+MID(HD5,7,1)*POWER(2,9)+MID(HD5,6,1)*POWER(2,10)+MID(HD5,5,1)*POWER(2,11)+MID(HD5,4,1)*POWER(2,12)+MID(HD5,3,1)*POWER(2,13)+MID(HD5,2,1)*POWER(2,14)+MID(HD5,1,1)*POWER(2,15))</f>
        <v>32872</v>
      </c>
      <c r="HG4" s="77">
        <f>MID(HE4,16,1)*POWER(2,0)+MID(HE4,15,1)*POWER(2,1)+MID(HE4,14,1)*POWER(2,2)+MID(HE4,13,1)*POWER(2,3)+MID(HE4,12,1)*POWER(2,4)+MID(HE4,11,1)*POWER(2,5)+MID(HE4,10,1)*POWER(2,6)+MID(HE4,9,1)*POWER(2,7)+MID(HE4,8,1)*POWER(2,8)+MID(HE4,7,1)*POWER(2,9)+MID(HE4,6,1)*POWER(2,10)+MID(HE4,5,1)*POWER(2,11)+MID(HE4,4,1)*POWER(2,12)+MID(HE4,3,1)*POWER(2,13)+MID(HE4,2,1)*POWER(2,14)+MID(HE4,1,1)*POWER(2,15)-(MID(HE5,16,1)*POWER(2,0)+MID(HE5,15,1)*POWER(2,1)+MID(HE5,14,1)*POWER(2,2)+MID(HE5,13,1)*POWER(2,3)+MID(HE5,12,1)*POWER(2,4)+MID(HE5,11,1)*POWER(2,5)+MID(HE5,10,1)*POWER(2,6)+MID(HE5,9,1)*POWER(2,7)+MID(HE5,8,1)*POWER(2,8)+MID(HE5,7,1)*POWER(2,9)+MID(HE5,6,1)*POWER(2,10)+MID(HE5,5,1)*POWER(2,11)+MID(HE5,4,1)*POWER(2,12)+MID(HE5,3,1)*POWER(2,13)+MID(HE5,2,1)*POWER(2,14)+MID(HE5,1,1)*POWER(2,15))</f>
        <v>-24484</v>
      </c>
      <c r="HH4" s="45" t="str">
        <f>CONCATENATE(MID(GE4,1,1)*MID($K4,1,1),MID(GE4,2,1)*MID($K4,2,1),MID(GE4,3,1)*MID($K4,3,1),MID(GE4,4,1)*MID($K4,4,1),MID(GE4,5,1)*MID($K4,5,1),MID(GE4,6,1)*MID($K4,6,1),MID(GE4,7,1)*MID($K4,7,1),MID(GE4,8,1)*MID($K4,8,1),MID(GE4,9,1)*MID($K4,1,1),MID(GE4,10,1)*MID($K4,2,1),MID(GE4,11,1)*MID($K4,3,1),MID(GE4,12,1)*MID($K4,4,1),MID(GE4,13,1)*MID($K4,5,1),MID(GE4,14,1)*MID($K4,6,1),MID(GE4,15,1)*MID($K4,7,1),MID(GE4,16,1)*MID($K4,8,1),MID(GE4,17,1)*MID($K4,1,1),MID(GE4,18,1)*MID($K4,2,1),MID(GE4,19,1)*MID($K4,3,1),MID(GE4,20,1)*MID($K4,4,1),MID(GE4,21,1)*MID($K4,5,1),MID(GE4,22,1)*MID($K4,6,1),MID(GE4,23,1)*MID($K4,7,1),MID(GE4,24,1)*MID($K4,8,1),MID(GE4,25,1)*MID($K4,1,1),MID(GE4,26,1)*MID($K4,2,1),MID(GE4,27,1)*MID($K4,3,1),MID(GE4,28,1)*MID($K4,4,1),MID(GE4,29,1)*MID($K4,5,1),MID(GE4,30,1)*MID($K4,6,1),MID(GE4,31,1)*MID($K4,7,1),MID(GE4,32,1)*MID($K4,8,1))</f>
        <v>00000000000000000000000000000000</v>
      </c>
      <c r="HI4" s="26" t="str">
        <f t="shared" ref="HI4:HI41" si="128">MID(HH4,1,8)</f>
        <v>00000000</v>
      </c>
      <c r="HJ4" s="26" t="str">
        <f t="shared" si="105"/>
        <v>00000000</v>
      </c>
      <c r="HK4" s="26" t="str">
        <f t="shared" si="106"/>
        <v>00000000</v>
      </c>
      <c r="HL4" s="26" t="str">
        <f t="shared" si="107"/>
        <v>00000000</v>
      </c>
      <c r="HM4" s="77">
        <f>BIN2DEC(HI4)-BIN2DEC(HI5)</f>
        <v>0</v>
      </c>
      <c r="HN4" s="77">
        <f>BIN2DEC(HJ4)-BIN2DEC(HJ5)</f>
        <v>-32</v>
      </c>
      <c r="HO4" s="77">
        <f>BIN2DEC(HK4)-BIN2DEC(HK5)</f>
        <v>-96</v>
      </c>
      <c r="HP4" s="77">
        <f>BIN2DEC(HL4)-BIN2DEC(HL5)</f>
        <v>-36</v>
      </c>
      <c r="HQ4" s="27" t="str">
        <f t="shared" si="108"/>
        <v>1000</v>
      </c>
      <c r="HR4" s="27" t="str">
        <f t="shared" si="109"/>
        <v>0000</v>
      </c>
      <c r="HS4" s="27" t="str">
        <f t="shared" si="110"/>
        <v>1010</v>
      </c>
      <c r="HT4" s="27" t="str">
        <f t="shared" si="111"/>
        <v>1011</v>
      </c>
      <c r="HU4" s="27" t="str">
        <f t="shared" si="112"/>
        <v>0100</v>
      </c>
      <c r="HV4" s="27" t="str">
        <f t="shared" si="113"/>
        <v>0001</v>
      </c>
      <c r="HW4" s="27" t="str">
        <f t="shared" si="114"/>
        <v>1001</v>
      </c>
      <c r="HX4" s="27" t="str">
        <f t="shared" si="115"/>
        <v>0000</v>
      </c>
      <c r="HY4" s="77">
        <f t="shared" ref="HY4:IF4" si="129">BIN2DEC(HQ4)-BIN2DEC(HQ5)</f>
        <v>7</v>
      </c>
      <c r="HZ4" s="77">
        <f t="shared" si="129"/>
        <v>-9</v>
      </c>
      <c r="IA4" s="77">
        <f t="shared" si="129"/>
        <v>-1</v>
      </c>
      <c r="IB4" s="77">
        <f t="shared" si="129"/>
        <v>3</v>
      </c>
      <c r="IC4" s="77">
        <f t="shared" si="129"/>
        <v>-11</v>
      </c>
      <c r="ID4" s="77">
        <f t="shared" si="129"/>
        <v>-2</v>
      </c>
      <c r="IE4" s="77">
        <f t="shared" si="129"/>
        <v>-2</v>
      </c>
      <c r="IF4" s="77">
        <f t="shared" si="129"/>
        <v>-5</v>
      </c>
      <c r="IG4" s="26" t="str">
        <f t="shared" si="22"/>
        <v>0000000000000000</v>
      </c>
      <c r="IH4" s="26" t="str">
        <f t="shared" si="23"/>
        <v>0000000000000000</v>
      </c>
      <c r="II4" s="77">
        <f>MID(IG4,16,1)*POWER(2,0)+MID(IG4,15,1)*POWER(2,1)+MID(IG4,14,1)*POWER(2,2)+MID(IG4,13,1)*POWER(2,3)+MID(IG4,12,1)*POWER(2,4)+MID(IG4,11,1)*POWER(2,5)+MID(IG4,10,1)*POWER(2,6)+MID(IG4,9,1)*POWER(2,7)+MID(IG4,8,1)*POWER(2,8)+MID(IG4,7,1)*POWER(2,9)+MID(IG4,6,1)*POWER(2,10)+MID(IG4,5,1)*POWER(2,11)+MID(IG4,4,1)*POWER(2,12)+MID(IG4,3,1)*POWER(2,13)+MID(IG4,2,1)*POWER(2,14)+MID(IG4,1,1)*POWER(2,15)-(MID(IG5,16,1)*POWER(2,0)+MID(IG5,15,1)*POWER(2,1)+MID(IG5,14,1)*POWER(2,2)+MID(IG5,13,1)*POWER(2,3)+MID(IG5,12,1)*POWER(2,4)+MID(IG5,11,1)*POWER(2,5)+MID(IG5,10,1)*POWER(2,6)+MID(IG5,9,1)*POWER(2,7)+MID(IG5,8,1)*POWER(2,8)+MID(IG5,7,1)*POWER(2,9)+MID(IG5,6,1)*POWER(2,10)+MID(IG5,5,1)*POWER(2,11)+MID(IG5,4,1)*POWER(2,12)+MID(IG5,3,1)*POWER(2,13)+MID(IG5,2,1)*POWER(2,14)+MID(IG5,1,1)*POWER(2,15))</f>
        <v>-32</v>
      </c>
      <c r="IJ4" s="77">
        <f>MID(IH4,16,1)*POWER(2,0)+MID(IH4,15,1)*POWER(2,1)+MID(IH4,14,1)*POWER(2,2)+MID(IH4,13,1)*POWER(2,3)+MID(IH4,12,1)*POWER(2,4)+MID(IH4,11,1)*POWER(2,5)+MID(IH4,10,1)*POWER(2,6)+MID(IH4,9,1)*POWER(2,7)+MID(IH4,8,1)*POWER(2,8)+MID(IH4,7,1)*POWER(2,9)+MID(IH4,6,1)*POWER(2,10)+MID(IH4,5,1)*POWER(2,11)+MID(IH4,4,1)*POWER(2,12)+MID(IH4,3,1)*POWER(2,13)+MID(IH4,2,1)*POWER(2,14)+MID(IH4,1,1)*POWER(2,15)-(MID(IH5,16,1)*POWER(2,0)+MID(IH5,15,1)*POWER(2,1)+MID(IH5,14,1)*POWER(2,2)+MID(IH5,13,1)*POWER(2,3)+MID(IH5,12,1)*POWER(2,4)+MID(IH5,11,1)*POWER(2,5)+MID(IH5,10,1)*POWER(2,6)+MID(IH5,9,1)*POWER(2,7)+MID(IH5,8,1)*POWER(2,8)+MID(IH5,7,1)*POWER(2,9)+MID(IH5,6,1)*POWER(2,10)+MID(IH5,5,1)*POWER(2,11)+MID(IH5,4,1)*POWER(2,12)+MID(IH5,3,1)*POWER(2,13)+MID(IH5,2,1)*POWER(2,14)+MID(IH5,1,1)*POWER(2,15))</f>
        <v>-24612</v>
      </c>
      <c r="IL4" s="26"/>
      <c r="IM4" s="26"/>
      <c r="IN4" s="26"/>
      <c r="IO4" s="26"/>
      <c r="IP4" s="22"/>
      <c r="IQ4" s="22"/>
      <c r="IR4" s="22"/>
      <c r="IS4" s="22"/>
      <c r="JB4" s="22"/>
      <c r="JC4" s="22"/>
      <c r="JD4" s="22"/>
      <c r="JE4" s="22"/>
      <c r="JF4" s="22"/>
      <c r="JG4" s="22"/>
      <c r="JH4" s="22"/>
      <c r="JI4" s="22"/>
      <c r="JJ4" s="26"/>
      <c r="JK4" s="26"/>
      <c r="JL4" s="22"/>
      <c r="JM4" s="22"/>
    </row>
    <row r="5" spans="1:273" s="31" customFormat="1" ht="18.600000000000001" thickBot="1" x14ac:dyDescent="0.4">
      <c r="A5" s="28"/>
      <c r="B5" s="29"/>
      <c r="C5" s="17" t="s">
        <v>6</v>
      </c>
      <c r="D5" s="17">
        <v>19</v>
      </c>
      <c r="E5" s="17" t="s">
        <v>11</v>
      </c>
      <c r="F5" s="17" t="s">
        <v>62</v>
      </c>
      <c r="G5" s="17" t="s">
        <v>24</v>
      </c>
      <c r="H5" s="17" t="str">
        <f t="shared" si="116"/>
        <v>00011001101110001111001110110101</v>
      </c>
      <c r="I5" s="17">
        <f t="shared" si="117"/>
        <v>18</v>
      </c>
      <c r="J5" s="17"/>
      <c r="K5" s="17"/>
      <c r="L5" s="44" t="str">
        <f>H5</f>
        <v>00011001101110001111001110110101</v>
      </c>
      <c r="M5" s="30" t="str">
        <f t="shared" si="24"/>
        <v>00011001</v>
      </c>
      <c r="N5" s="30" t="str">
        <f t="shared" si="25"/>
        <v>10111000</v>
      </c>
      <c r="O5" s="30" t="str">
        <f t="shared" si="26"/>
        <v>11110011</v>
      </c>
      <c r="P5" s="30" t="str">
        <f t="shared" si="27"/>
        <v>10110101</v>
      </c>
      <c r="Q5" s="78"/>
      <c r="R5" s="78"/>
      <c r="S5" s="78"/>
      <c r="T5" s="78"/>
      <c r="U5" s="31" t="str">
        <f t="shared" si="28"/>
        <v>0001</v>
      </c>
      <c r="V5" s="31" t="str">
        <f t="shared" si="29"/>
        <v>1001</v>
      </c>
      <c r="W5" s="31" t="str">
        <f t="shared" si="30"/>
        <v>1011</v>
      </c>
      <c r="X5" s="31" t="str">
        <f t="shared" si="31"/>
        <v>1000</v>
      </c>
      <c r="Y5" s="31" t="str">
        <f t="shared" si="32"/>
        <v>1111</v>
      </c>
      <c r="Z5" s="31" t="str">
        <f t="shared" si="33"/>
        <v>0011</v>
      </c>
      <c r="AA5" s="31" t="str">
        <f t="shared" si="34"/>
        <v>1011</v>
      </c>
      <c r="AB5" s="31" t="str">
        <f t="shared" si="35"/>
        <v>0101</v>
      </c>
      <c r="AC5" s="78"/>
      <c r="AD5" s="78"/>
      <c r="AE5" s="78"/>
      <c r="AF5" s="78"/>
      <c r="AG5" s="78"/>
      <c r="AH5" s="78"/>
      <c r="AI5" s="78"/>
      <c r="AJ5" s="78"/>
      <c r="AK5" s="30" t="str">
        <f t="shared" si="1"/>
        <v>0001100110111000</v>
      </c>
      <c r="AL5" s="30" t="str">
        <f t="shared" si="2"/>
        <v>1111001110110101</v>
      </c>
      <c r="AM5" s="78"/>
      <c r="AN5" s="78"/>
      <c r="AO5" s="46" t="str">
        <f>L5</f>
        <v>00011001101110001111001110110101</v>
      </c>
      <c r="AP5" s="30" t="str">
        <f t="shared" si="36"/>
        <v>00011001</v>
      </c>
      <c r="AQ5" s="30" t="str">
        <f t="shared" si="37"/>
        <v>10111000</v>
      </c>
      <c r="AR5" s="30" t="str">
        <f t="shared" si="38"/>
        <v>11110011</v>
      </c>
      <c r="AS5" s="30" t="str">
        <f t="shared" si="39"/>
        <v>10110101</v>
      </c>
      <c r="AT5" s="78"/>
      <c r="AU5" s="78"/>
      <c r="AV5" s="78"/>
      <c r="AW5" s="78"/>
      <c r="AX5" s="31" t="str">
        <f t="shared" si="40"/>
        <v>0001</v>
      </c>
      <c r="AY5" s="31" t="str">
        <f t="shared" si="41"/>
        <v>1001</v>
      </c>
      <c r="AZ5" s="31" t="str">
        <f t="shared" si="42"/>
        <v>1011</v>
      </c>
      <c r="BA5" s="31" t="str">
        <f t="shared" si="43"/>
        <v>1000</v>
      </c>
      <c r="BB5" s="31" t="str">
        <f t="shared" si="44"/>
        <v>1111</v>
      </c>
      <c r="BC5" s="31" t="str">
        <f t="shared" si="45"/>
        <v>0011</v>
      </c>
      <c r="BD5" s="31" t="str">
        <f t="shared" si="46"/>
        <v>1011</v>
      </c>
      <c r="BE5" s="31" t="str">
        <f t="shared" si="47"/>
        <v>0101</v>
      </c>
      <c r="BF5" s="78"/>
      <c r="BG5" s="78"/>
      <c r="BH5" s="78"/>
      <c r="BI5" s="78"/>
      <c r="BJ5" s="78"/>
      <c r="BK5" s="78"/>
      <c r="BL5" s="78"/>
      <c r="BM5" s="78"/>
      <c r="BN5" s="30" t="str">
        <f t="shared" si="4"/>
        <v>0001100110111000</v>
      </c>
      <c r="BO5" s="30" t="str">
        <f t="shared" si="5"/>
        <v>1111001110110101</v>
      </c>
      <c r="BP5" s="78"/>
      <c r="BQ5" s="78"/>
      <c r="BR5" s="46" t="str">
        <f>CONCATENATE(MID(L5,1,1)*MID(K4,1,1),MID(L5,2,1)*MID(K4,2,1),MID(L5,3,1)*MID(K4,3,1),MID(L5,4,1)*MID(K4,4,1),MID(L5,5,1)*MID(K4,5,1),MID(L5,6,1)*MID(K4,6,1),MID(L5,7,1)*MID(K4,7,1),MID(L5,8,1)*MID(K4,8,1),MID(L5,9,1)*MID(K4,1,1),MID(L5,10,1)*MID(K4,2,1),MID(L5,11,1)*MID(K4,3,1),MID(L5,12,1)*MID(K4,4,1),MID(L5,13,1)*MID(K4,5,1),MID(L5,14,1)*MID(K4,6,1),MID(L5,15,1)*MID(K4,7,1),MID(L5,16,1)*MID(K4,8,1),MID(L5,17,1)*MID(K4,1,1),MID(L5,18,1)*MID(K4,2,1),MID(L5,19,1)*MID(K4,3,1),MID(L5,20,1)*MID(K4,4,1),MID(L5,21,1)*MID(K4,5,1),MID(L5,22,1)*MID(K4,6,1),MID(L5,23,1)*MID(K4,7,1),MID(L5,24,1)*MID(K4,8,1),MID(L5,25,1)*MID(K4,1,1),MID(L5,26,1)*MID(K4,2,1),MID(L5,27,1)*MID(K4,3,1),MID(L5,28,1)*MID(K4,4,1),MID(L5,29,1)*MID(K4,5,1),MID(L5,30,1)*MID(K4,6,1),MID(L5,31,1)*MID(K4,7,1),MID(L5,32,1)*MID(K4,8,1))</f>
        <v>00000000001000000110000000100100</v>
      </c>
      <c r="BS5" s="30" t="str">
        <f t="shared" si="48"/>
        <v>00000000</v>
      </c>
      <c r="BT5" s="30" t="str">
        <f t="shared" si="49"/>
        <v>00100000</v>
      </c>
      <c r="BU5" s="30" t="str">
        <f t="shared" si="50"/>
        <v>01100000</v>
      </c>
      <c r="BV5" s="30" t="str">
        <f t="shared" si="51"/>
        <v>00100100</v>
      </c>
      <c r="BW5" s="78"/>
      <c r="BX5" s="78"/>
      <c r="BY5" s="78"/>
      <c r="BZ5" s="78"/>
      <c r="CA5" s="31" t="str">
        <f t="shared" si="52"/>
        <v>0001</v>
      </c>
      <c r="CB5" s="31" t="str">
        <f t="shared" si="53"/>
        <v>1001</v>
      </c>
      <c r="CC5" s="31" t="str">
        <f t="shared" si="54"/>
        <v>1011</v>
      </c>
      <c r="CD5" s="31" t="str">
        <f t="shared" si="55"/>
        <v>1000</v>
      </c>
      <c r="CE5" s="31" t="str">
        <f t="shared" si="56"/>
        <v>1111</v>
      </c>
      <c r="CF5" s="31" t="str">
        <f t="shared" si="57"/>
        <v>0011</v>
      </c>
      <c r="CG5" s="31" t="str">
        <f t="shared" si="58"/>
        <v>1011</v>
      </c>
      <c r="CH5" s="31" t="str">
        <f t="shared" si="59"/>
        <v>0101</v>
      </c>
      <c r="CI5" s="78"/>
      <c r="CJ5" s="78"/>
      <c r="CK5" s="78"/>
      <c r="CL5" s="78"/>
      <c r="CM5" s="78"/>
      <c r="CN5" s="78"/>
      <c r="CO5" s="78"/>
      <c r="CP5" s="78"/>
      <c r="CQ5" s="30" t="str">
        <f t="shared" si="7"/>
        <v>0000000000100000</v>
      </c>
      <c r="CR5" s="30" t="str">
        <f t="shared" si="8"/>
        <v>0110000000100100</v>
      </c>
      <c r="CS5" s="78"/>
      <c r="CT5" s="78"/>
      <c r="CU5" s="46" t="str">
        <f>CONCATENATE(MID($L5,1,1)*MID($K4,1,1),MID($L5,2,1)*MID($K4,2,1),MID($L5,3,1)*MID($K4,3,1),MID($L5,4,1)*MID($K4,4,1),MID($L5,5,1)*MID($K4,5,1),MID($L5,6,1)*MID($K4,6,1),MID($L5,7,1)*MID($K4,7,1),MID($L5,8,1)*MID($K4,8,1),MID($L5,9,1)*MID($K4,1,1),MID($L5,10,1)*MID($K4,2,1),MID($L5,11,1)*MID($K4,3,1),MID($L5,12,1)*MID($K4,4,1),MID($L5,13,1)*MID($K4,5,1),MID($L5,14,1)*MID($K4,6,1),MID($L5,15,1)*MID($K4,7,1),MID($L5,16,1)*MID($K4,8,1),MID($L5,17,1)*MID($K4,1,1),MID($L5,18,1)*MID($K4,2,1),MID($L5,19,1)*MID($K4,3,1),MID($L5,20,1)*MID($K4,4,1),MID($L5,21,1)*MID($K4,5,1),MID($L5,22,1)*MID($K4,6,1),MID($L5,23,1)*MID($K4,7,1),MID($L5,24,1)*MID($K4,8,1),MID($L5,25,1)*MID($K4,1,1),MID($L5,26,1)*MID($K4,2,1),MID($L5,27,1)*MID($K4,3,1),MID($L5,28,1)*MID($K4,4,1),MID($L5,29,1)*MID($K4,5,1),MID($L5,30,1)*MID($K4,6,1),MID($L5,31,1)*MID($K4,7,1),MID($L5,32,1)*MID($K4,8,1))</f>
        <v>00000000001000000110000000100100</v>
      </c>
      <c r="CV5" s="30" t="str">
        <f t="shared" si="60"/>
        <v>00000000</v>
      </c>
      <c r="CW5" s="30" t="str">
        <f t="shared" si="61"/>
        <v>00100000</v>
      </c>
      <c r="CX5" s="30" t="str">
        <f t="shared" si="62"/>
        <v>01100000</v>
      </c>
      <c r="CY5" s="30" t="str">
        <f t="shared" si="63"/>
        <v>00100100</v>
      </c>
      <c r="CZ5" s="78"/>
      <c r="DA5" s="78"/>
      <c r="DB5" s="78"/>
      <c r="DC5" s="78"/>
      <c r="DD5" s="31" t="str">
        <f t="shared" si="64"/>
        <v>0001</v>
      </c>
      <c r="DE5" s="31" t="str">
        <f t="shared" si="65"/>
        <v>1001</v>
      </c>
      <c r="DF5" s="31" t="str">
        <f t="shared" si="66"/>
        <v>1011</v>
      </c>
      <c r="DG5" s="31" t="str">
        <f t="shared" si="67"/>
        <v>1000</v>
      </c>
      <c r="DH5" s="31" t="str">
        <f t="shared" si="68"/>
        <v>1111</v>
      </c>
      <c r="DI5" s="31" t="str">
        <f t="shared" si="69"/>
        <v>0011</v>
      </c>
      <c r="DJ5" s="31" t="str">
        <f t="shared" si="70"/>
        <v>1011</v>
      </c>
      <c r="DK5" s="31" t="str">
        <f t="shared" si="71"/>
        <v>0101</v>
      </c>
      <c r="DL5" s="78"/>
      <c r="DM5" s="78"/>
      <c r="DN5" s="78"/>
      <c r="DO5" s="78"/>
      <c r="DP5" s="78"/>
      <c r="DQ5" s="78"/>
      <c r="DR5" s="78"/>
      <c r="DS5" s="78"/>
      <c r="DT5" s="30" t="str">
        <f t="shared" si="10"/>
        <v>0000000000100000</v>
      </c>
      <c r="DU5" s="30" t="str">
        <f t="shared" si="11"/>
        <v>0110000000100100</v>
      </c>
      <c r="DV5" s="78"/>
      <c r="DW5" s="78"/>
      <c r="DX5" s="23"/>
      <c r="DY5" s="48" t="str">
        <f>H5</f>
        <v>00011001101110001111001110110101</v>
      </c>
      <c r="DZ5" s="30" t="str">
        <f t="shared" si="122"/>
        <v>00011001</v>
      </c>
      <c r="EA5" s="30" t="str">
        <f t="shared" si="72"/>
        <v>10111000</v>
      </c>
      <c r="EB5" s="30" t="str">
        <f t="shared" si="73"/>
        <v>11110011</v>
      </c>
      <c r="EC5" s="30" t="str">
        <f t="shared" si="74"/>
        <v>10110101</v>
      </c>
      <c r="ED5" s="78"/>
      <c r="EE5" s="78"/>
      <c r="EF5" s="78"/>
      <c r="EG5" s="78"/>
      <c r="EH5" s="31" t="str">
        <f t="shared" si="75"/>
        <v>0001</v>
      </c>
      <c r="EI5" s="31" t="str">
        <f t="shared" si="76"/>
        <v>1001</v>
      </c>
      <c r="EJ5" s="31" t="str">
        <f t="shared" si="77"/>
        <v>1011</v>
      </c>
      <c r="EK5" s="31" t="str">
        <f t="shared" si="78"/>
        <v>1000</v>
      </c>
      <c r="EL5" s="31" t="str">
        <f t="shared" si="79"/>
        <v>1111</v>
      </c>
      <c r="EM5" s="31" t="str">
        <f t="shared" si="80"/>
        <v>0011</v>
      </c>
      <c r="EN5" s="31" t="str">
        <f t="shared" si="81"/>
        <v>1011</v>
      </c>
      <c r="EO5" s="31" t="str">
        <f t="shared" si="82"/>
        <v>0101</v>
      </c>
      <c r="EP5" s="78"/>
      <c r="EQ5" s="78"/>
      <c r="ER5" s="78"/>
      <c r="ES5" s="78"/>
      <c r="ET5" s="78"/>
      <c r="EU5" s="78"/>
      <c r="EV5" s="78"/>
      <c r="EW5" s="78"/>
      <c r="EX5" s="30" t="str">
        <f t="shared" si="13"/>
        <v>0001100110111000</v>
      </c>
      <c r="EY5" s="30" t="str">
        <f t="shared" si="14"/>
        <v>1111001110110101</v>
      </c>
      <c r="EZ5" s="78"/>
      <c r="FA5" s="78"/>
      <c r="FB5" s="48" t="str">
        <f>H5</f>
        <v>00011001101110001111001110110101</v>
      </c>
      <c r="FC5" s="30" t="str">
        <f t="shared" si="124"/>
        <v>00011001</v>
      </c>
      <c r="FD5" s="30" t="str">
        <f t="shared" si="83"/>
        <v>10111000</v>
      </c>
      <c r="FE5" s="30" t="str">
        <f t="shared" si="84"/>
        <v>11110011</v>
      </c>
      <c r="FF5" s="30" t="str">
        <f t="shared" si="85"/>
        <v>10110101</v>
      </c>
      <c r="FG5" s="78"/>
      <c r="FH5" s="78"/>
      <c r="FI5" s="78"/>
      <c r="FJ5" s="78"/>
      <c r="FK5" s="31" t="str">
        <f t="shared" si="86"/>
        <v>0001</v>
      </c>
      <c r="FL5" s="31" t="str">
        <f t="shared" si="87"/>
        <v>1001</v>
      </c>
      <c r="FM5" s="31" t="str">
        <f t="shared" si="88"/>
        <v>1011</v>
      </c>
      <c r="FN5" s="31" t="str">
        <f t="shared" si="89"/>
        <v>1000</v>
      </c>
      <c r="FO5" s="31" t="str">
        <f t="shared" si="90"/>
        <v>1111</v>
      </c>
      <c r="FP5" s="31" t="str">
        <f t="shared" si="91"/>
        <v>0011</v>
      </c>
      <c r="FQ5" s="31" t="str">
        <f t="shared" si="92"/>
        <v>1011</v>
      </c>
      <c r="FR5" s="31" t="str">
        <f t="shared" si="93"/>
        <v>0101</v>
      </c>
      <c r="FS5" s="78"/>
      <c r="FT5" s="78"/>
      <c r="FU5" s="78"/>
      <c r="FV5" s="78"/>
      <c r="FW5" s="78"/>
      <c r="FX5" s="78"/>
      <c r="FY5" s="78"/>
      <c r="FZ5" s="78"/>
      <c r="GA5" s="30" t="str">
        <f t="shared" si="16"/>
        <v>0001100110111000</v>
      </c>
      <c r="GB5" s="30" t="str">
        <f t="shared" si="17"/>
        <v>1111001110110101</v>
      </c>
      <c r="GC5" s="78"/>
      <c r="GD5" s="78"/>
      <c r="GE5" s="48" t="str">
        <f>BR5</f>
        <v>00000000001000000110000000100100</v>
      </c>
      <c r="GF5" s="30" t="str">
        <f t="shared" si="126"/>
        <v>00000000</v>
      </c>
      <c r="GG5" s="30" t="str">
        <f t="shared" si="94"/>
        <v>00100000</v>
      </c>
      <c r="GH5" s="30" t="str">
        <f t="shared" si="95"/>
        <v>01100000</v>
      </c>
      <c r="GI5" s="30" t="str">
        <f t="shared" si="96"/>
        <v>00100100</v>
      </c>
      <c r="GJ5" s="78"/>
      <c r="GK5" s="78"/>
      <c r="GL5" s="78"/>
      <c r="GM5" s="78"/>
      <c r="GN5" s="31" t="str">
        <f t="shared" si="97"/>
        <v>0001</v>
      </c>
      <c r="GO5" s="31" t="str">
        <f t="shared" si="98"/>
        <v>1001</v>
      </c>
      <c r="GP5" s="31" t="str">
        <f t="shared" si="99"/>
        <v>1011</v>
      </c>
      <c r="GQ5" s="31" t="str">
        <f t="shared" si="100"/>
        <v>1000</v>
      </c>
      <c r="GR5" s="31" t="str">
        <f t="shared" si="101"/>
        <v>1111</v>
      </c>
      <c r="GS5" s="31" t="str">
        <f t="shared" si="102"/>
        <v>0011</v>
      </c>
      <c r="GT5" s="31" t="str">
        <f t="shared" si="103"/>
        <v>1011</v>
      </c>
      <c r="GU5" s="31" t="str">
        <f t="shared" si="104"/>
        <v>0101</v>
      </c>
      <c r="GV5" s="78"/>
      <c r="GW5" s="78"/>
      <c r="GX5" s="78"/>
      <c r="GY5" s="78"/>
      <c r="GZ5" s="78"/>
      <c r="HA5" s="78"/>
      <c r="HB5" s="78"/>
      <c r="HC5" s="78"/>
      <c r="HD5" s="30" t="str">
        <f t="shared" si="19"/>
        <v>0000000000100000</v>
      </c>
      <c r="HE5" s="30" t="str">
        <f t="shared" si="20"/>
        <v>0110000000100100</v>
      </c>
      <c r="HF5" s="78"/>
      <c r="HG5" s="78"/>
      <c r="HH5" s="48" t="str">
        <f>GE5</f>
        <v>00000000001000000110000000100100</v>
      </c>
      <c r="HI5" s="30" t="str">
        <f t="shared" si="128"/>
        <v>00000000</v>
      </c>
      <c r="HJ5" s="30" t="str">
        <f t="shared" si="105"/>
        <v>00100000</v>
      </c>
      <c r="HK5" s="30" t="str">
        <f t="shared" si="106"/>
        <v>01100000</v>
      </c>
      <c r="HL5" s="30" t="str">
        <f t="shared" si="107"/>
        <v>00100100</v>
      </c>
      <c r="HM5" s="78"/>
      <c r="HN5" s="78"/>
      <c r="HO5" s="78"/>
      <c r="HP5" s="78"/>
      <c r="HQ5" s="31" t="str">
        <f t="shared" si="108"/>
        <v>0001</v>
      </c>
      <c r="HR5" s="31" t="str">
        <f t="shared" si="109"/>
        <v>1001</v>
      </c>
      <c r="HS5" s="31" t="str">
        <f t="shared" si="110"/>
        <v>1011</v>
      </c>
      <c r="HT5" s="31" t="str">
        <f t="shared" si="111"/>
        <v>1000</v>
      </c>
      <c r="HU5" s="31" t="str">
        <f t="shared" si="112"/>
        <v>1111</v>
      </c>
      <c r="HV5" s="31" t="str">
        <f t="shared" si="113"/>
        <v>0011</v>
      </c>
      <c r="HW5" s="31" t="str">
        <f t="shared" si="114"/>
        <v>1011</v>
      </c>
      <c r="HX5" s="31" t="str">
        <f t="shared" si="115"/>
        <v>0101</v>
      </c>
      <c r="HY5" s="78"/>
      <c r="HZ5" s="78"/>
      <c r="IA5" s="78"/>
      <c r="IB5" s="78"/>
      <c r="IC5" s="78"/>
      <c r="ID5" s="78"/>
      <c r="IE5" s="78"/>
      <c r="IF5" s="78"/>
      <c r="IG5" s="30" t="str">
        <f t="shared" si="22"/>
        <v>0000000000100000</v>
      </c>
      <c r="IH5" s="30" t="str">
        <f t="shared" si="23"/>
        <v>0110000000100100</v>
      </c>
      <c r="II5" s="78"/>
      <c r="IJ5" s="78"/>
      <c r="IL5" s="30"/>
      <c r="IM5" s="30"/>
      <c r="IN5" s="30"/>
      <c r="IO5" s="30"/>
      <c r="IP5" s="23"/>
      <c r="IQ5" s="23"/>
      <c r="IR5" s="23"/>
      <c r="IS5" s="23"/>
      <c r="JB5" s="23"/>
      <c r="JC5" s="23"/>
      <c r="JD5" s="23"/>
      <c r="JE5" s="23"/>
      <c r="JF5" s="23"/>
      <c r="JG5" s="23"/>
      <c r="JH5" s="23"/>
      <c r="JI5" s="23"/>
      <c r="JJ5" s="30"/>
      <c r="JK5" s="30"/>
      <c r="JL5" s="23"/>
      <c r="JM5" s="23"/>
    </row>
    <row r="6" spans="1:273" s="27" customFormat="1" x14ac:dyDescent="0.35">
      <c r="A6" s="24"/>
      <c r="B6" s="25"/>
      <c r="C6" s="16" t="s">
        <v>0</v>
      </c>
      <c r="D6" s="16" t="s">
        <v>83</v>
      </c>
      <c r="E6" s="16" t="s">
        <v>48</v>
      </c>
      <c r="F6" s="16">
        <v>52</v>
      </c>
      <c r="G6" s="16" t="s">
        <v>105</v>
      </c>
      <c r="H6" s="16" t="str">
        <f>CONCATENATE(HEX2BIN(D6,8),HEX2BIN(E6,8),HEX2BIN(F6,8),HEX2BIN(G6,8))</f>
        <v>11100111110001010101001011101101</v>
      </c>
      <c r="I6" s="16">
        <f t="shared" si="117"/>
        <v>19</v>
      </c>
      <c r="J6" s="16">
        <v>64</v>
      </c>
      <c r="K6" s="16" t="str">
        <f>HEX2BIN(J6,8)</f>
        <v>01100100</v>
      </c>
      <c r="L6" s="43" t="str">
        <f>CONCATENATE(MID(H6,30,3),MID(H6,17,5),MID(H6,6,3),MID(H6,25,5),MID(H6,14,3),MID(H6,1,5),MID(H6,22,3),MID(H6,9,5))</f>
        <v>10101010111111011011110001011000</v>
      </c>
      <c r="M6" s="26" t="str">
        <f t="shared" si="24"/>
        <v>10101010</v>
      </c>
      <c r="N6" s="26" t="str">
        <f t="shared" si="25"/>
        <v>11111101</v>
      </c>
      <c r="O6" s="26" t="str">
        <f t="shared" si="26"/>
        <v>10111100</v>
      </c>
      <c r="P6" s="26" t="str">
        <f t="shared" si="27"/>
        <v>01011000</v>
      </c>
      <c r="Q6" s="77">
        <f>BIN2DEC(M6)-BIN2DEC(M7)</f>
        <v>103</v>
      </c>
      <c r="R6" s="77">
        <f>BIN2DEC(N6)-BIN2DEC(N7)</f>
        <v>19</v>
      </c>
      <c r="S6" s="77">
        <f>BIN2DEC(O6)-BIN2DEC(O7)</f>
        <v>78</v>
      </c>
      <c r="T6" s="77">
        <f>BIN2DEC(P6)-BIN2DEC(P7)</f>
        <v>-38</v>
      </c>
      <c r="U6" s="27" t="str">
        <f t="shared" si="28"/>
        <v>1010</v>
      </c>
      <c r="V6" s="27" t="str">
        <f t="shared" si="29"/>
        <v>1010</v>
      </c>
      <c r="W6" s="27" t="str">
        <f t="shared" si="30"/>
        <v>1111</v>
      </c>
      <c r="X6" s="27" t="str">
        <f t="shared" si="31"/>
        <v>1101</v>
      </c>
      <c r="Y6" s="27" t="str">
        <f t="shared" si="32"/>
        <v>1011</v>
      </c>
      <c r="Z6" s="27" t="str">
        <f t="shared" si="33"/>
        <v>1100</v>
      </c>
      <c r="AA6" s="27" t="str">
        <f t="shared" si="34"/>
        <v>0101</v>
      </c>
      <c r="AB6" s="27" t="str">
        <f t="shared" si="35"/>
        <v>1000</v>
      </c>
      <c r="AC6" s="77">
        <f t="shared" ref="AC6:AJ6" si="130">BIN2DEC(U6)-BIN2DEC(U7)</f>
        <v>6</v>
      </c>
      <c r="AD6" s="77">
        <f t="shared" si="130"/>
        <v>7</v>
      </c>
      <c r="AE6" s="77">
        <f t="shared" si="130"/>
        <v>1</v>
      </c>
      <c r="AF6" s="77">
        <f t="shared" si="130"/>
        <v>3</v>
      </c>
      <c r="AG6" s="77">
        <f t="shared" si="130"/>
        <v>5</v>
      </c>
      <c r="AH6" s="77">
        <f t="shared" si="130"/>
        <v>-2</v>
      </c>
      <c r="AI6" s="77">
        <f t="shared" si="130"/>
        <v>-2</v>
      </c>
      <c r="AJ6" s="77">
        <f t="shared" si="130"/>
        <v>-6</v>
      </c>
      <c r="AK6" s="26" t="str">
        <f t="shared" si="1"/>
        <v>1010101011111101</v>
      </c>
      <c r="AL6" s="26" t="str">
        <f t="shared" si="2"/>
        <v>1011110001011000</v>
      </c>
      <c r="AM6" s="77">
        <f>MID(AK6,16,1)*POWER(2,0)+MID(AK6,15,1)*POWER(2,1)+MID(AK6,14,1)*POWER(2,2)+MID(AK6,13,1)*POWER(2,3)+MID(AK6,12,1)*POWER(2,4)+MID(AK6,11,1)*POWER(2,5)+MID(AK6,10,1)*POWER(2,6)+MID(AK6,9,1)*POWER(2,7)+MID(AK6,8,1)*POWER(2,8)+MID(AK6,7,1)*POWER(2,9)+MID(AK6,6,1)*POWER(2,10)+MID(AK6,5,1)*POWER(2,11)+MID(AK6,4,1)*POWER(2,12)+MID(AK6,3,1)*POWER(2,13)+MID(AK6,2,1)*POWER(2,14)+MID(AK6,1,1)*POWER(2,15)-(MID(AK7,16,1)*POWER(2,0)+MID(AK7,15,1)*POWER(2,1)+MID(AK7,14,1)*POWER(2,2)+MID(AK7,13,1)*POWER(2,3)+MID(AK7,12,1)*POWER(2,4)+MID(AK7,11,1)*POWER(2,5)+MID(AK7,10,1)*POWER(2,6)+MID(AK7,9,1)*POWER(2,7)+MID(AK7,8,1)*POWER(2,8)+MID(AK7,7,1)*POWER(2,9)+MID(AK7,6,1)*POWER(2,10)+MID(AK7,5,1)*POWER(2,11)+MID(AK7,4,1)*POWER(2,12)+MID(AK7,3,1)*POWER(2,13)+MID(AK7,2,1)*POWER(2,14)+MID(AK7,1,1)*POWER(2,15))</f>
        <v>26387</v>
      </c>
      <c r="AN6" s="77">
        <f>MID(AL6,16,1)*POWER(2,0)+MID(AL6,15,1)*POWER(2,1)+MID(AL6,14,1)*POWER(2,2)+MID(AL6,13,1)*POWER(2,3)+MID(AL6,12,1)*POWER(2,4)+MID(AL6,11,1)*POWER(2,5)+MID(AL6,10,1)*POWER(2,6)+MID(AL6,9,1)*POWER(2,7)+MID(AL6,8,1)*POWER(2,8)+MID(AL6,7,1)*POWER(2,9)+MID(AL6,6,1)*POWER(2,10)+MID(AL6,5,1)*POWER(2,11)+MID(AL6,4,1)*POWER(2,12)+MID(AL6,3,1)*POWER(2,13)+MID(AL6,2,1)*POWER(2,14)+MID(AL6,1,1)*POWER(2,15)-(MID(AL7,16,1)*POWER(2,0)+MID(AL7,15,1)*POWER(2,1)+MID(AL7,14,1)*POWER(2,2)+MID(AL7,13,1)*POWER(2,3)+MID(AL7,12,1)*POWER(2,4)+MID(AL7,11,1)*POWER(2,5)+MID(AL7,10,1)*POWER(2,6)+MID(AL7,9,1)*POWER(2,7)+MID(AL7,8,1)*POWER(2,8)+MID(AL7,7,1)*POWER(2,9)+MID(AL7,6,1)*POWER(2,10)+MID(AL7,5,1)*POWER(2,11)+MID(AL7,4,1)*POWER(2,12)+MID(AL7,3,1)*POWER(2,13)+MID(AL7,2,1)*POWER(2,14)+MID(AL7,1,1)*POWER(2,15))</f>
        <v>19930</v>
      </c>
      <c r="AO6" s="45" t="str">
        <f>CONCATENATE(MID(L6,1,1)*MID(K6,1,1),MID(L6,2,1)*MID(K6,2,1),MID(L6,3,1)*MID(K6,3,1),MID(L6,4,1)*MID(K6,4,1),MID(L6,5,1)*MID(K6,5,1),MID(L6,6,1)*MID(K6,6,1),MID(L6,7,1)*MID(K6,7,1),MID(L6,8,1)*MID(K6,8,1),MID(L6,9,1)*MID(K6,1,1),MID(L6,10,1)*MID(K6,2,1),MID(L6,11,1)*MID(K6,3,1),MID(L6,12,1)*MID(K6,4,1),MID(L6,13,1)*MID(K6,5,1),MID(L6,14,1)*MID(K6,6,1),MID(L6,15,1)*MID(K6,7,1),MID(L6,16,1)*MID(K6,8,1),MID(L6,17,1)*MID(K6,1,1),MID(L6,18,1)*MID(K6,2,1),MID(L6,19,1)*MID(K6,3,1),MID(L6,20,1)*MID(K6,4,1),MID(L6,21,1)*MID(K6,5,1),MID(L6,22,1)*MID(K6,6,1),MID(L6,23,1)*MID(K6,7,1),MID(L6,24,1)*MID(K6,8,1),MID(L6,25,1)*MID(K6,1,1),MID(L6,26,1)*MID(K6,2,1),MID(L6,27,1)*MID(K6,3,1),MID(L6,28,1)*MID(K6,4,1),MID(L6,29,1)*MID(K6,5,1),MID(L6,30,1)*MID(K6,6,1),MID(L6,31,1)*MID(K6,7,1),MID(L6,32,1)*MID(K6,8,1))</f>
        <v>00100000011001000010010001000000</v>
      </c>
      <c r="AP6" s="26" t="str">
        <f t="shared" si="36"/>
        <v>00100000</v>
      </c>
      <c r="AQ6" s="26" t="str">
        <f t="shared" si="37"/>
        <v>01100100</v>
      </c>
      <c r="AR6" s="26" t="str">
        <f t="shared" si="38"/>
        <v>00100100</v>
      </c>
      <c r="AS6" s="26" t="str">
        <f t="shared" si="39"/>
        <v>01000000</v>
      </c>
      <c r="AT6" s="77">
        <f>BIN2DEC(AP6)-BIN2DEC(AP7)</f>
        <v>-35</v>
      </c>
      <c r="AU6" s="77">
        <f>BIN2DEC(AQ6)-BIN2DEC(AQ7)</f>
        <v>-134</v>
      </c>
      <c r="AV6" s="77">
        <f>BIN2DEC(AR6)-BIN2DEC(AR7)</f>
        <v>-74</v>
      </c>
      <c r="AW6" s="77">
        <f>BIN2DEC(AS6)-BIN2DEC(AS7)</f>
        <v>-62</v>
      </c>
      <c r="AX6" s="27" t="str">
        <f t="shared" si="40"/>
        <v>1010</v>
      </c>
      <c r="AY6" s="27" t="str">
        <f t="shared" si="41"/>
        <v>1010</v>
      </c>
      <c r="AZ6" s="27" t="str">
        <f t="shared" si="42"/>
        <v>1111</v>
      </c>
      <c r="BA6" s="27" t="str">
        <f t="shared" si="43"/>
        <v>1101</v>
      </c>
      <c r="BB6" s="27" t="str">
        <f t="shared" si="44"/>
        <v>1011</v>
      </c>
      <c r="BC6" s="27" t="str">
        <f t="shared" si="45"/>
        <v>1100</v>
      </c>
      <c r="BD6" s="27" t="str">
        <f t="shared" si="46"/>
        <v>0101</v>
      </c>
      <c r="BE6" s="27" t="str">
        <f t="shared" si="47"/>
        <v>1000</v>
      </c>
      <c r="BF6" s="77">
        <f t="shared" ref="BF6:BM6" si="131">BIN2DEC(AX6)-BIN2DEC(AX7)</f>
        <v>6</v>
      </c>
      <c r="BG6" s="77">
        <f t="shared" si="131"/>
        <v>7</v>
      </c>
      <c r="BH6" s="77">
        <f t="shared" si="131"/>
        <v>1</v>
      </c>
      <c r="BI6" s="77">
        <f t="shared" si="131"/>
        <v>3</v>
      </c>
      <c r="BJ6" s="77">
        <f t="shared" si="131"/>
        <v>5</v>
      </c>
      <c r="BK6" s="77">
        <f t="shared" si="131"/>
        <v>-2</v>
      </c>
      <c r="BL6" s="77">
        <f t="shared" si="131"/>
        <v>-2</v>
      </c>
      <c r="BM6" s="77">
        <f t="shared" si="131"/>
        <v>-6</v>
      </c>
      <c r="BN6" s="26" t="str">
        <f t="shared" si="4"/>
        <v>0010000001100100</v>
      </c>
      <c r="BO6" s="26" t="str">
        <f t="shared" si="5"/>
        <v>0010010001000000</v>
      </c>
      <c r="BP6" s="77">
        <f>MID(BN6,16,1)*POWER(2,0)+MID(BN6,15,1)*POWER(2,1)+MID(BN6,14,1)*POWER(2,2)+MID(BN6,13,1)*POWER(2,3)+MID(BN6,12,1)*POWER(2,4)+MID(BN6,11,1)*POWER(2,5)+MID(BN6,10,1)*POWER(2,6)+MID(BN6,9,1)*POWER(2,7)+MID(BN6,8,1)*POWER(2,8)+MID(BN6,7,1)*POWER(2,9)+MID(BN6,6,1)*POWER(2,10)+MID(BN6,5,1)*POWER(2,11)+MID(BN6,4,1)*POWER(2,12)+MID(BN6,3,1)*POWER(2,13)+MID(BN6,2,1)*POWER(2,14)+MID(BN6,1,1)*POWER(2,15)-(MID(BN7,16,1)*POWER(2,0)+MID(BN7,15,1)*POWER(2,1)+MID(BN7,14,1)*POWER(2,2)+MID(BN7,13,1)*POWER(2,3)+MID(BN7,12,1)*POWER(2,4)+MID(BN7,11,1)*POWER(2,5)+MID(BN7,10,1)*POWER(2,6)+MID(BN7,9,1)*POWER(2,7)+MID(BN7,8,1)*POWER(2,8)+MID(BN7,7,1)*POWER(2,9)+MID(BN7,6,1)*POWER(2,10)+MID(BN7,5,1)*POWER(2,11)+MID(BN7,4,1)*POWER(2,12)+MID(BN7,3,1)*POWER(2,13)+MID(BN7,2,1)*POWER(2,14)+MID(BN7,1,1)*POWER(2,15))</f>
        <v>-9094</v>
      </c>
      <c r="BQ6" s="77">
        <f>MID(BO6,16,1)*POWER(2,0)+MID(BO6,15,1)*POWER(2,1)+MID(BO6,14,1)*POWER(2,2)+MID(BO6,13,1)*POWER(2,3)+MID(BO6,12,1)*POWER(2,4)+MID(BO6,11,1)*POWER(2,5)+MID(BO6,10,1)*POWER(2,6)+MID(BO6,9,1)*POWER(2,7)+MID(BO6,8,1)*POWER(2,8)+MID(BO6,7,1)*POWER(2,9)+MID(BO6,6,1)*POWER(2,10)+MID(BO6,5,1)*POWER(2,11)+MID(BO6,4,1)*POWER(2,12)+MID(BO6,3,1)*POWER(2,13)+MID(BO6,2,1)*POWER(2,14)+MID(BO6,1,1)*POWER(2,15)-(MID(BO7,16,1)*POWER(2,0)+MID(BO7,15,1)*POWER(2,1)+MID(BO7,14,1)*POWER(2,2)+MID(BO7,13,1)*POWER(2,3)+MID(BO7,12,1)*POWER(2,4)+MID(BO7,11,1)*POWER(2,5)+MID(BO7,10,1)*POWER(2,6)+MID(BO7,9,1)*POWER(2,7)+MID(BO7,8,1)*POWER(2,8)+MID(BO7,7,1)*POWER(2,9)+MID(BO7,6,1)*POWER(2,10)+MID(BO7,5,1)*POWER(2,11)+MID(BO7,4,1)*POWER(2,12)+MID(BO7,3,1)*POWER(2,13)+MID(BO7,2,1)*POWER(2,14)+MID(BO7,1,1)*POWER(2,15))</f>
        <v>-19006</v>
      </c>
      <c r="BR6" s="47" t="str">
        <f>L6</f>
        <v>10101010111111011011110001011000</v>
      </c>
      <c r="BS6" s="26" t="str">
        <f t="shared" si="48"/>
        <v>10101010</v>
      </c>
      <c r="BT6" s="26" t="str">
        <f t="shared" si="49"/>
        <v>11111101</v>
      </c>
      <c r="BU6" s="26" t="str">
        <f t="shared" si="50"/>
        <v>10111100</v>
      </c>
      <c r="BV6" s="26" t="str">
        <f t="shared" si="51"/>
        <v>01011000</v>
      </c>
      <c r="BW6" s="77">
        <f>BIN2DEC(BS6)-BIN2DEC(BS7)</f>
        <v>106</v>
      </c>
      <c r="BX6" s="77">
        <f>BIN2DEC(BT6)-BIN2DEC(BT7)</f>
        <v>157</v>
      </c>
      <c r="BY6" s="77">
        <f>BIN2DEC(BU6)-BIN2DEC(BU7)</f>
        <v>88</v>
      </c>
      <c r="BZ6" s="77">
        <f>BIN2DEC(BV6)-BIN2DEC(BV7)</f>
        <v>-12</v>
      </c>
      <c r="CA6" s="27" t="str">
        <f t="shared" si="52"/>
        <v>1010</v>
      </c>
      <c r="CB6" s="27" t="str">
        <f t="shared" si="53"/>
        <v>1010</v>
      </c>
      <c r="CC6" s="27" t="str">
        <f t="shared" si="54"/>
        <v>1111</v>
      </c>
      <c r="CD6" s="27" t="str">
        <f t="shared" si="55"/>
        <v>1101</v>
      </c>
      <c r="CE6" s="27" t="str">
        <f t="shared" si="56"/>
        <v>1011</v>
      </c>
      <c r="CF6" s="27" t="str">
        <f t="shared" si="57"/>
        <v>1100</v>
      </c>
      <c r="CG6" s="27" t="str">
        <f t="shared" si="58"/>
        <v>0101</v>
      </c>
      <c r="CH6" s="27" t="str">
        <f t="shared" si="59"/>
        <v>1000</v>
      </c>
      <c r="CI6" s="77">
        <f t="shared" ref="CI6:CP6" si="132">BIN2DEC(CA6)-BIN2DEC(CA7)</f>
        <v>6</v>
      </c>
      <c r="CJ6" s="77">
        <f t="shared" si="132"/>
        <v>7</v>
      </c>
      <c r="CK6" s="77">
        <f t="shared" si="132"/>
        <v>1</v>
      </c>
      <c r="CL6" s="77">
        <f t="shared" si="132"/>
        <v>3</v>
      </c>
      <c r="CM6" s="77">
        <f t="shared" si="132"/>
        <v>5</v>
      </c>
      <c r="CN6" s="77">
        <f t="shared" si="132"/>
        <v>-2</v>
      </c>
      <c r="CO6" s="77">
        <f t="shared" si="132"/>
        <v>-2</v>
      </c>
      <c r="CP6" s="77">
        <f t="shared" si="132"/>
        <v>-6</v>
      </c>
      <c r="CQ6" s="26" t="str">
        <f t="shared" si="7"/>
        <v>1010101011111101</v>
      </c>
      <c r="CR6" s="26" t="str">
        <f t="shared" si="8"/>
        <v>1011110001011000</v>
      </c>
      <c r="CS6" s="77">
        <f>MID(CQ6,16,1)*POWER(2,0)+MID(CQ6,15,1)*POWER(2,1)+MID(CQ6,14,1)*POWER(2,2)+MID(CQ6,13,1)*POWER(2,3)+MID(CQ6,12,1)*POWER(2,4)+MID(CQ6,11,1)*POWER(2,5)+MID(CQ6,10,1)*POWER(2,6)+MID(CQ6,9,1)*POWER(2,7)+MID(CQ6,8,1)*POWER(2,8)+MID(CQ6,7,1)*POWER(2,9)+MID(CQ6,6,1)*POWER(2,10)+MID(CQ6,5,1)*POWER(2,11)+MID(CQ6,4,1)*POWER(2,12)+MID(CQ6,3,1)*POWER(2,13)+MID(CQ6,2,1)*POWER(2,14)+MID(CQ6,1,1)*POWER(2,15)-(MID(CQ7,16,1)*POWER(2,0)+MID(CQ7,15,1)*POWER(2,1)+MID(CQ7,14,1)*POWER(2,2)+MID(CQ7,13,1)*POWER(2,3)+MID(CQ7,12,1)*POWER(2,4)+MID(CQ7,11,1)*POWER(2,5)+MID(CQ7,10,1)*POWER(2,6)+MID(CQ7,9,1)*POWER(2,7)+MID(CQ7,8,1)*POWER(2,8)+MID(CQ7,7,1)*POWER(2,9)+MID(CQ7,6,1)*POWER(2,10)+MID(CQ7,5,1)*POWER(2,11)+MID(CQ7,4,1)*POWER(2,12)+MID(CQ7,3,1)*POWER(2,13)+MID(CQ7,2,1)*POWER(2,14)+MID(CQ7,1,1)*POWER(2,15))</f>
        <v>27293</v>
      </c>
      <c r="CT6" s="77">
        <f>MID(CR6,16,1)*POWER(2,0)+MID(CR6,15,1)*POWER(2,1)+MID(CR6,14,1)*POWER(2,2)+MID(CR6,13,1)*POWER(2,3)+MID(CR6,12,1)*POWER(2,4)+MID(CR6,11,1)*POWER(2,5)+MID(CR6,10,1)*POWER(2,6)+MID(CR6,9,1)*POWER(2,7)+MID(CR6,8,1)*POWER(2,8)+MID(CR6,7,1)*POWER(2,9)+MID(CR6,6,1)*POWER(2,10)+MID(CR6,5,1)*POWER(2,11)+MID(CR6,4,1)*POWER(2,12)+MID(CR6,3,1)*POWER(2,13)+MID(CR6,2,1)*POWER(2,14)+MID(CR6,1,1)*POWER(2,15)-(MID(CR7,16,1)*POWER(2,0)+MID(CR7,15,1)*POWER(2,1)+MID(CR7,14,1)*POWER(2,2)+MID(CR7,13,1)*POWER(2,3)+MID(CR7,12,1)*POWER(2,4)+MID(CR7,11,1)*POWER(2,5)+MID(CR7,10,1)*POWER(2,6)+MID(CR7,9,1)*POWER(2,7)+MID(CR7,8,1)*POWER(2,8)+MID(CR7,7,1)*POWER(2,9)+MID(CR7,6,1)*POWER(2,10)+MID(CR7,5,1)*POWER(2,11)+MID(CR7,4,1)*POWER(2,12)+MID(CR7,3,1)*POWER(2,13)+MID(CR7,2,1)*POWER(2,14)+MID(CR7,1,1)*POWER(2,15))</f>
        <v>22516</v>
      </c>
      <c r="CU6" s="45" t="str">
        <f>CONCATENATE(MID($L6,1,1)*MID($K6,1,1),MID($L6,2,1)*MID($K6,2,1),MID($L6,3,1)*MID($K6,3,1),MID($L6,4,1)*MID($K6,4,1),MID($L6,5,1)*MID($K6,5,1),MID($L6,6,1)*MID($K6,6,1),MID($L6,7,1)*MID($K6,7,1),MID($L6,8,1)*MID($K6,8,1),MID($L6,9,1)*MID($K6,1,1),MID($L6,10,1)*MID($K6,2,1),MID($L6,11,1)*MID($K6,3,1),MID($L6,12,1)*MID($K6,4,1),MID($L6,13,1)*MID($K6,5,1),MID($L6,14,1)*MID($K6,6,1),MID($L6,15,1)*MID($K6,7,1),MID($L6,16,1)*MID($K6,8,1),MID($L6,17,1)*MID($K6,1,1),MID($L6,18,1)*MID($K6,2,1),MID($L6,19,1)*MID($K6,3,1),MID($L6,20,1)*MID($K6,4,1),MID($L6,21,1)*MID($K6,5,1),MID($L6,22,1)*MID($K6,6,1),MID($L6,23,1)*MID($K6,7,1),MID($L6,24,1)*MID($K6,8,1),MID($L6,25,1)*MID($K6,1,1),MID($L6,26,1)*MID($K6,2,1),MID($L6,27,1)*MID($K6,3,1),MID($L6,28,1)*MID($K6,4,1),MID($L6,29,1)*MID($K6,5,1),MID($L6,30,1)*MID($K6,6,1),MID($L6,31,1)*MID($K6,7,1),MID($L6,32,1)*MID($K6,8,1))</f>
        <v>00100000011001000010010001000000</v>
      </c>
      <c r="CV6" s="26" t="str">
        <f t="shared" si="60"/>
        <v>00100000</v>
      </c>
      <c r="CW6" s="26" t="str">
        <f t="shared" si="61"/>
        <v>01100100</v>
      </c>
      <c r="CX6" s="26" t="str">
        <f t="shared" si="62"/>
        <v>00100100</v>
      </c>
      <c r="CY6" s="26" t="str">
        <f t="shared" si="63"/>
        <v>01000000</v>
      </c>
      <c r="CZ6" s="77">
        <f>BIN2DEC(CV6)-BIN2DEC(CV7)</f>
        <v>-32</v>
      </c>
      <c r="DA6" s="77">
        <f>BIN2DEC(CW6)-BIN2DEC(CW7)</f>
        <v>4</v>
      </c>
      <c r="DB6" s="77">
        <f>BIN2DEC(CX6)-BIN2DEC(CX7)</f>
        <v>-64</v>
      </c>
      <c r="DC6" s="77">
        <f>BIN2DEC(CY6)-BIN2DEC(CY7)</f>
        <v>-36</v>
      </c>
      <c r="DD6" s="27" t="str">
        <f t="shared" si="64"/>
        <v>1010</v>
      </c>
      <c r="DE6" s="27" t="str">
        <f t="shared" si="65"/>
        <v>1010</v>
      </c>
      <c r="DF6" s="27" t="str">
        <f t="shared" si="66"/>
        <v>1111</v>
      </c>
      <c r="DG6" s="27" t="str">
        <f t="shared" si="67"/>
        <v>1101</v>
      </c>
      <c r="DH6" s="27" t="str">
        <f t="shared" si="68"/>
        <v>1011</v>
      </c>
      <c r="DI6" s="27" t="str">
        <f t="shared" si="69"/>
        <v>1100</v>
      </c>
      <c r="DJ6" s="27" t="str">
        <f t="shared" si="70"/>
        <v>0101</v>
      </c>
      <c r="DK6" s="27" t="str">
        <f t="shared" si="71"/>
        <v>1000</v>
      </c>
      <c r="DL6" s="77">
        <f t="shared" ref="DL6:DS6" si="133">BIN2DEC(DD6)-BIN2DEC(DD7)</f>
        <v>6</v>
      </c>
      <c r="DM6" s="77">
        <f t="shared" si="133"/>
        <v>7</v>
      </c>
      <c r="DN6" s="77">
        <f t="shared" si="133"/>
        <v>1</v>
      </c>
      <c r="DO6" s="77">
        <f t="shared" si="133"/>
        <v>3</v>
      </c>
      <c r="DP6" s="77">
        <f t="shared" si="133"/>
        <v>5</v>
      </c>
      <c r="DQ6" s="77">
        <f t="shared" si="133"/>
        <v>-2</v>
      </c>
      <c r="DR6" s="77">
        <f t="shared" si="133"/>
        <v>-2</v>
      </c>
      <c r="DS6" s="77">
        <f t="shared" si="133"/>
        <v>-6</v>
      </c>
      <c r="DT6" s="26" t="str">
        <f t="shared" si="10"/>
        <v>0010000001100100</v>
      </c>
      <c r="DU6" s="26" t="str">
        <f t="shared" si="11"/>
        <v>0010010001000000</v>
      </c>
      <c r="DV6" s="77">
        <f>MID(DT6,16,1)*POWER(2,0)+MID(DT6,15,1)*POWER(2,1)+MID(DT6,14,1)*POWER(2,2)+MID(DT6,13,1)*POWER(2,3)+MID(DT6,12,1)*POWER(2,4)+MID(DT6,11,1)*POWER(2,5)+MID(DT6,10,1)*POWER(2,6)+MID(DT6,9,1)*POWER(2,7)+MID(DT6,8,1)*POWER(2,8)+MID(DT6,7,1)*POWER(2,9)+MID(DT6,6,1)*POWER(2,10)+MID(DT6,5,1)*POWER(2,11)+MID(DT6,4,1)*POWER(2,12)+MID(DT6,3,1)*POWER(2,13)+MID(DT6,2,1)*POWER(2,14)+MID(DT6,1,1)*POWER(2,15)-(MID(DT7,16,1)*POWER(2,0)+MID(DT7,15,1)*POWER(2,1)+MID(DT7,14,1)*POWER(2,2)+MID(DT7,13,1)*POWER(2,3)+MID(DT7,12,1)*POWER(2,4)+MID(DT7,11,1)*POWER(2,5)+MID(DT7,10,1)*POWER(2,6)+MID(DT7,9,1)*POWER(2,7)+MID(DT7,8,1)*POWER(2,8)+MID(DT7,7,1)*POWER(2,9)+MID(DT7,6,1)*POWER(2,10)+MID(DT7,5,1)*POWER(2,11)+MID(DT7,4,1)*POWER(2,12)+MID(DT7,3,1)*POWER(2,13)+MID(DT7,2,1)*POWER(2,14)+MID(DT7,1,1)*POWER(2,15))</f>
        <v>-8188</v>
      </c>
      <c r="DW6" s="77">
        <f>MID(DU6,16,1)*POWER(2,0)+MID(DU6,15,1)*POWER(2,1)+MID(DU6,14,1)*POWER(2,2)+MID(DU6,13,1)*POWER(2,3)+MID(DU6,12,1)*POWER(2,4)+MID(DU6,11,1)*POWER(2,5)+MID(DU6,10,1)*POWER(2,6)+MID(DU6,9,1)*POWER(2,7)+MID(DU6,8,1)*POWER(2,8)+MID(DU6,7,1)*POWER(2,9)+MID(DU6,6,1)*POWER(2,10)+MID(DU6,5,1)*POWER(2,11)+MID(DU6,4,1)*POWER(2,12)+MID(DU6,3,1)*POWER(2,13)+MID(DU6,2,1)*POWER(2,14)+MID(DU6,1,1)*POWER(2,15)-(MID(DU7,16,1)*POWER(2,0)+MID(DU7,15,1)*POWER(2,1)+MID(DU7,14,1)*POWER(2,2)+MID(DU7,13,1)*POWER(2,3)+MID(DU7,12,1)*POWER(2,4)+MID(DU7,11,1)*POWER(2,5)+MID(DU7,10,1)*POWER(2,6)+MID(DU7,9,1)*POWER(2,7)+MID(DU7,8,1)*POWER(2,8)+MID(DU7,7,1)*POWER(2,9)+MID(DU7,6,1)*POWER(2,10)+MID(DU7,5,1)*POWER(2,11)+MID(DU7,4,1)*POWER(2,12)+MID(DU7,3,1)*POWER(2,13)+MID(DU7,2,1)*POWER(2,14)+MID(DU7,1,1)*POWER(2,15))</f>
        <v>-16420</v>
      </c>
      <c r="DX6" s="22" t="str">
        <f>CONCATENATE(MID($H6,1,1)*MID($K6,1,1),MID($H6,2,1)*MID($K6,2,1),MID($H6,3,1)*MID($K6,3,1),MID($H6,4,1)*MID($K6,4,1),MID($H6,5,1)*MID($K6,5,1),MID($H6,6,1)*MID($K6,6,1),MID($H6,7,1)*MID($K6,7,1),MID($H6,8,1)*MID($K6,8,1),MID($H6,9,1)*MID($K6,1,1),MID($H6,10,1)*MID($K6,2,1),MID($H6,11,1)*MID($K6,3,1),MID($H6,12,1)*MID($K6,4,1),MID($H6,13,1)*MID($K6,5,1),MID($H6,14,1)*MID($K6,6,1),MID($H6,15,1)*MID($K6,7,1),MID($H6,16,1)*MID($K6,8,1),MID($H6,17,1)*MID($K6,1,1),MID($H6,18,1)*MID($K6,2,1),MID($H6,19,1)*MID($K6,3,1),MID($H6,20,1)*MID($K6,4,1),MID($H6,21,1)*MID($K6,5,1),MID($H6,22,1)*MID($K6,6,1),MID($H6,23,1)*MID($K6,7,1),MID($H6,24,1)*MID($K6,8,1),MID($H6,25,1)*MID($K6,1,1),MID($H6,26,1)*MID($K6,2,1),MID($H6,27,1)*MID($K6,3,1),MID($H6,28,1)*MID($K6,4,1),MID($H6,29,1)*MID($K6,5,1),MID($H6,30,1)*MID($K6,6,1),MID($H6,31,1)*MID($K6,7,1),MID($H6,32,1)*MID($K6,8,1))</f>
        <v>01100100010001000100000001100100</v>
      </c>
      <c r="DY6" s="43" t="str">
        <f>CONCATENATE(MID(DX6,30,3),MID(DX6,17,5),MID(DX6,6,3),MID(DX6,25,5),MID(DX6,14,3),MID(DX6,1,5),MID(DX6,22,3),MID(DX6,9,5))</f>
        <v>10001000100011001000110000001000</v>
      </c>
      <c r="DZ6" s="26" t="str">
        <f t="shared" si="122"/>
        <v>10001000</v>
      </c>
      <c r="EA6" s="26" t="str">
        <f t="shared" si="72"/>
        <v>10001100</v>
      </c>
      <c r="EB6" s="26" t="str">
        <f t="shared" si="73"/>
        <v>10001100</v>
      </c>
      <c r="EC6" s="26" t="str">
        <f t="shared" si="74"/>
        <v>00001000</v>
      </c>
      <c r="ED6" s="77">
        <f>BIN2DEC(DZ6)-BIN2DEC(DZ7)</f>
        <v>69</v>
      </c>
      <c r="EE6" s="77">
        <f>BIN2DEC(EA6)-BIN2DEC(EA7)</f>
        <v>-94</v>
      </c>
      <c r="EF6" s="77">
        <f>BIN2DEC(EB6)-BIN2DEC(EB7)</f>
        <v>30</v>
      </c>
      <c r="EG6" s="77">
        <f>BIN2DEC(EC6)-BIN2DEC(EC7)</f>
        <v>-118</v>
      </c>
      <c r="EH6" s="27" t="str">
        <f t="shared" si="75"/>
        <v>1010</v>
      </c>
      <c r="EI6" s="27" t="str">
        <f t="shared" si="76"/>
        <v>1010</v>
      </c>
      <c r="EJ6" s="27" t="str">
        <f t="shared" si="77"/>
        <v>1111</v>
      </c>
      <c r="EK6" s="27" t="str">
        <f t="shared" si="78"/>
        <v>1101</v>
      </c>
      <c r="EL6" s="27" t="str">
        <f t="shared" si="79"/>
        <v>1011</v>
      </c>
      <c r="EM6" s="27" t="str">
        <f t="shared" si="80"/>
        <v>1100</v>
      </c>
      <c r="EN6" s="27" t="str">
        <f t="shared" si="81"/>
        <v>0101</v>
      </c>
      <c r="EO6" s="27" t="str">
        <f t="shared" si="82"/>
        <v>1000</v>
      </c>
      <c r="EP6" s="77">
        <f t="shared" ref="EP6:EW6" si="134">BIN2DEC(EH6)-BIN2DEC(EH7)</f>
        <v>6</v>
      </c>
      <c r="EQ6" s="77">
        <f t="shared" si="134"/>
        <v>7</v>
      </c>
      <c r="ER6" s="77">
        <f t="shared" si="134"/>
        <v>1</v>
      </c>
      <c r="ES6" s="77">
        <f t="shared" si="134"/>
        <v>3</v>
      </c>
      <c r="ET6" s="77">
        <f t="shared" si="134"/>
        <v>5</v>
      </c>
      <c r="EU6" s="77">
        <f t="shared" si="134"/>
        <v>-2</v>
      </c>
      <c r="EV6" s="77">
        <f t="shared" si="134"/>
        <v>-2</v>
      </c>
      <c r="EW6" s="77">
        <f t="shared" si="134"/>
        <v>-6</v>
      </c>
      <c r="EX6" s="26" t="str">
        <f t="shared" si="13"/>
        <v>1000100010001100</v>
      </c>
      <c r="EY6" s="26" t="str">
        <f t="shared" si="14"/>
        <v>1000110000001000</v>
      </c>
      <c r="EZ6" s="77">
        <f>MID(EX6,16,1)*POWER(2,0)+MID(EX6,15,1)*POWER(2,1)+MID(EX6,14,1)*POWER(2,2)+MID(EX6,13,1)*POWER(2,3)+MID(EX6,12,1)*POWER(2,4)+MID(EX6,11,1)*POWER(2,5)+MID(EX6,10,1)*POWER(2,6)+MID(EX6,9,1)*POWER(2,7)+MID(EX6,8,1)*POWER(2,8)+MID(EX6,7,1)*POWER(2,9)+MID(EX6,6,1)*POWER(2,10)+MID(EX6,5,1)*POWER(2,11)+MID(EX6,4,1)*POWER(2,12)+MID(EX6,3,1)*POWER(2,13)+MID(EX6,2,1)*POWER(2,14)+MID(EX6,1,1)*POWER(2,15)-(MID(EX7,16,1)*POWER(2,0)+MID(EX7,15,1)*POWER(2,1)+MID(EX7,14,1)*POWER(2,2)+MID(EX7,13,1)*POWER(2,3)+MID(EX7,12,1)*POWER(2,4)+MID(EX7,11,1)*POWER(2,5)+MID(EX7,10,1)*POWER(2,6)+MID(EX7,9,1)*POWER(2,7)+MID(EX7,8,1)*POWER(2,8)+MID(EX7,7,1)*POWER(2,9)+MID(EX7,6,1)*POWER(2,10)+MID(EX7,5,1)*POWER(2,11)+MID(EX7,4,1)*POWER(2,12)+MID(EX7,3,1)*POWER(2,13)+MID(EX7,2,1)*POWER(2,14)+MID(EX7,1,1)*POWER(2,15))</f>
        <v>17570</v>
      </c>
      <c r="FA6" s="77">
        <f>MID(EY6,16,1)*POWER(2,0)+MID(EY6,15,1)*POWER(2,1)+MID(EY6,14,1)*POWER(2,2)+MID(EY6,13,1)*POWER(2,3)+MID(EY6,12,1)*POWER(2,4)+MID(EY6,11,1)*POWER(2,5)+MID(EY6,10,1)*POWER(2,6)+MID(EY6,9,1)*POWER(2,7)+MID(EY6,8,1)*POWER(2,8)+MID(EY6,7,1)*POWER(2,9)+MID(EY6,6,1)*POWER(2,10)+MID(EY6,5,1)*POWER(2,11)+MID(EY6,4,1)*POWER(2,12)+MID(EY6,3,1)*POWER(2,13)+MID(EY6,2,1)*POWER(2,14)+MID(EY6,1,1)*POWER(2,15)-(MID(EY7,16,1)*POWER(2,0)+MID(EY7,15,1)*POWER(2,1)+MID(EY7,14,1)*POWER(2,2)+MID(EY7,13,1)*POWER(2,3)+MID(EY7,12,1)*POWER(2,4)+MID(EY7,11,1)*POWER(2,5)+MID(EY7,10,1)*POWER(2,6)+MID(EY7,9,1)*POWER(2,7)+MID(EY7,8,1)*POWER(2,8)+MID(EY7,7,1)*POWER(2,9)+MID(EY7,6,1)*POWER(2,10)+MID(EY7,5,1)*POWER(2,11)+MID(EY7,4,1)*POWER(2,12)+MID(EY7,3,1)*POWER(2,13)+MID(EY7,2,1)*POWER(2,14)+MID(EY7,1,1)*POWER(2,15))</f>
        <v>7562</v>
      </c>
      <c r="FB6" s="45" t="str">
        <f>CONCATENATE(MID(DY6,1,1)*MID($K6,1,1),MID(DY6,2,1)*MID($K6,2,1),MID(DY6,3,1)*MID($K6,3,1),MID(DY6,4,1)*MID($K6,4,1),MID(DY6,5,1)*MID($K6,5,1),MID(DY6,6,1)*MID($K6,6,1),MID(DY6,7,1)*MID($K6,7,1),MID(DY6,8,1)*MID($K6,8,1),MID(DY6,9,1)*MID($K6,1,1),MID(DY6,10,1)*MID($K6,2,1),MID(DY6,11,1)*MID($K6,3,1),MID(DY6,12,1)*MID($K6,4,1),MID(DY6,13,1)*MID($K6,5,1),MID(DY6,14,1)*MID($K6,6,1),MID(DY6,15,1)*MID($K6,7,1),MID(DY6,16,1)*MID($K6,8,1),MID(DY6,17,1)*MID($K6,1,1),MID(DY6,18,1)*MID($K6,2,1),MID(DY6,19,1)*MID($K6,3,1),MID(DY6,20,1)*MID($K6,4,1),MID(DY6,21,1)*MID($K6,5,1),MID(DY6,22,1)*MID($K6,6,1),MID(DY6,23,1)*MID($K6,7,1),MID(DY6,24,1)*MID($K6,8,1),MID(DY6,25,1)*MID($K6,1,1),MID(DY6,26,1)*MID($K6,2,1),MID(DY6,27,1)*MID($K6,3,1),MID(DY6,28,1)*MID($K6,4,1),MID(DY6,29,1)*MID($K6,5,1),MID(DY6,30,1)*MID($K6,6,1),MID(DY6,31,1)*MID($K6,7,1),MID(DY6,32,1)*MID($K6,8,1))</f>
        <v>00000000000001000000010000000000</v>
      </c>
      <c r="FC6" s="26" t="str">
        <f t="shared" si="124"/>
        <v>00000000</v>
      </c>
      <c r="FD6" s="26" t="str">
        <f t="shared" si="83"/>
        <v>00000100</v>
      </c>
      <c r="FE6" s="26" t="str">
        <f t="shared" si="84"/>
        <v>00000100</v>
      </c>
      <c r="FF6" s="26" t="str">
        <f t="shared" si="85"/>
        <v>00000000</v>
      </c>
      <c r="FG6" s="77">
        <f>BIN2DEC(FC6)-BIN2DEC(FC7)</f>
        <v>-67</v>
      </c>
      <c r="FH6" s="77">
        <f>BIN2DEC(FD6)-BIN2DEC(FD7)</f>
        <v>-230</v>
      </c>
      <c r="FI6" s="77">
        <f>BIN2DEC(FE6)-BIN2DEC(FE7)</f>
        <v>-106</v>
      </c>
      <c r="FJ6" s="77">
        <f>BIN2DEC(FF6)-BIN2DEC(FF7)</f>
        <v>-126</v>
      </c>
      <c r="FK6" s="27" t="str">
        <f t="shared" si="86"/>
        <v>1010</v>
      </c>
      <c r="FL6" s="27" t="str">
        <f t="shared" si="87"/>
        <v>1010</v>
      </c>
      <c r="FM6" s="27" t="str">
        <f t="shared" si="88"/>
        <v>1111</v>
      </c>
      <c r="FN6" s="27" t="str">
        <f t="shared" si="89"/>
        <v>1101</v>
      </c>
      <c r="FO6" s="27" t="str">
        <f t="shared" si="90"/>
        <v>1011</v>
      </c>
      <c r="FP6" s="27" t="str">
        <f t="shared" si="91"/>
        <v>1100</v>
      </c>
      <c r="FQ6" s="27" t="str">
        <f t="shared" si="92"/>
        <v>0101</v>
      </c>
      <c r="FR6" s="27" t="str">
        <f t="shared" si="93"/>
        <v>1000</v>
      </c>
      <c r="FS6" s="77">
        <f t="shared" ref="FS6:FZ6" si="135">BIN2DEC(FK6)-BIN2DEC(FK7)</f>
        <v>6</v>
      </c>
      <c r="FT6" s="77">
        <f t="shared" si="135"/>
        <v>7</v>
      </c>
      <c r="FU6" s="77">
        <f t="shared" si="135"/>
        <v>1</v>
      </c>
      <c r="FV6" s="77">
        <f t="shared" si="135"/>
        <v>3</v>
      </c>
      <c r="FW6" s="77">
        <f t="shared" si="135"/>
        <v>5</v>
      </c>
      <c r="FX6" s="77">
        <f t="shared" si="135"/>
        <v>-2</v>
      </c>
      <c r="FY6" s="77">
        <f t="shared" si="135"/>
        <v>-2</v>
      </c>
      <c r="FZ6" s="77">
        <f t="shared" si="135"/>
        <v>-6</v>
      </c>
      <c r="GA6" s="26" t="str">
        <f t="shared" si="16"/>
        <v>0000000000000100</v>
      </c>
      <c r="GB6" s="26" t="str">
        <f t="shared" si="17"/>
        <v>0000010000000000</v>
      </c>
      <c r="GC6" s="77">
        <f>MID(GA6,16,1)*POWER(2,0)+MID(GA6,15,1)*POWER(2,1)+MID(GA6,14,1)*POWER(2,2)+MID(GA6,13,1)*POWER(2,3)+MID(GA6,12,1)*POWER(2,4)+MID(GA6,11,1)*POWER(2,5)+MID(GA6,10,1)*POWER(2,6)+MID(GA6,9,1)*POWER(2,7)+MID(GA6,8,1)*POWER(2,8)+MID(GA6,7,1)*POWER(2,9)+MID(GA6,6,1)*POWER(2,10)+MID(GA6,5,1)*POWER(2,11)+MID(GA6,4,1)*POWER(2,12)+MID(GA6,3,1)*POWER(2,13)+MID(GA6,2,1)*POWER(2,14)+MID(GA6,1,1)*POWER(2,15)-(MID(GA7,16,1)*POWER(2,0)+MID(GA7,15,1)*POWER(2,1)+MID(GA7,14,1)*POWER(2,2)+MID(GA7,13,1)*POWER(2,3)+MID(GA7,12,1)*POWER(2,4)+MID(GA7,11,1)*POWER(2,5)+MID(GA7,10,1)*POWER(2,6)+MID(GA7,9,1)*POWER(2,7)+MID(GA7,8,1)*POWER(2,8)+MID(GA7,7,1)*POWER(2,9)+MID(GA7,6,1)*POWER(2,10)+MID(GA7,5,1)*POWER(2,11)+MID(GA7,4,1)*POWER(2,12)+MID(GA7,3,1)*POWER(2,13)+MID(GA7,2,1)*POWER(2,14)+MID(GA7,1,1)*POWER(2,15))</f>
        <v>-17382</v>
      </c>
      <c r="GD6" s="77">
        <f>MID(GB6,16,1)*POWER(2,0)+MID(GB6,15,1)*POWER(2,1)+MID(GB6,14,1)*POWER(2,2)+MID(GB6,13,1)*POWER(2,3)+MID(GB6,12,1)*POWER(2,4)+MID(GB6,11,1)*POWER(2,5)+MID(GB6,10,1)*POWER(2,6)+MID(GB6,9,1)*POWER(2,7)+MID(GB6,8,1)*POWER(2,8)+MID(GB6,7,1)*POWER(2,9)+MID(GB6,6,1)*POWER(2,10)+MID(GB6,5,1)*POWER(2,11)+MID(GB6,4,1)*POWER(2,12)+MID(GB6,3,1)*POWER(2,13)+MID(GB6,2,1)*POWER(2,14)+MID(GB6,1,1)*POWER(2,15)-(MID(GB7,16,1)*POWER(2,0)+MID(GB7,15,1)*POWER(2,1)+MID(GB7,14,1)*POWER(2,2)+MID(GB7,13,1)*POWER(2,3)+MID(GB7,12,1)*POWER(2,4)+MID(GB7,11,1)*POWER(2,5)+MID(GB7,10,1)*POWER(2,6)+MID(GB7,9,1)*POWER(2,7)+MID(GB7,8,1)*POWER(2,8)+MID(GB7,7,1)*POWER(2,9)+MID(GB7,6,1)*POWER(2,10)+MID(GB7,5,1)*POWER(2,11)+MID(GB7,4,1)*POWER(2,12)+MID(GB7,3,1)*POWER(2,13)+MID(GB7,2,1)*POWER(2,14)+MID(GB7,1,1)*POWER(2,15))</f>
        <v>-27262</v>
      </c>
      <c r="GE6" s="47" t="str">
        <f>DY6</f>
        <v>10001000100011001000110000001000</v>
      </c>
      <c r="GF6" s="26" t="str">
        <f t="shared" si="126"/>
        <v>10001000</v>
      </c>
      <c r="GG6" s="26" t="str">
        <f t="shared" si="94"/>
        <v>10001100</v>
      </c>
      <c r="GH6" s="26" t="str">
        <f t="shared" si="95"/>
        <v>10001100</v>
      </c>
      <c r="GI6" s="26" t="str">
        <f t="shared" si="96"/>
        <v>00001000</v>
      </c>
      <c r="GJ6" s="77">
        <f>BIN2DEC(GF6)-BIN2DEC(GF7)</f>
        <v>72</v>
      </c>
      <c r="GK6" s="77">
        <f>BIN2DEC(GG6)-BIN2DEC(GG7)</f>
        <v>44</v>
      </c>
      <c r="GL6" s="77">
        <f>BIN2DEC(GH6)-BIN2DEC(GH7)</f>
        <v>40</v>
      </c>
      <c r="GM6" s="77">
        <f>BIN2DEC(GI6)-BIN2DEC(GI7)</f>
        <v>-92</v>
      </c>
      <c r="GN6" s="27" t="str">
        <f t="shared" si="97"/>
        <v>1010</v>
      </c>
      <c r="GO6" s="27" t="str">
        <f t="shared" si="98"/>
        <v>1010</v>
      </c>
      <c r="GP6" s="27" t="str">
        <f t="shared" si="99"/>
        <v>1111</v>
      </c>
      <c r="GQ6" s="27" t="str">
        <f t="shared" si="100"/>
        <v>1101</v>
      </c>
      <c r="GR6" s="27" t="str">
        <f t="shared" si="101"/>
        <v>1011</v>
      </c>
      <c r="GS6" s="27" t="str">
        <f t="shared" si="102"/>
        <v>1100</v>
      </c>
      <c r="GT6" s="27" t="str">
        <f t="shared" si="103"/>
        <v>0101</v>
      </c>
      <c r="GU6" s="27" t="str">
        <f t="shared" si="104"/>
        <v>1000</v>
      </c>
      <c r="GV6" s="77">
        <f t="shared" ref="GV6:HC6" si="136">BIN2DEC(GN6)-BIN2DEC(GN7)</f>
        <v>6</v>
      </c>
      <c r="GW6" s="77">
        <f t="shared" si="136"/>
        <v>7</v>
      </c>
      <c r="GX6" s="77">
        <f t="shared" si="136"/>
        <v>1</v>
      </c>
      <c r="GY6" s="77">
        <f t="shared" si="136"/>
        <v>3</v>
      </c>
      <c r="GZ6" s="77">
        <f t="shared" si="136"/>
        <v>5</v>
      </c>
      <c r="HA6" s="77">
        <f t="shared" si="136"/>
        <v>-2</v>
      </c>
      <c r="HB6" s="77">
        <f t="shared" si="136"/>
        <v>-2</v>
      </c>
      <c r="HC6" s="77">
        <f t="shared" si="136"/>
        <v>-6</v>
      </c>
      <c r="HD6" s="26" t="str">
        <f t="shared" si="19"/>
        <v>1000100010001100</v>
      </c>
      <c r="HE6" s="26" t="str">
        <f t="shared" si="20"/>
        <v>1000110000001000</v>
      </c>
      <c r="HF6" s="77">
        <f>MID(HD6,16,1)*POWER(2,0)+MID(HD6,15,1)*POWER(2,1)+MID(HD6,14,1)*POWER(2,2)+MID(HD6,13,1)*POWER(2,3)+MID(HD6,12,1)*POWER(2,4)+MID(HD6,11,1)*POWER(2,5)+MID(HD6,10,1)*POWER(2,6)+MID(HD6,9,1)*POWER(2,7)+MID(HD6,8,1)*POWER(2,8)+MID(HD6,7,1)*POWER(2,9)+MID(HD6,6,1)*POWER(2,10)+MID(HD6,5,1)*POWER(2,11)+MID(HD6,4,1)*POWER(2,12)+MID(HD6,3,1)*POWER(2,13)+MID(HD6,2,1)*POWER(2,14)+MID(HD6,1,1)*POWER(2,15)-(MID(HD7,16,1)*POWER(2,0)+MID(HD7,15,1)*POWER(2,1)+MID(HD7,14,1)*POWER(2,2)+MID(HD7,13,1)*POWER(2,3)+MID(HD7,12,1)*POWER(2,4)+MID(HD7,11,1)*POWER(2,5)+MID(HD7,10,1)*POWER(2,6)+MID(HD7,9,1)*POWER(2,7)+MID(HD7,8,1)*POWER(2,8)+MID(HD7,7,1)*POWER(2,9)+MID(HD7,6,1)*POWER(2,10)+MID(HD7,5,1)*POWER(2,11)+MID(HD7,4,1)*POWER(2,12)+MID(HD7,3,1)*POWER(2,13)+MID(HD7,2,1)*POWER(2,14)+MID(HD7,1,1)*POWER(2,15))</f>
        <v>18476</v>
      </c>
      <c r="HG6" s="77">
        <f>MID(HE6,16,1)*POWER(2,0)+MID(HE6,15,1)*POWER(2,1)+MID(HE6,14,1)*POWER(2,2)+MID(HE6,13,1)*POWER(2,3)+MID(HE6,12,1)*POWER(2,4)+MID(HE6,11,1)*POWER(2,5)+MID(HE6,10,1)*POWER(2,6)+MID(HE6,9,1)*POWER(2,7)+MID(HE6,8,1)*POWER(2,8)+MID(HE6,7,1)*POWER(2,9)+MID(HE6,6,1)*POWER(2,10)+MID(HE6,5,1)*POWER(2,11)+MID(HE6,4,1)*POWER(2,12)+MID(HE6,3,1)*POWER(2,13)+MID(HE6,2,1)*POWER(2,14)+MID(HE6,1,1)*POWER(2,15)-(MID(HE7,16,1)*POWER(2,0)+MID(HE7,15,1)*POWER(2,1)+MID(HE7,14,1)*POWER(2,2)+MID(HE7,13,1)*POWER(2,3)+MID(HE7,12,1)*POWER(2,4)+MID(HE7,11,1)*POWER(2,5)+MID(HE7,10,1)*POWER(2,6)+MID(HE7,9,1)*POWER(2,7)+MID(HE7,8,1)*POWER(2,8)+MID(HE7,7,1)*POWER(2,9)+MID(HE7,6,1)*POWER(2,10)+MID(HE7,5,1)*POWER(2,11)+MID(HE7,4,1)*POWER(2,12)+MID(HE7,3,1)*POWER(2,13)+MID(HE7,2,1)*POWER(2,14)+MID(HE7,1,1)*POWER(2,15))</f>
        <v>10148</v>
      </c>
      <c r="HH6" s="45" t="str">
        <f>CONCATENATE(MID(GE6,1,1)*MID($K6,1,1),MID(GE6,2,1)*MID($K6,2,1),MID(GE6,3,1)*MID($K6,3,1),MID(GE6,4,1)*MID($K6,4,1),MID(GE6,5,1)*MID($K6,5,1),MID(GE6,6,1)*MID($K6,6,1),MID(GE6,7,1)*MID($K6,7,1),MID(GE6,8,1)*MID($K6,8,1),MID(GE6,9,1)*MID($K6,1,1),MID(GE6,10,1)*MID($K6,2,1),MID(GE6,11,1)*MID($K6,3,1),MID(GE6,12,1)*MID($K6,4,1),MID(GE6,13,1)*MID($K6,5,1),MID(GE6,14,1)*MID($K6,6,1),MID(GE6,15,1)*MID($K6,7,1),MID(GE6,16,1)*MID($K6,8,1),MID(GE6,17,1)*MID($K6,1,1),MID(GE6,18,1)*MID($K6,2,1),MID(GE6,19,1)*MID($K6,3,1),MID(GE6,20,1)*MID($K6,4,1),MID(GE6,21,1)*MID($K6,5,1),MID(GE6,22,1)*MID($K6,6,1),MID(GE6,23,1)*MID($K6,7,1),MID(GE6,24,1)*MID($K6,8,1),MID(GE6,25,1)*MID($K6,1,1),MID(GE6,26,1)*MID($K6,2,1),MID(GE6,27,1)*MID($K6,3,1),MID(GE6,28,1)*MID($K6,4,1),MID(GE6,29,1)*MID($K6,5,1),MID(GE6,30,1)*MID($K6,6,1),MID(GE6,31,1)*MID($K6,7,1),MID(GE6,32,1)*MID($K6,8,1))</f>
        <v>00000000000001000000010000000000</v>
      </c>
      <c r="HI6" s="26" t="str">
        <f t="shared" si="128"/>
        <v>00000000</v>
      </c>
      <c r="HJ6" s="26" t="str">
        <f t="shared" si="105"/>
        <v>00000100</v>
      </c>
      <c r="HK6" s="26" t="str">
        <f t="shared" si="106"/>
        <v>00000100</v>
      </c>
      <c r="HL6" s="26" t="str">
        <f t="shared" si="107"/>
        <v>00000000</v>
      </c>
      <c r="HM6" s="77">
        <f>BIN2DEC(HI6)-BIN2DEC(HI7)</f>
        <v>-64</v>
      </c>
      <c r="HN6" s="77">
        <f>BIN2DEC(HJ6)-BIN2DEC(HJ7)</f>
        <v>-92</v>
      </c>
      <c r="HO6" s="77">
        <f>BIN2DEC(HK6)-BIN2DEC(HK7)</f>
        <v>-96</v>
      </c>
      <c r="HP6" s="77">
        <f>BIN2DEC(HL6)-BIN2DEC(HL7)</f>
        <v>-100</v>
      </c>
      <c r="HQ6" s="27" t="str">
        <f t="shared" si="108"/>
        <v>1010</v>
      </c>
      <c r="HR6" s="27" t="str">
        <f t="shared" si="109"/>
        <v>1010</v>
      </c>
      <c r="HS6" s="27" t="str">
        <f t="shared" si="110"/>
        <v>1111</v>
      </c>
      <c r="HT6" s="27" t="str">
        <f t="shared" si="111"/>
        <v>1101</v>
      </c>
      <c r="HU6" s="27" t="str">
        <f t="shared" si="112"/>
        <v>1011</v>
      </c>
      <c r="HV6" s="27" t="str">
        <f t="shared" si="113"/>
        <v>1100</v>
      </c>
      <c r="HW6" s="27" t="str">
        <f t="shared" si="114"/>
        <v>0101</v>
      </c>
      <c r="HX6" s="27" t="str">
        <f t="shared" si="115"/>
        <v>1000</v>
      </c>
      <c r="HY6" s="77">
        <f t="shared" ref="HY6:IF6" si="137">BIN2DEC(HQ6)-BIN2DEC(HQ7)</f>
        <v>6</v>
      </c>
      <c r="HZ6" s="77">
        <f t="shared" si="137"/>
        <v>7</v>
      </c>
      <c r="IA6" s="77">
        <f t="shared" si="137"/>
        <v>1</v>
      </c>
      <c r="IB6" s="77">
        <f t="shared" si="137"/>
        <v>3</v>
      </c>
      <c r="IC6" s="77">
        <f t="shared" si="137"/>
        <v>5</v>
      </c>
      <c r="ID6" s="77">
        <f t="shared" si="137"/>
        <v>-2</v>
      </c>
      <c r="IE6" s="77">
        <f t="shared" si="137"/>
        <v>-2</v>
      </c>
      <c r="IF6" s="77">
        <f t="shared" si="137"/>
        <v>-6</v>
      </c>
      <c r="IG6" s="26" t="str">
        <f t="shared" si="22"/>
        <v>0000000000000100</v>
      </c>
      <c r="IH6" s="26" t="str">
        <f t="shared" si="23"/>
        <v>0000010000000000</v>
      </c>
      <c r="II6" s="77">
        <f>MID(IG6,16,1)*POWER(2,0)+MID(IG6,15,1)*POWER(2,1)+MID(IG6,14,1)*POWER(2,2)+MID(IG6,13,1)*POWER(2,3)+MID(IG6,12,1)*POWER(2,4)+MID(IG6,11,1)*POWER(2,5)+MID(IG6,10,1)*POWER(2,6)+MID(IG6,9,1)*POWER(2,7)+MID(IG6,8,1)*POWER(2,8)+MID(IG6,7,1)*POWER(2,9)+MID(IG6,6,1)*POWER(2,10)+MID(IG6,5,1)*POWER(2,11)+MID(IG6,4,1)*POWER(2,12)+MID(IG6,3,1)*POWER(2,13)+MID(IG6,2,1)*POWER(2,14)+MID(IG6,1,1)*POWER(2,15)-(MID(IG7,16,1)*POWER(2,0)+MID(IG7,15,1)*POWER(2,1)+MID(IG7,14,1)*POWER(2,2)+MID(IG7,13,1)*POWER(2,3)+MID(IG7,12,1)*POWER(2,4)+MID(IG7,11,1)*POWER(2,5)+MID(IG7,10,1)*POWER(2,6)+MID(IG7,9,1)*POWER(2,7)+MID(IG7,8,1)*POWER(2,8)+MID(IG7,7,1)*POWER(2,9)+MID(IG7,6,1)*POWER(2,10)+MID(IG7,5,1)*POWER(2,11)+MID(IG7,4,1)*POWER(2,12)+MID(IG7,3,1)*POWER(2,13)+MID(IG7,2,1)*POWER(2,14)+MID(IG7,1,1)*POWER(2,15))</f>
        <v>-16476</v>
      </c>
      <c r="IJ6" s="77">
        <f>MID(IH6,16,1)*POWER(2,0)+MID(IH6,15,1)*POWER(2,1)+MID(IH6,14,1)*POWER(2,2)+MID(IH6,13,1)*POWER(2,3)+MID(IH6,12,1)*POWER(2,4)+MID(IH6,11,1)*POWER(2,5)+MID(IH6,10,1)*POWER(2,6)+MID(IH6,9,1)*POWER(2,7)+MID(IH6,8,1)*POWER(2,8)+MID(IH6,7,1)*POWER(2,9)+MID(IH6,6,1)*POWER(2,10)+MID(IH6,5,1)*POWER(2,11)+MID(IH6,4,1)*POWER(2,12)+MID(IH6,3,1)*POWER(2,13)+MID(IH6,2,1)*POWER(2,14)+MID(IH6,1,1)*POWER(2,15)-(MID(IH7,16,1)*POWER(2,0)+MID(IH7,15,1)*POWER(2,1)+MID(IH7,14,1)*POWER(2,2)+MID(IH7,13,1)*POWER(2,3)+MID(IH7,12,1)*POWER(2,4)+MID(IH7,11,1)*POWER(2,5)+MID(IH7,10,1)*POWER(2,6)+MID(IH7,9,1)*POWER(2,7)+MID(IH7,8,1)*POWER(2,8)+MID(IH7,7,1)*POWER(2,9)+MID(IH7,6,1)*POWER(2,10)+MID(IH7,5,1)*POWER(2,11)+MID(IH7,4,1)*POWER(2,12)+MID(IH7,3,1)*POWER(2,13)+MID(IH7,2,1)*POWER(2,14)+MID(IH7,1,1)*POWER(2,15))</f>
        <v>-24676</v>
      </c>
      <c r="IL6" s="26"/>
      <c r="IM6" s="26"/>
      <c r="IN6" s="26"/>
      <c r="IO6" s="26"/>
      <c r="IP6" s="22"/>
      <c r="IQ6" s="22"/>
      <c r="IR6" s="22"/>
      <c r="IS6" s="22"/>
      <c r="JB6" s="22"/>
      <c r="JC6" s="22"/>
      <c r="JD6" s="22"/>
      <c r="JE6" s="22"/>
      <c r="JF6" s="22"/>
      <c r="JG6" s="22"/>
      <c r="JH6" s="22"/>
      <c r="JI6" s="22"/>
      <c r="JJ6" s="26"/>
      <c r="JK6" s="26"/>
      <c r="JL6" s="22"/>
      <c r="JM6" s="22"/>
    </row>
    <row r="7" spans="1:273" s="31" customFormat="1" ht="18.600000000000001" thickBot="1" x14ac:dyDescent="0.4">
      <c r="A7" s="28"/>
      <c r="B7" s="29"/>
      <c r="C7" s="17" t="s">
        <v>6</v>
      </c>
      <c r="D7" s="17">
        <v>43</v>
      </c>
      <c r="E7" s="17" t="s">
        <v>34</v>
      </c>
      <c r="F7" s="17" t="s">
        <v>91</v>
      </c>
      <c r="G7" s="17" t="s">
        <v>79</v>
      </c>
      <c r="H7" s="17" t="str">
        <f t="shared" si="116"/>
        <v>01000011111010100110111001111110</v>
      </c>
      <c r="I7" s="17">
        <f t="shared" si="117"/>
        <v>19</v>
      </c>
      <c r="J7" s="17"/>
      <c r="K7" s="17"/>
      <c r="L7" s="44" t="str">
        <f>H7</f>
        <v>01000011111010100110111001111110</v>
      </c>
      <c r="M7" s="30" t="str">
        <f t="shared" si="24"/>
        <v>01000011</v>
      </c>
      <c r="N7" s="30" t="str">
        <f t="shared" si="25"/>
        <v>11101010</v>
      </c>
      <c r="O7" s="30" t="str">
        <f t="shared" si="26"/>
        <v>01101110</v>
      </c>
      <c r="P7" s="30" t="str">
        <f t="shared" si="27"/>
        <v>01111110</v>
      </c>
      <c r="Q7" s="78"/>
      <c r="R7" s="78"/>
      <c r="S7" s="78"/>
      <c r="T7" s="78"/>
      <c r="U7" s="31" t="str">
        <f t="shared" si="28"/>
        <v>0100</v>
      </c>
      <c r="V7" s="31" t="str">
        <f t="shared" si="29"/>
        <v>0011</v>
      </c>
      <c r="W7" s="31" t="str">
        <f t="shared" si="30"/>
        <v>1110</v>
      </c>
      <c r="X7" s="31" t="str">
        <f t="shared" si="31"/>
        <v>1010</v>
      </c>
      <c r="Y7" s="31" t="str">
        <f t="shared" si="32"/>
        <v>0110</v>
      </c>
      <c r="Z7" s="31" t="str">
        <f t="shared" si="33"/>
        <v>1110</v>
      </c>
      <c r="AA7" s="31" t="str">
        <f t="shared" si="34"/>
        <v>0111</v>
      </c>
      <c r="AB7" s="31" t="str">
        <f t="shared" si="35"/>
        <v>1110</v>
      </c>
      <c r="AC7" s="78"/>
      <c r="AD7" s="78"/>
      <c r="AE7" s="78"/>
      <c r="AF7" s="78"/>
      <c r="AG7" s="78"/>
      <c r="AH7" s="78"/>
      <c r="AI7" s="78"/>
      <c r="AJ7" s="78"/>
      <c r="AK7" s="30" t="str">
        <f t="shared" si="1"/>
        <v>0100001111101010</v>
      </c>
      <c r="AL7" s="30" t="str">
        <f t="shared" si="2"/>
        <v>0110111001111110</v>
      </c>
      <c r="AM7" s="78"/>
      <c r="AN7" s="78"/>
      <c r="AO7" s="46" t="str">
        <f>L7</f>
        <v>01000011111010100110111001111110</v>
      </c>
      <c r="AP7" s="30" t="str">
        <f t="shared" si="36"/>
        <v>01000011</v>
      </c>
      <c r="AQ7" s="30" t="str">
        <f t="shared" si="37"/>
        <v>11101010</v>
      </c>
      <c r="AR7" s="30" t="str">
        <f t="shared" si="38"/>
        <v>01101110</v>
      </c>
      <c r="AS7" s="30" t="str">
        <f t="shared" si="39"/>
        <v>01111110</v>
      </c>
      <c r="AT7" s="78"/>
      <c r="AU7" s="78"/>
      <c r="AV7" s="78"/>
      <c r="AW7" s="78"/>
      <c r="AX7" s="31" t="str">
        <f t="shared" si="40"/>
        <v>0100</v>
      </c>
      <c r="AY7" s="31" t="str">
        <f t="shared" si="41"/>
        <v>0011</v>
      </c>
      <c r="AZ7" s="31" t="str">
        <f t="shared" si="42"/>
        <v>1110</v>
      </c>
      <c r="BA7" s="31" t="str">
        <f t="shared" si="43"/>
        <v>1010</v>
      </c>
      <c r="BB7" s="31" t="str">
        <f t="shared" si="44"/>
        <v>0110</v>
      </c>
      <c r="BC7" s="31" t="str">
        <f t="shared" si="45"/>
        <v>1110</v>
      </c>
      <c r="BD7" s="31" t="str">
        <f t="shared" si="46"/>
        <v>0111</v>
      </c>
      <c r="BE7" s="31" t="str">
        <f t="shared" si="47"/>
        <v>1110</v>
      </c>
      <c r="BF7" s="78"/>
      <c r="BG7" s="78"/>
      <c r="BH7" s="78"/>
      <c r="BI7" s="78"/>
      <c r="BJ7" s="78"/>
      <c r="BK7" s="78"/>
      <c r="BL7" s="78"/>
      <c r="BM7" s="78"/>
      <c r="BN7" s="30" t="str">
        <f t="shared" si="4"/>
        <v>0100001111101010</v>
      </c>
      <c r="BO7" s="30" t="str">
        <f t="shared" si="5"/>
        <v>0110111001111110</v>
      </c>
      <c r="BP7" s="78"/>
      <c r="BQ7" s="78"/>
      <c r="BR7" s="46" t="str">
        <f>CONCATENATE(MID(L7,1,1)*MID(K6,1,1),MID(L7,2,1)*MID(K6,2,1),MID(L7,3,1)*MID(K6,3,1),MID(L7,4,1)*MID(K6,4,1),MID(L7,5,1)*MID(K6,5,1),MID(L7,6,1)*MID(K6,6,1),MID(L7,7,1)*MID(K6,7,1),MID(L7,8,1)*MID(K6,8,1),MID(L7,9,1)*MID(K6,1,1),MID(L7,10,1)*MID(K6,2,1),MID(L7,11,1)*MID(K6,3,1),MID(L7,12,1)*MID(K6,4,1),MID(L7,13,1)*MID(K6,5,1),MID(L7,14,1)*MID(K6,6,1),MID(L7,15,1)*MID(K6,7,1),MID(L7,16,1)*MID(K6,8,1),MID(L7,17,1)*MID(K6,1,1),MID(L7,18,1)*MID(K6,2,1),MID(L7,19,1)*MID(K6,3,1),MID(L7,20,1)*MID(K6,4,1),MID(L7,21,1)*MID(K6,5,1),MID(L7,22,1)*MID(K6,6,1),MID(L7,23,1)*MID(K6,7,1),MID(L7,24,1)*MID(K6,8,1),MID(L7,25,1)*MID(K6,1,1),MID(L7,26,1)*MID(K6,2,1),MID(L7,27,1)*MID(K6,3,1),MID(L7,28,1)*MID(K6,4,1),MID(L7,29,1)*MID(K6,5,1),MID(L7,30,1)*MID(K6,6,1),MID(L7,31,1)*MID(K6,7,1),MID(L7,32,1)*MID(K6,8,1))</f>
        <v>01000000011000000110010001100100</v>
      </c>
      <c r="BS7" s="30" t="str">
        <f t="shared" si="48"/>
        <v>01000000</v>
      </c>
      <c r="BT7" s="30" t="str">
        <f t="shared" si="49"/>
        <v>01100000</v>
      </c>
      <c r="BU7" s="30" t="str">
        <f t="shared" si="50"/>
        <v>01100100</v>
      </c>
      <c r="BV7" s="30" t="str">
        <f t="shared" si="51"/>
        <v>01100100</v>
      </c>
      <c r="BW7" s="78"/>
      <c r="BX7" s="78"/>
      <c r="BY7" s="78"/>
      <c r="BZ7" s="78"/>
      <c r="CA7" s="31" t="str">
        <f t="shared" si="52"/>
        <v>0100</v>
      </c>
      <c r="CB7" s="31" t="str">
        <f t="shared" si="53"/>
        <v>0011</v>
      </c>
      <c r="CC7" s="31" t="str">
        <f t="shared" si="54"/>
        <v>1110</v>
      </c>
      <c r="CD7" s="31" t="str">
        <f t="shared" si="55"/>
        <v>1010</v>
      </c>
      <c r="CE7" s="31" t="str">
        <f t="shared" si="56"/>
        <v>0110</v>
      </c>
      <c r="CF7" s="31" t="str">
        <f t="shared" si="57"/>
        <v>1110</v>
      </c>
      <c r="CG7" s="31" t="str">
        <f t="shared" si="58"/>
        <v>0111</v>
      </c>
      <c r="CH7" s="31" t="str">
        <f t="shared" si="59"/>
        <v>1110</v>
      </c>
      <c r="CI7" s="78"/>
      <c r="CJ7" s="78"/>
      <c r="CK7" s="78"/>
      <c r="CL7" s="78"/>
      <c r="CM7" s="78"/>
      <c r="CN7" s="78"/>
      <c r="CO7" s="78"/>
      <c r="CP7" s="78"/>
      <c r="CQ7" s="30" t="str">
        <f t="shared" si="7"/>
        <v>0100000001100000</v>
      </c>
      <c r="CR7" s="30" t="str">
        <f t="shared" si="8"/>
        <v>0110010001100100</v>
      </c>
      <c r="CS7" s="78"/>
      <c r="CT7" s="78"/>
      <c r="CU7" s="46" t="str">
        <f>CONCATENATE(MID($L7,1,1)*MID($K6,1,1),MID($L7,2,1)*MID($K6,2,1),MID($L7,3,1)*MID($K6,3,1),MID($L7,4,1)*MID($K6,4,1),MID($L7,5,1)*MID($K6,5,1),MID($L7,6,1)*MID($K6,6,1),MID($L7,7,1)*MID($K6,7,1),MID($L7,8,1)*MID($K6,8,1),MID($L7,9,1)*MID($K6,1,1),MID($L7,10,1)*MID($K6,2,1),MID($L7,11,1)*MID($K6,3,1),MID($L7,12,1)*MID($K6,4,1),MID($L7,13,1)*MID($K6,5,1),MID($L7,14,1)*MID($K6,6,1),MID($L7,15,1)*MID($K6,7,1),MID($L7,16,1)*MID($K6,8,1),MID($L7,17,1)*MID($K6,1,1),MID($L7,18,1)*MID($K6,2,1),MID($L7,19,1)*MID($K6,3,1),MID($L7,20,1)*MID($K6,4,1),MID($L7,21,1)*MID($K6,5,1),MID($L7,22,1)*MID($K6,6,1),MID($L7,23,1)*MID($K6,7,1),MID($L7,24,1)*MID($K6,8,1),MID($L7,25,1)*MID($K6,1,1),MID($L7,26,1)*MID($K6,2,1),MID($L7,27,1)*MID($K6,3,1),MID($L7,28,1)*MID($K6,4,1),MID($L7,29,1)*MID($K6,5,1),MID($L7,30,1)*MID($K6,6,1),MID($L7,31,1)*MID($K6,7,1),MID($L7,32,1)*MID($K6,8,1))</f>
        <v>01000000011000000110010001100100</v>
      </c>
      <c r="CV7" s="30" t="str">
        <f t="shared" si="60"/>
        <v>01000000</v>
      </c>
      <c r="CW7" s="30" t="str">
        <f t="shared" si="61"/>
        <v>01100000</v>
      </c>
      <c r="CX7" s="30" t="str">
        <f t="shared" si="62"/>
        <v>01100100</v>
      </c>
      <c r="CY7" s="30" t="str">
        <f t="shared" si="63"/>
        <v>01100100</v>
      </c>
      <c r="CZ7" s="78"/>
      <c r="DA7" s="78"/>
      <c r="DB7" s="78"/>
      <c r="DC7" s="78"/>
      <c r="DD7" s="31" t="str">
        <f t="shared" si="64"/>
        <v>0100</v>
      </c>
      <c r="DE7" s="31" t="str">
        <f t="shared" si="65"/>
        <v>0011</v>
      </c>
      <c r="DF7" s="31" t="str">
        <f t="shared" si="66"/>
        <v>1110</v>
      </c>
      <c r="DG7" s="31" t="str">
        <f t="shared" si="67"/>
        <v>1010</v>
      </c>
      <c r="DH7" s="31" t="str">
        <f t="shared" si="68"/>
        <v>0110</v>
      </c>
      <c r="DI7" s="31" t="str">
        <f t="shared" si="69"/>
        <v>1110</v>
      </c>
      <c r="DJ7" s="31" t="str">
        <f t="shared" si="70"/>
        <v>0111</v>
      </c>
      <c r="DK7" s="31" t="str">
        <f t="shared" si="71"/>
        <v>1110</v>
      </c>
      <c r="DL7" s="78"/>
      <c r="DM7" s="78"/>
      <c r="DN7" s="78"/>
      <c r="DO7" s="78"/>
      <c r="DP7" s="78"/>
      <c r="DQ7" s="78"/>
      <c r="DR7" s="78"/>
      <c r="DS7" s="78"/>
      <c r="DT7" s="30" t="str">
        <f t="shared" si="10"/>
        <v>0100000001100000</v>
      </c>
      <c r="DU7" s="30" t="str">
        <f t="shared" si="11"/>
        <v>0110010001100100</v>
      </c>
      <c r="DV7" s="78"/>
      <c r="DW7" s="78"/>
      <c r="DX7" s="23"/>
      <c r="DY7" s="48" t="str">
        <f>H7</f>
        <v>01000011111010100110111001111110</v>
      </c>
      <c r="DZ7" s="30" t="str">
        <f t="shared" si="122"/>
        <v>01000011</v>
      </c>
      <c r="EA7" s="30" t="str">
        <f t="shared" si="72"/>
        <v>11101010</v>
      </c>
      <c r="EB7" s="30" t="str">
        <f t="shared" si="73"/>
        <v>01101110</v>
      </c>
      <c r="EC7" s="30" t="str">
        <f t="shared" si="74"/>
        <v>01111110</v>
      </c>
      <c r="ED7" s="78"/>
      <c r="EE7" s="78"/>
      <c r="EF7" s="78"/>
      <c r="EG7" s="78"/>
      <c r="EH7" s="31" t="str">
        <f t="shared" si="75"/>
        <v>0100</v>
      </c>
      <c r="EI7" s="31" t="str">
        <f t="shared" si="76"/>
        <v>0011</v>
      </c>
      <c r="EJ7" s="31" t="str">
        <f t="shared" si="77"/>
        <v>1110</v>
      </c>
      <c r="EK7" s="31" t="str">
        <f t="shared" si="78"/>
        <v>1010</v>
      </c>
      <c r="EL7" s="31" t="str">
        <f t="shared" si="79"/>
        <v>0110</v>
      </c>
      <c r="EM7" s="31" t="str">
        <f t="shared" si="80"/>
        <v>1110</v>
      </c>
      <c r="EN7" s="31" t="str">
        <f t="shared" si="81"/>
        <v>0111</v>
      </c>
      <c r="EO7" s="31" t="str">
        <f t="shared" si="82"/>
        <v>1110</v>
      </c>
      <c r="EP7" s="78"/>
      <c r="EQ7" s="78"/>
      <c r="ER7" s="78"/>
      <c r="ES7" s="78"/>
      <c r="ET7" s="78"/>
      <c r="EU7" s="78"/>
      <c r="EV7" s="78"/>
      <c r="EW7" s="78"/>
      <c r="EX7" s="30" t="str">
        <f t="shared" si="13"/>
        <v>0100001111101010</v>
      </c>
      <c r="EY7" s="30" t="str">
        <f t="shared" si="14"/>
        <v>0110111001111110</v>
      </c>
      <c r="EZ7" s="78"/>
      <c r="FA7" s="78"/>
      <c r="FB7" s="48" t="str">
        <f>H7</f>
        <v>01000011111010100110111001111110</v>
      </c>
      <c r="FC7" s="30" t="str">
        <f t="shared" si="124"/>
        <v>01000011</v>
      </c>
      <c r="FD7" s="30" t="str">
        <f t="shared" si="83"/>
        <v>11101010</v>
      </c>
      <c r="FE7" s="30" t="str">
        <f t="shared" si="84"/>
        <v>01101110</v>
      </c>
      <c r="FF7" s="30" t="str">
        <f t="shared" si="85"/>
        <v>01111110</v>
      </c>
      <c r="FG7" s="78"/>
      <c r="FH7" s="78"/>
      <c r="FI7" s="78"/>
      <c r="FJ7" s="78"/>
      <c r="FK7" s="31" t="str">
        <f t="shared" si="86"/>
        <v>0100</v>
      </c>
      <c r="FL7" s="31" t="str">
        <f t="shared" si="87"/>
        <v>0011</v>
      </c>
      <c r="FM7" s="31" t="str">
        <f t="shared" si="88"/>
        <v>1110</v>
      </c>
      <c r="FN7" s="31" t="str">
        <f t="shared" si="89"/>
        <v>1010</v>
      </c>
      <c r="FO7" s="31" t="str">
        <f t="shared" si="90"/>
        <v>0110</v>
      </c>
      <c r="FP7" s="31" t="str">
        <f t="shared" si="91"/>
        <v>1110</v>
      </c>
      <c r="FQ7" s="31" t="str">
        <f t="shared" si="92"/>
        <v>0111</v>
      </c>
      <c r="FR7" s="31" t="str">
        <f t="shared" si="93"/>
        <v>1110</v>
      </c>
      <c r="FS7" s="78"/>
      <c r="FT7" s="78"/>
      <c r="FU7" s="78"/>
      <c r="FV7" s="78"/>
      <c r="FW7" s="78"/>
      <c r="FX7" s="78"/>
      <c r="FY7" s="78"/>
      <c r="FZ7" s="78"/>
      <c r="GA7" s="30" t="str">
        <f t="shared" si="16"/>
        <v>0100001111101010</v>
      </c>
      <c r="GB7" s="30" t="str">
        <f t="shared" si="17"/>
        <v>0110111001111110</v>
      </c>
      <c r="GC7" s="78"/>
      <c r="GD7" s="78"/>
      <c r="GE7" s="48" t="str">
        <f>BR7</f>
        <v>01000000011000000110010001100100</v>
      </c>
      <c r="GF7" s="30" t="str">
        <f t="shared" si="126"/>
        <v>01000000</v>
      </c>
      <c r="GG7" s="30" t="str">
        <f t="shared" si="94"/>
        <v>01100000</v>
      </c>
      <c r="GH7" s="30" t="str">
        <f t="shared" si="95"/>
        <v>01100100</v>
      </c>
      <c r="GI7" s="30" t="str">
        <f t="shared" si="96"/>
        <v>01100100</v>
      </c>
      <c r="GJ7" s="78"/>
      <c r="GK7" s="78"/>
      <c r="GL7" s="78"/>
      <c r="GM7" s="78"/>
      <c r="GN7" s="31" t="str">
        <f t="shared" si="97"/>
        <v>0100</v>
      </c>
      <c r="GO7" s="31" t="str">
        <f t="shared" si="98"/>
        <v>0011</v>
      </c>
      <c r="GP7" s="31" t="str">
        <f t="shared" si="99"/>
        <v>1110</v>
      </c>
      <c r="GQ7" s="31" t="str">
        <f t="shared" si="100"/>
        <v>1010</v>
      </c>
      <c r="GR7" s="31" t="str">
        <f t="shared" si="101"/>
        <v>0110</v>
      </c>
      <c r="GS7" s="31" t="str">
        <f t="shared" si="102"/>
        <v>1110</v>
      </c>
      <c r="GT7" s="31" t="str">
        <f t="shared" si="103"/>
        <v>0111</v>
      </c>
      <c r="GU7" s="31" t="str">
        <f t="shared" si="104"/>
        <v>1110</v>
      </c>
      <c r="GV7" s="78"/>
      <c r="GW7" s="78"/>
      <c r="GX7" s="78"/>
      <c r="GY7" s="78"/>
      <c r="GZ7" s="78"/>
      <c r="HA7" s="78"/>
      <c r="HB7" s="78"/>
      <c r="HC7" s="78"/>
      <c r="HD7" s="30" t="str">
        <f t="shared" si="19"/>
        <v>0100000001100000</v>
      </c>
      <c r="HE7" s="30" t="str">
        <f t="shared" si="20"/>
        <v>0110010001100100</v>
      </c>
      <c r="HF7" s="78"/>
      <c r="HG7" s="78"/>
      <c r="HH7" s="48" t="str">
        <f>GE7</f>
        <v>01000000011000000110010001100100</v>
      </c>
      <c r="HI7" s="30" t="str">
        <f t="shared" si="128"/>
        <v>01000000</v>
      </c>
      <c r="HJ7" s="30" t="str">
        <f t="shared" si="105"/>
        <v>01100000</v>
      </c>
      <c r="HK7" s="30" t="str">
        <f t="shared" si="106"/>
        <v>01100100</v>
      </c>
      <c r="HL7" s="30" t="str">
        <f t="shared" si="107"/>
        <v>01100100</v>
      </c>
      <c r="HM7" s="78"/>
      <c r="HN7" s="78"/>
      <c r="HO7" s="78"/>
      <c r="HP7" s="78"/>
      <c r="HQ7" s="31" t="str">
        <f t="shared" si="108"/>
        <v>0100</v>
      </c>
      <c r="HR7" s="31" t="str">
        <f t="shared" si="109"/>
        <v>0011</v>
      </c>
      <c r="HS7" s="31" t="str">
        <f t="shared" si="110"/>
        <v>1110</v>
      </c>
      <c r="HT7" s="31" t="str">
        <f t="shared" si="111"/>
        <v>1010</v>
      </c>
      <c r="HU7" s="31" t="str">
        <f t="shared" si="112"/>
        <v>0110</v>
      </c>
      <c r="HV7" s="31" t="str">
        <f t="shared" si="113"/>
        <v>1110</v>
      </c>
      <c r="HW7" s="31" t="str">
        <f t="shared" si="114"/>
        <v>0111</v>
      </c>
      <c r="HX7" s="31" t="str">
        <f t="shared" si="115"/>
        <v>1110</v>
      </c>
      <c r="HY7" s="78"/>
      <c r="HZ7" s="78"/>
      <c r="IA7" s="78"/>
      <c r="IB7" s="78"/>
      <c r="IC7" s="78"/>
      <c r="ID7" s="78"/>
      <c r="IE7" s="78"/>
      <c r="IF7" s="78"/>
      <c r="IG7" s="30" t="str">
        <f t="shared" si="22"/>
        <v>0100000001100000</v>
      </c>
      <c r="IH7" s="30" t="str">
        <f t="shared" si="23"/>
        <v>0110010001100100</v>
      </c>
      <c r="II7" s="78"/>
      <c r="IJ7" s="78"/>
      <c r="IL7" s="30"/>
      <c r="IM7" s="30"/>
      <c r="IN7" s="30"/>
      <c r="IO7" s="30"/>
      <c r="IP7" s="23"/>
      <c r="IQ7" s="23"/>
      <c r="IR7" s="23"/>
      <c r="IS7" s="23"/>
      <c r="JB7" s="23"/>
      <c r="JC7" s="23"/>
      <c r="JD7" s="23"/>
      <c r="JE7" s="23"/>
      <c r="JF7" s="23"/>
      <c r="JG7" s="23"/>
      <c r="JH7" s="23"/>
      <c r="JI7" s="23"/>
      <c r="JJ7" s="30"/>
      <c r="JK7" s="30"/>
      <c r="JL7" s="23"/>
      <c r="JM7" s="23"/>
    </row>
    <row r="8" spans="1:273" s="27" customFormat="1" x14ac:dyDescent="0.35">
      <c r="A8" s="24"/>
      <c r="B8" s="25"/>
      <c r="C8" s="16" t="s">
        <v>0</v>
      </c>
      <c r="D8" s="16" t="s">
        <v>123</v>
      </c>
      <c r="E8" s="16">
        <v>91</v>
      </c>
      <c r="F8" s="16" t="s">
        <v>10</v>
      </c>
      <c r="G8" s="16" t="s">
        <v>142</v>
      </c>
      <c r="H8" s="16" t="str">
        <f t="shared" si="116"/>
        <v>11111011100100011001110000111110</v>
      </c>
      <c r="I8" s="16">
        <f t="shared" si="117"/>
        <v>19</v>
      </c>
      <c r="J8" s="16">
        <v>64</v>
      </c>
      <c r="K8" s="16" t="str">
        <f>HEX2BIN(J8,8)</f>
        <v>01100100</v>
      </c>
      <c r="L8" s="43" t="str">
        <f>CONCATENATE(MID(H8,30,3),MID(H8,17,5),MID(H8,6,3),MID(H8,25,5),MID(H8,14,3),MID(H8,1,5),MID(H8,22,3),MID(H8,9,5))</f>
        <v>11010011011001110011111110010010</v>
      </c>
      <c r="M8" s="26" t="str">
        <f t="shared" si="24"/>
        <v>11010011</v>
      </c>
      <c r="N8" s="26" t="str">
        <f t="shared" si="25"/>
        <v>01100111</v>
      </c>
      <c r="O8" s="26" t="str">
        <f t="shared" si="26"/>
        <v>00111111</v>
      </c>
      <c r="P8" s="26" t="str">
        <f t="shared" si="27"/>
        <v>10010010</v>
      </c>
      <c r="Q8" s="77">
        <f>BIN2DEC(M8)-BIN2DEC(M9)</f>
        <v>103</v>
      </c>
      <c r="R8" s="77">
        <f>BIN2DEC(N8)-BIN2DEC(N9)</f>
        <v>-13</v>
      </c>
      <c r="S8" s="77">
        <f>BIN2DEC(O8)-BIN2DEC(O9)</f>
        <v>-178</v>
      </c>
      <c r="T8" s="77">
        <f>BIN2DEC(P8)-BIN2DEC(P9)</f>
        <v>-37</v>
      </c>
      <c r="U8" s="27" t="str">
        <f t="shared" si="28"/>
        <v>1101</v>
      </c>
      <c r="V8" s="27" t="str">
        <f t="shared" si="29"/>
        <v>0011</v>
      </c>
      <c r="W8" s="27" t="str">
        <f t="shared" si="30"/>
        <v>0110</v>
      </c>
      <c r="X8" s="27" t="str">
        <f t="shared" si="31"/>
        <v>0111</v>
      </c>
      <c r="Y8" s="27" t="str">
        <f t="shared" si="32"/>
        <v>0011</v>
      </c>
      <c r="Z8" s="27" t="str">
        <f t="shared" si="33"/>
        <v>1111</v>
      </c>
      <c r="AA8" s="27" t="str">
        <f t="shared" si="34"/>
        <v>1001</v>
      </c>
      <c r="AB8" s="27" t="str">
        <f t="shared" si="35"/>
        <v>0010</v>
      </c>
      <c r="AC8" s="77">
        <f t="shared" ref="AC8:AJ8" si="138">BIN2DEC(U8)-BIN2DEC(U9)</f>
        <v>7</v>
      </c>
      <c r="AD8" s="77">
        <f t="shared" si="138"/>
        <v>-9</v>
      </c>
      <c r="AE8" s="77">
        <f t="shared" si="138"/>
        <v>-1</v>
      </c>
      <c r="AF8" s="77">
        <f t="shared" si="138"/>
        <v>3</v>
      </c>
      <c r="AG8" s="77">
        <f t="shared" si="138"/>
        <v>-12</v>
      </c>
      <c r="AH8" s="77">
        <f t="shared" si="138"/>
        <v>14</v>
      </c>
      <c r="AI8" s="77">
        <f t="shared" si="138"/>
        <v>-2</v>
      </c>
      <c r="AJ8" s="77">
        <f t="shared" si="138"/>
        <v>-5</v>
      </c>
      <c r="AK8" s="26" t="str">
        <f t="shared" si="1"/>
        <v>1101001101100111</v>
      </c>
      <c r="AL8" s="26" t="str">
        <f t="shared" si="2"/>
        <v>0011111110010010</v>
      </c>
      <c r="AM8" s="77">
        <f>MID(AK8,16,1)*POWER(2,0)+MID(AK8,15,1)*POWER(2,1)+MID(AK8,14,1)*POWER(2,2)+MID(AK8,13,1)*POWER(2,3)+MID(AK8,12,1)*POWER(2,4)+MID(AK8,11,1)*POWER(2,5)+MID(AK8,10,1)*POWER(2,6)+MID(AK8,9,1)*POWER(2,7)+MID(AK8,8,1)*POWER(2,8)+MID(AK8,7,1)*POWER(2,9)+MID(AK8,6,1)*POWER(2,10)+MID(AK8,5,1)*POWER(2,11)+MID(AK8,4,1)*POWER(2,12)+MID(AK8,3,1)*POWER(2,13)+MID(AK8,2,1)*POWER(2,14)+MID(AK8,1,1)*POWER(2,15)-(MID(AK9,16,1)*POWER(2,0)+MID(AK9,15,1)*POWER(2,1)+MID(AK9,14,1)*POWER(2,2)+MID(AK9,13,1)*POWER(2,3)+MID(AK9,12,1)*POWER(2,4)+MID(AK9,11,1)*POWER(2,5)+MID(AK9,10,1)*POWER(2,6)+MID(AK9,9,1)*POWER(2,7)+MID(AK9,8,1)*POWER(2,8)+MID(AK9,7,1)*POWER(2,9)+MID(AK9,6,1)*POWER(2,10)+MID(AK9,5,1)*POWER(2,11)+MID(AK9,4,1)*POWER(2,12)+MID(AK9,3,1)*POWER(2,13)+MID(AK9,2,1)*POWER(2,14)+MID(AK9,1,1)*POWER(2,15))</f>
        <v>26355</v>
      </c>
      <c r="AN8" s="77">
        <f>MID(AL8,16,1)*POWER(2,0)+MID(AL8,15,1)*POWER(2,1)+MID(AL8,14,1)*POWER(2,2)+MID(AL8,13,1)*POWER(2,3)+MID(AL8,12,1)*POWER(2,4)+MID(AL8,11,1)*POWER(2,5)+MID(AL8,10,1)*POWER(2,6)+MID(AL8,9,1)*POWER(2,7)+MID(AL8,8,1)*POWER(2,8)+MID(AL8,7,1)*POWER(2,9)+MID(AL8,6,1)*POWER(2,10)+MID(AL8,5,1)*POWER(2,11)+MID(AL8,4,1)*POWER(2,12)+MID(AL8,3,1)*POWER(2,13)+MID(AL8,2,1)*POWER(2,14)+MID(AL8,1,1)*POWER(2,15)-(MID(AL9,16,1)*POWER(2,0)+MID(AL9,15,1)*POWER(2,1)+MID(AL9,14,1)*POWER(2,2)+MID(AL9,13,1)*POWER(2,3)+MID(AL9,12,1)*POWER(2,4)+MID(AL9,11,1)*POWER(2,5)+MID(AL9,10,1)*POWER(2,6)+MID(AL9,9,1)*POWER(2,7)+MID(AL9,8,1)*POWER(2,8)+MID(AL9,7,1)*POWER(2,9)+MID(AL9,6,1)*POWER(2,10)+MID(AL9,5,1)*POWER(2,11)+MID(AL9,4,1)*POWER(2,12)+MID(AL9,3,1)*POWER(2,13)+MID(AL9,2,1)*POWER(2,14)+MID(AL9,1,1)*POWER(2,15))</f>
        <v>-45605</v>
      </c>
      <c r="AO8" s="45" t="str">
        <f>CONCATENATE(MID(L8,1,1)*MID(K8,1,1),MID(L8,2,1)*MID(K8,2,1),MID(L8,3,1)*MID(K8,3,1),MID(L8,4,1)*MID(K8,4,1),MID(L8,5,1)*MID(K8,5,1),MID(L8,6,1)*MID(K8,6,1),MID(L8,7,1)*MID(K8,7,1),MID(L8,8,1)*MID(K8,8,1),MID(L8,9,1)*MID(K8,1,1),MID(L8,10,1)*MID(K8,2,1),MID(L8,11,1)*MID(K8,3,1),MID(L8,12,1)*MID(K8,4,1),MID(L8,13,1)*MID(K8,5,1),MID(L8,14,1)*MID(K8,6,1),MID(L8,15,1)*MID(K8,7,1),MID(L8,16,1)*MID(K8,8,1),MID(L8,17,1)*MID(K8,1,1),MID(L8,18,1)*MID(K8,2,1),MID(L8,19,1)*MID(K8,3,1),MID(L8,20,1)*MID(K8,4,1),MID(L8,21,1)*MID(K8,5,1),MID(L8,22,1)*MID(K8,6,1),MID(L8,23,1)*MID(K8,7,1),MID(L8,24,1)*MID(K8,8,1),MID(L8,25,1)*MID(K8,1,1),MID(L8,26,1)*MID(K8,2,1),MID(L8,27,1)*MID(K8,3,1),MID(L8,28,1)*MID(K8,4,1),MID(L8,29,1)*MID(K8,5,1),MID(L8,30,1)*MID(K8,6,1),MID(L8,31,1)*MID(K8,7,1),MID(L8,32,1)*MID(K8,8,1))</f>
        <v>01000000011001000010010000000000</v>
      </c>
      <c r="AP8" s="26" t="str">
        <f t="shared" si="36"/>
        <v>01000000</v>
      </c>
      <c r="AQ8" s="26" t="str">
        <f t="shared" si="37"/>
        <v>01100100</v>
      </c>
      <c r="AR8" s="26" t="str">
        <f t="shared" si="38"/>
        <v>00100100</v>
      </c>
      <c r="AS8" s="26" t="str">
        <f t="shared" si="39"/>
        <v>00000000</v>
      </c>
      <c r="AT8" s="77">
        <f>BIN2DEC(AP8)-BIN2DEC(AP9)</f>
        <v>-44</v>
      </c>
      <c r="AU8" s="77">
        <f>BIN2DEC(AQ8)-BIN2DEC(AQ9)</f>
        <v>-16</v>
      </c>
      <c r="AV8" s="77">
        <f>BIN2DEC(AR8)-BIN2DEC(AR9)</f>
        <v>-205</v>
      </c>
      <c r="AW8" s="77">
        <f>BIN2DEC(AS8)-BIN2DEC(AS9)</f>
        <v>-183</v>
      </c>
      <c r="AX8" s="27" t="str">
        <f t="shared" si="40"/>
        <v>1101</v>
      </c>
      <c r="AY8" s="27" t="str">
        <f t="shared" si="41"/>
        <v>0011</v>
      </c>
      <c r="AZ8" s="27" t="str">
        <f t="shared" si="42"/>
        <v>0110</v>
      </c>
      <c r="BA8" s="27" t="str">
        <f t="shared" si="43"/>
        <v>0111</v>
      </c>
      <c r="BB8" s="27" t="str">
        <f t="shared" si="44"/>
        <v>0011</v>
      </c>
      <c r="BC8" s="27" t="str">
        <f t="shared" si="45"/>
        <v>1111</v>
      </c>
      <c r="BD8" s="27" t="str">
        <f t="shared" si="46"/>
        <v>1001</v>
      </c>
      <c r="BE8" s="27" t="str">
        <f t="shared" si="47"/>
        <v>0010</v>
      </c>
      <c r="BF8" s="77">
        <f t="shared" ref="BF8:BM8" si="139">BIN2DEC(AX8)-BIN2DEC(AX9)</f>
        <v>7</v>
      </c>
      <c r="BG8" s="77">
        <f t="shared" si="139"/>
        <v>-9</v>
      </c>
      <c r="BH8" s="77">
        <f t="shared" si="139"/>
        <v>-1</v>
      </c>
      <c r="BI8" s="77">
        <f t="shared" si="139"/>
        <v>3</v>
      </c>
      <c r="BJ8" s="77">
        <f t="shared" si="139"/>
        <v>-12</v>
      </c>
      <c r="BK8" s="77">
        <f t="shared" si="139"/>
        <v>14</v>
      </c>
      <c r="BL8" s="77">
        <f t="shared" si="139"/>
        <v>-2</v>
      </c>
      <c r="BM8" s="77">
        <f t="shared" si="139"/>
        <v>-5</v>
      </c>
      <c r="BN8" s="26" t="str">
        <f t="shared" si="4"/>
        <v>0100000001100100</v>
      </c>
      <c r="BO8" s="26" t="str">
        <f t="shared" si="5"/>
        <v>0010010000000000</v>
      </c>
      <c r="BP8" s="77">
        <f>MID(BN8,16,1)*POWER(2,0)+MID(BN8,15,1)*POWER(2,1)+MID(BN8,14,1)*POWER(2,2)+MID(BN8,13,1)*POWER(2,3)+MID(BN8,12,1)*POWER(2,4)+MID(BN8,11,1)*POWER(2,5)+MID(BN8,10,1)*POWER(2,6)+MID(BN8,9,1)*POWER(2,7)+MID(BN8,8,1)*POWER(2,8)+MID(BN8,7,1)*POWER(2,9)+MID(BN8,6,1)*POWER(2,10)+MID(BN8,5,1)*POWER(2,11)+MID(BN8,4,1)*POWER(2,12)+MID(BN8,3,1)*POWER(2,13)+MID(BN8,2,1)*POWER(2,14)+MID(BN8,1,1)*POWER(2,15)-(MID(BN9,16,1)*POWER(2,0)+MID(BN9,15,1)*POWER(2,1)+MID(BN9,14,1)*POWER(2,2)+MID(BN9,13,1)*POWER(2,3)+MID(BN9,12,1)*POWER(2,4)+MID(BN9,11,1)*POWER(2,5)+MID(BN9,10,1)*POWER(2,6)+MID(BN9,9,1)*POWER(2,7)+MID(BN9,8,1)*POWER(2,8)+MID(BN9,7,1)*POWER(2,9)+MID(BN9,6,1)*POWER(2,10)+MID(BN9,5,1)*POWER(2,11)+MID(BN9,4,1)*POWER(2,12)+MID(BN9,3,1)*POWER(2,13)+MID(BN9,2,1)*POWER(2,14)+MID(BN9,1,1)*POWER(2,15))</f>
        <v>-11280</v>
      </c>
      <c r="BQ8" s="77">
        <f>MID(BO8,16,1)*POWER(2,0)+MID(BO8,15,1)*POWER(2,1)+MID(BO8,14,1)*POWER(2,2)+MID(BO8,13,1)*POWER(2,3)+MID(BO8,12,1)*POWER(2,4)+MID(BO8,11,1)*POWER(2,5)+MID(BO8,10,1)*POWER(2,6)+MID(BO8,9,1)*POWER(2,7)+MID(BO8,8,1)*POWER(2,8)+MID(BO8,7,1)*POWER(2,9)+MID(BO8,6,1)*POWER(2,10)+MID(BO8,5,1)*POWER(2,11)+MID(BO8,4,1)*POWER(2,12)+MID(BO8,3,1)*POWER(2,13)+MID(BO8,2,1)*POWER(2,14)+MID(BO8,1,1)*POWER(2,15)-(MID(BO9,16,1)*POWER(2,0)+MID(BO9,15,1)*POWER(2,1)+MID(BO9,14,1)*POWER(2,2)+MID(BO9,13,1)*POWER(2,3)+MID(BO9,12,1)*POWER(2,4)+MID(BO9,11,1)*POWER(2,5)+MID(BO9,10,1)*POWER(2,6)+MID(BO9,9,1)*POWER(2,7)+MID(BO9,8,1)*POWER(2,8)+MID(BO9,7,1)*POWER(2,9)+MID(BO9,6,1)*POWER(2,10)+MID(BO9,5,1)*POWER(2,11)+MID(BO9,4,1)*POWER(2,12)+MID(BO9,3,1)*POWER(2,13)+MID(BO9,2,1)*POWER(2,14)+MID(BO9,1,1)*POWER(2,15))</f>
        <v>-52663</v>
      </c>
      <c r="BR8" s="47" t="str">
        <f>L8</f>
        <v>11010011011001110011111110010010</v>
      </c>
      <c r="BS8" s="26" t="str">
        <f t="shared" si="48"/>
        <v>11010011</v>
      </c>
      <c r="BT8" s="26" t="str">
        <f t="shared" si="49"/>
        <v>01100111</v>
      </c>
      <c r="BU8" s="26" t="str">
        <f t="shared" si="50"/>
        <v>00111111</v>
      </c>
      <c r="BV8" s="26" t="str">
        <f t="shared" si="51"/>
        <v>10010010</v>
      </c>
      <c r="BW8" s="77">
        <f>BIN2DEC(BS8)-BIN2DEC(BS9)</f>
        <v>111</v>
      </c>
      <c r="BX8" s="77">
        <f>BIN2DEC(BT8)-BIN2DEC(BT9)</f>
        <v>3</v>
      </c>
      <c r="BY8" s="77">
        <f>BIN2DEC(BU8)-BIN2DEC(BU9)</f>
        <v>-33</v>
      </c>
      <c r="BZ8" s="77">
        <f>BIN2DEC(BV8)-BIN2DEC(BV9)</f>
        <v>110</v>
      </c>
      <c r="CA8" s="27" t="str">
        <f t="shared" si="52"/>
        <v>1101</v>
      </c>
      <c r="CB8" s="27" t="str">
        <f t="shared" si="53"/>
        <v>0011</v>
      </c>
      <c r="CC8" s="27" t="str">
        <f t="shared" si="54"/>
        <v>0110</v>
      </c>
      <c r="CD8" s="27" t="str">
        <f t="shared" si="55"/>
        <v>0111</v>
      </c>
      <c r="CE8" s="27" t="str">
        <f t="shared" si="56"/>
        <v>0011</v>
      </c>
      <c r="CF8" s="27" t="str">
        <f t="shared" si="57"/>
        <v>1111</v>
      </c>
      <c r="CG8" s="27" t="str">
        <f t="shared" si="58"/>
        <v>1001</v>
      </c>
      <c r="CH8" s="27" t="str">
        <f t="shared" si="59"/>
        <v>0010</v>
      </c>
      <c r="CI8" s="77">
        <f t="shared" ref="CI8:CP8" si="140">BIN2DEC(CA8)-BIN2DEC(CA9)</f>
        <v>7</v>
      </c>
      <c r="CJ8" s="77">
        <f t="shared" si="140"/>
        <v>-9</v>
      </c>
      <c r="CK8" s="77">
        <f t="shared" si="140"/>
        <v>-1</v>
      </c>
      <c r="CL8" s="77">
        <f t="shared" si="140"/>
        <v>3</v>
      </c>
      <c r="CM8" s="77">
        <f t="shared" si="140"/>
        <v>-12</v>
      </c>
      <c r="CN8" s="77">
        <f t="shared" si="140"/>
        <v>14</v>
      </c>
      <c r="CO8" s="77">
        <f t="shared" si="140"/>
        <v>-2</v>
      </c>
      <c r="CP8" s="77">
        <f t="shared" si="140"/>
        <v>-5</v>
      </c>
      <c r="CQ8" s="26" t="str">
        <f t="shared" si="7"/>
        <v>1101001101100111</v>
      </c>
      <c r="CR8" s="26" t="str">
        <f t="shared" si="8"/>
        <v>0011111110010010</v>
      </c>
      <c r="CS8" s="77">
        <f>MID(CQ8,16,1)*POWER(2,0)+MID(CQ8,15,1)*POWER(2,1)+MID(CQ8,14,1)*POWER(2,2)+MID(CQ8,13,1)*POWER(2,3)+MID(CQ8,12,1)*POWER(2,4)+MID(CQ8,11,1)*POWER(2,5)+MID(CQ8,10,1)*POWER(2,6)+MID(CQ8,9,1)*POWER(2,7)+MID(CQ8,8,1)*POWER(2,8)+MID(CQ8,7,1)*POWER(2,9)+MID(CQ8,6,1)*POWER(2,10)+MID(CQ8,5,1)*POWER(2,11)+MID(CQ8,4,1)*POWER(2,12)+MID(CQ8,3,1)*POWER(2,13)+MID(CQ8,2,1)*POWER(2,14)+MID(CQ8,1,1)*POWER(2,15)-(MID(CQ9,16,1)*POWER(2,0)+MID(CQ9,15,1)*POWER(2,1)+MID(CQ9,14,1)*POWER(2,2)+MID(CQ9,13,1)*POWER(2,3)+MID(CQ9,12,1)*POWER(2,4)+MID(CQ9,11,1)*POWER(2,5)+MID(CQ9,10,1)*POWER(2,6)+MID(CQ9,9,1)*POWER(2,7)+MID(CQ9,8,1)*POWER(2,8)+MID(CQ9,7,1)*POWER(2,9)+MID(CQ9,6,1)*POWER(2,10)+MID(CQ9,5,1)*POWER(2,11)+MID(CQ9,4,1)*POWER(2,12)+MID(CQ9,3,1)*POWER(2,13)+MID(CQ9,2,1)*POWER(2,14)+MID(CQ9,1,1)*POWER(2,15))</f>
        <v>28419</v>
      </c>
      <c r="CT8" s="77">
        <f>MID(CR8,16,1)*POWER(2,0)+MID(CR8,15,1)*POWER(2,1)+MID(CR8,14,1)*POWER(2,2)+MID(CR8,13,1)*POWER(2,3)+MID(CR8,12,1)*POWER(2,4)+MID(CR8,11,1)*POWER(2,5)+MID(CR8,10,1)*POWER(2,6)+MID(CR8,9,1)*POWER(2,7)+MID(CR8,8,1)*POWER(2,8)+MID(CR8,7,1)*POWER(2,9)+MID(CR8,6,1)*POWER(2,10)+MID(CR8,5,1)*POWER(2,11)+MID(CR8,4,1)*POWER(2,12)+MID(CR8,3,1)*POWER(2,13)+MID(CR8,2,1)*POWER(2,14)+MID(CR8,1,1)*POWER(2,15)-(MID(CR9,16,1)*POWER(2,0)+MID(CR9,15,1)*POWER(2,1)+MID(CR9,14,1)*POWER(2,2)+MID(CR9,13,1)*POWER(2,3)+MID(CR9,12,1)*POWER(2,4)+MID(CR9,11,1)*POWER(2,5)+MID(CR9,10,1)*POWER(2,6)+MID(CR9,9,1)*POWER(2,7)+MID(CR9,8,1)*POWER(2,8)+MID(CR9,7,1)*POWER(2,9)+MID(CR9,6,1)*POWER(2,10)+MID(CR9,5,1)*POWER(2,11)+MID(CR9,4,1)*POWER(2,12)+MID(CR9,3,1)*POWER(2,13)+MID(CR9,2,1)*POWER(2,14)+MID(CR9,1,1)*POWER(2,15))</f>
        <v>-8338</v>
      </c>
      <c r="CU8" s="45" t="str">
        <f>CONCATENATE(MID($L8,1,1)*MID($K8,1,1),MID($L8,2,1)*MID($K8,2,1),MID($L8,3,1)*MID($K8,3,1),MID($L8,4,1)*MID($K8,4,1),MID($L8,5,1)*MID($K8,5,1),MID($L8,6,1)*MID($K8,6,1),MID($L8,7,1)*MID($K8,7,1),MID($L8,8,1)*MID($K8,8,1),MID($L8,9,1)*MID($K8,1,1),MID($L8,10,1)*MID($K8,2,1),MID($L8,11,1)*MID($K8,3,1),MID($L8,12,1)*MID($K8,4,1),MID($L8,13,1)*MID($K8,5,1),MID($L8,14,1)*MID($K8,6,1),MID($L8,15,1)*MID($K8,7,1),MID($L8,16,1)*MID($K8,8,1),MID($L8,17,1)*MID($K8,1,1),MID($L8,18,1)*MID($K8,2,1),MID($L8,19,1)*MID($K8,3,1),MID($L8,20,1)*MID($K8,4,1),MID($L8,21,1)*MID($K8,5,1),MID($L8,22,1)*MID($K8,6,1),MID($L8,23,1)*MID($K8,7,1),MID($L8,24,1)*MID($K8,8,1),MID($L8,25,1)*MID($K8,1,1),MID($L8,26,1)*MID($K8,2,1),MID($L8,27,1)*MID($K8,3,1),MID($L8,28,1)*MID($K8,4,1),MID($L8,29,1)*MID($K8,5,1),MID($L8,30,1)*MID($K8,6,1),MID($L8,31,1)*MID($K8,7,1),MID($L8,32,1)*MID($K8,8,1))</f>
        <v>01000000011001000010010000000000</v>
      </c>
      <c r="CV8" s="26" t="str">
        <f t="shared" si="60"/>
        <v>01000000</v>
      </c>
      <c r="CW8" s="26" t="str">
        <f t="shared" si="61"/>
        <v>01100100</v>
      </c>
      <c r="CX8" s="26" t="str">
        <f t="shared" si="62"/>
        <v>00100100</v>
      </c>
      <c r="CY8" s="26" t="str">
        <f t="shared" si="63"/>
        <v>00000000</v>
      </c>
      <c r="CZ8" s="77">
        <f>BIN2DEC(CV8)-BIN2DEC(CV9)</f>
        <v>-36</v>
      </c>
      <c r="DA8" s="77">
        <f>BIN2DEC(CW8)-BIN2DEC(CW9)</f>
        <v>0</v>
      </c>
      <c r="DB8" s="77">
        <f>BIN2DEC(CX8)-BIN2DEC(CX9)</f>
        <v>-60</v>
      </c>
      <c r="DC8" s="77">
        <f>BIN2DEC(CY8)-BIN2DEC(CY9)</f>
        <v>-36</v>
      </c>
      <c r="DD8" s="27" t="str">
        <f t="shared" si="64"/>
        <v>1101</v>
      </c>
      <c r="DE8" s="27" t="str">
        <f t="shared" si="65"/>
        <v>0011</v>
      </c>
      <c r="DF8" s="27" t="str">
        <f t="shared" si="66"/>
        <v>0110</v>
      </c>
      <c r="DG8" s="27" t="str">
        <f t="shared" si="67"/>
        <v>0111</v>
      </c>
      <c r="DH8" s="27" t="str">
        <f t="shared" si="68"/>
        <v>0011</v>
      </c>
      <c r="DI8" s="27" t="str">
        <f t="shared" si="69"/>
        <v>1111</v>
      </c>
      <c r="DJ8" s="27" t="str">
        <f t="shared" si="70"/>
        <v>1001</v>
      </c>
      <c r="DK8" s="27" t="str">
        <f t="shared" si="71"/>
        <v>0010</v>
      </c>
      <c r="DL8" s="77">
        <f t="shared" ref="DL8:DS8" si="141">BIN2DEC(DD8)-BIN2DEC(DD9)</f>
        <v>7</v>
      </c>
      <c r="DM8" s="77">
        <f t="shared" si="141"/>
        <v>-9</v>
      </c>
      <c r="DN8" s="77">
        <f t="shared" si="141"/>
        <v>-1</v>
      </c>
      <c r="DO8" s="77">
        <f t="shared" si="141"/>
        <v>3</v>
      </c>
      <c r="DP8" s="77">
        <f t="shared" si="141"/>
        <v>-12</v>
      </c>
      <c r="DQ8" s="77">
        <f t="shared" si="141"/>
        <v>14</v>
      </c>
      <c r="DR8" s="77">
        <f t="shared" si="141"/>
        <v>-2</v>
      </c>
      <c r="DS8" s="77">
        <f t="shared" si="141"/>
        <v>-5</v>
      </c>
      <c r="DT8" s="26" t="str">
        <f t="shared" si="10"/>
        <v>0100000001100100</v>
      </c>
      <c r="DU8" s="26" t="str">
        <f t="shared" si="11"/>
        <v>0010010000000000</v>
      </c>
      <c r="DV8" s="77">
        <f>MID(DT8,16,1)*POWER(2,0)+MID(DT8,15,1)*POWER(2,1)+MID(DT8,14,1)*POWER(2,2)+MID(DT8,13,1)*POWER(2,3)+MID(DT8,12,1)*POWER(2,4)+MID(DT8,11,1)*POWER(2,5)+MID(DT8,10,1)*POWER(2,6)+MID(DT8,9,1)*POWER(2,7)+MID(DT8,8,1)*POWER(2,8)+MID(DT8,7,1)*POWER(2,9)+MID(DT8,6,1)*POWER(2,10)+MID(DT8,5,1)*POWER(2,11)+MID(DT8,4,1)*POWER(2,12)+MID(DT8,3,1)*POWER(2,13)+MID(DT8,2,1)*POWER(2,14)+MID(DT8,1,1)*POWER(2,15)-(MID(DT9,16,1)*POWER(2,0)+MID(DT9,15,1)*POWER(2,1)+MID(DT9,14,1)*POWER(2,2)+MID(DT9,13,1)*POWER(2,3)+MID(DT9,12,1)*POWER(2,4)+MID(DT9,11,1)*POWER(2,5)+MID(DT9,10,1)*POWER(2,6)+MID(DT9,9,1)*POWER(2,7)+MID(DT9,8,1)*POWER(2,8)+MID(DT9,7,1)*POWER(2,9)+MID(DT9,6,1)*POWER(2,10)+MID(DT9,5,1)*POWER(2,11)+MID(DT9,4,1)*POWER(2,12)+MID(DT9,3,1)*POWER(2,13)+MID(DT9,2,1)*POWER(2,14)+MID(DT9,1,1)*POWER(2,15))</f>
        <v>-9216</v>
      </c>
      <c r="DW8" s="77">
        <f>MID(DU8,16,1)*POWER(2,0)+MID(DU8,15,1)*POWER(2,1)+MID(DU8,14,1)*POWER(2,2)+MID(DU8,13,1)*POWER(2,3)+MID(DU8,12,1)*POWER(2,4)+MID(DU8,11,1)*POWER(2,5)+MID(DU8,10,1)*POWER(2,6)+MID(DU8,9,1)*POWER(2,7)+MID(DU8,8,1)*POWER(2,8)+MID(DU8,7,1)*POWER(2,9)+MID(DU8,6,1)*POWER(2,10)+MID(DU8,5,1)*POWER(2,11)+MID(DU8,4,1)*POWER(2,12)+MID(DU8,3,1)*POWER(2,13)+MID(DU8,2,1)*POWER(2,14)+MID(DU8,1,1)*POWER(2,15)-(MID(DU9,16,1)*POWER(2,0)+MID(DU9,15,1)*POWER(2,1)+MID(DU9,14,1)*POWER(2,2)+MID(DU9,13,1)*POWER(2,3)+MID(DU9,12,1)*POWER(2,4)+MID(DU9,11,1)*POWER(2,5)+MID(DU9,10,1)*POWER(2,6)+MID(DU9,9,1)*POWER(2,7)+MID(DU9,8,1)*POWER(2,8)+MID(DU9,7,1)*POWER(2,9)+MID(DU9,6,1)*POWER(2,10)+MID(DU9,5,1)*POWER(2,11)+MID(DU9,4,1)*POWER(2,12)+MID(DU9,3,1)*POWER(2,13)+MID(DU9,2,1)*POWER(2,14)+MID(DU9,1,1)*POWER(2,15))</f>
        <v>-15396</v>
      </c>
      <c r="DX8" s="22" t="str">
        <f>CONCATENATE(MID($H8,1,1)*MID($K8,1,1),MID($H8,2,1)*MID($K8,2,1),MID($H8,3,1)*MID($K8,3,1),MID($H8,4,1)*MID($K8,4,1),MID($H8,5,1)*MID($K8,5,1),MID($H8,6,1)*MID($K8,6,1),MID($H8,7,1)*MID($K8,7,1),MID($H8,8,1)*MID($K8,8,1),MID($H8,9,1)*MID($K8,1,1),MID($H8,10,1)*MID($K8,2,1),MID($H8,11,1)*MID($K8,3,1),MID($H8,12,1)*MID($K8,4,1),MID($H8,13,1)*MID($K8,5,1),MID($H8,14,1)*MID($K8,6,1),MID($H8,15,1)*MID($K8,7,1),MID($H8,16,1)*MID($K8,8,1),MID($H8,17,1)*MID($K8,1,1),MID($H8,18,1)*MID($K8,2,1),MID($H8,19,1)*MID($K8,3,1),MID($H8,20,1)*MID($K8,4,1),MID($H8,21,1)*MID($K8,5,1),MID($H8,22,1)*MID($K8,6,1),MID($H8,23,1)*MID($K8,7,1),MID($H8,24,1)*MID($K8,8,1),MID($H8,25,1)*MID($K8,1,1),MID($H8,26,1)*MID($K8,2,1),MID($H8,27,1)*MID($K8,3,1),MID($H8,28,1)*MID($K8,4,1),MID($H8,29,1)*MID($K8,5,1),MID($H8,30,1)*MID($K8,6,1),MID($H8,31,1)*MID($K8,7,1),MID($H8,32,1)*MID($K8,8,1))</f>
        <v>01100000000000000000010000100100</v>
      </c>
      <c r="DY8" s="43" t="str">
        <f>CONCATENATE(MID(DX8,30,3),MID(DX8,17,5),MID(DX8,6,3),MID(DX8,25,5),MID(DX8,14,3),MID(DX8,1,5),MID(DX8,22,3),MID(DX8,9,5))</f>
        <v>10000000000001000000110010000000</v>
      </c>
      <c r="DZ8" s="26" t="str">
        <f t="shared" si="122"/>
        <v>10000000</v>
      </c>
      <c r="EA8" s="26" t="str">
        <f t="shared" si="72"/>
        <v>00000100</v>
      </c>
      <c r="EB8" s="26" t="str">
        <f t="shared" si="73"/>
        <v>00001100</v>
      </c>
      <c r="EC8" s="26" t="str">
        <f t="shared" si="74"/>
        <v>10000000</v>
      </c>
      <c r="ED8" s="77">
        <f>BIN2DEC(DZ8)-BIN2DEC(DZ9)</f>
        <v>20</v>
      </c>
      <c r="EE8" s="77">
        <f>BIN2DEC(EA8)-BIN2DEC(EA9)</f>
        <v>-112</v>
      </c>
      <c r="EF8" s="77">
        <f>BIN2DEC(EB8)-BIN2DEC(EB9)</f>
        <v>-229</v>
      </c>
      <c r="EG8" s="77">
        <f>BIN2DEC(EC8)-BIN2DEC(EC9)</f>
        <v>-55</v>
      </c>
      <c r="EH8" s="27" t="str">
        <f t="shared" si="75"/>
        <v>1101</v>
      </c>
      <c r="EI8" s="27" t="str">
        <f t="shared" si="76"/>
        <v>0011</v>
      </c>
      <c r="EJ8" s="27" t="str">
        <f t="shared" si="77"/>
        <v>0110</v>
      </c>
      <c r="EK8" s="27" t="str">
        <f t="shared" si="78"/>
        <v>0111</v>
      </c>
      <c r="EL8" s="27" t="str">
        <f t="shared" si="79"/>
        <v>0011</v>
      </c>
      <c r="EM8" s="27" t="str">
        <f t="shared" si="80"/>
        <v>1111</v>
      </c>
      <c r="EN8" s="27" t="str">
        <f t="shared" si="81"/>
        <v>1001</v>
      </c>
      <c r="EO8" s="27" t="str">
        <f t="shared" si="82"/>
        <v>0010</v>
      </c>
      <c r="EP8" s="77">
        <f t="shared" ref="EP8:EW8" si="142">BIN2DEC(EH8)-BIN2DEC(EH9)</f>
        <v>7</v>
      </c>
      <c r="EQ8" s="77">
        <f t="shared" si="142"/>
        <v>-9</v>
      </c>
      <c r="ER8" s="77">
        <f t="shared" si="142"/>
        <v>-1</v>
      </c>
      <c r="ES8" s="77">
        <f t="shared" si="142"/>
        <v>3</v>
      </c>
      <c r="ET8" s="77">
        <f t="shared" si="142"/>
        <v>-12</v>
      </c>
      <c r="EU8" s="77">
        <f t="shared" si="142"/>
        <v>14</v>
      </c>
      <c r="EV8" s="77">
        <f t="shared" si="142"/>
        <v>-2</v>
      </c>
      <c r="EW8" s="77">
        <f t="shared" si="142"/>
        <v>-5</v>
      </c>
      <c r="EX8" s="26" t="str">
        <f t="shared" si="13"/>
        <v>1000000000000100</v>
      </c>
      <c r="EY8" s="26" t="str">
        <f t="shared" si="14"/>
        <v>0000110010000000</v>
      </c>
      <c r="EZ8" s="77">
        <f>MID(EX8,16,1)*POWER(2,0)+MID(EX8,15,1)*POWER(2,1)+MID(EX8,14,1)*POWER(2,2)+MID(EX8,13,1)*POWER(2,3)+MID(EX8,12,1)*POWER(2,4)+MID(EX8,11,1)*POWER(2,5)+MID(EX8,10,1)*POWER(2,6)+MID(EX8,9,1)*POWER(2,7)+MID(EX8,8,1)*POWER(2,8)+MID(EX8,7,1)*POWER(2,9)+MID(EX8,6,1)*POWER(2,10)+MID(EX8,5,1)*POWER(2,11)+MID(EX8,4,1)*POWER(2,12)+MID(EX8,3,1)*POWER(2,13)+MID(EX8,2,1)*POWER(2,14)+MID(EX8,1,1)*POWER(2,15)-(MID(EX9,16,1)*POWER(2,0)+MID(EX9,15,1)*POWER(2,1)+MID(EX9,14,1)*POWER(2,2)+MID(EX9,13,1)*POWER(2,3)+MID(EX9,12,1)*POWER(2,4)+MID(EX9,11,1)*POWER(2,5)+MID(EX9,10,1)*POWER(2,6)+MID(EX9,9,1)*POWER(2,7)+MID(EX9,8,1)*POWER(2,8)+MID(EX9,7,1)*POWER(2,9)+MID(EX9,6,1)*POWER(2,10)+MID(EX9,5,1)*POWER(2,11)+MID(EX9,4,1)*POWER(2,12)+MID(EX9,3,1)*POWER(2,13)+MID(EX9,2,1)*POWER(2,14)+MID(EX9,1,1)*POWER(2,15))</f>
        <v>5008</v>
      </c>
      <c r="FA8" s="77">
        <f>MID(EY8,16,1)*POWER(2,0)+MID(EY8,15,1)*POWER(2,1)+MID(EY8,14,1)*POWER(2,2)+MID(EY8,13,1)*POWER(2,3)+MID(EY8,12,1)*POWER(2,4)+MID(EY8,11,1)*POWER(2,5)+MID(EY8,10,1)*POWER(2,6)+MID(EY8,9,1)*POWER(2,7)+MID(EY8,8,1)*POWER(2,8)+MID(EY8,7,1)*POWER(2,9)+MID(EY8,6,1)*POWER(2,10)+MID(EY8,5,1)*POWER(2,11)+MID(EY8,4,1)*POWER(2,12)+MID(EY8,3,1)*POWER(2,13)+MID(EY8,2,1)*POWER(2,14)+MID(EY8,1,1)*POWER(2,15)-(MID(EY9,16,1)*POWER(2,0)+MID(EY9,15,1)*POWER(2,1)+MID(EY9,14,1)*POWER(2,2)+MID(EY9,13,1)*POWER(2,3)+MID(EY9,12,1)*POWER(2,4)+MID(EY9,11,1)*POWER(2,5)+MID(EY9,10,1)*POWER(2,6)+MID(EY9,9,1)*POWER(2,7)+MID(EY9,8,1)*POWER(2,8)+MID(EY9,7,1)*POWER(2,9)+MID(EY9,6,1)*POWER(2,10)+MID(EY9,5,1)*POWER(2,11)+MID(EY9,4,1)*POWER(2,12)+MID(EY9,3,1)*POWER(2,13)+MID(EY9,2,1)*POWER(2,14)+MID(EY9,1,1)*POWER(2,15))</f>
        <v>-58679</v>
      </c>
      <c r="FB8" s="45" t="str">
        <f>CONCATENATE(MID(DY8,1,1)*MID($K8,1,1),MID(DY8,2,1)*MID($K8,2,1),MID(DY8,3,1)*MID($K8,3,1),MID(DY8,4,1)*MID($K8,4,1),MID(DY8,5,1)*MID($K8,5,1),MID(DY8,6,1)*MID($K8,6,1),MID(DY8,7,1)*MID($K8,7,1),MID(DY8,8,1)*MID($K8,8,1),MID(DY8,9,1)*MID($K8,1,1),MID(DY8,10,1)*MID($K8,2,1),MID(DY8,11,1)*MID($K8,3,1),MID(DY8,12,1)*MID($K8,4,1),MID(DY8,13,1)*MID($K8,5,1),MID(DY8,14,1)*MID($K8,6,1),MID(DY8,15,1)*MID($K8,7,1),MID(DY8,16,1)*MID($K8,8,1),MID(DY8,17,1)*MID($K8,1,1),MID(DY8,18,1)*MID($K8,2,1),MID(DY8,19,1)*MID($K8,3,1),MID(DY8,20,1)*MID($K8,4,1),MID(DY8,21,1)*MID($K8,5,1),MID(DY8,22,1)*MID($K8,6,1),MID(DY8,23,1)*MID($K8,7,1),MID(DY8,24,1)*MID($K8,8,1),MID(DY8,25,1)*MID($K8,1,1),MID(DY8,26,1)*MID($K8,2,1),MID(DY8,27,1)*MID($K8,3,1),MID(DY8,28,1)*MID($K8,4,1),MID(DY8,29,1)*MID($K8,5,1),MID(DY8,30,1)*MID($K8,6,1),MID(DY8,31,1)*MID($K8,7,1),MID(DY8,32,1)*MID($K8,8,1))</f>
        <v>00000000000001000000010000000000</v>
      </c>
      <c r="FC8" s="26" t="str">
        <f t="shared" si="124"/>
        <v>00000000</v>
      </c>
      <c r="FD8" s="26" t="str">
        <f t="shared" si="83"/>
        <v>00000100</v>
      </c>
      <c r="FE8" s="26" t="str">
        <f t="shared" si="84"/>
        <v>00000100</v>
      </c>
      <c r="FF8" s="26" t="str">
        <f t="shared" si="85"/>
        <v>00000000</v>
      </c>
      <c r="FG8" s="77">
        <f>BIN2DEC(FC8)-BIN2DEC(FC9)</f>
        <v>-108</v>
      </c>
      <c r="FH8" s="77">
        <f>BIN2DEC(FD8)-BIN2DEC(FD9)</f>
        <v>-112</v>
      </c>
      <c r="FI8" s="77">
        <f>BIN2DEC(FE8)-BIN2DEC(FE9)</f>
        <v>-237</v>
      </c>
      <c r="FJ8" s="77">
        <f>BIN2DEC(FF8)-BIN2DEC(FF9)</f>
        <v>-183</v>
      </c>
      <c r="FK8" s="27" t="str">
        <f t="shared" si="86"/>
        <v>1101</v>
      </c>
      <c r="FL8" s="27" t="str">
        <f t="shared" si="87"/>
        <v>0011</v>
      </c>
      <c r="FM8" s="27" t="str">
        <f t="shared" si="88"/>
        <v>0110</v>
      </c>
      <c r="FN8" s="27" t="str">
        <f t="shared" si="89"/>
        <v>0111</v>
      </c>
      <c r="FO8" s="27" t="str">
        <f t="shared" si="90"/>
        <v>0011</v>
      </c>
      <c r="FP8" s="27" t="str">
        <f t="shared" si="91"/>
        <v>1111</v>
      </c>
      <c r="FQ8" s="27" t="str">
        <f t="shared" si="92"/>
        <v>1001</v>
      </c>
      <c r="FR8" s="27" t="str">
        <f t="shared" si="93"/>
        <v>0010</v>
      </c>
      <c r="FS8" s="77">
        <f t="shared" ref="FS8:FZ8" si="143">BIN2DEC(FK8)-BIN2DEC(FK9)</f>
        <v>7</v>
      </c>
      <c r="FT8" s="77">
        <f t="shared" si="143"/>
        <v>-9</v>
      </c>
      <c r="FU8" s="77">
        <f t="shared" si="143"/>
        <v>-1</v>
      </c>
      <c r="FV8" s="77">
        <f t="shared" si="143"/>
        <v>3</v>
      </c>
      <c r="FW8" s="77">
        <f t="shared" si="143"/>
        <v>-12</v>
      </c>
      <c r="FX8" s="77">
        <f t="shared" si="143"/>
        <v>14</v>
      </c>
      <c r="FY8" s="77">
        <f t="shared" si="143"/>
        <v>-2</v>
      </c>
      <c r="FZ8" s="77">
        <f t="shared" si="143"/>
        <v>-5</v>
      </c>
      <c r="GA8" s="26" t="str">
        <f t="shared" si="16"/>
        <v>0000000000000100</v>
      </c>
      <c r="GB8" s="26" t="str">
        <f t="shared" si="17"/>
        <v>0000010000000000</v>
      </c>
      <c r="GC8" s="77">
        <f>MID(GA8,16,1)*POWER(2,0)+MID(GA8,15,1)*POWER(2,1)+MID(GA8,14,1)*POWER(2,2)+MID(GA8,13,1)*POWER(2,3)+MID(GA8,12,1)*POWER(2,4)+MID(GA8,11,1)*POWER(2,5)+MID(GA8,10,1)*POWER(2,6)+MID(GA8,9,1)*POWER(2,7)+MID(GA8,8,1)*POWER(2,8)+MID(GA8,7,1)*POWER(2,9)+MID(GA8,6,1)*POWER(2,10)+MID(GA8,5,1)*POWER(2,11)+MID(GA8,4,1)*POWER(2,12)+MID(GA8,3,1)*POWER(2,13)+MID(GA8,2,1)*POWER(2,14)+MID(GA8,1,1)*POWER(2,15)-(MID(GA9,16,1)*POWER(2,0)+MID(GA9,15,1)*POWER(2,1)+MID(GA9,14,1)*POWER(2,2)+MID(GA9,13,1)*POWER(2,3)+MID(GA9,12,1)*POWER(2,4)+MID(GA9,11,1)*POWER(2,5)+MID(GA9,10,1)*POWER(2,6)+MID(GA9,9,1)*POWER(2,7)+MID(GA9,8,1)*POWER(2,8)+MID(GA9,7,1)*POWER(2,9)+MID(GA9,6,1)*POWER(2,10)+MID(GA9,5,1)*POWER(2,11)+MID(GA9,4,1)*POWER(2,12)+MID(GA9,3,1)*POWER(2,13)+MID(GA9,2,1)*POWER(2,14)+MID(GA9,1,1)*POWER(2,15))</f>
        <v>-27760</v>
      </c>
      <c r="GD8" s="77">
        <f>MID(GB8,16,1)*POWER(2,0)+MID(GB8,15,1)*POWER(2,1)+MID(GB8,14,1)*POWER(2,2)+MID(GB8,13,1)*POWER(2,3)+MID(GB8,12,1)*POWER(2,4)+MID(GB8,11,1)*POWER(2,5)+MID(GB8,10,1)*POWER(2,6)+MID(GB8,9,1)*POWER(2,7)+MID(GB8,8,1)*POWER(2,8)+MID(GB8,7,1)*POWER(2,9)+MID(GB8,6,1)*POWER(2,10)+MID(GB8,5,1)*POWER(2,11)+MID(GB8,4,1)*POWER(2,12)+MID(GB8,3,1)*POWER(2,13)+MID(GB8,2,1)*POWER(2,14)+MID(GB8,1,1)*POWER(2,15)-(MID(GB9,16,1)*POWER(2,0)+MID(GB9,15,1)*POWER(2,1)+MID(GB9,14,1)*POWER(2,2)+MID(GB9,13,1)*POWER(2,3)+MID(GB9,12,1)*POWER(2,4)+MID(GB9,11,1)*POWER(2,5)+MID(GB9,10,1)*POWER(2,6)+MID(GB9,9,1)*POWER(2,7)+MID(GB9,8,1)*POWER(2,8)+MID(GB9,7,1)*POWER(2,9)+MID(GB9,6,1)*POWER(2,10)+MID(GB9,5,1)*POWER(2,11)+MID(GB9,4,1)*POWER(2,12)+MID(GB9,3,1)*POWER(2,13)+MID(GB9,2,1)*POWER(2,14)+MID(GB9,1,1)*POWER(2,15))</f>
        <v>-60855</v>
      </c>
      <c r="GE8" s="47" t="str">
        <f>DY8</f>
        <v>10000000000001000000110010000000</v>
      </c>
      <c r="GF8" s="26" t="str">
        <f t="shared" si="126"/>
        <v>10000000</v>
      </c>
      <c r="GG8" s="26" t="str">
        <f t="shared" si="94"/>
        <v>00000100</v>
      </c>
      <c r="GH8" s="26" t="str">
        <f t="shared" si="95"/>
        <v>00001100</v>
      </c>
      <c r="GI8" s="26" t="str">
        <f t="shared" si="96"/>
        <v>10000000</v>
      </c>
      <c r="GJ8" s="77">
        <f>BIN2DEC(GF8)-BIN2DEC(GF9)</f>
        <v>28</v>
      </c>
      <c r="GK8" s="77">
        <f>BIN2DEC(GG8)-BIN2DEC(GG9)</f>
        <v>-96</v>
      </c>
      <c r="GL8" s="77">
        <f>BIN2DEC(GH8)-BIN2DEC(GH9)</f>
        <v>-84</v>
      </c>
      <c r="GM8" s="77">
        <f>BIN2DEC(GI8)-BIN2DEC(GI9)</f>
        <v>92</v>
      </c>
      <c r="GN8" s="27" t="str">
        <f t="shared" si="97"/>
        <v>1101</v>
      </c>
      <c r="GO8" s="27" t="str">
        <f t="shared" si="98"/>
        <v>0011</v>
      </c>
      <c r="GP8" s="27" t="str">
        <f t="shared" si="99"/>
        <v>0110</v>
      </c>
      <c r="GQ8" s="27" t="str">
        <f t="shared" si="100"/>
        <v>0111</v>
      </c>
      <c r="GR8" s="27" t="str">
        <f t="shared" si="101"/>
        <v>0011</v>
      </c>
      <c r="GS8" s="27" t="str">
        <f t="shared" si="102"/>
        <v>1111</v>
      </c>
      <c r="GT8" s="27" t="str">
        <f t="shared" si="103"/>
        <v>1001</v>
      </c>
      <c r="GU8" s="27" t="str">
        <f t="shared" si="104"/>
        <v>0010</v>
      </c>
      <c r="GV8" s="77">
        <f t="shared" ref="GV8:HC8" si="144">BIN2DEC(GN8)-BIN2DEC(GN9)</f>
        <v>7</v>
      </c>
      <c r="GW8" s="77">
        <f t="shared" si="144"/>
        <v>-9</v>
      </c>
      <c r="GX8" s="77">
        <f t="shared" si="144"/>
        <v>-1</v>
      </c>
      <c r="GY8" s="77">
        <f t="shared" si="144"/>
        <v>3</v>
      </c>
      <c r="GZ8" s="77">
        <f t="shared" si="144"/>
        <v>-12</v>
      </c>
      <c r="HA8" s="77">
        <f t="shared" si="144"/>
        <v>14</v>
      </c>
      <c r="HB8" s="77">
        <f t="shared" si="144"/>
        <v>-2</v>
      </c>
      <c r="HC8" s="77">
        <f t="shared" si="144"/>
        <v>-5</v>
      </c>
      <c r="HD8" s="26" t="str">
        <f t="shared" si="19"/>
        <v>1000000000000100</v>
      </c>
      <c r="HE8" s="26" t="str">
        <f t="shared" si="20"/>
        <v>0000110010000000</v>
      </c>
      <c r="HF8" s="77">
        <f>MID(HD8,16,1)*POWER(2,0)+MID(HD8,15,1)*POWER(2,1)+MID(HD8,14,1)*POWER(2,2)+MID(HD8,13,1)*POWER(2,3)+MID(HD8,12,1)*POWER(2,4)+MID(HD8,11,1)*POWER(2,5)+MID(HD8,10,1)*POWER(2,6)+MID(HD8,9,1)*POWER(2,7)+MID(HD8,8,1)*POWER(2,8)+MID(HD8,7,1)*POWER(2,9)+MID(HD8,6,1)*POWER(2,10)+MID(HD8,5,1)*POWER(2,11)+MID(HD8,4,1)*POWER(2,12)+MID(HD8,3,1)*POWER(2,13)+MID(HD8,2,1)*POWER(2,14)+MID(HD8,1,1)*POWER(2,15)-(MID(HD9,16,1)*POWER(2,0)+MID(HD9,15,1)*POWER(2,1)+MID(HD9,14,1)*POWER(2,2)+MID(HD9,13,1)*POWER(2,3)+MID(HD9,12,1)*POWER(2,4)+MID(HD9,11,1)*POWER(2,5)+MID(HD9,10,1)*POWER(2,6)+MID(HD9,9,1)*POWER(2,7)+MID(HD9,8,1)*POWER(2,8)+MID(HD9,7,1)*POWER(2,9)+MID(HD9,6,1)*POWER(2,10)+MID(HD9,5,1)*POWER(2,11)+MID(HD9,4,1)*POWER(2,12)+MID(HD9,3,1)*POWER(2,13)+MID(HD9,2,1)*POWER(2,14)+MID(HD9,1,1)*POWER(2,15))</f>
        <v>7072</v>
      </c>
      <c r="HG8" s="77">
        <f>MID(HE8,16,1)*POWER(2,0)+MID(HE8,15,1)*POWER(2,1)+MID(HE8,14,1)*POWER(2,2)+MID(HE8,13,1)*POWER(2,3)+MID(HE8,12,1)*POWER(2,4)+MID(HE8,11,1)*POWER(2,5)+MID(HE8,10,1)*POWER(2,6)+MID(HE8,9,1)*POWER(2,7)+MID(HE8,8,1)*POWER(2,8)+MID(HE8,7,1)*POWER(2,9)+MID(HE8,6,1)*POWER(2,10)+MID(HE8,5,1)*POWER(2,11)+MID(HE8,4,1)*POWER(2,12)+MID(HE8,3,1)*POWER(2,13)+MID(HE8,2,1)*POWER(2,14)+MID(HE8,1,1)*POWER(2,15)-(MID(HE9,16,1)*POWER(2,0)+MID(HE9,15,1)*POWER(2,1)+MID(HE9,14,1)*POWER(2,2)+MID(HE9,13,1)*POWER(2,3)+MID(HE9,12,1)*POWER(2,4)+MID(HE9,11,1)*POWER(2,5)+MID(HE9,10,1)*POWER(2,6)+MID(HE9,9,1)*POWER(2,7)+MID(HE9,8,1)*POWER(2,8)+MID(HE9,7,1)*POWER(2,9)+MID(HE9,6,1)*POWER(2,10)+MID(HE9,5,1)*POWER(2,11)+MID(HE9,4,1)*POWER(2,12)+MID(HE9,3,1)*POWER(2,13)+MID(HE9,2,1)*POWER(2,14)+MID(HE9,1,1)*POWER(2,15))</f>
        <v>-21412</v>
      </c>
      <c r="HH8" s="45" t="str">
        <f>CONCATENATE(MID(GE8,1,1)*MID($K8,1,1),MID(GE8,2,1)*MID($K8,2,1),MID(GE8,3,1)*MID($K8,3,1),MID(GE8,4,1)*MID($K8,4,1),MID(GE8,5,1)*MID($K8,5,1),MID(GE8,6,1)*MID($K8,6,1),MID(GE8,7,1)*MID($K8,7,1),MID(GE8,8,1)*MID($K8,8,1),MID(GE8,9,1)*MID($K8,1,1),MID(GE8,10,1)*MID($K8,2,1),MID(GE8,11,1)*MID($K8,3,1),MID(GE8,12,1)*MID($K8,4,1),MID(GE8,13,1)*MID($K8,5,1),MID(GE8,14,1)*MID($K8,6,1),MID(GE8,15,1)*MID($K8,7,1),MID(GE8,16,1)*MID($K8,8,1),MID(GE8,17,1)*MID($K8,1,1),MID(GE8,18,1)*MID($K8,2,1),MID(GE8,19,1)*MID($K8,3,1),MID(GE8,20,1)*MID($K8,4,1),MID(GE8,21,1)*MID($K8,5,1),MID(GE8,22,1)*MID($K8,6,1),MID(GE8,23,1)*MID($K8,7,1),MID(GE8,24,1)*MID($K8,8,1),MID(GE8,25,1)*MID($K8,1,1),MID(GE8,26,1)*MID($K8,2,1),MID(GE8,27,1)*MID($K8,3,1),MID(GE8,28,1)*MID($K8,4,1),MID(GE8,29,1)*MID($K8,5,1),MID(GE8,30,1)*MID($K8,6,1),MID(GE8,31,1)*MID($K8,7,1),MID(GE8,32,1)*MID($K8,8,1))</f>
        <v>00000000000001000000010000000000</v>
      </c>
      <c r="HI8" s="26" t="str">
        <f t="shared" si="128"/>
        <v>00000000</v>
      </c>
      <c r="HJ8" s="26" t="str">
        <f t="shared" si="105"/>
        <v>00000100</v>
      </c>
      <c r="HK8" s="26" t="str">
        <f t="shared" si="106"/>
        <v>00000100</v>
      </c>
      <c r="HL8" s="26" t="str">
        <f t="shared" si="107"/>
        <v>00000000</v>
      </c>
      <c r="HM8" s="77">
        <f>BIN2DEC(HI8)-BIN2DEC(HI9)</f>
        <v>-100</v>
      </c>
      <c r="HN8" s="77">
        <f>BIN2DEC(HJ8)-BIN2DEC(HJ9)</f>
        <v>-96</v>
      </c>
      <c r="HO8" s="77">
        <f>BIN2DEC(HK8)-BIN2DEC(HK9)</f>
        <v>-92</v>
      </c>
      <c r="HP8" s="77">
        <f>BIN2DEC(HL8)-BIN2DEC(HL9)</f>
        <v>-36</v>
      </c>
      <c r="HQ8" s="27" t="str">
        <f t="shared" si="108"/>
        <v>1101</v>
      </c>
      <c r="HR8" s="27" t="str">
        <f t="shared" si="109"/>
        <v>0011</v>
      </c>
      <c r="HS8" s="27" t="str">
        <f t="shared" si="110"/>
        <v>0110</v>
      </c>
      <c r="HT8" s="27" t="str">
        <f t="shared" si="111"/>
        <v>0111</v>
      </c>
      <c r="HU8" s="27" t="str">
        <f t="shared" si="112"/>
        <v>0011</v>
      </c>
      <c r="HV8" s="27" t="str">
        <f t="shared" si="113"/>
        <v>1111</v>
      </c>
      <c r="HW8" s="27" t="str">
        <f t="shared" si="114"/>
        <v>1001</v>
      </c>
      <c r="HX8" s="27" t="str">
        <f t="shared" si="115"/>
        <v>0010</v>
      </c>
      <c r="HY8" s="77">
        <f t="shared" ref="HY8:IF8" si="145">BIN2DEC(HQ8)-BIN2DEC(HQ9)</f>
        <v>7</v>
      </c>
      <c r="HZ8" s="77">
        <f t="shared" si="145"/>
        <v>-9</v>
      </c>
      <c r="IA8" s="77">
        <f t="shared" si="145"/>
        <v>-1</v>
      </c>
      <c r="IB8" s="77">
        <f t="shared" si="145"/>
        <v>3</v>
      </c>
      <c r="IC8" s="77">
        <f t="shared" si="145"/>
        <v>-12</v>
      </c>
      <c r="ID8" s="77">
        <f t="shared" si="145"/>
        <v>14</v>
      </c>
      <c r="IE8" s="77">
        <f t="shared" si="145"/>
        <v>-2</v>
      </c>
      <c r="IF8" s="77">
        <f t="shared" si="145"/>
        <v>-5</v>
      </c>
      <c r="IG8" s="26" t="str">
        <f t="shared" si="22"/>
        <v>0000000000000100</v>
      </c>
      <c r="IH8" s="26" t="str">
        <f t="shared" si="23"/>
        <v>0000010000000000</v>
      </c>
      <c r="II8" s="77">
        <f>MID(IG8,16,1)*POWER(2,0)+MID(IG8,15,1)*POWER(2,1)+MID(IG8,14,1)*POWER(2,2)+MID(IG8,13,1)*POWER(2,3)+MID(IG8,12,1)*POWER(2,4)+MID(IG8,11,1)*POWER(2,5)+MID(IG8,10,1)*POWER(2,6)+MID(IG8,9,1)*POWER(2,7)+MID(IG8,8,1)*POWER(2,8)+MID(IG8,7,1)*POWER(2,9)+MID(IG8,6,1)*POWER(2,10)+MID(IG8,5,1)*POWER(2,11)+MID(IG8,4,1)*POWER(2,12)+MID(IG8,3,1)*POWER(2,13)+MID(IG8,2,1)*POWER(2,14)+MID(IG8,1,1)*POWER(2,15)-(MID(IG9,16,1)*POWER(2,0)+MID(IG9,15,1)*POWER(2,1)+MID(IG9,14,1)*POWER(2,2)+MID(IG9,13,1)*POWER(2,3)+MID(IG9,12,1)*POWER(2,4)+MID(IG9,11,1)*POWER(2,5)+MID(IG9,10,1)*POWER(2,6)+MID(IG9,9,1)*POWER(2,7)+MID(IG9,8,1)*POWER(2,8)+MID(IG9,7,1)*POWER(2,9)+MID(IG9,6,1)*POWER(2,10)+MID(IG9,5,1)*POWER(2,11)+MID(IG9,4,1)*POWER(2,12)+MID(IG9,3,1)*POWER(2,13)+MID(IG9,2,1)*POWER(2,14)+MID(IG9,1,1)*POWER(2,15))</f>
        <v>-25696</v>
      </c>
      <c r="IJ8" s="77">
        <f>MID(IH8,16,1)*POWER(2,0)+MID(IH8,15,1)*POWER(2,1)+MID(IH8,14,1)*POWER(2,2)+MID(IH8,13,1)*POWER(2,3)+MID(IH8,12,1)*POWER(2,4)+MID(IH8,11,1)*POWER(2,5)+MID(IH8,10,1)*POWER(2,6)+MID(IH8,9,1)*POWER(2,7)+MID(IH8,8,1)*POWER(2,8)+MID(IH8,7,1)*POWER(2,9)+MID(IH8,6,1)*POWER(2,10)+MID(IH8,5,1)*POWER(2,11)+MID(IH8,4,1)*POWER(2,12)+MID(IH8,3,1)*POWER(2,13)+MID(IH8,2,1)*POWER(2,14)+MID(IH8,1,1)*POWER(2,15)-(MID(IH9,16,1)*POWER(2,0)+MID(IH9,15,1)*POWER(2,1)+MID(IH9,14,1)*POWER(2,2)+MID(IH9,13,1)*POWER(2,3)+MID(IH9,12,1)*POWER(2,4)+MID(IH9,11,1)*POWER(2,5)+MID(IH9,10,1)*POWER(2,6)+MID(IH9,9,1)*POWER(2,7)+MID(IH9,8,1)*POWER(2,8)+MID(IH9,7,1)*POWER(2,9)+MID(IH9,6,1)*POWER(2,10)+MID(IH9,5,1)*POWER(2,11)+MID(IH9,4,1)*POWER(2,12)+MID(IH9,3,1)*POWER(2,13)+MID(IH9,2,1)*POWER(2,14)+MID(IH9,1,1)*POWER(2,15))</f>
        <v>-23588</v>
      </c>
      <c r="IL8" s="26"/>
      <c r="IM8" s="26"/>
      <c r="IN8" s="26"/>
      <c r="IO8" s="26"/>
      <c r="IP8" s="22"/>
      <c r="IQ8" s="22"/>
      <c r="IR8" s="22"/>
      <c r="IS8" s="22"/>
      <c r="JB8" s="22"/>
      <c r="JC8" s="22"/>
      <c r="JD8" s="22"/>
      <c r="JE8" s="22"/>
      <c r="JF8" s="22"/>
      <c r="JG8" s="22"/>
      <c r="JH8" s="22"/>
      <c r="JI8" s="22"/>
      <c r="JJ8" s="26"/>
      <c r="JK8" s="26"/>
      <c r="JL8" s="22"/>
      <c r="JM8" s="22"/>
    </row>
    <row r="9" spans="1:273" s="31" customFormat="1" ht="18.600000000000001" thickBot="1" x14ac:dyDescent="0.4">
      <c r="A9" s="28"/>
      <c r="B9" s="29"/>
      <c r="C9" s="17" t="s">
        <v>6</v>
      </c>
      <c r="D9" s="17" t="s">
        <v>17</v>
      </c>
      <c r="E9" s="17">
        <v>74</v>
      </c>
      <c r="F9" s="17" t="s">
        <v>148</v>
      </c>
      <c r="G9" s="17" t="s">
        <v>143</v>
      </c>
      <c r="H9" s="17" t="str">
        <f t="shared" si="116"/>
        <v>01101100011101001111000110110111</v>
      </c>
      <c r="I9" s="17">
        <f t="shared" si="117"/>
        <v>19</v>
      </c>
      <c r="J9" s="17"/>
      <c r="K9" s="17"/>
      <c r="L9" s="44" t="str">
        <f>H9</f>
        <v>01101100011101001111000110110111</v>
      </c>
      <c r="M9" s="30" t="str">
        <f t="shared" si="24"/>
        <v>01101100</v>
      </c>
      <c r="N9" s="30" t="str">
        <f t="shared" si="25"/>
        <v>01110100</v>
      </c>
      <c r="O9" s="30" t="str">
        <f t="shared" si="26"/>
        <v>11110001</v>
      </c>
      <c r="P9" s="30" t="str">
        <f t="shared" si="27"/>
        <v>10110111</v>
      </c>
      <c r="Q9" s="78"/>
      <c r="R9" s="78"/>
      <c r="S9" s="78"/>
      <c r="T9" s="78"/>
      <c r="U9" s="31" t="str">
        <f t="shared" si="28"/>
        <v>0110</v>
      </c>
      <c r="V9" s="31" t="str">
        <f t="shared" si="29"/>
        <v>1100</v>
      </c>
      <c r="W9" s="31" t="str">
        <f t="shared" si="30"/>
        <v>0111</v>
      </c>
      <c r="X9" s="31" t="str">
        <f t="shared" si="31"/>
        <v>0100</v>
      </c>
      <c r="Y9" s="31" t="str">
        <f t="shared" si="32"/>
        <v>1111</v>
      </c>
      <c r="Z9" s="31" t="str">
        <f t="shared" si="33"/>
        <v>0001</v>
      </c>
      <c r="AA9" s="31" t="str">
        <f t="shared" si="34"/>
        <v>1011</v>
      </c>
      <c r="AB9" s="31" t="str">
        <f t="shared" si="35"/>
        <v>0111</v>
      </c>
      <c r="AC9" s="78"/>
      <c r="AD9" s="78"/>
      <c r="AE9" s="78"/>
      <c r="AF9" s="78"/>
      <c r="AG9" s="78"/>
      <c r="AH9" s="78"/>
      <c r="AI9" s="78"/>
      <c r="AJ9" s="78"/>
      <c r="AK9" s="30" t="str">
        <f t="shared" si="1"/>
        <v>0110110001110100</v>
      </c>
      <c r="AL9" s="30" t="str">
        <f t="shared" si="2"/>
        <v>1111000110110111</v>
      </c>
      <c r="AM9" s="78"/>
      <c r="AN9" s="78"/>
      <c r="AO9" s="46" t="str">
        <f>L9</f>
        <v>01101100011101001111000110110111</v>
      </c>
      <c r="AP9" s="30" t="str">
        <f t="shared" si="36"/>
        <v>01101100</v>
      </c>
      <c r="AQ9" s="30" t="str">
        <f t="shared" si="37"/>
        <v>01110100</v>
      </c>
      <c r="AR9" s="30" t="str">
        <f t="shared" si="38"/>
        <v>11110001</v>
      </c>
      <c r="AS9" s="30" t="str">
        <f t="shared" si="39"/>
        <v>10110111</v>
      </c>
      <c r="AT9" s="78"/>
      <c r="AU9" s="78"/>
      <c r="AV9" s="78"/>
      <c r="AW9" s="78"/>
      <c r="AX9" s="31" t="str">
        <f t="shared" si="40"/>
        <v>0110</v>
      </c>
      <c r="AY9" s="31" t="str">
        <f t="shared" si="41"/>
        <v>1100</v>
      </c>
      <c r="AZ9" s="31" t="str">
        <f t="shared" si="42"/>
        <v>0111</v>
      </c>
      <c r="BA9" s="31" t="str">
        <f t="shared" si="43"/>
        <v>0100</v>
      </c>
      <c r="BB9" s="31" t="str">
        <f t="shared" si="44"/>
        <v>1111</v>
      </c>
      <c r="BC9" s="31" t="str">
        <f t="shared" si="45"/>
        <v>0001</v>
      </c>
      <c r="BD9" s="31" t="str">
        <f t="shared" si="46"/>
        <v>1011</v>
      </c>
      <c r="BE9" s="31" t="str">
        <f t="shared" si="47"/>
        <v>0111</v>
      </c>
      <c r="BF9" s="78"/>
      <c r="BG9" s="78"/>
      <c r="BH9" s="78"/>
      <c r="BI9" s="78"/>
      <c r="BJ9" s="78"/>
      <c r="BK9" s="78"/>
      <c r="BL9" s="78"/>
      <c r="BM9" s="78"/>
      <c r="BN9" s="30" t="str">
        <f t="shared" si="4"/>
        <v>0110110001110100</v>
      </c>
      <c r="BO9" s="30" t="str">
        <f t="shared" si="5"/>
        <v>1111000110110111</v>
      </c>
      <c r="BP9" s="78"/>
      <c r="BQ9" s="78"/>
      <c r="BR9" s="46" t="str">
        <f>CONCATENATE(MID(L9,1,1)*MID(K8,1,1),MID(L9,2,1)*MID(K8,2,1),MID(L9,3,1)*MID(K8,3,1),MID(L9,4,1)*MID(K8,4,1),MID(L9,5,1)*MID(K8,5,1),MID(L9,6,1)*MID(K8,6,1),MID(L9,7,1)*MID(K8,7,1),MID(L9,8,1)*MID(K8,8,1),MID(L9,9,1)*MID(K8,1,1),MID(L9,10,1)*MID(K8,2,1),MID(L9,11,1)*MID(K8,3,1),MID(L9,12,1)*MID(K8,4,1),MID(L9,13,1)*MID(K8,5,1),MID(L9,14,1)*MID(K8,6,1),MID(L9,15,1)*MID(K8,7,1),MID(L9,16,1)*MID(K8,8,1),MID(L9,17,1)*MID(K8,1,1),MID(L9,18,1)*MID(K8,2,1),MID(L9,19,1)*MID(K8,3,1),MID(L9,20,1)*MID(K8,4,1),MID(L9,21,1)*MID(K8,5,1),MID(L9,22,1)*MID(K8,6,1),MID(L9,23,1)*MID(K8,7,1),MID(L9,24,1)*MID(K8,8,1),MID(L9,25,1)*MID(K8,1,1),MID(L9,26,1)*MID(K8,2,1),MID(L9,27,1)*MID(K8,3,1),MID(L9,28,1)*MID(K8,4,1),MID(L9,29,1)*MID(K8,5,1),MID(L9,30,1)*MID(K8,6,1),MID(L9,31,1)*MID(K8,7,1),MID(L9,32,1)*MID(K8,8,1))</f>
        <v>01100100011001000110000000100100</v>
      </c>
      <c r="BS9" s="30" t="str">
        <f t="shared" si="48"/>
        <v>01100100</v>
      </c>
      <c r="BT9" s="30" t="str">
        <f t="shared" si="49"/>
        <v>01100100</v>
      </c>
      <c r="BU9" s="30" t="str">
        <f t="shared" si="50"/>
        <v>01100000</v>
      </c>
      <c r="BV9" s="30" t="str">
        <f t="shared" si="51"/>
        <v>00100100</v>
      </c>
      <c r="BW9" s="78"/>
      <c r="BX9" s="78"/>
      <c r="BY9" s="78"/>
      <c r="BZ9" s="78"/>
      <c r="CA9" s="31" t="str">
        <f t="shared" si="52"/>
        <v>0110</v>
      </c>
      <c r="CB9" s="31" t="str">
        <f t="shared" si="53"/>
        <v>1100</v>
      </c>
      <c r="CC9" s="31" t="str">
        <f t="shared" si="54"/>
        <v>0111</v>
      </c>
      <c r="CD9" s="31" t="str">
        <f t="shared" si="55"/>
        <v>0100</v>
      </c>
      <c r="CE9" s="31" t="str">
        <f t="shared" si="56"/>
        <v>1111</v>
      </c>
      <c r="CF9" s="31" t="str">
        <f t="shared" si="57"/>
        <v>0001</v>
      </c>
      <c r="CG9" s="31" t="str">
        <f t="shared" si="58"/>
        <v>1011</v>
      </c>
      <c r="CH9" s="31" t="str">
        <f t="shared" si="59"/>
        <v>0111</v>
      </c>
      <c r="CI9" s="78"/>
      <c r="CJ9" s="78"/>
      <c r="CK9" s="78"/>
      <c r="CL9" s="78"/>
      <c r="CM9" s="78"/>
      <c r="CN9" s="78"/>
      <c r="CO9" s="78"/>
      <c r="CP9" s="78"/>
      <c r="CQ9" s="30" t="str">
        <f t="shared" si="7"/>
        <v>0110010001100100</v>
      </c>
      <c r="CR9" s="30" t="str">
        <f t="shared" si="8"/>
        <v>0110000000100100</v>
      </c>
      <c r="CS9" s="78"/>
      <c r="CT9" s="78"/>
      <c r="CU9" s="46" t="str">
        <f>CONCATENATE(MID($L9,1,1)*MID($K8,1,1),MID($L9,2,1)*MID($K8,2,1),MID($L9,3,1)*MID($K8,3,1),MID($L9,4,1)*MID($K8,4,1),MID($L9,5,1)*MID($K8,5,1),MID($L9,6,1)*MID($K8,6,1),MID($L9,7,1)*MID($K8,7,1),MID($L9,8,1)*MID($K8,8,1),MID($L9,9,1)*MID($K8,1,1),MID($L9,10,1)*MID($K8,2,1),MID($L9,11,1)*MID($K8,3,1),MID($L9,12,1)*MID($K8,4,1),MID($L9,13,1)*MID($K8,5,1),MID($L9,14,1)*MID($K8,6,1),MID($L9,15,1)*MID($K8,7,1),MID($L9,16,1)*MID($K8,8,1),MID($L9,17,1)*MID($K8,1,1),MID($L9,18,1)*MID($K8,2,1),MID($L9,19,1)*MID($K8,3,1),MID($L9,20,1)*MID($K8,4,1),MID($L9,21,1)*MID($K8,5,1),MID($L9,22,1)*MID($K8,6,1),MID($L9,23,1)*MID($K8,7,1),MID($L9,24,1)*MID($K8,8,1),MID($L9,25,1)*MID($K8,1,1),MID($L9,26,1)*MID($K8,2,1),MID($L9,27,1)*MID($K8,3,1),MID($L9,28,1)*MID($K8,4,1),MID($L9,29,1)*MID($K8,5,1),MID($L9,30,1)*MID($K8,6,1),MID($L9,31,1)*MID($K8,7,1),MID($L9,32,1)*MID($K8,8,1))</f>
        <v>01100100011001000110000000100100</v>
      </c>
      <c r="CV9" s="30" t="str">
        <f t="shared" si="60"/>
        <v>01100100</v>
      </c>
      <c r="CW9" s="30" t="str">
        <f t="shared" si="61"/>
        <v>01100100</v>
      </c>
      <c r="CX9" s="30" t="str">
        <f t="shared" si="62"/>
        <v>01100000</v>
      </c>
      <c r="CY9" s="30" t="str">
        <f t="shared" si="63"/>
        <v>00100100</v>
      </c>
      <c r="CZ9" s="78"/>
      <c r="DA9" s="78"/>
      <c r="DB9" s="78"/>
      <c r="DC9" s="78"/>
      <c r="DD9" s="31" t="str">
        <f t="shared" si="64"/>
        <v>0110</v>
      </c>
      <c r="DE9" s="31" t="str">
        <f t="shared" si="65"/>
        <v>1100</v>
      </c>
      <c r="DF9" s="31" t="str">
        <f t="shared" si="66"/>
        <v>0111</v>
      </c>
      <c r="DG9" s="31" t="str">
        <f t="shared" si="67"/>
        <v>0100</v>
      </c>
      <c r="DH9" s="31" t="str">
        <f t="shared" si="68"/>
        <v>1111</v>
      </c>
      <c r="DI9" s="31" t="str">
        <f t="shared" si="69"/>
        <v>0001</v>
      </c>
      <c r="DJ9" s="31" t="str">
        <f t="shared" si="70"/>
        <v>1011</v>
      </c>
      <c r="DK9" s="31" t="str">
        <f t="shared" si="71"/>
        <v>0111</v>
      </c>
      <c r="DL9" s="78"/>
      <c r="DM9" s="78"/>
      <c r="DN9" s="78"/>
      <c r="DO9" s="78"/>
      <c r="DP9" s="78"/>
      <c r="DQ9" s="78"/>
      <c r="DR9" s="78"/>
      <c r="DS9" s="78"/>
      <c r="DT9" s="30" t="str">
        <f t="shared" si="10"/>
        <v>0110010001100100</v>
      </c>
      <c r="DU9" s="30" t="str">
        <f t="shared" si="11"/>
        <v>0110000000100100</v>
      </c>
      <c r="DV9" s="78"/>
      <c r="DW9" s="78"/>
      <c r="DX9" s="23"/>
      <c r="DY9" s="48" t="str">
        <f>H9</f>
        <v>01101100011101001111000110110111</v>
      </c>
      <c r="DZ9" s="30" t="str">
        <f t="shared" si="122"/>
        <v>01101100</v>
      </c>
      <c r="EA9" s="30" t="str">
        <f t="shared" si="72"/>
        <v>01110100</v>
      </c>
      <c r="EB9" s="30" t="str">
        <f t="shared" si="73"/>
        <v>11110001</v>
      </c>
      <c r="EC9" s="30" t="str">
        <f t="shared" si="74"/>
        <v>10110111</v>
      </c>
      <c r="ED9" s="78"/>
      <c r="EE9" s="78"/>
      <c r="EF9" s="78"/>
      <c r="EG9" s="78"/>
      <c r="EH9" s="31" t="str">
        <f t="shared" si="75"/>
        <v>0110</v>
      </c>
      <c r="EI9" s="31" t="str">
        <f t="shared" si="76"/>
        <v>1100</v>
      </c>
      <c r="EJ9" s="31" t="str">
        <f t="shared" si="77"/>
        <v>0111</v>
      </c>
      <c r="EK9" s="31" t="str">
        <f t="shared" si="78"/>
        <v>0100</v>
      </c>
      <c r="EL9" s="31" t="str">
        <f t="shared" si="79"/>
        <v>1111</v>
      </c>
      <c r="EM9" s="31" t="str">
        <f t="shared" si="80"/>
        <v>0001</v>
      </c>
      <c r="EN9" s="31" t="str">
        <f t="shared" si="81"/>
        <v>1011</v>
      </c>
      <c r="EO9" s="31" t="str">
        <f t="shared" si="82"/>
        <v>0111</v>
      </c>
      <c r="EP9" s="78"/>
      <c r="EQ9" s="78"/>
      <c r="ER9" s="78"/>
      <c r="ES9" s="78"/>
      <c r="ET9" s="78"/>
      <c r="EU9" s="78"/>
      <c r="EV9" s="78"/>
      <c r="EW9" s="78"/>
      <c r="EX9" s="30" t="str">
        <f t="shared" si="13"/>
        <v>0110110001110100</v>
      </c>
      <c r="EY9" s="30" t="str">
        <f t="shared" si="14"/>
        <v>1111000110110111</v>
      </c>
      <c r="EZ9" s="78"/>
      <c r="FA9" s="78"/>
      <c r="FB9" s="48" t="str">
        <f>H9</f>
        <v>01101100011101001111000110110111</v>
      </c>
      <c r="FC9" s="30" t="str">
        <f t="shared" si="124"/>
        <v>01101100</v>
      </c>
      <c r="FD9" s="30" t="str">
        <f t="shared" si="83"/>
        <v>01110100</v>
      </c>
      <c r="FE9" s="30" t="str">
        <f t="shared" si="84"/>
        <v>11110001</v>
      </c>
      <c r="FF9" s="30" t="str">
        <f t="shared" si="85"/>
        <v>10110111</v>
      </c>
      <c r="FG9" s="78"/>
      <c r="FH9" s="78"/>
      <c r="FI9" s="78"/>
      <c r="FJ9" s="78"/>
      <c r="FK9" s="31" t="str">
        <f t="shared" si="86"/>
        <v>0110</v>
      </c>
      <c r="FL9" s="31" t="str">
        <f t="shared" si="87"/>
        <v>1100</v>
      </c>
      <c r="FM9" s="31" t="str">
        <f t="shared" si="88"/>
        <v>0111</v>
      </c>
      <c r="FN9" s="31" t="str">
        <f t="shared" si="89"/>
        <v>0100</v>
      </c>
      <c r="FO9" s="31" t="str">
        <f t="shared" si="90"/>
        <v>1111</v>
      </c>
      <c r="FP9" s="31" t="str">
        <f t="shared" si="91"/>
        <v>0001</v>
      </c>
      <c r="FQ9" s="31" t="str">
        <f t="shared" si="92"/>
        <v>1011</v>
      </c>
      <c r="FR9" s="31" t="str">
        <f t="shared" si="93"/>
        <v>0111</v>
      </c>
      <c r="FS9" s="78"/>
      <c r="FT9" s="78"/>
      <c r="FU9" s="78"/>
      <c r="FV9" s="78"/>
      <c r="FW9" s="78"/>
      <c r="FX9" s="78"/>
      <c r="FY9" s="78"/>
      <c r="FZ9" s="78"/>
      <c r="GA9" s="30" t="str">
        <f t="shared" si="16"/>
        <v>0110110001110100</v>
      </c>
      <c r="GB9" s="30" t="str">
        <f t="shared" si="17"/>
        <v>1111000110110111</v>
      </c>
      <c r="GC9" s="78"/>
      <c r="GD9" s="78"/>
      <c r="GE9" s="48" t="str">
        <f>BR9</f>
        <v>01100100011001000110000000100100</v>
      </c>
      <c r="GF9" s="30" t="str">
        <f t="shared" si="126"/>
        <v>01100100</v>
      </c>
      <c r="GG9" s="30" t="str">
        <f t="shared" si="94"/>
        <v>01100100</v>
      </c>
      <c r="GH9" s="30" t="str">
        <f t="shared" si="95"/>
        <v>01100000</v>
      </c>
      <c r="GI9" s="30" t="str">
        <f t="shared" si="96"/>
        <v>00100100</v>
      </c>
      <c r="GJ9" s="78"/>
      <c r="GK9" s="78"/>
      <c r="GL9" s="78"/>
      <c r="GM9" s="78"/>
      <c r="GN9" s="31" t="str">
        <f t="shared" si="97"/>
        <v>0110</v>
      </c>
      <c r="GO9" s="31" t="str">
        <f t="shared" si="98"/>
        <v>1100</v>
      </c>
      <c r="GP9" s="31" t="str">
        <f t="shared" si="99"/>
        <v>0111</v>
      </c>
      <c r="GQ9" s="31" t="str">
        <f t="shared" si="100"/>
        <v>0100</v>
      </c>
      <c r="GR9" s="31" t="str">
        <f t="shared" si="101"/>
        <v>1111</v>
      </c>
      <c r="GS9" s="31" t="str">
        <f t="shared" si="102"/>
        <v>0001</v>
      </c>
      <c r="GT9" s="31" t="str">
        <f t="shared" si="103"/>
        <v>1011</v>
      </c>
      <c r="GU9" s="31" t="str">
        <f t="shared" si="104"/>
        <v>0111</v>
      </c>
      <c r="GV9" s="78"/>
      <c r="GW9" s="78"/>
      <c r="GX9" s="78"/>
      <c r="GY9" s="78"/>
      <c r="GZ9" s="78"/>
      <c r="HA9" s="78"/>
      <c r="HB9" s="78"/>
      <c r="HC9" s="78"/>
      <c r="HD9" s="30" t="str">
        <f t="shared" si="19"/>
        <v>0110010001100100</v>
      </c>
      <c r="HE9" s="30" t="str">
        <f t="shared" si="20"/>
        <v>0110000000100100</v>
      </c>
      <c r="HF9" s="78"/>
      <c r="HG9" s="78"/>
      <c r="HH9" s="48" t="str">
        <f>GE9</f>
        <v>01100100011001000110000000100100</v>
      </c>
      <c r="HI9" s="30" t="str">
        <f t="shared" si="128"/>
        <v>01100100</v>
      </c>
      <c r="HJ9" s="30" t="str">
        <f t="shared" si="105"/>
        <v>01100100</v>
      </c>
      <c r="HK9" s="30" t="str">
        <f t="shared" si="106"/>
        <v>01100000</v>
      </c>
      <c r="HL9" s="30" t="str">
        <f t="shared" si="107"/>
        <v>00100100</v>
      </c>
      <c r="HM9" s="78"/>
      <c r="HN9" s="78"/>
      <c r="HO9" s="78"/>
      <c r="HP9" s="78"/>
      <c r="HQ9" s="31" t="str">
        <f t="shared" si="108"/>
        <v>0110</v>
      </c>
      <c r="HR9" s="31" t="str">
        <f t="shared" si="109"/>
        <v>1100</v>
      </c>
      <c r="HS9" s="31" t="str">
        <f t="shared" si="110"/>
        <v>0111</v>
      </c>
      <c r="HT9" s="31" t="str">
        <f t="shared" si="111"/>
        <v>0100</v>
      </c>
      <c r="HU9" s="31" t="str">
        <f t="shared" si="112"/>
        <v>1111</v>
      </c>
      <c r="HV9" s="31" t="str">
        <f t="shared" si="113"/>
        <v>0001</v>
      </c>
      <c r="HW9" s="31" t="str">
        <f t="shared" si="114"/>
        <v>1011</v>
      </c>
      <c r="HX9" s="31" t="str">
        <f t="shared" si="115"/>
        <v>0111</v>
      </c>
      <c r="HY9" s="78"/>
      <c r="HZ9" s="78"/>
      <c r="IA9" s="78"/>
      <c r="IB9" s="78"/>
      <c r="IC9" s="78"/>
      <c r="ID9" s="78"/>
      <c r="IE9" s="78"/>
      <c r="IF9" s="78"/>
      <c r="IG9" s="30" t="str">
        <f t="shared" si="22"/>
        <v>0110010001100100</v>
      </c>
      <c r="IH9" s="30" t="str">
        <f t="shared" si="23"/>
        <v>0110000000100100</v>
      </c>
      <c r="II9" s="78"/>
      <c r="IJ9" s="78"/>
      <c r="IL9" s="30"/>
      <c r="IM9" s="30"/>
      <c r="IN9" s="30"/>
      <c r="IO9" s="30"/>
      <c r="IP9" s="23"/>
      <c r="IQ9" s="23"/>
      <c r="IR9" s="23"/>
      <c r="IS9" s="23"/>
      <c r="JB9" s="23"/>
      <c r="JC9" s="23"/>
      <c r="JD9" s="23"/>
      <c r="JE9" s="23"/>
      <c r="JF9" s="23"/>
      <c r="JG9" s="23"/>
      <c r="JH9" s="23"/>
      <c r="JI9" s="23"/>
      <c r="JJ9" s="30"/>
      <c r="JK9" s="30"/>
      <c r="JL9" s="23"/>
      <c r="JM9" s="23"/>
    </row>
    <row r="10" spans="1:273" s="27" customFormat="1" x14ac:dyDescent="0.35">
      <c r="A10" s="24"/>
      <c r="B10" s="25"/>
      <c r="C10" s="16" t="s">
        <v>0</v>
      </c>
      <c r="D10" s="16">
        <v>21</v>
      </c>
      <c r="E10" s="16">
        <v>29</v>
      </c>
      <c r="F10" s="16" t="s">
        <v>20</v>
      </c>
      <c r="G10" s="16" t="s">
        <v>127</v>
      </c>
      <c r="H10" s="16" t="str">
        <f t="shared" ref="H10:H15" si="146">CONCATENATE(HEX2BIN(D10,8),HEX2BIN(E10,8),HEX2BIN(F10,8),HEX2BIN(G10,8))</f>
        <v>00100001001010010000101010101101</v>
      </c>
      <c r="I10" s="16">
        <f t="shared" ref="I10:I15" si="147">MID(H10,1,1)+MID(H10,2,1)+MID(H10,3,1)+MID(H10,4,1)+MID(H10,5,1)+MID(H10,6,1)+MID(H10,7,1)+MID(H10,8,1)+MID(H10,9,1)+MID(H10,10,1)+MID(H10,11,1)+MID(H10,12,1)+MID(H10,13,1)+MID(H10,14,1)+MID(H10,15,1)+MID(H10,16,1)+MID(H10,17,1)+MID(H10,18,1)+MID(H10,19,1)+MID(H10,20,1)+MID(H10,21,1)+MID(H10,22,1)+MID(H10,23,1)+MID(H10,24,1)+MID(H10,25,1)+MID(H10,26,1)+MID(H10,27,1)+MID(H10,28,1)+MID(H10,29,1)+MID(H10,30,1)+MID(H10,31,1)+MID(H10,32,1)</f>
        <v>12</v>
      </c>
      <c r="J10" s="16">
        <v>64</v>
      </c>
      <c r="K10" s="16" t="str">
        <f>HEX2BIN(J10,8)</f>
        <v>01100100</v>
      </c>
      <c r="L10" s="43" t="str">
        <f>CONCATENATE(MID(H10,30,3),MID(H10,17,5),MID(H10,6,3),MID(H10,25,5),MID(H10,14,3),MID(H10,1,5),MID(H10,22,3),MID(H10,9,5))</f>
        <v>10100001001101010010010001000101</v>
      </c>
      <c r="M10" s="26" t="str">
        <f t="shared" si="24"/>
        <v>10100001</v>
      </c>
      <c r="N10" s="26" t="str">
        <f t="shared" si="25"/>
        <v>00110101</v>
      </c>
      <c r="O10" s="26" t="str">
        <f t="shared" si="26"/>
        <v>00100100</v>
      </c>
      <c r="P10" s="26" t="str">
        <f t="shared" si="27"/>
        <v>01000101</v>
      </c>
      <c r="Q10" s="77">
        <f>BIN2DEC(M10)-BIN2DEC(M11)</f>
        <v>103</v>
      </c>
      <c r="R10" s="77">
        <f>BIN2DEC(N10)-BIN2DEC(N11)</f>
        <v>19</v>
      </c>
      <c r="S10" s="77">
        <f>BIN2DEC(O10)-BIN2DEC(O11)</f>
        <v>-178</v>
      </c>
      <c r="T10" s="77">
        <f>BIN2DEC(P10)-BIN2DEC(P11)</f>
        <v>-37</v>
      </c>
      <c r="U10" s="27" t="str">
        <f t="shared" si="28"/>
        <v>1010</v>
      </c>
      <c r="V10" s="27" t="str">
        <f t="shared" si="29"/>
        <v>0001</v>
      </c>
      <c r="W10" s="27" t="str">
        <f t="shared" si="30"/>
        <v>0011</v>
      </c>
      <c r="X10" s="27" t="str">
        <f t="shared" si="31"/>
        <v>0101</v>
      </c>
      <c r="Y10" s="27" t="str">
        <f t="shared" si="32"/>
        <v>0010</v>
      </c>
      <c r="Z10" s="27" t="str">
        <f t="shared" si="33"/>
        <v>0100</v>
      </c>
      <c r="AA10" s="27" t="str">
        <f t="shared" si="34"/>
        <v>0100</v>
      </c>
      <c r="AB10" s="27" t="str">
        <f t="shared" si="35"/>
        <v>0101</v>
      </c>
      <c r="AC10" s="77">
        <f t="shared" ref="AC10:AJ10" si="148">BIN2DEC(U10)-BIN2DEC(U11)</f>
        <v>7</v>
      </c>
      <c r="AD10" s="77">
        <f t="shared" si="148"/>
        <v>-9</v>
      </c>
      <c r="AE10" s="77">
        <f t="shared" si="148"/>
        <v>1</v>
      </c>
      <c r="AF10" s="77">
        <f t="shared" si="148"/>
        <v>3</v>
      </c>
      <c r="AG10" s="77">
        <f t="shared" si="148"/>
        <v>-11</v>
      </c>
      <c r="AH10" s="77">
        <f t="shared" si="148"/>
        <v>-2</v>
      </c>
      <c r="AI10" s="77">
        <f t="shared" si="148"/>
        <v>-2</v>
      </c>
      <c r="AJ10" s="77">
        <f t="shared" si="148"/>
        <v>-5</v>
      </c>
      <c r="AK10" s="26" t="str">
        <f t="shared" si="1"/>
        <v>1010000100110101</v>
      </c>
      <c r="AL10" s="26" t="str">
        <f t="shared" si="2"/>
        <v>0010010001000101</v>
      </c>
      <c r="AM10" s="77">
        <f>MID(AK10,16,1)*POWER(2,0)+MID(AK10,15,1)*POWER(2,1)+MID(AK10,14,1)*POWER(2,2)+MID(AK10,13,1)*POWER(2,3)+MID(AK10,12,1)*POWER(2,4)+MID(AK10,11,1)*POWER(2,5)+MID(AK10,10,1)*POWER(2,6)+MID(AK10,9,1)*POWER(2,7)+MID(AK10,8,1)*POWER(2,8)+MID(AK10,7,1)*POWER(2,9)+MID(AK10,6,1)*POWER(2,10)+MID(AK10,5,1)*POWER(2,11)+MID(AK10,4,1)*POWER(2,12)+MID(AK10,3,1)*POWER(2,13)+MID(AK10,2,1)*POWER(2,14)+MID(AK10,1,1)*POWER(2,15)-(MID(AK11,16,1)*POWER(2,0)+MID(AK11,15,1)*POWER(2,1)+MID(AK11,14,1)*POWER(2,2)+MID(AK11,13,1)*POWER(2,3)+MID(AK11,12,1)*POWER(2,4)+MID(AK11,11,1)*POWER(2,5)+MID(AK11,10,1)*POWER(2,6)+MID(AK11,9,1)*POWER(2,7)+MID(AK11,8,1)*POWER(2,8)+MID(AK11,7,1)*POWER(2,9)+MID(AK11,6,1)*POWER(2,10)+MID(AK11,5,1)*POWER(2,11)+MID(AK11,4,1)*POWER(2,12)+MID(AK11,3,1)*POWER(2,13)+MID(AK11,2,1)*POWER(2,14)+MID(AK11,1,1)*POWER(2,15))</f>
        <v>26387</v>
      </c>
      <c r="AN10" s="77">
        <f>MID(AL10,16,1)*POWER(2,0)+MID(AL10,15,1)*POWER(2,1)+MID(AL10,14,1)*POWER(2,2)+MID(AL10,13,1)*POWER(2,3)+MID(AL10,12,1)*POWER(2,4)+MID(AL10,11,1)*POWER(2,5)+MID(AL10,10,1)*POWER(2,6)+MID(AL10,9,1)*POWER(2,7)+MID(AL10,8,1)*POWER(2,8)+MID(AL10,7,1)*POWER(2,9)+MID(AL10,6,1)*POWER(2,10)+MID(AL10,5,1)*POWER(2,11)+MID(AL10,4,1)*POWER(2,12)+MID(AL10,3,1)*POWER(2,13)+MID(AL10,2,1)*POWER(2,14)+MID(AL10,1,1)*POWER(2,15)-(MID(AL11,16,1)*POWER(2,0)+MID(AL11,15,1)*POWER(2,1)+MID(AL11,14,1)*POWER(2,2)+MID(AL11,13,1)*POWER(2,3)+MID(AL11,12,1)*POWER(2,4)+MID(AL11,11,1)*POWER(2,5)+MID(AL11,10,1)*POWER(2,6)+MID(AL11,9,1)*POWER(2,7)+MID(AL11,8,1)*POWER(2,8)+MID(AL11,7,1)*POWER(2,9)+MID(AL11,6,1)*POWER(2,10)+MID(AL11,5,1)*POWER(2,11)+MID(AL11,4,1)*POWER(2,12)+MID(AL11,3,1)*POWER(2,13)+MID(AL11,2,1)*POWER(2,14)+MID(AL11,1,1)*POWER(2,15))</f>
        <v>-45605</v>
      </c>
      <c r="AO10" s="45" t="str">
        <f>CONCATENATE(MID(L10,1,1)*MID(K10,1,1),MID(L10,2,1)*MID(K10,2,1),MID(L10,3,1)*MID(K10,3,1),MID(L10,4,1)*MID(K10,4,1),MID(L10,5,1)*MID(K10,5,1),MID(L10,6,1)*MID(K10,6,1),MID(L10,7,1)*MID(K10,7,1),MID(L10,8,1)*MID(K10,8,1),MID(L10,9,1)*MID(K10,1,1),MID(L10,10,1)*MID(K10,2,1),MID(L10,11,1)*MID(K10,3,1),MID(L10,12,1)*MID(K10,4,1),MID(L10,13,1)*MID(K10,5,1),MID(L10,14,1)*MID(K10,6,1),MID(L10,15,1)*MID(K10,7,1),MID(L10,16,1)*MID(K10,8,1),MID(L10,17,1)*MID(K10,1,1),MID(L10,18,1)*MID(K10,2,1),MID(L10,19,1)*MID(K10,3,1),MID(L10,20,1)*MID(K10,4,1),MID(L10,21,1)*MID(K10,5,1),MID(L10,22,1)*MID(K10,6,1),MID(L10,23,1)*MID(K10,7,1),MID(L10,24,1)*MID(K10,8,1),MID(L10,25,1)*MID(K10,1,1),MID(L10,26,1)*MID(K10,2,1),MID(L10,27,1)*MID(K10,3,1),MID(L10,28,1)*MID(K10,4,1),MID(L10,29,1)*MID(K10,5,1),MID(L10,30,1)*MID(K10,6,1),MID(L10,31,1)*MID(K10,7,1),MID(L10,32,1)*MID(K10,8,1))</f>
        <v>00100000001001000010010001000100</v>
      </c>
      <c r="AP10" s="26" t="str">
        <f t="shared" si="36"/>
        <v>00100000</v>
      </c>
      <c r="AQ10" s="26" t="str">
        <f t="shared" si="37"/>
        <v>00100100</v>
      </c>
      <c r="AR10" s="26" t="str">
        <f t="shared" si="38"/>
        <v>00100100</v>
      </c>
      <c r="AS10" s="26" t="str">
        <f t="shared" si="39"/>
        <v>01000100</v>
      </c>
      <c r="AT10" s="77">
        <f>BIN2DEC(AP10)-BIN2DEC(AP11)</f>
        <v>-26</v>
      </c>
      <c r="AU10" s="77">
        <f>BIN2DEC(AQ10)-BIN2DEC(AQ11)</f>
        <v>2</v>
      </c>
      <c r="AV10" s="77">
        <f>BIN2DEC(AR10)-BIN2DEC(AR11)</f>
        <v>-178</v>
      </c>
      <c r="AW10" s="77">
        <f>BIN2DEC(AS10)-BIN2DEC(AS11)</f>
        <v>-38</v>
      </c>
      <c r="AX10" s="27" t="str">
        <f t="shared" si="40"/>
        <v>1010</v>
      </c>
      <c r="AY10" s="27" t="str">
        <f t="shared" si="41"/>
        <v>0001</v>
      </c>
      <c r="AZ10" s="27" t="str">
        <f t="shared" si="42"/>
        <v>0011</v>
      </c>
      <c r="BA10" s="27" t="str">
        <f t="shared" si="43"/>
        <v>0101</v>
      </c>
      <c r="BB10" s="27" t="str">
        <f t="shared" si="44"/>
        <v>0010</v>
      </c>
      <c r="BC10" s="27" t="str">
        <f t="shared" si="45"/>
        <v>0100</v>
      </c>
      <c r="BD10" s="27" t="str">
        <f t="shared" si="46"/>
        <v>0100</v>
      </c>
      <c r="BE10" s="27" t="str">
        <f t="shared" si="47"/>
        <v>0101</v>
      </c>
      <c r="BF10" s="77">
        <f t="shared" ref="BF10:BM10" si="149">BIN2DEC(AX10)-BIN2DEC(AX11)</f>
        <v>7</v>
      </c>
      <c r="BG10" s="77">
        <f t="shared" si="149"/>
        <v>-9</v>
      </c>
      <c r="BH10" s="77">
        <f t="shared" si="149"/>
        <v>1</v>
      </c>
      <c r="BI10" s="77">
        <f t="shared" si="149"/>
        <v>3</v>
      </c>
      <c r="BJ10" s="77">
        <f t="shared" si="149"/>
        <v>-11</v>
      </c>
      <c r="BK10" s="77">
        <f t="shared" si="149"/>
        <v>-2</v>
      </c>
      <c r="BL10" s="77">
        <f t="shared" si="149"/>
        <v>-2</v>
      </c>
      <c r="BM10" s="77">
        <f t="shared" si="149"/>
        <v>-5</v>
      </c>
      <c r="BN10" s="26" t="str">
        <f t="shared" si="4"/>
        <v>0010000000100100</v>
      </c>
      <c r="BO10" s="26" t="str">
        <f t="shared" si="5"/>
        <v>0010010001000100</v>
      </c>
      <c r="BP10" s="77">
        <f>MID(BN10,16,1)*POWER(2,0)+MID(BN10,15,1)*POWER(2,1)+MID(BN10,14,1)*POWER(2,2)+MID(BN10,13,1)*POWER(2,3)+MID(BN10,12,1)*POWER(2,4)+MID(BN10,11,1)*POWER(2,5)+MID(BN10,10,1)*POWER(2,6)+MID(BN10,9,1)*POWER(2,7)+MID(BN10,8,1)*POWER(2,8)+MID(BN10,7,1)*POWER(2,9)+MID(BN10,6,1)*POWER(2,10)+MID(BN10,5,1)*POWER(2,11)+MID(BN10,4,1)*POWER(2,12)+MID(BN10,3,1)*POWER(2,13)+MID(BN10,2,1)*POWER(2,14)+MID(BN10,1,1)*POWER(2,15)-(MID(BN11,16,1)*POWER(2,0)+MID(BN11,15,1)*POWER(2,1)+MID(BN11,14,1)*POWER(2,2)+MID(BN11,13,1)*POWER(2,3)+MID(BN11,12,1)*POWER(2,4)+MID(BN11,11,1)*POWER(2,5)+MID(BN11,10,1)*POWER(2,6)+MID(BN11,9,1)*POWER(2,7)+MID(BN11,8,1)*POWER(2,8)+MID(BN11,7,1)*POWER(2,9)+MID(BN11,6,1)*POWER(2,10)+MID(BN11,5,1)*POWER(2,11)+MID(BN11,4,1)*POWER(2,12)+MID(BN11,3,1)*POWER(2,13)+MID(BN11,2,1)*POWER(2,14)+MID(BN11,1,1)*POWER(2,15))</f>
        <v>-6654</v>
      </c>
      <c r="BQ10" s="77">
        <f>MID(BO10,16,1)*POWER(2,0)+MID(BO10,15,1)*POWER(2,1)+MID(BO10,14,1)*POWER(2,2)+MID(BO10,13,1)*POWER(2,3)+MID(BO10,12,1)*POWER(2,4)+MID(BO10,11,1)*POWER(2,5)+MID(BO10,10,1)*POWER(2,6)+MID(BO10,9,1)*POWER(2,7)+MID(BO10,8,1)*POWER(2,8)+MID(BO10,7,1)*POWER(2,9)+MID(BO10,6,1)*POWER(2,10)+MID(BO10,5,1)*POWER(2,11)+MID(BO10,4,1)*POWER(2,12)+MID(BO10,3,1)*POWER(2,13)+MID(BO10,2,1)*POWER(2,14)+MID(BO10,1,1)*POWER(2,15)-(MID(BO11,16,1)*POWER(2,0)+MID(BO11,15,1)*POWER(2,1)+MID(BO11,14,1)*POWER(2,2)+MID(BO11,13,1)*POWER(2,3)+MID(BO11,12,1)*POWER(2,4)+MID(BO11,11,1)*POWER(2,5)+MID(BO11,10,1)*POWER(2,6)+MID(BO11,9,1)*POWER(2,7)+MID(BO11,8,1)*POWER(2,8)+MID(BO11,7,1)*POWER(2,9)+MID(BO11,6,1)*POWER(2,10)+MID(BO11,5,1)*POWER(2,11)+MID(BO11,4,1)*POWER(2,12)+MID(BO11,3,1)*POWER(2,13)+MID(BO11,2,1)*POWER(2,14)+MID(BO11,1,1)*POWER(2,15))</f>
        <v>-45606</v>
      </c>
      <c r="BR10" s="47" t="str">
        <f>L10</f>
        <v>10100001001101010010010001000101</v>
      </c>
      <c r="BS10" s="26" t="str">
        <f t="shared" si="48"/>
        <v>10100001</v>
      </c>
      <c r="BT10" s="26" t="str">
        <f t="shared" si="49"/>
        <v>00110101</v>
      </c>
      <c r="BU10" s="26" t="str">
        <f t="shared" si="50"/>
        <v>00100100</v>
      </c>
      <c r="BV10" s="26" t="str">
        <f t="shared" si="51"/>
        <v>01000101</v>
      </c>
      <c r="BW10" s="77">
        <f>BIN2DEC(BS10)-BIN2DEC(BS11)</f>
        <v>129</v>
      </c>
      <c r="BX10" s="77">
        <f>BIN2DEC(BT10)-BIN2DEC(BT11)</f>
        <v>21</v>
      </c>
      <c r="BY10" s="77">
        <f>BIN2DEC(BU10)-BIN2DEC(BU11)</f>
        <v>-32</v>
      </c>
      <c r="BZ10" s="77">
        <f>BIN2DEC(BV10)-BIN2DEC(BV11)</f>
        <v>-27</v>
      </c>
      <c r="CA10" s="27" t="str">
        <f t="shared" si="52"/>
        <v>1010</v>
      </c>
      <c r="CB10" s="27" t="str">
        <f t="shared" si="53"/>
        <v>0001</v>
      </c>
      <c r="CC10" s="27" t="str">
        <f t="shared" si="54"/>
        <v>0011</v>
      </c>
      <c r="CD10" s="27" t="str">
        <f t="shared" si="55"/>
        <v>0101</v>
      </c>
      <c r="CE10" s="27" t="str">
        <f t="shared" si="56"/>
        <v>0010</v>
      </c>
      <c r="CF10" s="27" t="str">
        <f t="shared" si="57"/>
        <v>0100</v>
      </c>
      <c r="CG10" s="27" t="str">
        <f t="shared" si="58"/>
        <v>0100</v>
      </c>
      <c r="CH10" s="27" t="str">
        <f t="shared" si="59"/>
        <v>0101</v>
      </c>
      <c r="CI10" s="77">
        <f t="shared" ref="CI10:CP10" si="150">BIN2DEC(CA10)-BIN2DEC(CA11)</f>
        <v>7</v>
      </c>
      <c r="CJ10" s="77">
        <f t="shared" si="150"/>
        <v>-9</v>
      </c>
      <c r="CK10" s="77">
        <f t="shared" si="150"/>
        <v>1</v>
      </c>
      <c r="CL10" s="77">
        <f t="shared" si="150"/>
        <v>3</v>
      </c>
      <c r="CM10" s="77">
        <f t="shared" si="150"/>
        <v>-11</v>
      </c>
      <c r="CN10" s="77">
        <f t="shared" si="150"/>
        <v>-2</v>
      </c>
      <c r="CO10" s="77">
        <f t="shared" si="150"/>
        <v>-2</v>
      </c>
      <c r="CP10" s="77">
        <f t="shared" si="150"/>
        <v>-5</v>
      </c>
      <c r="CQ10" s="26" t="str">
        <f t="shared" si="7"/>
        <v>1010000100110101</v>
      </c>
      <c r="CR10" s="26" t="str">
        <f t="shared" si="8"/>
        <v>0010010001000101</v>
      </c>
      <c r="CS10" s="77">
        <f>MID(CQ10,16,1)*POWER(2,0)+MID(CQ10,15,1)*POWER(2,1)+MID(CQ10,14,1)*POWER(2,2)+MID(CQ10,13,1)*POWER(2,3)+MID(CQ10,12,1)*POWER(2,4)+MID(CQ10,11,1)*POWER(2,5)+MID(CQ10,10,1)*POWER(2,6)+MID(CQ10,9,1)*POWER(2,7)+MID(CQ10,8,1)*POWER(2,8)+MID(CQ10,7,1)*POWER(2,9)+MID(CQ10,6,1)*POWER(2,10)+MID(CQ10,5,1)*POWER(2,11)+MID(CQ10,4,1)*POWER(2,12)+MID(CQ10,3,1)*POWER(2,13)+MID(CQ10,2,1)*POWER(2,14)+MID(CQ10,1,1)*POWER(2,15)-(MID(CQ11,16,1)*POWER(2,0)+MID(CQ11,15,1)*POWER(2,1)+MID(CQ11,14,1)*POWER(2,2)+MID(CQ11,13,1)*POWER(2,3)+MID(CQ11,12,1)*POWER(2,4)+MID(CQ11,11,1)*POWER(2,5)+MID(CQ11,10,1)*POWER(2,6)+MID(CQ11,9,1)*POWER(2,7)+MID(CQ11,8,1)*POWER(2,8)+MID(CQ11,7,1)*POWER(2,9)+MID(CQ11,6,1)*POWER(2,10)+MID(CQ11,5,1)*POWER(2,11)+MID(CQ11,4,1)*POWER(2,12)+MID(CQ11,3,1)*POWER(2,13)+MID(CQ11,2,1)*POWER(2,14)+MID(CQ11,1,1)*POWER(2,15))</f>
        <v>33045</v>
      </c>
      <c r="CT10" s="77">
        <f>MID(CR10,16,1)*POWER(2,0)+MID(CR10,15,1)*POWER(2,1)+MID(CR10,14,1)*POWER(2,2)+MID(CR10,13,1)*POWER(2,3)+MID(CR10,12,1)*POWER(2,4)+MID(CR10,11,1)*POWER(2,5)+MID(CR10,10,1)*POWER(2,6)+MID(CR10,9,1)*POWER(2,7)+MID(CR10,8,1)*POWER(2,8)+MID(CR10,7,1)*POWER(2,9)+MID(CR10,6,1)*POWER(2,10)+MID(CR10,5,1)*POWER(2,11)+MID(CR10,4,1)*POWER(2,12)+MID(CR10,3,1)*POWER(2,13)+MID(CR10,2,1)*POWER(2,14)+MID(CR10,1,1)*POWER(2,15)-(MID(CR11,16,1)*POWER(2,0)+MID(CR11,15,1)*POWER(2,1)+MID(CR11,14,1)*POWER(2,2)+MID(CR11,13,1)*POWER(2,3)+MID(CR11,12,1)*POWER(2,4)+MID(CR11,11,1)*POWER(2,5)+MID(CR11,10,1)*POWER(2,6)+MID(CR11,9,1)*POWER(2,7)+MID(CR11,8,1)*POWER(2,8)+MID(CR11,7,1)*POWER(2,9)+MID(CR11,6,1)*POWER(2,10)+MID(CR11,5,1)*POWER(2,11)+MID(CR11,4,1)*POWER(2,12)+MID(CR11,3,1)*POWER(2,13)+MID(CR11,2,1)*POWER(2,14)+MID(CR11,1,1)*POWER(2,15))</f>
        <v>-8219</v>
      </c>
      <c r="CU10" s="45" t="str">
        <f>CONCATENATE(MID($L10,1,1)*MID($K10,1,1),MID($L10,2,1)*MID($K10,2,1),MID($L10,3,1)*MID($K10,3,1),MID($L10,4,1)*MID($K10,4,1),MID($L10,5,1)*MID($K10,5,1),MID($L10,6,1)*MID($K10,6,1),MID($L10,7,1)*MID($K10,7,1),MID($L10,8,1)*MID($K10,8,1),MID($L10,9,1)*MID($K10,1,1),MID($L10,10,1)*MID($K10,2,1),MID($L10,11,1)*MID($K10,3,1),MID($L10,12,1)*MID($K10,4,1),MID($L10,13,1)*MID($K10,5,1),MID($L10,14,1)*MID($K10,6,1),MID($L10,15,1)*MID($K10,7,1),MID($L10,16,1)*MID($K10,8,1),MID($L10,17,1)*MID($K10,1,1),MID($L10,18,1)*MID($K10,2,1),MID($L10,19,1)*MID($K10,3,1),MID($L10,20,1)*MID($K10,4,1),MID($L10,21,1)*MID($K10,5,1),MID($L10,22,1)*MID($K10,6,1),MID($L10,23,1)*MID($K10,7,1),MID($L10,24,1)*MID($K10,8,1),MID($L10,25,1)*MID($K10,1,1),MID($L10,26,1)*MID($K10,2,1),MID($L10,27,1)*MID($K10,3,1),MID($L10,28,1)*MID($K10,4,1),MID($L10,29,1)*MID($K10,5,1),MID($L10,30,1)*MID($K10,6,1),MID($L10,31,1)*MID($K10,7,1),MID($L10,32,1)*MID($K10,8,1))</f>
        <v>00100000001001000010010001000100</v>
      </c>
      <c r="CV10" s="26" t="str">
        <f t="shared" si="60"/>
        <v>00100000</v>
      </c>
      <c r="CW10" s="26" t="str">
        <f t="shared" si="61"/>
        <v>00100100</v>
      </c>
      <c r="CX10" s="26" t="str">
        <f t="shared" si="62"/>
        <v>00100100</v>
      </c>
      <c r="CY10" s="26" t="str">
        <f t="shared" si="63"/>
        <v>01000100</v>
      </c>
      <c r="CZ10" s="77">
        <f>BIN2DEC(CV10)-BIN2DEC(CV11)</f>
        <v>0</v>
      </c>
      <c r="DA10" s="77">
        <f>BIN2DEC(CW10)-BIN2DEC(CW11)</f>
        <v>4</v>
      </c>
      <c r="DB10" s="77">
        <f>BIN2DEC(CX10)-BIN2DEC(CX11)</f>
        <v>-32</v>
      </c>
      <c r="DC10" s="77">
        <f>BIN2DEC(CY10)-BIN2DEC(CY11)</f>
        <v>-28</v>
      </c>
      <c r="DD10" s="27" t="str">
        <f t="shared" si="64"/>
        <v>1010</v>
      </c>
      <c r="DE10" s="27" t="str">
        <f t="shared" si="65"/>
        <v>0001</v>
      </c>
      <c r="DF10" s="27" t="str">
        <f t="shared" si="66"/>
        <v>0011</v>
      </c>
      <c r="DG10" s="27" t="str">
        <f t="shared" si="67"/>
        <v>0101</v>
      </c>
      <c r="DH10" s="27" t="str">
        <f t="shared" si="68"/>
        <v>0010</v>
      </c>
      <c r="DI10" s="27" t="str">
        <f t="shared" si="69"/>
        <v>0100</v>
      </c>
      <c r="DJ10" s="27" t="str">
        <f t="shared" si="70"/>
        <v>0100</v>
      </c>
      <c r="DK10" s="27" t="str">
        <f t="shared" si="71"/>
        <v>0101</v>
      </c>
      <c r="DL10" s="77">
        <f t="shared" ref="DL10:DS10" si="151">BIN2DEC(DD10)-BIN2DEC(DD11)</f>
        <v>7</v>
      </c>
      <c r="DM10" s="77">
        <f t="shared" si="151"/>
        <v>-9</v>
      </c>
      <c r="DN10" s="77">
        <f t="shared" si="151"/>
        <v>1</v>
      </c>
      <c r="DO10" s="77">
        <f t="shared" si="151"/>
        <v>3</v>
      </c>
      <c r="DP10" s="77">
        <f t="shared" si="151"/>
        <v>-11</v>
      </c>
      <c r="DQ10" s="77">
        <f t="shared" si="151"/>
        <v>-2</v>
      </c>
      <c r="DR10" s="77">
        <f t="shared" si="151"/>
        <v>-2</v>
      </c>
      <c r="DS10" s="77">
        <f t="shared" si="151"/>
        <v>-5</v>
      </c>
      <c r="DT10" s="26" t="str">
        <f t="shared" si="10"/>
        <v>0010000000100100</v>
      </c>
      <c r="DU10" s="26" t="str">
        <f t="shared" si="11"/>
        <v>0010010001000100</v>
      </c>
      <c r="DV10" s="77">
        <f>MID(DT10,16,1)*POWER(2,0)+MID(DT10,15,1)*POWER(2,1)+MID(DT10,14,1)*POWER(2,2)+MID(DT10,13,1)*POWER(2,3)+MID(DT10,12,1)*POWER(2,4)+MID(DT10,11,1)*POWER(2,5)+MID(DT10,10,1)*POWER(2,6)+MID(DT10,9,1)*POWER(2,7)+MID(DT10,8,1)*POWER(2,8)+MID(DT10,7,1)*POWER(2,9)+MID(DT10,6,1)*POWER(2,10)+MID(DT10,5,1)*POWER(2,11)+MID(DT10,4,1)*POWER(2,12)+MID(DT10,3,1)*POWER(2,13)+MID(DT10,2,1)*POWER(2,14)+MID(DT10,1,1)*POWER(2,15)-(MID(DT11,16,1)*POWER(2,0)+MID(DT11,15,1)*POWER(2,1)+MID(DT11,14,1)*POWER(2,2)+MID(DT11,13,1)*POWER(2,3)+MID(DT11,12,1)*POWER(2,4)+MID(DT11,11,1)*POWER(2,5)+MID(DT11,10,1)*POWER(2,6)+MID(DT11,9,1)*POWER(2,7)+MID(DT11,8,1)*POWER(2,8)+MID(DT11,7,1)*POWER(2,9)+MID(DT11,6,1)*POWER(2,10)+MID(DT11,5,1)*POWER(2,11)+MID(DT11,4,1)*POWER(2,12)+MID(DT11,3,1)*POWER(2,13)+MID(DT11,2,1)*POWER(2,14)+MID(DT11,1,1)*POWER(2,15))</f>
        <v>4</v>
      </c>
      <c r="DW10" s="77">
        <f>MID(DU10,16,1)*POWER(2,0)+MID(DU10,15,1)*POWER(2,1)+MID(DU10,14,1)*POWER(2,2)+MID(DU10,13,1)*POWER(2,3)+MID(DU10,12,1)*POWER(2,4)+MID(DU10,11,1)*POWER(2,5)+MID(DU10,10,1)*POWER(2,6)+MID(DU10,9,1)*POWER(2,7)+MID(DU10,8,1)*POWER(2,8)+MID(DU10,7,1)*POWER(2,9)+MID(DU10,6,1)*POWER(2,10)+MID(DU10,5,1)*POWER(2,11)+MID(DU10,4,1)*POWER(2,12)+MID(DU10,3,1)*POWER(2,13)+MID(DU10,2,1)*POWER(2,14)+MID(DU10,1,1)*POWER(2,15)-(MID(DU11,16,1)*POWER(2,0)+MID(DU11,15,1)*POWER(2,1)+MID(DU11,14,1)*POWER(2,2)+MID(DU11,13,1)*POWER(2,3)+MID(DU11,12,1)*POWER(2,4)+MID(DU11,11,1)*POWER(2,5)+MID(DU11,10,1)*POWER(2,6)+MID(DU11,9,1)*POWER(2,7)+MID(DU11,8,1)*POWER(2,8)+MID(DU11,7,1)*POWER(2,9)+MID(DU11,6,1)*POWER(2,10)+MID(DU11,5,1)*POWER(2,11)+MID(DU11,4,1)*POWER(2,12)+MID(DU11,3,1)*POWER(2,13)+MID(DU11,2,1)*POWER(2,14)+MID(DU11,1,1)*POWER(2,15))</f>
        <v>-8220</v>
      </c>
      <c r="DX10" s="22" t="str">
        <f>CONCATENATE(MID($H10,1,1)*MID($K10,1,1),MID($H10,2,1)*MID($K10,2,1),MID($H10,3,1)*MID($K10,3,1),MID($H10,4,1)*MID($K10,4,1),MID($H10,5,1)*MID($K10,5,1),MID($H10,6,1)*MID($K10,6,1),MID($H10,7,1)*MID($K10,7,1),MID($H10,8,1)*MID($K10,8,1),MID($H10,9,1)*MID($K10,1,1),MID($H10,10,1)*MID($K10,2,1),MID($H10,11,1)*MID($K10,3,1),MID($H10,12,1)*MID($K10,4,1),MID($H10,13,1)*MID($K10,5,1),MID($H10,14,1)*MID($K10,6,1),MID($H10,15,1)*MID($K10,7,1),MID($H10,16,1)*MID($K10,8,1),MID($H10,17,1)*MID($K10,1,1),MID($H10,18,1)*MID($K10,2,1),MID($H10,19,1)*MID($K10,3,1),MID($H10,20,1)*MID($K10,4,1),MID($H10,21,1)*MID($K10,5,1),MID($H10,22,1)*MID($K10,6,1),MID($H10,23,1)*MID($K10,7,1),MID($H10,24,1)*MID($K10,8,1),MID($H10,25,1)*MID($K10,1,1),MID($H10,26,1)*MID($K10,2,1),MID($H10,27,1)*MID($K10,3,1),MID($H10,28,1)*MID($K10,4,1),MID($H10,29,1)*MID($K10,5,1),MID($H10,30,1)*MID($K10,6,1),MID($H10,31,1)*MID($K10,7,1),MID($H10,32,1)*MID($K10,8,1))</f>
        <v>00100000001000000000000000100100</v>
      </c>
      <c r="DY10" s="43" t="str">
        <f>CONCATENATE(MID(DX10,30,3),MID(DX10,17,5),MID(DX10,6,3),MID(DX10,25,5),MID(DX10,14,3),MID(DX10,1,5),MID(DX10,22,3),MID(DX10,9,5))</f>
        <v>10000000000001000000010000000100</v>
      </c>
      <c r="DZ10" s="26" t="str">
        <f t="shared" si="122"/>
        <v>10000000</v>
      </c>
      <c r="EA10" s="26" t="str">
        <f t="shared" si="72"/>
        <v>00000100</v>
      </c>
      <c r="EB10" s="26" t="str">
        <f t="shared" si="73"/>
        <v>00000100</v>
      </c>
      <c r="EC10" s="26" t="str">
        <f t="shared" si="74"/>
        <v>00000100</v>
      </c>
      <c r="ED10" s="77">
        <f>BIN2DEC(DZ10)-BIN2DEC(DZ11)</f>
        <v>70</v>
      </c>
      <c r="EE10" s="77">
        <f>BIN2DEC(EA10)-BIN2DEC(EA11)</f>
        <v>-30</v>
      </c>
      <c r="EF10" s="77">
        <f>BIN2DEC(EB10)-BIN2DEC(EB11)</f>
        <v>-210</v>
      </c>
      <c r="EG10" s="77">
        <f>BIN2DEC(EC10)-BIN2DEC(EC11)</f>
        <v>-102</v>
      </c>
      <c r="EH10" s="27" t="str">
        <f t="shared" si="75"/>
        <v>1010</v>
      </c>
      <c r="EI10" s="27" t="str">
        <f t="shared" si="76"/>
        <v>0001</v>
      </c>
      <c r="EJ10" s="27" t="str">
        <f t="shared" si="77"/>
        <v>0011</v>
      </c>
      <c r="EK10" s="27" t="str">
        <f t="shared" si="78"/>
        <v>0101</v>
      </c>
      <c r="EL10" s="27" t="str">
        <f t="shared" si="79"/>
        <v>0010</v>
      </c>
      <c r="EM10" s="27" t="str">
        <f t="shared" si="80"/>
        <v>0100</v>
      </c>
      <c r="EN10" s="27" t="str">
        <f t="shared" si="81"/>
        <v>0100</v>
      </c>
      <c r="EO10" s="27" t="str">
        <f t="shared" si="82"/>
        <v>0101</v>
      </c>
      <c r="EP10" s="77">
        <f t="shared" ref="EP10:EW10" si="152">BIN2DEC(EH10)-BIN2DEC(EH11)</f>
        <v>7</v>
      </c>
      <c r="EQ10" s="77">
        <f t="shared" si="152"/>
        <v>-9</v>
      </c>
      <c r="ER10" s="77">
        <f t="shared" si="152"/>
        <v>1</v>
      </c>
      <c r="ES10" s="77">
        <f t="shared" si="152"/>
        <v>3</v>
      </c>
      <c r="ET10" s="77">
        <f t="shared" si="152"/>
        <v>-11</v>
      </c>
      <c r="EU10" s="77">
        <f t="shared" si="152"/>
        <v>-2</v>
      </c>
      <c r="EV10" s="77">
        <f t="shared" si="152"/>
        <v>-2</v>
      </c>
      <c r="EW10" s="77">
        <f t="shared" si="152"/>
        <v>-5</v>
      </c>
      <c r="EX10" s="26" t="str">
        <f t="shared" si="13"/>
        <v>1000000000000100</v>
      </c>
      <c r="EY10" s="26" t="str">
        <f t="shared" si="14"/>
        <v>0000010000000100</v>
      </c>
      <c r="EZ10" s="77">
        <f>MID(EX10,16,1)*POWER(2,0)+MID(EX10,15,1)*POWER(2,1)+MID(EX10,14,1)*POWER(2,2)+MID(EX10,13,1)*POWER(2,3)+MID(EX10,12,1)*POWER(2,4)+MID(EX10,11,1)*POWER(2,5)+MID(EX10,10,1)*POWER(2,6)+MID(EX10,9,1)*POWER(2,7)+MID(EX10,8,1)*POWER(2,8)+MID(EX10,7,1)*POWER(2,9)+MID(EX10,6,1)*POWER(2,10)+MID(EX10,5,1)*POWER(2,11)+MID(EX10,4,1)*POWER(2,12)+MID(EX10,3,1)*POWER(2,13)+MID(EX10,2,1)*POWER(2,14)+MID(EX10,1,1)*POWER(2,15)-(MID(EX11,16,1)*POWER(2,0)+MID(EX11,15,1)*POWER(2,1)+MID(EX11,14,1)*POWER(2,2)+MID(EX11,13,1)*POWER(2,3)+MID(EX11,12,1)*POWER(2,4)+MID(EX11,11,1)*POWER(2,5)+MID(EX11,10,1)*POWER(2,6)+MID(EX11,9,1)*POWER(2,7)+MID(EX11,8,1)*POWER(2,8)+MID(EX11,7,1)*POWER(2,9)+MID(EX11,6,1)*POWER(2,10)+MID(EX11,5,1)*POWER(2,11)+MID(EX11,4,1)*POWER(2,12)+MID(EX11,3,1)*POWER(2,13)+MID(EX11,2,1)*POWER(2,14)+MID(EX11,1,1)*POWER(2,15))</f>
        <v>17890</v>
      </c>
      <c r="FA10" s="77">
        <f>MID(EY10,16,1)*POWER(2,0)+MID(EY10,15,1)*POWER(2,1)+MID(EY10,14,1)*POWER(2,2)+MID(EY10,13,1)*POWER(2,3)+MID(EY10,12,1)*POWER(2,4)+MID(EY10,11,1)*POWER(2,5)+MID(EY10,10,1)*POWER(2,6)+MID(EY10,9,1)*POWER(2,7)+MID(EY10,8,1)*POWER(2,8)+MID(EY10,7,1)*POWER(2,9)+MID(EY10,6,1)*POWER(2,10)+MID(EY10,5,1)*POWER(2,11)+MID(EY10,4,1)*POWER(2,12)+MID(EY10,3,1)*POWER(2,13)+MID(EY10,2,1)*POWER(2,14)+MID(EY10,1,1)*POWER(2,15)-(MID(EY11,16,1)*POWER(2,0)+MID(EY11,15,1)*POWER(2,1)+MID(EY11,14,1)*POWER(2,2)+MID(EY11,13,1)*POWER(2,3)+MID(EY11,12,1)*POWER(2,4)+MID(EY11,11,1)*POWER(2,5)+MID(EY11,10,1)*POWER(2,6)+MID(EY11,9,1)*POWER(2,7)+MID(EY11,8,1)*POWER(2,8)+MID(EY11,7,1)*POWER(2,9)+MID(EY11,6,1)*POWER(2,10)+MID(EY11,5,1)*POWER(2,11)+MID(EY11,4,1)*POWER(2,12)+MID(EY11,3,1)*POWER(2,13)+MID(EY11,2,1)*POWER(2,14)+MID(EY11,1,1)*POWER(2,15))</f>
        <v>-53862</v>
      </c>
      <c r="FB10" s="45" t="str">
        <f>CONCATENATE(MID(DY10,1,1)*MID($K10,1,1),MID(DY10,2,1)*MID($K10,2,1),MID(DY10,3,1)*MID($K10,3,1),MID(DY10,4,1)*MID($K10,4,1),MID(DY10,5,1)*MID($K10,5,1),MID(DY10,6,1)*MID($K10,6,1),MID(DY10,7,1)*MID($K10,7,1),MID(DY10,8,1)*MID($K10,8,1),MID(DY10,9,1)*MID($K10,1,1),MID(DY10,10,1)*MID($K10,2,1),MID(DY10,11,1)*MID($K10,3,1),MID(DY10,12,1)*MID($K10,4,1),MID(DY10,13,1)*MID($K10,5,1),MID(DY10,14,1)*MID($K10,6,1),MID(DY10,15,1)*MID($K10,7,1),MID(DY10,16,1)*MID($K10,8,1),MID(DY10,17,1)*MID($K10,1,1),MID(DY10,18,1)*MID($K10,2,1),MID(DY10,19,1)*MID($K10,3,1),MID(DY10,20,1)*MID($K10,4,1),MID(DY10,21,1)*MID($K10,5,1),MID(DY10,22,1)*MID($K10,6,1),MID(DY10,23,1)*MID($K10,7,1),MID(DY10,24,1)*MID($K10,8,1),MID(DY10,25,1)*MID($K10,1,1),MID(DY10,26,1)*MID($K10,2,1),MID(DY10,27,1)*MID($K10,3,1),MID(DY10,28,1)*MID($K10,4,1),MID(DY10,29,1)*MID($K10,5,1),MID(DY10,30,1)*MID($K10,6,1),MID(DY10,31,1)*MID($K10,7,1),MID(DY10,32,1)*MID($K10,8,1))</f>
        <v>00000000000001000000010000000100</v>
      </c>
      <c r="FC10" s="26" t="str">
        <f t="shared" si="124"/>
        <v>00000000</v>
      </c>
      <c r="FD10" s="26" t="str">
        <f t="shared" si="83"/>
        <v>00000100</v>
      </c>
      <c r="FE10" s="26" t="str">
        <f t="shared" si="84"/>
        <v>00000100</v>
      </c>
      <c r="FF10" s="26" t="str">
        <f t="shared" si="85"/>
        <v>00000100</v>
      </c>
      <c r="FG10" s="77">
        <f>BIN2DEC(FC10)-BIN2DEC(FC11)</f>
        <v>-58</v>
      </c>
      <c r="FH10" s="77">
        <f>BIN2DEC(FD10)-BIN2DEC(FD11)</f>
        <v>-30</v>
      </c>
      <c r="FI10" s="77">
        <f>BIN2DEC(FE10)-BIN2DEC(FE11)</f>
        <v>-210</v>
      </c>
      <c r="FJ10" s="77">
        <f>BIN2DEC(FF10)-BIN2DEC(FF11)</f>
        <v>-102</v>
      </c>
      <c r="FK10" s="27" t="str">
        <f t="shared" si="86"/>
        <v>1010</v>
      </c>
      <c r="FL10" s="27" t="str">
        <f t="shared" si="87"/>
        <v>0001</v>
      </c>
      <c r="FM10" s="27" t="str">
        <f t="shared" si="88"/>
        <v>0011</v>
      </c>
      <c r="FN10" s="27" t="str">
        <f t="shared" si="89"/>
        <v>0101</v>
      </c>
      <c r="FO10" s="27" t="str">
        <f t="shared" si="90"/>
        <v>0010</v>
      </c>
      <c r="FP10" s="27" t="str">
        <f t="shared" si="91"/>
        <v>0100</v>
      </c>
      <c r="FQ10" s="27" t="str">
        <f t="shared" si="92"/>
        <v>0100</v>
      </c>
      <c r="FR10" s="27" t="str">
        <f t="shared" si="93"/>
        <v>0101</v>
      </c>
      <c r="FS10" s="77">
        <f t="shared" ref="FS10:FZ10" si="153">BIN2DEC(FK10)-BIN2DEC(FK11)</f>
        <v>7</v>
      </c>
      <c r="FT10" s="77">
        <f t="shared" si="153"/>
        <v>-9</v>
      </c>
      <c r="FU10" s="77">
        <f t="shared" si="153"/>
        <v>1</v>
      </c>
      <c r="FV10" s="77">
        <f t="shared" si="153"/>
        <v>3</v>
      </c>
      <c r="FW10" s="77">
        <f t="shared" si="153"/>
        <v>-11</v>
      </c>
      <c r="FX10" s="77">
        <f t="shared" si="153"/>
        <v>-2</v>
      </c>
      <c r="FY10" s="77">
        <f t="shared" si="153"/>
        <v>-2</v>
      </c>
      <c r="FZ10" s="77">
        <f t="shared" si="153"/>
        <v>-5</v>
      </c>
      <c r="GA10" s="26" t="str">
        <f t="shared" si="16"/>
        <v>0000000000000100</v>
      </c>
      <c r="GB10" s="26" t="str">
        <f t="shared" si="17"/>
        <v>0000010000000100</v>
      </c>
      <c r="GC10" s="77">
        <f>MID(GA10,16,1)*POWER(2,0)+MID(GA10,15,1)*POWER(2,1)+MID(GA10,14,1)*POWER(2,2)+MID(GA10,13,1)*POWER(2,3)+MID(GA10,12,1)*POWER(2,4)+MID(GA10,11,1)*POWER(2,5)+MID(GA10,10,1)*POWER(2,6)+MID(GA10,9,1)*POWER(2,7)+MID(GA10,8,1)*POWER(2,8)+MID(GA10,7,1)*POWER(2,9)+MID(GA10,6,1)*POWER(2,10)+MID(GA10,5,1)*POWER(2,11)+MID(GA10,4,1)*POWER(2,12)+MID(GA10,3,1)*POWER(2,13)+MID(GA10,2,1)*POWER(2,14)+MID(GA10,1,1)*POWER(2,15)-(MID(GA11,16,1)*POWER(2,0)+MID(GA11,15,1)*POWER(2,1)+MID(GA11,14,1)*POWER(2,2)+MID(GA11,13,1)*POWER(2,3)+MID(GA11,12,1)*POWER(2,4)+MID(GA11,11,1)*POWER(2,5)+MID(GA11,10,1)*POWER(2,6)+MID(GA11,9,1)*POWER(2,7)+MID(GA11,8,1)*POWER(2,8)+MID(GA11,7,1)*POWER(2,9)+MID(GA11,6,1)*POWER(2,10)+MID(GA11,5,1)*POWER(2,11)+MID(GA11,4,1)*POWER(2,12)+MID(GA11,3,1)*POWER(2,13)+MID(GA11,2,1)*POWER(2,14)+MID(GA11,1,1)*POWER(2,15))</f>
        <v>-14878</v>
      </c>
      <c r="GD10" s="77">
        <f>MID(GB10,16,1)*POWER(2,0)+MID(GB10,15,1)*POWER(2,1)+MID(GB10,14,1)*POWER(2,2)+MID(GB10,13,1)*POWER(2,3)+MID(GB10,12,1)*POWER(2,4)+MID(GB10,11,1)*POWER(2,5)+MID(GB10,10,1)*POWER(2,6)+MID(GB10,9,1)*POWER(2,7)+MID(GB10,8,1)*POWER(2,8)+MID(GB10,7,1)*POWER(2,9)+MID(GB10,6,1)*POWER(2,10)+MID(GB10,5,1)*POWER(2,11)+MID(GB10,4,1)*POWER(2,12)+MID(GB10,3,1)*POWER(2,13)+MID(GB10,2,1)*POWER(2,14)+MID(GB10,1,1)*POWER(2,15)-(MID(GB11,16,1)*POWER(2,0)+MID(GB11,15,1)*POWER(2,1)+MID(GB11,14,1)*POWER(2,2)+MID(GB11,13,1)*POWER(2,3)+MID(GB11,12,1)*POWER(2,4)+MID(GB11,11,1)*POWER(2,5)+MID(GB11,10,1)*POWER(2,6)+MID(GB11,9,1)*POWER(2,7)+MID(GB11,8,1)*POWER(2,8)+MID(GB11,7,1)*POWER(2,9)+MID(GB11,6,1)*POWER(2,10)+MID(GB11,5,1)*POWER(2,11)+MID(GB11,4,1)*POWER(2,12)+MID(GB11,3,1)*POWER(2,13)+MID(GB11,2,1)*POWER(2,14)+MID(GB11,1,1)*POWER(2,15))</f>
        <v>-53862</v>
      </c>
      <c r="GE10" s="47" t="str">
        <f>DY10</f>
        <v>10000000000001000000010000000100</v>
      </c>
      <c r="GF10" s="26" t="str">
        <f t="shared" si="126"/>
        <v>10000000</v>
      </c>
      <c r="GG10" s="26" t="str">
        <f t="shared" si="94"/>
        <v>00000100</v>
      </c>
      <c r="GH10" s="26" t="str">
        <f t="shared" si="95"/>
        <v>00000100</v>
      </c>
      <c r="GI10" s="26" t="str">
        <f t="shared" si="96"/>
        <v>00000100</v>
      </c>
      <c r="GJ10" s="77">
        <f>BIN2DEC(GF10)-BIN2DEC(GF11)</f>
        <v>96</v>
      </c>
      <c r="GK10" s="77">
        <f>BIN2DEC(GG10)-BIN2DEC(GG11)</f>
        <v>-28</v>
      </c>
      <c r="GL10" s="77">
        <f>BIN2DEC(GH10)-BIN2DEC(GH11)</f>
        <v>-64</v>
      </c>
      <c r="GM10" s="77">
        <f>BIN2DEC(GI10)-BIN2DEC(GI11)</f>
        <v>-92</v>
      </c>
      <c r="GN10" s="27" t="str">
        <f t="shared" si="97"/>
        <v>1010</v>
      </c>
      <c r="GO10" s="27" t="str">
        <f t="shared" si="98"/>
        <v>0001</v>
      </c>
      <c r="GP10" s="27" t="str">
        <f t="shared" si="99"/>
        <v>0011</v>
      </c>
      <c r="GQ10" s="27" t="str">
        <f t="shared" si="100"/>
        <v>0101</v>
      </c>
      <c r="GR10" s="27" t="str">
        <f t="shared" si="101"/>
        <v>0010</v>
      </c>
      <c r="GS10" s="27" t="str">
        <f t="shared" si="102"/>
        <v>0100</v>
      </c>
      <c r="GT10" s="27" t="str">
        <f t="shared" si="103"/>
        <v>0100</v>
      </c>
      <c r="GU10" s="27" t="str">
        <f t="shared" si="104"/>
        <v>0101</v>
      </c>
      <c r="GV10" s="77">
        <f t="shared" ref="GV10:HC10" si="154">BIN2DEC(GN10)-BIN2DEC(GN11)</f>
        <v>7</v>
      </c>
      <c r="GW10" s="77">
        <f t="shared" si="154"/>
        <v>-9</v>
      </c>
      <c r="GX10" s="77">
        <f t="shared" si="154"/>
        <v>1</v>
      </c>
      <c r="GY10" s="77">
        <f t="shared" si="154"/>
        <v>3</v>
      </c>
      <c r="GZ10" s="77">
        <f t="shared" si="154"/>
        <v>-11</v>
      </c>
      <c r="HA10" s="77">
        <f t="shared" si="154"/>
        <v>-2</v>
      </c>
      <c r="HB10" s="77">
        <f t="shared" si="154"/>
        <v>-2</v>
      </c>
      <c r="HC10" s="77">
        <f t="shared" si="154"/>
        <v>-5</v>
      </c>
      <c r="HD10" s="26" t="str">
        <f t="shared" si="19"/>
        <v>1000000000000100</v>
      </c>
      <c r="HE10" s="26" t="str">
        <f t="shared" si="20"/>
        <v>0000010000000100</v>
      </c>
      <c r="HF10" s="77">
        <f>MID(HD10,16,1)*POWER(2,0)+MID(HD10,15,1)*POWER(2,1)+MID(HD10,14,1)*POWER(2,2)+MID(HD10,13,1)*POWER(2,3)+MID(HD10,12,1)*POWER(2,4)+MID(HD10,11,1)*POWER(2,5)+MID(HD10,10,1)*POWER(2,6)+MID(HD10,9,1)*POWER(2,7)+MID(HD10,8,1)*POWER(2,8)+MID(HD10,7,1)*POWER(2,9)+MID(HD10,6,1)*POWER(2,10)+MID(HD10,5,1)*POWER(2,11)+MID(HD10,4,1)*POWER(2,12)+MID(HD10,3,1)*POWER(2,13)+MID(HD10,2,1)*POWER(2,14)+MID(HD10,1,1)*POWER(2,15)-(MID(HD11,16,1)*POWER(2,0)+MID(HD11,15,1)*POWER(2,1)+MID(HD11,14,1)*POWER(2,2)+MID(HD11,13,1)*POWER(2,3)+MID(HD11,12,1)*POWER(2,4)+MID(HD11,11,1)*POWER(2,5)+MID(HD11,10,1)*POWER(2,6)+MID(HD11,9,1)*POWER(2,7)+MID(HD11,8,1)*POWER(2,8)+MID(HD11,7,1)*POWER(2,9)+MID(HD11,6,1)*POWER(2,10)+MID(HD11,5,1)*POWER(2,11)+MID(HD11,4,1)*POWER(2,12)+MID(HD11,3,1)*POWER(2,13)+MID(HD11,2,1)*POWER(2,14)+MID(HD11,1,1)*POWER(2,15))</f>
        <v>24548</v>
      </c>
      <c r="HG10" s="77">
        <f>MID(HE10,16,1)*POWER(2,0)+MID(HE10,15,1)*POWER(2,1)+MID(HE10,14,1)*POWER(2,2)+MID(HE10,13,1)*POWER(2,3)+MID(HE10,12,1)*POWER(2,4)+MID(HE10,11,1)*POWER(2,5)+MID(HE10,10,1)*POWER(2,6)+MID(HE10,9,1)*POWER(2,7)+MID(HE10,8,1)*POWER(2,8)+MID(HE10,7,1)*POWER(2,9)+MID(HE10,6,1)*POWER(2,10)+MID(HE10,5,1)*POWER(2,11)+MID(HE10,4,1)*POWER(2,12)+MID(HE10,3,1)*POWER(2,13)+MID(HE10,2,1)*POWER(2,14)+MID(HE10,1,1)*POWER(2,15)-(MID(HE11,16,1)*POWER(2,0)+MID(HE11,15,1)*POWER(2,1)+MID(HE11,14,1)*POWER(2,2)+MID(HE11,13,1)*POWER(2,3)+MID(HE11,12,1)*POWER(2,4)+MID(HE11,11,1)*POWER(2,5)+MID(HE11,10,1)*POWER(2,6)+MID(HE11,9,1)*POWER(2,7)+MID(HE11,8,1)*POWER(2,8)+MID(HE11,7,1)*POWER(2,9)+MID(HE11,6,1)*POWER(2,10)+MID(HE11,5,1)*POWER(2,11)+MID(HE11,4,1)*POWER(2,12)+MID(HE11,3,1)*POWER(2,13)+MID(HE11,2,1)*POWER(2,14)+MID(HE11,1,1)*POWER(2,15))</f>
        <v>-16476</v>
      </c>
      <c r="HH10" s="45" t="str">
        <f>CONCATENATE(MID(GE10,1,1)*MID($K10,1,1),MID(GE10,2,1)*MID($K10,2,1),MID(GE10,3,1)*MID($K10,3,1),MID(GE10,4,1)*MID($K10,4,1),MID(GE10,5,1)*MID($K10,5,1),MID(GE10,6,1)*MID($K10,6,1),MID(GE10,7,1)*MID($K10,7,1),MID(GE10,8,1)*MID($K10,8,1),MID(GE10,9,1)*MID($K10,1,1),MID(GE10,10,1)*MID($K10,2,1),MID(GE10,11,1)*MID($K10,3,1),MID(GE10,12,1)*MID($K10,4,1),MID(GE10,13,1)*MID($K10,5,1),MID(GE10,14,1)*MID($K10,6,1),MID(GE10,15,1)*MID($K10,7,1),MID(GE10,16,1)*MID($K10,8,1),MID(GE10,17,1)*MID($K10,1,1),MID(GE10,18,1)*MID($K10,2,1),MID(GE10,19,1)*MID($K10,3,1),MID(GE10,20,1)*MID($K10,4,1),MID(GE10,21,1)*MID($K10,5,1),MID(GE10,22,1)*MID($K10,6,1),MID(GE10,23,1)*MID($K10,7,1),MID(GE10,24,1)*MID($K10,8,1),MID(GE10,25,1)*MID($K10,1,1),MID(GE10,26,1)*MID($K10,2,1),MID(GE10,27,1)*MID($K10,3,1),MID(GE10,28,1)*MID($K10,4,1),MID(GE10,29,1)*MID($K10,5,1),MID(GE10,30,1)*MID($K10,6,1),MID(GE10,31,1)*MID($K10,7,1),MID(GE10,32,1)*MID($K10,8,1))</f>
        <v>00000000000001000000010000000100</v>
      </c>
      <c r="HI10" s="26" t="str">
        <f t="shared" si="128"/>
        <v>00000000</v>
      </c>
      <c r="HJ10" s="26" t="str">
        <f t="shared" si="105"/>
        <v>00000100</v>
      </c>
      <c r="HK10" s="26" t="str">
        <f t="shared" si="106"/>
        <v>00000100</v>
      </c>
      <c r="HL10" s="26" t="str">
        <f t="shared" si="107"/>
        <v>00000100</v>
      </c>
      <c r="HM10" s="77">
        <f>BIN2DEC(HI10)-BIN2DEC(HI11)</f>
        <v>-32</v>
      </c>
      <c r="HN10" s="77">
        <f>BIN2DEC(HJ10)-BIN2DEC(HJ11)</f>
        <v>-28</v>
      </c>
      <c r="HO10" s="77">
        <f>BIN2DEC(HK10)-BIN2DEC(HK11)</f>
        <v>-64</v>
      </c>
      <c r="HP10" s="77">
        <f>BIN2DEC(HL10)-BIN2DEC(HL11)</f>
        <v>-92</v>
      </c>
      <c r="HQ10" s="27" t="str">
        <f t="shared" si="108"/>
        <v>1010</v>
      </c>
      <c r="HR10" s="27" t="str">
        <f t="shared" si="109"/>
        <v>0001</v>
      </c>
      <c r="HS10" s="27" t="str">
        <f t="shared" si="110"/>
        <v>0011</v>
      </c>
      <c r="HT10" s="27" t="str">
        <f t="shared" si="111"/>
        <v>0101</v>
      </c>
      <c r="HU10" s="27" t="str">
        <f t="shared" si="112"/>
        <v>0010</v>
      </c>
      <c r="HV10" s="27" t="str">
        <f t="shared" si="113"/>
        <v>0100</v>
      </c>
      <c r="HW10" s="27" t="str">
        <f t="shared" si="114"/>
        <v>0100</v>
      </c>
      <c r="HX10" s="27" t="str">
        <f t="shared" si="115"/>
        <v>0101</v>
      </c>
      <c r="HY10" s="77">
        <f t="shared" ref="HY10:IF10" si="155">BIN2DEC(HQ10)-BIN2DEC(HQ11)</f>
        <v>7</v>
      </c>
      <c r="HZ10" s="77">
        <f t="shared" si="155"/>
        <v>-9</v>
      </c>
      <c r="IA10" s="77">
        <f t="shared" si="155"/>
        <v>1</v>
      </c>
      <c r="IB10" s="77">
        <f t="shared" si="155"/>
        <v>3</v>
      </c>
      <c r="IC10" s="77">
        <f t="shared" si="155"/>
        <v>-11</v>
      </c>
      <c r="ID10" s="77">
        <f t="shared" si="155"/>
        <v>-2</v>
      </c>
      <c r="IE10" s="77">
        <f t="shared" si="155"/>
        <v>-2</v>
      </c>
      <c r="IF10" s="77">
        <f t="shared" si="155"/>
        <v>-5</v>
      </c>
      <c r="IG10" s="26" t="str">
        <f t="shared" si="22"/>
        <v>0000000000000100</v>
      </c>
      <c r="IH10" s="26" t="str">
        <f t="shared" si="23"/>
        <v>0000010000000100</v>
      </c>
      <c r="II10" s="77">
        <f>MID(IG10,16,1)*POWER(2,0)+MID(IG10,15,1)*POWER(2,1)+MID(IG10,14,1)*POWER(2,2)+MID(IG10,13,1)*POWER(2,3)+MID(IG10,12,1)*POWER(2,4)+MID(IG10,11,1)*POWER(2,5)+MID(IG10,10,1)*POWER(2,6)+MID(IG10,9,1)*POWER(2,7)+MID(IG10,8,1)*POWER(2,8)+MID(IG10,7,1)*POWER(2,9)+MID(IG10,6,1)*POWER(2,10)+MID(IG10,5,1)*POWER(2,11)+MID(IG10,4,1)*POWER(2,12)+MID(IG10,3,1)*POWER(2,13)+MID(IG10,2,1)*POWER(2,14)+MID(IG10,1,1)*POWER(2,15)-(MID(IG11,16,1)*POWER(2,0)+MID(IG11,15,1)*POWER(2,1)+MID(IG11,14,1)*POWER(2,2)+MID(IG11,13,1)*POWER(2,3)+MID(IG11,12,1)*POWER(2,4)+MID(IG11,11,1)*POWER(2,5)+MID(IG11,10,1)*POWER(2,6)+MID(IG11,9,1)*POWER(2,7)+MID(IG11,8,1)*POWER(2,8)+MID(IG11,7,1)*POWER(2,9)+MID(IG11,6,1)*POWER(2,10)+MID(IG11,5,1)*POWER(2,11)+MID(IG11,4,1)*POWER(2,12)+MID(IG11,3,1)*POWER(2,13)+MID(IG11,2,1)*POWER(2,14)+MID(IG11,1,1)*POWER(2,15))</f>
        <v>-8220</v>
      </c>
      <c r="IJ10" s="77">
        <f>MID(IH10,16,1)*POWER(2,0)+MID(IH10,15,1)*POWER(2,1)+MID(IH10,14,1)*POWER(2,2)+MID(IH10,13,1)*POWER(2,3)+MID(IH10,12,1)*POWER(2,4)+MID(IH10,11,1)*POWER(2,5)+MID(IH10,10,1)*POWER(2,6)+MID(IH10,9,1)*POWER(2,7)+MID(IH10,8,1)*POWER(2,8)+MID(IH10,7,1)*POWER(2,9)+MID(IH10,6,1)*POWER(2,10)+MID(IH10,5,1)*POWER(2,11)+MID(IH10,4,1)*POWER(2,12)+MID(IH10,3,1)*POWER(2,13)+MID(IH10,2,1)*POWER(2,14)+MID(IH10,1,1)*POWER(2,15)-(MID(IH11,16,1)*POWER(2,0)+MID(IH11,15,1)*POWER(2,1)+MID(IH11,14,1)*POWER(2,2)+MID(IH11,13,1)*POWER(2,3)+MID(IH11,12,1)*POWER(2,4)+MID(IH11,11,1)*POWER(2,5)+MID(IH11,10,1)*POWER(2,6)+MID(IH11,9,1)*POWER(2,7)+MID(IH11,8,1)*POWER(2,8)+MID(IH11,7,1)*POWER(2,9)+MID(IH11,6,1)*POWER(2,10)+MID(IH11,5,1)*POWER(2,11)+MID(IH11,4,1)*POWER(2,12)+MID(IH11,3,1)*POWER(2,13)+MID(IH11,2,1)*POWER(2,14)+MID(IH11,1,1)*POWER(2,15))</f>
        <v>-16476</v>
      </c>
      <c r="IL10" s="26"/>
      <c r="IM10" s="26"/>
      <c r="IN10" s="26"/>
      <c r="IO10" s="26"/>
      <c r="IP10" s="22"/>
      <c r="IQ10" s="22"/>
      <c r="IR10" s="22"/>
      <c r="IS10" s="22"/>
      <c r="JB10" s="22"/>
      <c r="JC10" s="22"/>
      <c r="JD10" s="22"/>
      <c r="JE10" s="22"/>
      <c r="JF10" s="22"/>
      <c r="JG10" s="22"/>
      <c r="JH10" s="22"/>
      <c r="JI10" s="22"/>
      <c r="JJ10" s="26"/>
      <c r="JK10" s="26"/>
      <c r="JL10" s="22"/>
      <c r="JM10" s="22"/>
    </row>
    <row r="11" spans="1:273" s="31" customFormat="1" ht="18.600000000000001" thickBot="1" x14ac:dyDescent="0.4">
      <c r="A11" s="28"/>
      <c r="B11" s="29"/>
      <c r="C11" s="17" t="s">
        <v>6</v>
      </c>
      <c r="D11" s="17" t="s">
        <v>115</v>
      </c>
      <c r="E11" s="17">
        <v>22</v>
      </c>
      <c r="F11" s="17" t="s">
        <v>35</v>
      </c>
      <c r="G11" s="17" t="s">
        <v>59</v>
      </c>
      <c r="H11" s="17" t="str">
        <f t="shared" si="146"/>
        <v>00111010001000101101011001101010</v>
      </c>
      <c r="I11" s="17">
        <f t="shared" si="147"/>
        <v>15</v>
      </c>
      <c r="J11" s="17"/>
      <c r="K11" s="17"/>
      <c r="L11" s="44" t="str">
        <f>H11</f>
        <v>00111010001000101101011001101010</v>
      </c>
      <c r="M11" s="30" t="str">
        <f t="shared" si="24"/>
        <v>00111010</v>
      </c>
      <c r="N11" s="30" t="str">
        <f t="shared" si="25"/>
        <v>00100010</v>
      </c>
      <c r="O11" s="30" t="str">
        <f t="shared" si="26"/>
        <v>11010110</v>
      </c>
      <c r="P11" s="30" t="str">
        <f t="shared" si="27"/>
        <v>01101010</v>
      </c>
      <c r="Q11" s="78"/>
      <c r="R11" s="78"/>
      <c r="S11" s="78"/>
      <c r="T11" s="78"/>
      <c r="U11" s="31" t="str">
        <f t="shared" si="28"/>
        <v>0011</v>
      </c>
      <c r="V11" s="31" t="str">
        <f t="shared" si="29"/>
        <v>1010</v>
      </c>
      <c r="W11" s="31" t="str">
        <f t="shared" si="30"/>
        <v>0010</v>
      </c>
      <c r="X11" s="31" t="str">
        <f t="shared" si="31"/>
        <v>0010</v>
      </c>
      <c r="Y11" s="31" t="str">
        <f t="shared" si="32"/>
        <v>1101</v>
      </c>
      <c r="Z11" s="31" t="str">
        <f t="shared" si="33"/>
        <v>0110</v>
      </c>
      <c r="AA11" s="31" t="str">
        <f t="shared" si="34"/>
        <v>0110</v>
      </c>
      <c r="AB11" s="31" t="str">
        <f t="shared" si="35"/>
        <v>1010</v>
      </c>
      <c r="AC11" s="78"/>
      <c r="AD11" s="78"/>
      <c r="AE11" s="78"/>
      <c r="AF11" s="78"/>
      <c r="AG11" s="78"/>
      <c r="AH11" s="78"/>
      <c r="AI11" s="78"/>
      <c r="AJ11" s="78"/>
      <c r="AK11" s="30" t="str">
        <f t="shared" si="1"/>
        <v>0011101000100010</v>
      </c>
      <c r="AL11" s="30" t="str">
        <f t="shared" si="2"/>
        <v>1101011001101010</v>
      </c>
      <c r="AM11" s="78"/>
      <c r="AN11" s="78"/>
      <c r="AO11" s="46" t="str">
        <f>L11</f>
        <v>00111010001000101101011001101010</v>
      </c>
      <c r="AP11" s="30" t="str">
        <f t="shared" si="36"/>
        <v>00111010</v>
      </c>
      <c r="AQ11" s="30" t="str">
        <f t="shared" si="37"/>
        <v>00100010</v>
      </c>
      <c r="AR11" s="30" t="str">
        <f t="shared" si="38"/>
        <v>11010110</v>
      </c>
      <c r="AS11" s="30" t="str">
        <f t="shared" si="39"/>
        <v>01101010</v>
      </c>
      <c r="AT11" s="78"/>
      <c r="AU11" s="78"/>
      <c r="AV11" s="78"/>
      <c r="AW11" s="78"/>
      <c r="AX11" s="31" t="str">
        <f t="shared" si="40"/>
        <v>0011</v>
      </c>
      <c r="AY11" s="31" t="str">
        <f t="shared" si="41"/>
        <v>1010</v>
      </c>
      <c r="AZ11" s="31" t="str">
        <f t="shared" si="42"/>
        <v>0010</v>
      </c>
      <c r="BA11" s="31" t="str">
        <f t="shared" si="43"/>
        <v>0010</v>
      </c>
      <c r="BB11" s="31" t="str">
        <f t="shared" si="44"/>
        <v>1101</v>
      </c>
      <c r="BC11" s="31" t="str">
        <f t="shared" si="45"/>
        <v>0110</v>
      </c>
      <c r="BD11" s="31" t="str">
        <f t="shared" si="46"/>
        <v>0110</v>
      </c>
      <c r="BE11" s="31" t="str">
        <f t="shared" si="47"/>
        <v>1010</v>
      </c>
      <c r="BF11" s="78"/>
      <c r="BG11" s="78"/>
      <c r="BH11" s="78"/>
      <c r="BI11" s="78"/>
      <c r="BJ11" s="78"/>
      <c r="BK11" s="78"/>
      <c r="BL11" s="78"/>
      <c r="BM11" s="78"/>
      <c r="BN11" s="30" t="str">
        <f t="shared" si="4"/>
        <v>0011101000100010</v>
      </c>
      <c r="BO11" s="30" t="str">
        <f t="shared" si="5"/>
        <v>1101011001101010</v>
      </c>
      <c r="BP11" s="78"/>
      <c r="BQ11" s="78"/>
      <c r="BR11" s="46" t="str">
        <f>CONCATENATE(MID(L11,1,1)*MID(K10,1,1),MID(L11,2,1)*MID(K10,2,1),MID(L11,3,1)*MID(K10,3,1),MID(L11,4,1)*MID(K10,4,1),MID(L11,5,1)*MID(K10,5,1),MID(L11,6,1)*MID(K10,6,1),MID(L11,7,1)*MID(K10,7,1),MID(L11,8,1)*MID(K10,8,1),MID(L11,9,1)*MID(K10,1,1),MID(L11,10,1)*MID(K10,2,1),MID(L11,11,1)*MID(K10,3,1),MID(L11,12,1)*MID(K10,4,1),MID(L11,13,1)*MID(K10,5,1),MID(L11,14,1)*MID(K10,6,1),MID(L11,15,1)*MID(K10,7,1),MID(L11,16,1)*MID(K10,8,1),MID(L11,17,1)*MID(K10,1,1),MID(L11,18,1)*MID(K10,2,1),MID(L11,19,1)*MID(K10,3,1),MID(L11,20,1)*MID(K10,4,1),MID(L11,21,1)*MID(K10,5,1),MID(L11,22,1)*MID(K10,6,1),MID(L11,23,1)*MID(K10,7,1),MID(L11,24,1)*MID(K10,8,1),MID(L11,25,1)*MID(K10,1,1),MID(L11,26,1)*MID(K10,2,1),MID(L11,27,1)*MID(K10,3,1),MID(L11,28,1)*MID(K10,4,1),MID(L11,29,1)*MID(K10,5,1),MID(L11,30,1)*MID(K10,6,1),MID(L11,31,1)*MID(K10,7,1),MID(L11,32,1)*MID(K10,8,1))</f>
        <v>00100000001000000100010001100000</v>
      </c>
      <c r="BS11" s="30" t="str">
        <f t="shared" si="48"/>
        <v>00100000</v>
      </c>
      <c r="BT11" s="30" t="str">
        <f t="shared" si="49"/>
        <v>00100000</v>
      </c>
      <c r="BU11" s="30" t="str">
        <f t="shared" si="50"/>
        <v>01000100</v>
      </c>
      <c r="BV11" s="30" t="str">
        <f t="shared" si="51"/>
        <v>01100000</v>
      </c>
      <c r="BW11" s="78"/>
      <c r="BX11" s="78"/>
      <c r="BY11" s="78"/>
      <c r="BZ11" s="78"/>
      <c r="CA11" s="31" t="str">
        <f t="shared" si="52"/>
        <v>0011</v>
      </c>
      <c r="CB11" s="31" t="str">
        <f t="shared" si="53"/>
        <v>1010</v>
      </c>
      <c r="CC11" s="31" t="str">
        <f t="shared" si="54"/>
        <v>0010</v>
      </c>
      <c r="CD11" s="31" t="str">
        <f t="shared" si="55"/>
        <v>0010</v>
      </c>
      <c r="CE11" s="31" t="str">
        <f t="shared" si="56"/>
        <v>1101</v>
      </c>
      <c r="CF11" s="31" t="str">
        <f t="shared" si="57"/>
        <v>0110</v>
      </c>
      <c r="CG11" s="31" t="str">
        <f t="shared" si="58"/>
        <v>0110</v>
      </c>
      <c r="CH11" s="31" t="str">
        <f t="shared" si="59"/>
        <v>1010</v>
      </c>
      <c r="CI11" s="78"/>
      <c r="CJ11" s="78"/>
      <c r="CK11" s="78"/>
      <c r="CL11" s="78"/>
      <c r="CM11" s="78"/>
      <c r="CN11" s="78"/>
      <c r="CO11" s="78"/>
      <c r="CP11" s="78"/>
      <c r="CQ11" s="30" t="str">
        <f t="shared" si="7"/>
        <v>0010000000100000</v>
      </c>
      <c r="CR11" s="30" t="str">
        <f t="shared" si="8"/>
        <v>0100010001100000</v>
      </c>
      <c r="CS11" s="78"/>
      <c r="CT11" s="78"/>
      <c r="CU11" s="46" t="str">
        <f>CONCATENATE(MID($L11,1,1)*MID($K10,1,1),MID($L11,2,1)*MID($K10,2,1),MID($L11,3,1)*MID($K10,3,1),MID($L11,4,1)*MID($K10,4,1),MID($L11,5,1)*MID($K10,5,1),MID($L11,6,1)*MID($K10,6,1),MID($L11,7,1)*MID($K10,7,1),MID($L11,8,1)*MID($K10,8,1),MID($L11,9,1)*MID($K10,1,1),MID($L11,10,1)*MID($K10,2,1),MID($L11,11,1)*MID($K10,3,1),MID($L11,12,1)*MID($K10,4,1),MID($L11,13,1)*MID($K10,5,1),MID($L11,14,1)*MID($K10,6,1),MID($L11,15,1)*MID($K10,7,1),MID($L11,16,1)*MID($K10,8,1),MID($L11,17,1)*MID($K10,1,1),MID($L11,18,1)*MID($K10,2,1),MID($L11,19,1)*MID($K10,3,1),MID($L11,20,1)*MID($K10,4,1),MID($L11,21,1)*MID($K10,5,1),MID($L11,22,1)*MID($K10,6,1),MID($L11,23,1)*MID($K10,7,1),MID($L11,24,1)*MID($K10,8,1),MID($L11,25,1)*MID($K10,1,1),MID($L11,26,1)*MID($K10,2,1),MID($L11,27,1)*MID($K10,3,1),MID($L11,28,1)*MID($K10,4,1),MID($L11,29,1)*MID($K10,5,1),MID($L11,30,1)*MID($K10,6,1),MID($L11,31,1)*MID($K10,7,1),MID($L11,32,1)*MID($K10,8,1))</f>
        <v>00100000001000000100010001100000</v>
      </c>
      <c r="CV11" s="30" t="str">
        <f t="shared" si="60"/>
        <v>00100000</v>
      </c>
      <c r="CW11" s="30" t="str">
        <f t="shared" si="61"/>
        <v>00100000</v>
      </c>
      <c r="CX11" s="30" t="str">
        <f t="shared" si="62"/>
        <v>01000100</v>
      </c>
      <c r="CY11" s="30" t="str">
        <f t="shared" si="63"/>
        <v>01100000</v>
      </c>
      <c r="CZ11" s="78"/>
      <c r="DA11" s="78"/>
      <c r="DB11" s="78"/>
      <c r="DC11" s="78"/>
      <c r="DD11" s="31" t="str">
        <f t="shared" si="64"/>
        <v>0011</v>
      </c>
      <c r="DE11" s="31" t="str">
        <f t="shared" si="65"/>
        <v>1010</v>
      </c>
      <c r="DF11" s="31" t="str">
        <f t="shared" si="66"/>
        <v>0010</v>
      </c>
      <c r="DG11" s="31" t="str">
        <f t="shared" si="67"/>
        <v>0010</v>
      </c>
      <c r="DH11" s="31" t="str">
        <f t="shared" si="68"/>
        <v>1101</v>
      </c>
      <c r="DI11" s="31" t="str">
        <f t="shared" si="69"/>
        <v>0110</v>
      </c>
      <c r="DJ11" s="31" t="str">
        <f t="shared" si="70"/>
        <v>0110</v>
      </c>
      <c r="DK11" s="31" t="str">
        <f t="shared" si="71"/>
        <v>1010</v>
      </c>
      <c r="DL11" s="78"/>
      <c r="DM11" s="78"/>
      <c r="DN11" s="78"/>
      <c r="DO11" s="78"/>
      <c r="DP11" s="78"/>
      <c r="DQ11" s="78"/>
      <c r="DR11" s="78"/>
      <c r="DS11" s="78"/>
      <c r="DT11" s="30" t="str">
        <f t="shared" si="10"/>
        <v>0010000000100000</v>
      </c>
      <c r="DU11" s="30" t="str">
        <f t="shared" si="11"/>
        <v>0100010001100000</v>
      </c>
      <c r="DV11" s="78"/>
      <c r="DW11" s="78"/>
      <c r="DX11" s="23"/>
      <c r="DY11" s="48" t="str">
        <f>H11</f>
        <v>00111010001000101101011001101010</v>
      </c>
      <c r="DZ11" s="30" t="str">
        <f t="shared" si="122"/>
        <v>00111010</v>
      </c>
      <c r="EA11" s="30" t="str">
        <f t="shared" si="72"/>
        <v>00100010</v>
      </c>
      <c r="EB11" s="30" t="str">
        <f t="shared" si="73"/>
        <v>11010110</v>
      </c>
      <c r="EC11" s="30" t="str">
        <f t="shared" si="74"/>
        <v>01101010</v>
      </c>
      <c r="ED11" s="78"/>
      <c r="EE11" s="78"/>
      <c r="EF11" s="78"/>
      <c r="EG11" s="78"/>
      <c r="EH11" s="31" t="str">
        <f t="shared" si="75"/>
        <v>0011</v>
      </c>
      <c r="EI11" s="31" t="str">
        <f t="shared" si="76"/>
        <v>1010</v>
      </c>
      <c r="EJ11" s="31" t="str">
        <f t="shared" si="77"/>
        <v>0010</v>
      </c>
      <c r="EK11" s="31" t="str">
        <f t="shared" si="78"/>
        <v>0010</v>
      </c>
      <c r="EL11" s="31" t="str">
        <f t="shared" si="79"/>
        <v>1101</v>
      </c>
      <c r="EM11" s="31" t="str">
        <f t="shared" si="80"/>
        <v>0110</v>
      </c>
      <c r="EN11" s="31" t="str">
        <f t="shared" si="81"/>
        <v>0110</v>
      </c>
      <c r="EO11" s="31" t="str">
        <f t="shared" si="82"/>
        <v>1010</v>
      </c>
      <c r="EP11" s="78"/>
      <c r="EQ11" s="78"/>
      <c r="ER11" s="78"/>
      <c r="ES11" s="78"/>
      <c r="ET11" s="78"/>
      <c r="EU11" s="78"/>
      <c r="EV11" s="78"/>
      <c r="EW11" s="78"/>
      <c r="EX11" s="30" t="str">
        <f t="shared" si="13"/>
        <v>0011101000100010</v>
      </c>
      <c r="EY11" s="30" t="str">
        <f t="shared" si="14"/>
        <v>1101011001101010</v>
      </c>
      <c r="EZ11" s="78"/>
      <c r="FA11" s="78"/>
      <c r="FB11" s="48" t="str">
        <f>H11</f>
        <v>00111010001000101101011001101010</v>
      </c>
      <c r="FC11" s="30" t="str">
        <f t="shared" si="124"/>
        <v>00111010</v>
      </c>
      <c r="FD11" s="30" t="str">
        <f t="shared" si="83"/>
        <v>00100010</v>
      </c>
      <c r="FE11" s="30" t="str">
        <f t="shared" si="84"/>
        <v>11010110</v>
      </c>
      <c r="FF11" s="30" t="str">
        <f t="shared" si="85"/>
        <v>01101010</v>
      </c>
      <c r="FG11" s="78"/>
      <c r="FH11" s="78"/>
      <c r="FI11" s="78"/>
      <c r="FJ11" s="78"/>
      <c r="FK11" s="31" t="str">
        <f t="shared" si="86"/>
        <v>0011</v>
      </c>
      <c r="FL11" s="31" t="str">
        <f t="shared" si="87"/>
        <v>1010</v>
      </c>
      <c r="FM11" s="31" t="str">
        <f t="shared" si="88"/>
        <v>0010</v>
      </c>
      <c r="FN11" s="31" t="str">
        <f t="shared" si="89"/>
        <v>0010</v>
      </c>
      <c r="FO11" s="31" t="str">
        <f t="shared" si="90"/>
        <v>1101</v>
      </c>
      <c r="FP11" s="31" t="str">
        <f t="shared" si="91"/>
        <v>0110</v>
      </c>
      <c r="FQ11" s="31" t="str">
        <f t="shared" si="92"/>
        <v>0110</v>
      </c>
      <c r="FR11" s="31" t="str">
        <f t="shared" si="93"/>
        <v>1010</v>
      </c>
      <c r="FS11" s="78"/>
      <c r="FT11" s="78"/>
      <c r="FU11" s="78"/>
      <c r="FV11" s="78"/>
      <c r="FW11" s="78"/>
      <c r="FX11" s="78"/>
      <c r="FY11" s="78"/>
      <c r="FZ11" s="78"/>
      <c r="GA11" s="30" t="str">
        <f t="shared" si="16"/>
        <v>0011101000100010</v>
      </c>
      <c r="GB11" s="30" t="str">
        <f t="shared" si="17"/>
        <v>1101011001101010</v>
      </c>
      <c r="GC11" s="78"/>
      <c r="GD11" s="78"/>
      <c r="GE11" s="48" t="str">
        <f>BR11</f>
        <v>00100000001000000100010001100000</v>
      </c>
      <c r="GF11" s="30" t="str">
        <f t="shared" si="126"/>
        <v>00100000</v>
      </c>
      <c r="GG11" s="30" t="str">
        <f t="shared" si="94"/>
        <v>00100000</v>
      </c>
      <c r="GH11" s="30" t="str">
        <f t="shared" si="95"/>
        <v>01000100</v>
      </c>
      <c r="GI11" s="30" t="str">
        <f t="shared" si="96"/>
        <v>01100000</v>
      </c>
      <c r="GJ11" s="78"/>
      <c r="GK11" s="78"/>
      <c r="GL11" s="78"/>
      <c r="GM11" s="78"/>
      <c r="GN11" s="31" t="str">
        <f t="shared" si="97"/>
        <v>0011</v>
      </c>
      <c r="GO11" s="31" t="str">
        <f t="shared" si="98"/>
        <v>1010</v>
      </c>
      <c r="GP11" s="31" t="str">
        <f t="shared" si="99"/>
        <v>0010</v>
      </c>
      <c r="GQ11" s="31" t="str">
        <f t="shared" si="100"/>
        <v>0010</v>
      </c>
      <c r="GR11" s="31" t="str">
        <f t="shared" si="101"/>
        <v>1101</v>
      </c>
      <c r="GS11" s="31" t="str">
        <f t="shared" si="102"/>
        <v>0110</v>
      </c>
      <c r="GT11" s="31" t="str">
        <f t="shared" si="103"/>
        <v>0110</v>
      </c>
      <c r="GU11" s="31" t="str">
        <f t="shared" si="104"/>
        <v>1010</v>
      </c>
      <c r="GV11" s="78"/>
      <c r="GW11" s="78"/>
      <c r="GX11" s="78"/>
      <c r="GY11" s="78"/>
      <c r="GZ11" s="78"/>
      <c r="HA11" s="78"/>
      <c r="HB11" s="78"/>
      <c r="HC11" s="78"/>
      <c r="HD11" s="30" t="str">
        <f t="shared" si="19"/>
        <v>0010000000100000</v>
      </c>
      <c r="HE11" s="30" t="str">
        <f t="shared" si="20"/>
        <v>0100010001100000</v>
      </c>
      <c r="HF11" s="78"/>
      <c r="HG11" s="78"/>
      <c r="HH11" s="48" t="str">
        <f>GE11</f>
        <v>00100000001000000100010001100000</v>
      </c>
      <c r="HI11" s="30" t="str">
        <f t="shared" si="128"/>
        <v>00100000</v>
      </c>
      <c r="HJ11" s="30" t="str">
        <f t="shared" si="105"/>
        <v>00100000</v>
      </c>
      <c r="HK11" s="30" t="str">
        <f t="shared" si="106"/>
        <v>01000100</v>
      </c>
      <c r="HL11" s="30" t="str">
        <f t="shared" si="107"/>
        <v>01100000</v>
      </c>
      <c r="HM11" s="78"/>
      <c r="HN11" s="78"/>
      <c r="HO11" s="78"/>
      <c r="HP11" s="78"/>
      <c r="HQ11" s="31" t="str">
        <f t="shared" si="108"/>
        <v>0011</v>
      </c>
      <c r="HR11" s="31" t="str">
        <f t="shared" si="109"/>
        <v>1010</v>
      </c>
      <c r="HS11" s="31" t="str">
        <f t="shared" si="110"/>
        <v>0010</v>
      </c>
      <c r="HT11" s="31" t="str">
        <f t="shared" si="111"/>
        <v>0010</v>
      </c>
      <c r="HU11" s="31" t="str">
        <f t="shared" si="112"/>
        <v>1101</v>
      </c>
      <c r="HV11" s="31" t="str">
        <f t="shared" si="113"/>
        <v>0110</v>
      </c>
      <c r="HW11" s="31" t="str">
        <f t="shared" si="114"/>
        <v>0110</v>
      </c>
      <c r="HX11" s="31" t="str">
        <f t="shared" si="115"/>
        <v>1010</v>
      </c>
      <c r="HY11" s="78"/>
      <c r="HZ11" s="78"/>
      <c r="IA11" s="78"/>
      <c r="IB11" s="78"/>
      <c r="IC11" s="78"/>
      <c r="ID11" s="78"/>
      <c r="IE11" s="78"/>
      <c r="IF11" s="78"/>
      <c r="IG11" s="30" t="str">
        <f t="shared" si="22"/>
        <v>0010000000100000</v>
      </c>
      <c r="IH11" s="30" t="str">
        <f t="shared" si="23"/>
        <v>0100010001100000</v>
      </c>
      <c r="II11" s="78"/>
      <c r="IJ11" s="78"/>
      <c r="IL11" s="30"/>
      <c r="IM11" s="30"/>
      <c r="IN11" s="30"/>
      <c r="IO11" s="30"/>
      <c r="IP11" s="23"/>
      <c r="IQ11" s="23"/>
      <c r="IR11" s="23"/>
      <c r="IS11" s="23"/>
      <c r="JB11" s="23"/>
      <c r="JC11" s="23"/>
      <c r="JD11" s="23"/>
      <c r="JE11" s="23"/>
      <c r="JF11" s="23"/>
      <c r="JG11" s="23"/>
      <c r="JH11" s="23"/>
      <c r="JI11" s="23"/>
      <c r="JJ11" s="30"/>
      <c r="JK11" s="30"/>
      <c r="JL11" s="23"/>
      <c r="JM11" s="23"/>
    </row>
    <row r="12" spans="1:273" s="27" customFormat="1" x14ac:dyDescent="0.35">
      <c r="A12" s="24"/>
      <c r="B12" s="25"/>
      <c r="C12" s="16" t="s">
        <v>0</v>
      </c>
      <c r="D12" s="16">
        <v>10</v>
      </c>
      <c r="E12" s="16" t="s">
        <v>67</v>
      </c>
      <c r="F12" s="16">
        <v>93</v>
      </c>
      <c r="G12" s="16" t="s">
        <v>36</v>
      </c>
      <c r="H12" s="16" t="str">
        <f t="shared" si="146"/>
        <v>00010000110000001001001101011111</v>
      </c>
      <c r="I12" s="16">
        <f t="shared" si="147"/>
        <v>13</v>
      </c>
      <c r="J12" s="16">
        <v>64</v>
      </c>
      <c r="K12" s="16" t="str">
        <f>HEX2BIN(J12,8)</f>
        <v>01100100</v>
      </c>
      <c r="L12" s="43" t="str">
        <f>CONCATENATE(MID(H12,30,3),MID(H12,17,5),MID(H12,6,3),MID(H12,25,5),MID(H12,14,3),MID(H12,1,5),MID(H12,22,3),MID(H12,9,5))</f>
        <v>11110010000010110000001001111000</v>
      </c>
      <c r="M12" s="26" t="str">
        <f t="shared" si="24"/>
        <v>11110010</v>
      </c>
      <c r="N12" s="26" t="str">
        <f t="shared" si="25"/>
        <v>00001011</v>
      </c>
      <c r="O12" s="26" t="str">
        <f t="shared" si="26"/>
        <v>00000010</v>
      </c>
      <c r="P12" s="26" t="str">
        <f t="shared" si="27"/>
        <v>01111000</v>
      </c>
      <c r="Q12" s="77">
        <f>BIN2DEC(M12)-BIN2DEC(M13)</f>
        <v>103</v>
      </c>
      <c r="R12" s="77">
        <f>BIN2DEC(N12)-BIN2DEC(N13)</f>
        <v>-13</v>
      </c>
      <c r="S12" s="77">
        <f>BIN2DEC(O12)-BIN2DEC(O13)</f>
        <v>-178</v>
      </c>
      <c r="T12" s="77">
        <f>BIN2DEC(P12)-BIN2DEC(P13)</f>
        <v>-37</v>
      </c>
      <c r="U12" s="27" t="str">
        <f t="shared" si="28"/>
        <v>1111</v>
      </c>
      <c r="V12" s="27" t="str">
        <f t="shared" si="29"/>
        <v>0010</v>
      </c>
      <c r="W12" s="27" t="str">
        <f t="shared" si="30"/>
        <v>0000</v>
      </c>
      <c r="X12" s="27" t="str">
        <f t="shared" si="31"/>
        <v>1011</v>
      </c>
      <c r="Y12" s="27" t="str">
        <f t="shared" si="32"/>
        <v>0000</v>
      </c>
      <c r="Z12" s="27" t="str">
        <f t="shared" si="33"/>
        <v>0010</v>
      </c>
      <c r="AA12" s="27" t="str">
        <f t="shared" si="34"/>
        <v>0111</v>
      </c>
      <c r="AB12" s="27" t="str">
        <f t="shared" si="35"/>
        <v>1000</v>
      </c>
      <c r="AC12" s="77">
        <f t="shared" ref="AC12:AJ12" si="156">BIN2DEC(U12)-BIN2DEC(U13)</f>
        <v>7</v>
      </c>
      <c r="AD12" s="77">
        <f t="shared" si="156"/>
        <v>-9</v>
      </c>
      <c r="AE12" s="77">
        <f t="shared" si="156"/>
        <v>-1</v>
      </c>
      <c r="AF12" s="77">
        <f t="shared" si="156"/>
        <v>3</v>
      </c>
      <c r="AG12" s="77">
        <f t="shared" si="156"/>
        <v>-11</v>
      </c>
      <c r="AH12" s="77">
        <f t="shared" si="156"/>
        <v>-2</v>
      </c>
      <c r="AI12" s="77">
        <f t="shared" si="156"/>
        <v>-2</v>
      </c>
      <c r="AJ12" s="77">
        <f t="shared" si="156"/>
        <v>-5</v>
      </c>
      <c r="AK12" s="26" t="str">
        <f t="shared" si="1"/>
        <v>1111001000001011</v>
      </c>
      <c r="AL12" s="26" t="str">
        <f t="shared" si="2"/>
        <v>0000001001111000</v>
      </c>
      <c r="AM12" s="77">
        <f>MID(AK12,16,1)*POWER(2,0)+MID(AK12,15,1)*POWER(2,1)+MID(AK12,14,1)*POWER(2,2)+MID(AK12,13,1)*POWER(2,3)+MID(AK12,12,1)*POWER(2,4)+MID(AK12,11,1)*POWER(2,5)+MID(AK12,10,1)*POWER(2,6)+MID(AK12,9,1)*POWER(2,7)+MID(AK12,8,1)*POWER(2,8)+MID(AK12,7,1)*POWER(2,9)+MID(AK12,6,1)*POWER(2,10)+MID(AK12,5,1)*POWER(2,11)+MID(AK12,4,1)*POWER(2,12)+MID(AK12,3,1)*POWER(2,13)+MID(AK12,2,1)*POWER(2,14)+MID(AK12,1,1)*POWER(2,15)-(MID(AK13,16,1)*POWER(2,0)+MID(AK13,15,1)*POWER(2,1)+MID(AK13,14,1)*POWER(2,2)+MID(AK13,13,1)*POWER(2,3)+MID(AK13,12,1)*POWER(2,4)+MID(AK13,11,1)*POWER(2,5)+MID(AK13,10,1)*POWER(2,6)+MID(AK13,9,1)*POWER(2,7)+MID(AK13,8,1)*POWER(2,8)+MID(AK13,7,1)*POWER(2,9)+MID(AK13,6,1)*POWER(2,10)+MID(AK13,5,1)*POWER(2,11)+MID(AK13,4,1)*POWER(2,12)+MID(AK13,3,1)*POWER(2,13)+MID(AK13,2,1)*POWER(2,14)+MID(AK13,1,1)*POWER(2,15))</f>
        <v>26355</v>
      </c>
      <c r="AN12" s="77">
        <f>MID(AL12,16,1)*POWER(2,0)+MID(AL12,15,1)*POWER(2,1)+MID(AL12,14,1)*POWER(2,2)+MID(AL12,13,1)*POWER(2,3)+MID(AL12,12,1)*POWER(2,4)+MID(AL12,11,1)*POWER(2,5)+MID(AL12,10,1)*POWER(2,6)+MID(AL12,9,1)*POWER(2,7)+MID(AL12,8,1)*POWER(2,8)+MID(AL12,7,1)*POWER(2,9)+MID(AL12,6,1)*POWER(2,10)+MID(AL12,5,1)*POWER(2,11)+MID(AL12,4,1)*POWER(2,12)+MID(AL12,3,1)*POWER(2,13)+MID(AL12,2,1)*POWER(2,14)+MID(AL12,1,1)*POWER(2,15)-(MID(AL13,16,1)*POWER(2,0)+MID(AL13,15,1)*POWER(2,1)+MID(AL13,14,1)*POWER(2,2)+MID(AL13,13,1)*POWER(2,3)+MID(AL13,12,1)*POWER(2,4)+MID(AL13,11,1)*POWER(2,5)+MID(AL13,10,1)*POWER(2,6)+MID(AL13,9,1)*POWER(2,7)+MID(AL13,8,1)*POWER(2,8)+MID(AL13,7,1)*POWER(2,9)+MID(AL13,6,1)*POWER(2,10)+MID(AL13,5,1)*POWER(2,11)+MID(AL13,4,1)*POWER(2,12)+MID(AL13,3,1)*POWER(2,13)+MID(AL13,2,1)*POWER(2,14)+MID(AL13,1,1)*POWER(2,15))</f>
        <v>-45605</v>
      </c>
      <c r="AO12" s="45" t="str">
        <f>CONCATENATE(MID(L12,1,1)*MID(K12,1,1),MID(L12,2,1)*MID(K12,2,1),MID(L12,3,1)*MID(K12,3,1),MID(L12,4,1)*MID(K12,4,1),MID(L12,5,1)*MID(K12,5,1),MID(L12,6,1)*MID(K12,6,1),MID(L12,7,1)*MID(K12,7,1),MID(L12,8,1)*MID(K12,8,1),MID(L12,9,1)*MID(K12,1,1),MID(L12,10,1)*MID(K12,2,1),MID(L12,11,1)*MID(K12,3,1),MID(L12,12,1)*MID(K12,4,1),MID(L12,13,1)*MID(K12,5,1),MID(L12,14,1)*MID(K12,6,1),MID(L12,15,1)*MID(K12,7,1),MID(L12,16,1)*MID(K12,8,1),MID(L12,17,1)*MID(K12,1,1),MID(L12,18,1)*MID(K12,2,1),MID(L12,19,1)*MID(K12,3,1),MID(L12,20,1)*MID(K12,4,1),MID(L12,21,1)*MID(K12,5,1),MID(L12,22,1)*MID(K12,6,1),MID(L12,23,1)*MID(K12,7,1),MID(L12,24,1)*MID(K12,8,1),MID(L12,25,1)*MID(K12,1,1),MID(L12,26,1)*MID(K12,2,1),MID(L12,27,1)*MID(K12,3,1),MID(L12,28,1)*MID(K12,4,1),MID(L12,29,1)*MID(K12,5,1),MID(L12,30,1)*MID(K12,6,1),MID(L12,31,1)*MID(K12,7,1),MID(L12,32,1)*MID(K12,8,1))</f>
        <v>01100000000000000000000001100000</v>
      </c>
      <c r="AP12" s="26" t="str">
        <f t="shared" si="36"/>
        <v>01100000</v>
      </c>
      <c r="AQ12" s="26" t="str">
        <f t="shared" si="37"/>
        <v>00000000</v>
      </c>
      <c r="AR12" s="26" t="str">
        <f t="shared" si="38"/>
        <v>00000000</v>
      </c>
      <c r="AS12" s="26" t="str">
        <f t="shared" si="39"/>
        <v>01100000</v>
      </c>
      <c r="AT12" s="77">
        <f>BIN2DEC(AP12)-BIN2DEC(AP13)</f>
        <v>-43</v>
      </c>
      <c r="AU12" s="77">
        <f>BIN2DEC(AQ12)-BIN2DEC(AQ13)</f>
        <v>-24</v>
      </c>
      <c r="AV12" s="77">
        <f>BIN2DEC(AR12)-BIN2DEC(AR13)</f>
        <v>-180</v>
      </c>
      <c r="AW12" s="77">
        <f>BIN2DEC(AS12)-BIN2DEC(AS13)</f>
        <v>-61</v>
      </c>
      <c r="AX12" s="27" t="str">
        <f t="shared" si="40"/>
        <v>1111</v>
      </c>
      <c r="AY12" s="27" t="str">
        <f t="shared" si="41"/>
        <v>0010</v>
      </c>
      <c r="AZ12" s="27" t="str">
        <f t="shared" si="42"/>
        <v>0000</v>
      </c>
      <c r="BA12" s="27" t="str">
        <f t="shared" si="43"/>
        <v>1011</v>
      </c>
      <c r="BB12" s="27" t="str">
        <f t="shared" si="44"/>
        <v>0000</v>
      </c>
      <c r="BC12" s="27" t="str">
        <f t="shared" si="45"/>
        <v>0010</v>
      </c>
      <c r="BD12" s="27" t="str">
        <f t="shared" si="46"/>
        <v>0111</v>
      </c>
      <c r="BE12" s="27" t="str">
        <f t="shared" si="47"/>
        <v>1000</v>
      </c>
      <c r="BF12" s="77">
        <f t="shared" ref="BF12:BM12" si="157">BIN2DEC(AX12)-BIN2DEC(AX13)</f>
        <v>7</v>
      </c>
      <c r="BG12" s="77">
        <f t="shared" si="157"/>
        <v>-9</v>
      </c>
      <c r="BH12" s="77">
        <f t="shared" si="157"/>
        <v>-1</v>
      </c>
      <c r="BI12" s="77">
        <f t="shared" si="157"/>
        <v>3</v>
      </c>
      <c r="BJ12" s="77">
        <f t="shared" si="157"/>
        <v>-11</v>
      </c>
      <c r="BK12" s="77">
        <f t="shared" si="157"/>
        <v>-2</v>
      </c>
      <c r="BL12" s="77">
        <f t="shared" si="157"/>
        <v>-2</v>
      </c>
      <c r="BM12" s="77">
        <f t="shared" si="157"/>
        <v>-5</v>
      </c>
      <c r="BN12" s="26" t="str">
        <f t="shared" si="4"/>
        <v>0110000000000000</v>
      </c>
      <c r="BO12" s="26" t="str">
        <f t="shared" si="5"/>
        <v>0000000001100000</v>
      </c>
      <c r="BP12" s="77">
        <f>MID(BN12,16,1)*POWER(2,0)+MID(BN12,15,1)*POWER(2,1)+MID(BN12,14,1)*POWER(2,2)+MID(BN12,13,1)*POWER(2,3)+MID(BN12,12,1)*POWER(2,4)+MID(BN12,11,1)*POWER(2,5)+MID(BN12,10,1)*POWER(2,6)+MID(BN12,9,1)*POWER(2,7)+MID(BN12,8,1)*POWER(2,8)+MID(BN12,7,1)*POWER(2,9)+MID(BN12,6,1)*POWER(2,10)+MID(BN12,5,1)*POWER(2,11)+MID(BN12,4,1)*POWER(2,12)+MID(BN12,3,1)*POWER(2,13)+MID(BN12,2,1)*POWER(2,14)+MID(BN12,1,1)*POWER(2,15)-(MID(BN13,16,1)*POWER(2,0)+MID(BN13,15,1)*POWER(2,1)+MID(BN13,14,1)*POWER(2,2)+MID(BN13,13,1)*POWER(2,3)+MID(BN13,12,1)*POWER(2,4)+MID(BN13,11,1)*POWER(2,5)+MID(BN13,10,1)*POWER(2,6)+MID(BN13,9,1)*POWER(2,7)+MID(BN13,8,1)*POWER(2,8)+MID(BN13,7,1)*POWER(2,9)+MID(BN13,6,1)*POWER(2,10)+MID(BN13,5,1)*POWER(2,11)+MID(BN13,4,1)*POWER(2,12)+MID(BN13,3,1)*POWER(2,13)+MID(BN13,2,1)*POWER(2,14)+MID(BN13,1,1)*POWER(2,15))</f>
        <v>-11032</v>
      </c>
      <c r="BQ12" s="77">
        <f>MID(BO12,16,1)*POWER(2,0)+MID(BO12,15,1)*POWER(2,1)+MID(BO12,14,1)*POWER(2,2)+MID(BO12,13,1)*POWER(2,3)+MID(BO12,12,1)*POWER(2,4)+MID(BO12,11,1)*POWER(2,5)+MID(BO12,10,1)*POWER(2,6)+MID(BO12,9,1)*POWER(2,7)+MID(BO12,8,1)*POWER(2,8)+MID(BO12,7,1)*POWER(2,9)+MID(BO12,6,1)*POWER(2,10)+MID(BO12,5,1)*POWER(2,11)+MID(BO12,4,1)*POWER(2,12)+MID(BO12,3,1)*POWER(2,13)+MID(BO12,2,1)*POWER(2,14)+MID(BO12,1,1)*POWER(2,15)-(MID(BO13,16,1)*POWER(2,0)+MID(BO13,15,1)*POWER(2,1)+MID(BO13,14,1)*POWER(2,2)+MID(BO13,13,1)*POWER(2,3)+MID(BO13,12,1)*POWER(2,4)+MID(BO13,11,1)*POWER(2,5)+MID(BO13,10,1)*POWER(2,6)+MID(BO13,9,1)*POWER(2,7)+MID(BO13,8,1)*POWER(2,8)+MID(BO13,7,1)*POWER(2,9)+MID(BO13,6,1)*POWER(2,10)+MID(BO13,5,1)*POWER(2,11)+MID(BO13,4,1)*POWER(2,12)+MID(BO13,3,1)*POWER(2,13)+MID(BO13,2,1)*POWER(2,14)+MID(BO13,1,1)*POWER(2,15))</f>
        <v>-46141</v>
      </c>
      <c r="BR12" s="47" t="str">
        <f>L12</f>
        <v>11110010000010110000001001111000</v>
      </c>
      <c r="BS12" s="26" t="str">
        <f t="shared" si="48"/>
        <v>11110010</v>
      </c>
      <c r="BT12" s="26" t="str">
        <f t="shared" si="49"/>
        <v>00001011</v>
      </c>
      <c r="BU12" s="26" t="str">
        <f t="shared" si="50"/>
        <v>00000010</v>
      </c>
      <c r="BV12" s="26" t="str">
        <f t="shared" si="51"/>
        <v>01111000</v>
      </c>
      <c r="BW12" s="77">
        <f>BIN2DEC(BS12)-BIN2DEC(BS13)</f>
        <v>242</v>
      </c>
      <c r="BX12" s="77">
        <f>BIN2DEC(BT12)-BIN2DEC(BT13)</f>
        <v>11</v>
      </c>
      <c r="BY12" s="77">
        <f>BIN2DEC(BU12)-BIN2DEC(BU13)</f>
        <v>-34</v>
      </c>
      <c r="BZ12" s="77">
        <f>BIN2DEC(BV12)-BIN2DEC(BV13)</f>
        <v>116</v>
      </c>
      <c r="CA12" s="27" t="str">
        <f t="shared" si="52"/>
        <v>1111</v>
      </c>
      <c r="CB12" s="27" t="str">
        <f t="shared" si="53"/>
        <v>0010</v>
      </c>
      <c r="CC12" s="27" t="str">
        <f t="shared" si="54"/>
        <v>0000</v>
      </c>
      <c r="CD12" s="27" t="str">
        <f t="shared" si="55"/>
        <v>1011</v>
      </c>
      <c r="CE12" s="27" t="str">
        <f t="shared" si="56"/>
        <v>0000</v>
      </c>
      <c r="CF12" s="27" t="str">
        <f t="shared" si="57"/>
        <v>0010</v>
      </c>
      <c r="CG12" s="27" t="str">
        <f t="shared" si="58"/>
        <v>0111</v>
      </c>
      <c r="CH12" s="27" t="str">
        <f t="shared" si="59"/>
        <v>1000</v>
      </c>
      <c r="CI12" s="77">
        <f t="shared" ref="CI12:CP12" si="158">BIN2DEC(CA12)-BIN2DEC(CA13)</f>
        <v>7</v>
      </c>
      <c r="CJ12" s="77">
        <f t="shared" si="158"/>
        <v>-9</v>
      </c>
      <c r="CK12" s="77">
        <f t="shared" si="158"/>
        <v>-1</v>
      </c>
      <c r="CL12" s="77">
        <f t="shared" si="158"/>
        <v>3</v>
      </c>
      <c r="CM12" s="77">
        <f t="shared" si="158"/>
        <v>-11</v>
      </c>
      <c r="CN12" s="77">
        <f t="shared" si="158"/>
        <v>-2</v>
      </c>
      <c r="CO12" s="77">
        <f t="shared" si="158"/>
        <v>-2</v>
      </c>
      <c r="CP12" s="77">
        <f t="shared" si="158"/>
        <v>-5</v>
      </c>
      <c r="CQ12" s="26" t="str">
        <f t="shared" si="7"/>
        <v>1111001000001011</v>
      </c>
      <c r="CR12" s="26" t="str">
        <f t="shared" si="8"/>
        <v>0000001001111000</v>
      </c>
      <c r="CS12" s="77">
        <f>MID(CQ12,16,1)*POWER(2,0)+MID(CQ12,15,1)*POWER(2,1)+MID(CQ12,14,1)*POWER(2,2)+MID(CQ12,13,1)*POWER(2,3)+MID(CQ12,12,1)*POWER(2,4)+MID(CQ12,11,1)*POWER(2,5)+MID(CQ12,10,1)*POWER(2,6)+MID(CQ12,9,1)*POWER(2,7)+MID(CQ12,8,1)*POWER(2,8)+MID(CQ12,7,1)*POWER(2,9)+MID(CQ12,6,1)*POWER(2,10)+MID(CQ12,5,1)*POWER(2,11)+MID(CQ12,4,1)*POWER(2,12)+MID(CQ12,3,1)*POWER(2,13)+MID(CQ12,2,1)*POWER(2,14)+MID(CQ12,1,1)*POWER(2,15)-(MID(CQ13,16,1)*POWER(2,0)+MID(CQ13,15,1)*POWER(2,1)+MID(CQ13,14,1)*POWER(2,2)+MID(CQ13,13,1)*POWER(2,3)+MID(CQ13,12,1)*POWER(2,4)+MID(CQ13,11,1)*POWER(2,5)+MID(CQ13,10,1)*POWER(2,6)+MID(CQ13,9,1)*POWER(2,7)+MID(CQ13,8,1)*POWER(2,8)+MID(CQ13,7,1)*POWER(2,9)+MID(CQ13,6,1)*POWER(2,10)+MID(CQ13,5,1)*POWER(2,11)+MID(CQ13,4,1)*POWER(2,12)+MID(CQ13,3,1)*POWER(2,13)+MID(CQ13,2,1)*POWER(2,14)+MID(CQ13,1,1)*POWER(2,15))</f>
        <v>61963</v>
      </c>
      <c r="CT12" s="77">
        <f>MID(CR12,16,1)*POWER(2,0)+MID(CR12,15,1)*POWER(2,1)+MID(CR12,14,1)*POWER(2,2)+MID(CR12,13,1)*POWER(2,3)+MID(CR12,12,1)*POWER(2,4)+MID(CR12,11,1)*POWER(2,5)+MID(CR12,10,1)*POWER(2,6)+MID(CR12,9,1)*POWER(2,7)+MID(CR12,8,1)*POWER(2,8)+MID(CR12,7,1)*POWER(2,9)+MID(CR12,6,1)*POWER(2,10)+MID(CR12,5,1)*POWER(2,11)+MID(CR12,4,1)*POWER(2,12)+MID(CR12,3,1)*POWER(2,13)+MID(CR12,2,1)*POWER(2,14)+MID(CR12,1,1)*POWER(2,15)-(MID(CR13,16,1)*POWER(2,0)+MID(CR13,15,1)*POWER(2,1)+MID(CR13,14,1)*POWER(2,2)+MID(CR13,13,1)*POWER(2,3)+MID(CR13,12,1)*POWER(2,4)+MID(CR13,11,1)*POWER(2,5)+MID(CR13,10,1)*POWER(2,6)+MID(CR13,9,1)*POWER(2,7)+MID(CR13,8,1)*POWER(2,8)+MID(CR13,7,1)*POWER(2,9)+MID(CR13,6,1)*POWER(2,10)+MID(CR13,5,1)*POWER(2,11)+MID(CR13,4,1)*POWER(2,12)+MID(CR13,3,1)*POWER(2,13)+MID(CR13,2,1)*POWER(2,14)+MID(CR13,1,1)*POWER(2,15))</f>
        <v>-8588</v>
      </c>
      <c r="CU12" s="45" t="str">
        <f>CONCATENATE(MID($L12,1,1)*MID($K12,1,1),MID($L12,2,1)*MID($K12,2,1),MID($L12,3,1)*MID($K12,3,1),MID($L12,4,1)*MID($K12,4,1),MID($L12,5,1)*MID($K12,5,1),MID($L12,6,1)*MID($K12,6,1),MID($L12,7,1)*MID($K12,7,1),MID($L12,8,1)*MID($K12,8,1),MID($L12,9,1)*MID($K12,1,1),MID($L12,10,1)*MID($K12,2,1),MID($L12,11,1)*MID($K12,3,1),MID($L12,12,1)*MID($K12,4,1),MID($L12,13,1)*MID($K12,5,1),MID($L12,14,1)*MID($K12,6,1),MID($L12,15,1)*MID($K12,7,1),MID($L12,16,1)*MID($K12,8,1),MID($L12,17,1)*MID($K12,1,1),MID($L12,18,1)*MID($K12,2,1),MID($L12,19,1)*MID($K12,3,1),MID($L12,20,1)*MID($K12,4,1),MID($L12,21,1)*MID($K12,5,1),MID($L12,22,1)*MID($K12,6,1),MID($L12,23,1)*MID($K12,7,1),MID($L12,24,1)*MID($K12,8,1),MID($L12,25,1)*MID($K12,1,1),MID($L12,26,1)*MID($K12,2,1),MID($L12,27,1)*MID($K12,3,1),MID($L12,28,1)*MID($K12,4,1),MID($L12,29,1)*MID($K12,5,1),MID($L12,30,1)*MID($K12,6,1),MID($L12,31,1)*MID($K12,7,1),MID($L12,32,1)*MID($K12,8,1))</f>
        <v>01100000000000000000000001100000</v>
      </c>
      <c r="CV12" s="26" t="str">
        <f t="shared" si="60"/>
        <v>01100000</v>
      </c>
      <c r="CW12" s="26" t="str">
        <f t="shared" si="61"/>
        <v>00000000</v>
      </c>
      <c r="CX12" s="26" t="str">
        <f t="shared" si="62"/>
        <v>00000000</v>
      </c>
      <c r="CY12" s="26" t="str">
        <f t="shared" si="63"/>
        <v>01100000</v>
      </c>
      <c r="CZ12" s="77">
        <f>BIN2DEC(CV12)-BIN2DEC(CV13)</f>
        <v>96</v>
      </c>
      <c r="DA12" s="77">
        <f>BIN2DEC(CW12)-BIN2DEC(CW13)</f>
        <v>0</v>
      </c>
      <c r="DB12" s="77">
        <f>BIN2DEC(CX12)-BIN2DEC(CX13)</f>
        <v>-36</v>
      </c>
      <c r="DC12" s="77">
        <f>BIN2DEC(CY12)-BIN2DEC(CY13)</f>
        <v>92</v>
      </c>
      <c r="DD12" s="27" t="str">
        <f t="shared" si="64"/>
        <v>1111</v>
      </c>
      <c r="DE12" s="27" t="str">
        <f t="shared" si="65"/>
        <v>0010</v>
      </c>
      <c r="DF12" s="27" t="str">
        <f t="shared" si="66"/>
        <v>0000</v>
      </c>
      <c r="DG12" s="27" t="str">
        <f t="shared" si="67"/>
        <v>1011</v>
      </c>
      <c r="DH12" s="27" t="str">
        <f t="shared" si="68"/>
        <v>0000</v>
      </c>
      <c r="DI12" s="27" t="str">
        <f t="shared" si="69"/>
        <v>0010</v>
      </c>
      <c r="DJ12" s="27" t="str">
        <f t="shared" si="70"/>
        <v>0111</v>
      </c>
      <c r="DK12" s="27" t="str">
        <f t="shared" si="71"/>
        <v>1000</v>
      </c>
      <c r="DL12" s="77">
        <f t="shared" ref="DL12:DS12" si="159">BIN2DEC(DD12)-BIN2DEC(DD13)</f>
        <v>7</v>
      </c>
      <c r="DM12" s="77">
        <f t="shared" si="159"/>
        <v>-9</v>
      </c>
      <c r="DN12" s="77">
        <f t="shared" si="159"/>
        <v>-1</v>
      </c>
      <c r="DO12" s="77">
        <f t="shared" si="159"/>
        <v>3</v>
      </c>
      <c r="DP12" s="77">
        <f t="shared" si="159"/>
        <v>-11</v>
      </c>
      <c r="DQ12" s="77">
        <f t="shared" si="159"/>
        <v>-2</v>
      </c>
      <c r="DR12" s="77">
        <f t="shared" si="159"/>
        <v>-2</v>
      </c>
      <c r="DS12" s="77">
        <f t="shared" si="159"/>
        <v>-5</v>
      </c>
      <c r="DT12" s="26" t="str">
        <f t="shared" si="10"/>
        <v>0110000000000000</v>
      </c>
      <c r="DU12" s="26" t="str">
        <f t="shared" si="11"/>
        <v>0000000001100000</v>
      </c>
      <c r="DV12" s="77">
        <f>MID(DT12,16,1)*POWER(2,0)+MID(DT12,15,1)*POWER(2,1)+MID(DT12,14,1)*POWER(2,2)+MID(DT12,13,1)*POWER(2,3)+MID(DT12,12,1)*POWER(2,4)+MID(DT12,11,1)*POWER(2,5)+MID(DT12,10,1)*POWER(2,6)+MID(DT12,9,1)*POWER(2,7)+MID(DT12,8,1)*POWER(2,8)+MID(DT12,7,1)*POWER(2,9)+MID(DT12,6,1)*POWER(2,10)+MID(DT12,5,1)*POWER(2,11)+MID(DT12,4,1)*POWER(2,12)+MID(DT12,3,1)*POWER(2,13)+MID(DT12,2,1)*POWER(2,14)+MID(DT12,1,1)*POWER(2,15)-(MID(DT13,16,1)*POWER(2,0)+MID(DT13,15,1)*POWER(2,1)+MID(DT13,14,1)*POWER(2,2)+MID(DT13,13,1)*POWER(2,3)+MID(DT13,12,1)*POWER(2,4)+MID(DT13,11,1)*POWER(2,5)+MID(DT13,10,1)*POWER(2,6)+MID(DT13,9,1)*POWER(2,7)+MID(DT13,8,1)*POWER(2,8)+MID(DT13,7,1)*POWER(2,9)+MID(DT13,6,1)*POWER(2,10)+MID(DT13,5,1)*POWER(2,11)+MID(DT13,4,1)*POWER(2,12)+MID(DT13,3,1)*POWER(2,13)+MID(DT13,2,1)*POWER(2,14)+MID(DT13,1,1)*POWER(2,15))</f>
        <v>24576</v>
      </c>
      <c r="DW12" s="77">
        <f>MID(DU12,16,1)*POWER(2,0)+MID(DU12,15,1)*POWER(2,1)+MID(DU12,14,1)*POWER(2,2)+MID(DU12,13,1)*POWER(2,3)+MID(DU12,12,1)*POWER(2,4)+MID(DU12,11,1)*POWER(2,5)+MID(DU12,10,1)*POWER(2,6)+MID(DU12,9,1)*POWER(2,7)+MID(DU12,8,1)*POWER(2,8)+MID(DU12,7,1)*POWER(2,9)+MID(DU12,6,1)*POWER(2,10)+MID(DU12,5,1)*POWER(2,11)+MID(DU12,4,1)*POWER(2,12)+MID(DU12,3,1)*POWER(2,13)+MID(DU12,2,1)*POWER(2,14)+MID(DU12,1,1)*POWER(2,15)-(MID(DU13,16,1)*POWER(2,0)+MID(DU13,15,1)*POWER(2,1)+MID(DU13,14,1)*POWER(2,2)+MID(DU13,13,1)*POWER(2,3)+MID(DU13,12,1)*POWER(2,4)+MID(DU13,11,1)*POWER(2,5)+MID(DU13,10,1)*POWER(2,6)+MID(DU13,9,1)*POWER(2,7)+MID(DU13,8,1)*POWER(2,8)+MID(DU13,7,1)*POWER(2,9)+MID(DU13,6,1)*POWER(2,10)+MID(DU13,5,1)*POWER(2,11)+MID(DU13,4,1)*POWER(2,12)+MID(DU13,3,1)*POWER(2,13)+MID(DU13,2,1)*POWER(2,14)+MID(DU13,1,1)*POWER(2,15))</f>
        <v>-9124</v>
      </c>
      <c r="DX12" s="22" t="str">
        <f>CONCATENATE(MID($H12,1,1)*MID($K12,1,1),MID($H12,2,1)*MID($K12,2,1),MID($H12,3,1)*MID($K12,3,1),MID($H12,4,1)*MID($K12,4,1),MID($H12,5,1)*MID($K12,5,1),MID($H12,6,1)*MID($K12,6,1),MID($H12,7,1)*MID($K12,7,1),MID($H12,8,1)*MID($K12,8,1),MID($H12,9,1)*MID($K12,1,1),MID($H12,10,1)*MID($K12,2,1),MID($H12,11,1)*MID($K12,3,1),MID($H12,12,1)*MID($K12,4,1),MID($H12,13,1)*MID($K12,5,1),MID($H12,14,1)*MID($K12,6,1),MID($H12,15,1)*MID($K12,7,1),MID($H12,16,1)*MID($K12,8,1),MID($H12,17,1)*MID($K12,1,1),MID($H12,18,1)*MID($K12,2,1),MID($H12,19,1)*MID($K12,3,1),MID($H12,20,1)*MID($K12,4,1),MID($H12,21,1)*MID($K12,5,1),MID($H12,22,1)*MID($K12,6,1),MID($H12,23,1)*MID($K12,7,1),MID($H12,24,1)*MID($K12,8,1),MID($H12,25,1)*MID($K12,1,1),MID($H12,26,1)*MID($K12,2,1),MID($H12,27,1)*MID($K12,3,1),MID($H12,28,1)*MID($K12,4,1),MID($H12,29,1)*MID($K12,5,1),MID($H12,30,1)*MID($K12,6,1),MID($H12,31,1)*MID($K12,7,1),MID($H12,32,1)*MID($K12,8,1))</f>
        <v>00000000010000000000000001000100</v>
      </c>
      <c r="DY12" s="43" t="str">
        <f>CONCATENATE(MID(DX12,30,3),MID(DX12,17,5),MID(DX12,6,3),MID(DX12,25,5),MID(DX12,14,3),MID(DX12,1,5),MID(DX12,22,3),MID(DX12,9,5))</f>
        <v>10000000000010000000000000001000</v>
      </c>
      <c r="DZ12" s="26" t="str">
        <f t="shared" si="122"/>
        <v>10000000</v>
      </c>
      <c r="EA12" s="26" t="str">
        <f t="shared" si="72"/>
        <v>00001000</v>
      </c>
      <c r="EB12" s="26" t="str">
        <f t="shared" si="73"/>
        <v>00000000</v>
      </c>
      <c r="EC12" s="26" t="str">
        <f t="shared" si="74"/>
        <v>00001000</v>
      </c>
      <c r="ED12" s="77">
        <f>BIN2DEC(DZ12)-BIN2DEC(DZ13)</f>
        <v>-11</v>
      </c>
      <c r="EE12" s="77">
        <f>BIN2DEC(EA12)-BIN2DEC(EA13)</f>
        <v>-16</v>
      </c>
      <c r="EF12" s="77">
        <f>BIN2DEC(EB12)-BIN2DEC(EB13)</f>
        <v>-180</v>
      </c>
      <c r="EG12" s="77">
        <f>BIN2DEC(EC12)-BIN2DEC(EC13)</f>
        <v>-149</v>
      </c>
      <c r="EH12" s="27" t="str">
        <f t="shared" si="75"/>
        <v>1111</v>
      </c>
      <c r="EI12" s="27" t="str">
        <f t="shared" si="76"/>
        <v>0010</v>
      </c>
      <c r="EJ12" s="27" t="str">
        <f t="shared" si="77"/>
        <v>0000</v>
      </c>
      <c r="EK12" s="27" t="str">
        <f t="shared" si="78"/>
        <v>1011</v>
      </c>
      <c r="EL12" s="27" t="str">
        <f t="shared" si="79"/>
        <v>0000</v>
      </c>
      <c r="EM12" s="27" t="str">
        <f t="shared" si="80"/>
        <v>0010</v>
      </c>
      <c r="EN12" s="27" t="str">
        <f t="shared" si="81"/>
        <v>0111</v>
      </c>
      <c r="EO12" s="27" t="str">
        <f t="shared" si="82"/>
        <v>1000</v>
      </c>
      <c r="EP12" s="77">
        <f t="shared" ref="EP12:EW12" si="160">BIN2DEC(EH12)-BIN2DEC(EH13)</f>
        <v>7</v>
      </c>
      <c r="EQ12" s="77">
        <f t="shared" si="160"/>
        <v>-9</v>
      </c>
      <c r="ER12" s="77">
        <f t="shared" si="160"/>
        <v>-1</v>
      </c>
      <c r="ES12" s="77">
        <f t="shared" si="160"/>
        <v>3</v>
      </c>
      <c r="ET12" s="77">
        <f t="shared" si="160"/>
        <v>-11</v>
      </c>
      <c r="EU12" s="77">
        <f t="shared" si="160"/>
        <v>-2</v>
      </c>
      <c r="EV12" s="77">
        <f t="shared" si="160"/>
        <v>-2</v>
      </c>
      <c r="EW12" s="77">
        <f t="shared" si="160"/>
        <v>-5</v>
      </c>
      <c r="EX12" s="26" t="str">
        <f t="shared" si="13"/>
        <v>1000000000001000</v>
      </c>
      <c r="EY12" s="26" t="str">
        <f t="shared" si="14"/>
        <v>0000000000001000</v>
      </c>
      <c r="EZ12" s="77">
        <f>MID(EX12,16,1)*POWER(2,0)+MID(EX12,15,1)*POWER(2,1)+MID(EX12,14,1)*POWER(2,2)+MID(EX12,13,1)*POWER(2,3)+MID(EX12,12,1)*POWER(2,4)+MID(EX12,11,1)*POWER(2,5)+MID(EX12,10,1)*POWER(2,6)+MID(EX12,9,1)*POWER(2,7)+MID(EX12,8,1)*POWER(2,8)+MID(EX12,7,1)*POWER(2,9)+MID(EX12,6,1)*POWER(2,10)+MID(EX12,5,1)*POWER(2,11)+MID(EX12,4,1)*POWER(2,12)+MID(EX12,3,1)*POWER(2,13)+MID(EX12,2,1)*POWER(2,14)+MID(EX12,1,1)*POWER(2,15)-(MID(EX13,16,1)*POWER(2,0)+MID(EX13,15,1)*POWER(2,1)+MID(EX13,14,1)*POWER(2,2)+MID(EX13,13,1)*POWER(2,3)+MID(EX13,12,1)*POWER(2,4)+MID(EX13,11,1)*POWER(2,5)+MID(EX13,10,1)*POWER(2,6)+MID(EX13,9,1)*POWER(2,7)+MID(EX13,8,1)*POWER(2,8)+MID(EX13,7,1)*POWER(2,9)+MID(EX13,6,1)*POWER(2,10)+MID(EX13,5,1)*POWER(2,11)+MID(EX13,4,1)*POWER(2,12)+MID(EX13,3,1)*POWER(2,13)+MID(EX13,2,1)*POWER(2,14)+MID(EX13,1,1)*POWER(2,15))</f>
        <v>-2832</v>
      </c>
      <c r="FA12" s="77">
        <f>MID(EY12,16,1)*POWER(2,0)+MID(EY12,15,1)*POWER(2,1)+MID(EY12,14,1)*POWER(2,2)+MID(EY12,13,1)*POWER(2,3)+MID(EY12,12,1)*POWER(2,4)+MID(EY12,11,1)*POWER(2,5)+MID(EY12,10,1)*POWER(2,6)+MID(EY12,9,1)*POWER(2,7)+MID(EY12,8,1)*POWER(2,8)+MID(EY12,7,1)*POWER(2,9)+MID(EY12,6,1)*POWER(2,10)+MID(EY12,5,1)*POWER(2,11)+MID(EY12,4,1)*POWER(2,12)+MID(EY12,3,1)*POWER(2,13)+MID(EY12,2,1)*POWER(2,14)+MID(EY12,1,1)*POWER(2,15)-(MID(EY13,16,1)*POWER(2,0)+MID(EY13,15,1)*POWER(2,1)+MID(EY13,14,1)*POWER(2,2)+MID(EY13,13,1)*POWER(2,3)+MID(EY13,12,1)*POWER(2,4)+MID(EY13,11,1)*POWER(2,5)+MID(EY13,10,1)*POWER(2,6)+MID(EY13,9,1)*POWER(2,7)+MID(EY13,8,1)*POWER(2,8)+MID(EY13,7,1)*POWER(2,9)+MID(EY13,6,1)*POWER(2,10)+MID(EY13,5,1)*POWER(2,11)+MID(EY13,4,1)*POWER(2,12)+MID(EY13,3,1)*POWER(2,13)+MID(EY13,2,1)*POWER(2,14)+MID(EY13,1,1)*POWER(2,15))</f>
        <v>-46229</v>
      </c>
      <c r="FB12" s="45" t="str">
        <f>CONCATENATE(MID(DY12,1,1)*MID($K12,1,1),MID(DY12,2,1)*MID($K12,2,1),MID(DY12,3,1)*MID($K12,3,1),MID(DY12,4,1)*MID($K12,4,1),MID(DY12,5,1)*MID($K12,5,1),MID(DY12,6,1)*MID($K12,6,1),MID(DY12,7,1)*MID($K12,7,1),MID(DY12,8,1)*MID($K12,8,1),MID(DY12,9,1)*MID($K12,1,1),MID(DY12,10,1)*MID($K12,2,1),MID(DY12,11,1)*MID($K12,3,1),MID(DY12,12,1)*MID($K12,4,1),MID(DY12,13,1)*MID($K12,5,1),MID(DY12,14,1)*MID($K12,6,1),MID(DY12,15,1)*MID($K12,7,1),MID(DY12,16,1)*MID($K12,8,1),MID(DY12,17,1)*MID($K12,1,1),MID(DY12,18,1)*MID($K12,2,1),MID(DY12,19,1)*MID($K12,3,1),MID(DY12,20,1)*MID($K12,4,1),MID(DY12,21,1)*MID($K12,5,1),MID(DY12,22,1)*MID($K12,6,1),MID(DY12,23,1)*MID($K12,7,1),MID(DY12,24,1)*MID($K12,8,1),MID(DY12,25,1)*MID($K12,1,1),MID(DY12,26,1)*MID($K12,2,1),MID(DY12,27,1)*MID($K12,3,1),MID(DY12,28,1)*MID($K12,4,1),MID(DY12,29,1)*MID($K12,5,1),MID(DY12,30,1)*MID($K12,6,1),MID(DY12,31,1)*MID($K12,7,1),MID(DY12,32,1)*MID($K12,8,1))</f>
        <v>00000000000000000000000000000000</v>
      </c>
      <c r="FC12" s="26" t="str">
        <f t="shared" si="124"/>
        <v>00000000</v>
      </c>
      <c r="FD12" s="26" t="str">
        <f t="shared" si="83"/>
        <v>00000000</v>
      </c>
      <c r="FE12" s="26" t="str">
        <f t="shared" si="84"/>
        <v>00000000</v>
      </c>
      <c r="FF12" s="26" t="str">
        <f t="shared" si="85"/>
        <v>00000000</v>
      </c>
      <c r="FG12" s="77">
        <f>BIN2DEC(FC12)-BIN2DEC(FC13)</f>
        <v>-139</v>
      </c>
      <c r="FH12" s="77">
        <f>BIN2DEC(FD12)-BIN2DEC(FD13)</f>
        <v>-24</v>
      </c>
      <c r="FI12" s="77">
        <f>BIN2DEC(FE12)-BIN2DEC(FE13)</f>
        <v>-180</v>
      </c>
      <c r="FJ12" s="77">
        <f>BIN2DEC(FF12)-BIN2DEC(FF13)</f>
        <v>-157</v>
      </c>
      <c r="FK12" s="27" t="str">
        <f t="shared" si="86"/>
        <v>1111</v>
      </c>
      <c r="FL12" s="27" t="str">
        <f t="shared" si="87"/>
        <v>0010</v>
      </c>
      <c r="FM12" s="27" t="str">
        <f t="shared" si="88"/>
        <v>0000</v>
      </c>
      <c r="FN12" s="27" t="str">
        <f t="shared" si="89"/>
        <v>1011</v>
      </c>
      <c r="FO12" s="27" t="str">
        <f t="shared" si="90"/>
        <v>0000</v>
      </c>
      <c r="FP12" s="27" t="str">
        <f t="shared" si="91"/>
        <v>0010</v>
      </c>
      <c r="FQ12" s="27" t="str">
        <f t="shared" si="92"/>
        <v>0111</v>
      </c>
      <c r="FR12" s="27" t="str">
        <f t="shared" si="93"/>
        <v>1000</v>
      </c>
      <c r="FS12" s="77">
        <f t="shared" ref="FS12:FZ12" si="161">BIN2DEC(FK12)-BIN2DEC(FK13)</f>
        <v>7</v>
      </c>
      <c r="FT12" s="77">
        <f t="shared" si="161"/>
        <v>-9</v>
      </c>
      <c r="FU12" s="77">
        <f t="shared" si="161"/>
        <v>-1</v>
      </c>
      <c r="FV12" s="77">
        <f t="shared" si="161"/>
        <v>3</v>
      </c>
      <c r="FW12" s="77">
        <f t="shared" si="161"/>
        <v>-11</v>
      </c>
      <c r="FX12" s="77">
        <f t="shared" si="161"/>
        <v>-2</v>
      </c>
      <c r="FY12" s="77">
        <f t="shared" si="161"/>
        <v>-2</v>
      </c>
      <c r="FZ12" s="77">
        <f t="shared" si="161"/>
        <v>-5</v>
      </c>
      <c r="GA12" s="26" t="str">
        <f t="shared" si="16"/>
        <v>0000000000000000</v>
      </c>
      <c r="GB12" s="26" t="str">
        <f t="shared" si="17"/>
        <v>0000000000000000</v>
      </c>
      <c r="GC12" s="77">
        <f>MID(GA12,16,1)*POWER(2,0)+MID(GA12,15,1)*POWER(2,1)+MID(GA12,14,1)*POWER(2,2)+MID(GA12,13,1)*POWER(2,3)+MID(GA12,12,1)*POWER(2,4)+MID(GA12,11,1)*POWER(2,5)+MID(GA12,10,1)*POWER(2,6)+MID(GA12,9,1)*POWER(2,7)+MID(GA12,8,1)*POWER(2,8)+MID(GA12,7,1)*POWER(2,9)+MID(GA12,6,1)*POWER(2,10)+MID(GA12,5,1)*POWER(2,11)+MID(GA12,4,1)*POWER(2,12)+MID(GA12,3,1)*POWER(2,13)+MID(GA12,2,1)*POWER(2,14)+MID(GA12,1,1)*POWER(2,15)-(MID(GA13,16,1)*POWER(2,0)+MID(GA13,15,1)*POWER(2,1)+MID(GA13,14,1)*POWER(2,2)+MID(GA13,13,1)*POWER(2,3)+MID(GA13,12,1)*POWER(2,4)+MID(GA13,11,1)*POWER(2,5)+MID(GA13,10,1)*POWER(2,6)+MID(GA13,9,1)*POWER(2,7)+MID(GA13,8,1)*POWER(2,8)+MID(GA13,7,1)*POWER(2,9)+MID(GA13,6,1)*POWER(2,10)+MID(GA13,5,1)*POWER(2,11)+MID(GA13,4,1)*POWER(2,12)+MID(GA13,3,1)*POWER(2,13)+MID(GA13,2,1)*POWER(2,14)+MID(GA13,1,1)*POWER(2,15))</f>
        <v>-35608</v>
      </c>
      <c r="GD12" s="77">
        <f>MID(GB12,16,1)*POWER(2,0)+MID(GB12,15,1)*POWER(2,1)+MID(GB12,14,1)*POWER(2,2)+MID(GB12,13,1)*POWER(2,3)+MID(GB12,12,1)*POWER(2,4)+MID(GB12,11,1)*POWER(2,5)+MID(GB12,10,1)*POWER(2,6)+MID(GB12,9,1)*POWER(2,7)+MID(GB12,8,1)*POWER(2,8)+MID(GB12,7,1)*POWER(2,9)+MID(GB12,6,1)*POWER(2,10)+MID(GB12,5,1)*POWER(2,11)+MID(GB12,4,1)*POWER(2,12)+MID(GB12,3,1)*POWER(2,13)+MID(GB12,2,1)*POWER(2,14)+MID(GB12,1,1)*POWER(2,15)-(MID(GB13,16,1)*POWER(2,0)+MID(GB13,15,1)*POWER(2,1)+MID(GB13,14,1)*POWER(2,2)+MID(GB13,13,1)*POWER(2,3)+MID(GB13,12,1)*POWER(2,4)+MID(GB13,11,1)*POWER(2,5)+MID(GB13,10,1)*POWER(2,6)+MID(GB13,9,1)*POWER(2,7)+MID(GB13,8,1)*POWER(2,8)+MID(GB13,7,1)*POWER(2,9)+MID(GB13,6,1)*POWER(2,10)+MID(GB13,5,1)*POWER(2,11)+MID(GB13,4,1)*POWER(2,12)+MID(GB13,3,1)*POWER(2,13)+MID(GB13,2,1)*POWER(2,14)+MID(GB13,1,1)*POWER(2,15))</f>
        <v>-46237</v>
      </c>
      <c r="GE12" s="47" t="str">
        <f>DY12</f>
        <v>10000000000010000000000000001000</v>
      </c>
      <c r="GF12" s="26" t="str">
        <f t="shared" si="126"/>
        <v>10000000</v>
      </c>
      <c r="GG12" s="26" t="str">
        <f t="shared" si="94"/>
        <v>00001000</v>
      </c>
      <c r="GH12" s="26" t="str">
        <f t="shared" si="95"/>
        <v>00000000</v>
      </c>
      <c r="GI12" s="26" t="str">
        <f t="shared" si="96"/>
        <v>00001000</v>
      </c>
      <c r="GJ12" s="77">
        <f>BIN2DEC(GF12)-BIN2DEC(GF13)</f>
        <v>128</v>
      </c>
      <c r="GK12" s="77">
        <f>BIN2DEC(GG12)-BIN2DEC(GG13)</f>
        <v>8</v>
      </c>
      <c r="GL12" s="77">
        <f>BIN2DEC(GH12)-BIN2DEC(GH13)</f>
        <v>-36</v>
      </c>
      <c r="GM12" s="77">
        <f>BIN2DEC(GI12)-BIN2DEC(GI13)</f>
        <v>4</v>
      </c>
      <c r="GN12" s="27" t="str">
        <f t="shared" si="97"/>
        <v>1111</v>
      </c>
      <c r="GO12" s="27" t="str">
        <f t="shared" si="98"/>
        <v>0010</v>
      </c>
      <c r="GP12" s="27" t="str">
        <f t="shared" si="99"/>
        <v>0000</v>
      </c>
      <c r="GQ12" s="27" t="str">
        <f t="shared" si="100"/>
        <v>1011</v>
      </c>
      <c r="GR12" s="27" t="str">
        <f t="shared" si="101"/>
        <v>0000</v>
      </c>
      <c r="GS12" s="27" t="str">
        <f t="shared" si="102"/>
        <v>0010</v>
      </c>
      <c r="GT12" s="27" t="str">
        <f t="shared" si="103"/>
        <v>0111</v>
      </c>
      <c r="GU12" s="27" t="str">
        <f t="shared" si="104"/>
        <v>1000</v>
      </c>
      <c r="GV12" s="77">
        <f t="shared" ref="GV12:HC12" si="162">BIN2DEC(GN12)-BIN2DEC(GN13)</f>
        <v>7</v>
      </c>
      <c r="GW12" s="77">
        <f t="shared" si="162"/>
        <v>-9</v>
      </c>
      <c r="GX12" s="77">
        <f t="shared" si="162"/>
        <v>-1</v>
      </c>
      <c r="GY12" s="77">
        <f t="shared" si="162"/>
        <v>3</v>
      </c>
      <c r="GZ12" s="77">
        <f t="shared" si="162"/>
        <v>-11</v>
      </c>
      <c r="HA12" s="77">
        <f t="shared" si="162"/>
        <v>-2</v>
      </c>
      <c r="HB12" s="77">
        <f t="shared" si="162"/>
        <v>-2</v>
      </c>
      <c r="HC12" s="77">
        <f t="shared" si="162"/>
        <v>-5</v>
      </c>
      <c r="HD12" s="26" t="str">
        <f t="shared" si="19"/>
        <v>1000000000001000</v>
      </c>
      <c r="HE12" s="26" t="str">
        <f t="shared" si="20"/>
        <v>0000000000001000</v>
      </c>
      <c r="HF12" s="77">
        <f>MID(HD12,16,1)*POWER(2,0)+MID(HD12,15,1)*POWER(2,1)+MID(HD12,14,1)*POWER(2,2)+MID(HD12,13,1)*POWER(2,3)+MID(HD12,12,1)*POWER(2,4)+MID(HD12,11,1)*POWER(2,5)+MID(HD12,10,1)*POWER(2,6)+MID(HD12,9,1)*POWER(2,7)+MID(HD12,8,1)*POWER(2,8)+MID(HD12,7,1)*POWER(2,9)+MID(HD12,6,1)*POWER(2,10)+MID(HD12,5,1)*POWER(2,11)+MID(HD12,4,1)*POWER(2,12)+MID(HD12,3,1)*POWER(2,13)+MID(HD12,2,1)*POWER(2,14)+MID(HD12,1,1)*POWER(2,15)-(MID(HD13,16,1)*POWER(2,0)+MID(HD13,15,1)*POWER(2,1)+MID(HD13,14,1)*POWER(2,2)+MID(HD13,13,1)*POWER(2,3)+MID(HD13,12,1)*POWER(2,4)+MID(HD13,11,1)*POWER(2,5)+MID(HD13,10,1)*POWER(2,6)+MID(HD13,9,1)*POWER(2,7)+MID(HD13,8,1)*POWER(2,8)+MID(HD13,7,1)*POWER(2,9)+MID(HD13,6,1)*POWER(2,10)+MID(HD13,5,1)*POWER(2,11)+MID(HD13,4,1)*POWER(2,12)+MID(HD13,3,1)*POWER(2,13)+MID(HD13,2,1)*POWER(2,14)+MID(HD13,1,1)*POWER(2,15))</f>
        <v>32776</v>
      </c>
      <c r="HG12" s="77">
        <f>MID(HE12,16,1)*POWER(2,0)+MID(HE12,15,1)*POWER(2,1)+MID(HE12,14,1)*POWER(2,2)+MID(HE12,13,1)*POWER(2,3)+MID(HE12,12,1)*POWER(2,4)+MID(HE12,11,1)*POWER(2,5)+MID(HE12,10,1)*POWER(2,6)+MID(HE12,9,1)*POWER(2,7)+MID(HE12,8,1)*POWER(2,8)+MID(HE12,7,1)*POWER(2,9)+MID(HE12,6,1)*POWER(2,10)+MID(HE12,5,1)*POWER(2,11)+MID(HE12,4,1)*POWER(2,12)+MID(HE12,3,1)*POWER(2,13)+MID(HE12,2,1)*POWER(2,14)+MID(HE12,1,1)*POWER(2,15)-(MID(HE13,16,1)*POWER(2,0)+MID(HE13,15,1)*POWER(2,1)+MID(HE13,14,1)*POWER(2,2)+MID(HE13,13,1)*POWER(2,3)+MID(HE13,12,1)*POWER(2,4)+MID(HE13,11,1)*POWER(2,5)+MID(HE13,10,1)*POWER(2,6)+MID(HE13,9,1)*POWER(2,7)+MID(HE13,8,1)*POWER(2,8)+MID(HE13,7,1)*POWER(2,9)+MID(HE13,6,1)*POWER(2,10)+MID(HE13,5,1)*POWER(2,11)+MID(HE13,4,1)*POWER(2,12)+MID(HE13,3,1)*POWER(2,13)+MID(HE13,2,1)*POWER(2,14)+MID(HE13,1,1)*POWER(2,15))</f>
        <v>-9212</v>
      </c>
      <c r="HH12" s="45" t="str">
        <f>CONCATENATE(MID(GE12,1,1)*MID($K12,1,1),MID(GE12,2,1)*MID($K12,2,1),MID(GE12,3,1)*MID($K12,3,1),MID(GE12,4,1)*MID($K12,4,1),MID(GE12,5,1)*MID($K12,5,1),MID(GE12,6,1)*MID($K12,6,1),MID(GE12,7,1)*MID($K12,7,1),MID(GE12,8,1)*MID($K12,8,1),MID(GE12,9,1)*MID($K12,1,1),MID(GE12,10,1)*MID($K12,2,1),MID(GE12,11,1)*MID($K12,3,1),MID(GE12,12,1)*MID($K12,4,1),MID(GE12,13,1)*MID($K12,5,1),MID(GE12,14,1)*MID($K12,6,1),MID(GE12,15,1)*MID($K12,7,1),MID(GE12,16,1)*MID($K12,8,1),MID(GE12,17,1)*MID($K12,1,1),MID(GE12,18,1)*MID($K12,2,1),MID(GE12,19,1)*MID($K12,3,1),MID(GE12,20,1)*MID($K12,4,1),MID(GE12,21,1)*MID($K12,5,1),MID(GE12,22,1)*MID($K12,6,1),MID(GE12,23,1)*MID($K12,7,1),MID(GE12,24,1)*MID($K12,8,1),MID(GE12,25,1)*MID($K12,1,1),MID(GE12,26,1)*MID($K12,2,1),MID(GE12,27,1)*MID($K12,3,1),MID(GE12,28,1)*MID($K12,4,1),MID(GE12,29,1)*MID($K12,5,1),MID(GE12,30,1)*MID($K12,6,1),MID(GE12,31,1)*MID($K12,7,1),MID(GE12,32,1)*MID($K12,8,1))</f>
        <v>00000000000000000000000000000000</v>
      </c>
      <c r="HI12" s="26" t="str">
        <f t="shared" si="128"/>
        <v>00000000</v>
      </c>
      <c r="HJ12" s="26" t="str">
        <f t="shared" si="105"/>
        <v>00000000</v>
      </c>
      <c r="HK12" s="26" t="str">
        <f t="shared" si="106"/>
        <v>00000000</v>
      </c>
      <c r="HL12" s="26" t="str">
        <f t="shared" si="107"/>
        <v>00000000</v>
      </c>
      <c r="HM12" s="77">
        <f>BIN2DEC(HI12)-BIN2DEC(HI13)</f>
        <v>0</v>
      </c>
      <c r="HN12" s="77">
        <f>BIN2DEC(HJ12)-BIN2DEC(HJ13)</f>
        <v>0</v>
      </c>
      <c r="HO12" s="77">
        <f>BIN2DEC(HK12)-BIN2DEC(HK13)</f>
        <v>-36</v>
      </c>
      <c r="HP12" s="77">
        <f>BIN2DEC(HL12)-BIN2DEC(HL13)</f>
        <v>-4</v>
      </c>
      <c r="HQ12" s="27" t="str">
        <f t="shared" si="108"/>
        <v>1111</v>
      </c>
      <c r="HR12" s="27" t="str">
        <f t="shared" si="109"/>
        <v>0010</v>
      </c>
      <c r="HS12" s="27" t="str">
        <f t="shared" si="110"/>
        <v>0000</v>
      </c>
      <c r="HT12" s="27" t="str">
        <f t="shared" si="111"/>
        <v>1011</v>
      </c>
      <c r="HU12" s="27" t="str">
        <f t="shared" si="112"/>
        <v>0000</v>
      </c>
      <c r="HV12" s="27" t="str">
        <f t="shared" si="113"/>
        <v>0010</v>
      </c>
      <c r="HW12" s="27" t="str">
        <f t="shared" si="114"/>
        <v>0111</v>
      </c>
      <c r="HX12" s="27" t="str">
        <f t="shared" si="115"/>
        <v>1000</v>
      </c>
      <c r="HY12" s="77">
        <f t="shared" ref="HY12:IF12" si="163">BIN2DEC(HQ12)-BIN2DEC(HQ13)</f>
        <v>7</v>
      </c>
      <c r="HZ12" s="77">
        <f t="shared" si="163"/>
        <v>-9</v>
      </c>
      <c r="IA12" s="77">
        <f t="shared" si="163"/>
        <v>-1</v>
      </c>
      <c r="IB12" s="77">
        <f t="shared" si="163"/>
        <v>3</v>
      </c>
      <c r="IC12" s="77">
        <f t="shared" si="163"/>
        <v>-11</v>
      </c>
      <c r="ID12" s="77">
        <f t="shared" si="163"/>
        <v>-2</v>
      </c>
      <c r="IE12" s="77">
        <f t="shared" si="163"/>
        <v>-2</v>
      </c>
      <c r="IF12" s="77">
        <f t="shared" si="163"/>
        <v>-5</v>
      </c>
      <c r="IG12" s="26" t="str">
        <f t="shared" si="22"/>
        <v>0000000000000000</v>
      </c>
      <c r="IH12" s="26" t="str">
        <f t="shared" si="23"/>
        <v>0000000000000000</v>
      </c>
      <c r="II12" s="77">
        <f>MID(IG12,16,1)*POWER(2,0)+MID(IG12,15,1)*POWER(2,1)+MID(IG12,14,1)*POWER(2,2)+MID(IG12,13,1)*POWER(2,3)+MID(IG12,12,1)*POWER(2,4)+MID(IG12,11,1)*POWER(2,5)+MID(IG12,10,1)*POWER(2,6)+MID(IG12,9,1)*POWER(2,7)+MID(IG12,8,1)*POWER(2,8)+MID(IG12,7,1)*POWER(2,9)+MID(IG12,6,1)*POWER(2,10)+MID(IG12,5,1)*POWER(2,11)+MID(IG12,4,1)*POWER(2,12)+MID(IG12,3,1)*POWER(2,13)+MID(IG12,2,1)*POWER(2,14)+MID(IG12,1,1)*POWER(2,15)-(MID(IG13,16,1)*POWER(2,0)+MID(IG13,15,1)*POWER(2,1)+MID(IG13,14,1)*POWER(2,2)+MID(IG13,13,1)*POWER(2,3)+MID(IG13,12,1)*POWER(2,4)+MID(IG13,11,1)*POWER(2,5)+MID(IG13,10,1)*POWER(2,6)+MID(IG13,9,1)*POWER(2,7)+MID(IG13,8,1)*POWER(2,8)+MID(IG13,7,1)*POWER(2,9)+MID(IG13,6,1)*POWER(2,10)+MID(IG13,5,1)*POWER(2,11)+MID(IG13,4,1)*POWER(2,12)+MID(IG13,3,1)*POWER(2,13)+MID(IG13,2,1)*POWER(2,14)+MID(IG13,1,1)*POWER(2,15))</f>
        <v>0</v>
      </c>
      <c r="IJ12" s="77">
        <f>MID(IH12,16,1)*POWER(2,0)+MID(IH12,15,1)*POWER(2,1)+MID(IH12,14,1)*POWER(2,2)+MID(IH12,13,1)*POWER(2,3)+MID(IH12,12,1)*POWER(2,4)+MID(IH12,11,1)*POWER(2,5)+MID(IH12,10,1)*POWER(2,6)+MID(IH12,9,1)*POWER(2,7)+MID(IH12,8,1)*POWER(2,8)+MID(IH12,7,1)*POWER(2,9)+MID(IH12,6,1)*POWER(2,10)+MID(IH12,5,1)*POWER(2,11)+MID(IH12,4,1)*POWER(2,12)+MID(IH12,3,1)*POWER(2,13)+MID(IH12,2,1)*POWER(2,14)+MID(IH12,1,1)*POWER(2,15)-(MID(IH13,16,1)*POWER(2,0)+MID(IH13,15,1)*POWER(2,1)+MID(IH13,14,1)*POWER(2,2)+MID(IH13,13,1)*POWER(2,3)+MID(IH13,12,1)*POWER(2,4)+MID(IH13,11,1)*POWER(2,5)+MID(IH13,10,1)*POWER(2,6)+MID(IH13,9,1)*POWER(2,7)+MID(IH13,8,1)*POWER(2,8)+MID(IH13,7,1)*POWER(2,9)+MID(IH13,6,1)*POWER(2,10)+MID(IH13,5,1)*POWER(2,11)+MID(IH13,4,1)*POWER(2,12)+MID(IH13,3,1)*POWER(2,13)+MID(IH13,2,1)*POWER(2,14)+MID(IH13,1,1)*POWER(2,15))</f>
        <v>-9220</v>
      </c>
      <c r="IL12" s="26"/>
      <c r="IM12" s="26"/>
      <c r="IN12" s="26"/>
      <c r="IO12" s="26"/>
      <c r="IP12" s="22"/>
      <c r="IQ12" s="22"/>
      <c r="IR12" s="22"/>
      <c r="IS12" s="22"/>
      <c r="JB12" s="22"/>
      <c r="JC12" s="22"/>
      <c r="JD12" s="22"/>
      <c r="JE12" s="22"/>
      <c r="JF12" s="22"/>
      <c r="JG12" s="22"/>
      <c r="JH12" s="22"/>
      <c r="JI12" s="22"/>
      <c r="JJ12" s="26"/>
      <c r="JK12" s="26"/>
      <c r="JL12" s="22"/>
      <c r="JM12" s="22"/>
    </row>
    <row r="13" spans="1:273" s="31" customFormat="1" ht="18.600000000000001" thickBot="1" x14ac:dyDescent="0.4">
      <c r="A13" s="28"/>
      <c r="B13" s="29"/>
      <c r="C13" s="17" t="s">
        <v>6</v>
      </c>
      <c r="D13" s="17" t="s">
        <v>157</v>
      </c>
      <c r="E13" s="17">
        <v>18</v>
      </c>
      <c r="F13" s="17" t="s">
        <v>155</v>
      </c>
      <c r="G13" s="17" t="s">
        <v>147</v>
      </c>
      <c r="H13" s="17" t="str">
        <f t="shared" si="146"/>
        <v>10001011000110001011010010011101</v>
      </c>
      <c r="I13" s="17">
        <f t="shared" si="147"/>
        <v>15</v>
      </c>
      <c r="J13" s="17"/>
      <c r="K13" s="17"/>
      <c r="L13" s="44" t="str">
        <f>H13</f>
        <v>10001011000110001011010010011101</v>
      </c>
      <c r="M13" s="30" t="str">
        <f t="shared" si="24"/>
        <v>10001011</v>
      </c>
      <c r="N13" s="30" t="str">
        <f t="shared" si="25"/>
        <v>00011000</v>
      </c>
      <c r="O13" s="30" t="str">
        <f t="shared" si="26"/>
        <v>10110100</v>
      </c>
      <c r="P13" s="30" t="str">
        <f t="shared" si="27"/>
        <v>10011101</v>
      </c>
      <c r="Q13" s="78"/>
      <c r="R13" s="78"/>
      <c r="S13" s="78"/>
      <c r="T13" s="78"/>
      <c r="U13" s="31" t="str">
        <f t="shared" si="28"/>
        <v>1000</v>
      </c>
      <c r="V13" s="31" t="str">
        <f t="shared" si="29"/>
        <v>1011</v>
      </c>
      <c r="W13" s="31" t="str">
        <f t="shared" si="30"/>
        <v>0001</v>
      </c>
      <c r="X13" s="31" t="str">
        <f t="shared" si="31"/>
        <v>1000</v>
      </c>
      <c r="Y13" s="31" t="str">
        <f t="shared" si="32"/>
        <v>1011</v>
      </c>
      <c r="Z13" s="31" t="str">
        <f t="shared" si="33"/>
        <v>0100</v>
      </c>
      <c r="AA13" s="31" t="str">
        <f t="shared" si="34"/>
        <v>1001</v>
      </c>
      <c r="AB13" s="31" t="str">
        <f t="shared" si="35"/>
        <v>1101</v>
      </c>
      <c r="AC13" s="78"/>
      <c r="AD13" s="78"/>
      <c r="AE13" s="78"/>
      <c r="AF13" s="78"/>
      <c r="AG13" s="78"/>
      <c r="AH13" s="78"/>
      <c r="AI13" s="78"/>
      <c r="AJ13" s="78"/>
      <c r="AK13" s="30" t="str">
        <f t="shared" si="1"/>
        <v>1000101100011000</v>
      </c>
      <c r="AL13" s="30" t="str">
        <f t="shared" si="2"/>
        <v>1011010010011101</v>
      </c>
      <c r="AM13" s="78"/>
      <c r="AN13" s="78"/>
      <c r="AO13" s="46" t="str">
        <f>L13</f>
        <v>10001011000110001011010010011101</v>
      </c>
      <c r="AP13" s="30" t="str">
        <f t="shared" si="36"/>
        <v>10001011</v>
      </c>
      <c r="AQ13" s="30" t="str">
        <f t="shared" si="37"/>
        <v>00011000</v>
      </c>
      <c r="AR13" s="30" t="str">
        <f t="shared" si="38"/>
        <v>10110100</v>
      </c>
      <c r="AS13" s="30" t="str">
        <f t="shared" si="39"/>
        <v>10011101</v>
      </c>
      <c r="AT13" s="78"/>
      <c r="AU13" s="78"/>
      <c r="AV13" s="78"/>
      <c r="AW13" s="78"/>
      <c r="AX13" s="31" t="str">
        <f t="shared" si="40"/>
        <v>1000</v>
      </c>
      <c r="AY13" s="31" t="str">
        <f t="shared" si="41"/>
        <v>1011</v>
      </c>
      <c r="AZ13" s="31" t="str">
        <f t="shared" si="42"/>
        <v>0001</v>
      </c>
      <c r="BA13" s="31" t="str">
        <f t="shared" si="43"/>
        <v>1000</v>
      </c>
      <c r="BB13" s="31" t="str">
        <f t="shared" si="44"/>
        <v>1011</v>
      </c>
      <c r="BC13" s="31" t="str">
        <f t="shared" si="45"/>
        <v>0100</v>
      </c>
      <c r="BD13" s="31" t="str">
        <f t="shared" si="46"/>
        <v>1001</v>
      </c>
      <c r="BE13" s="31" t="str">
        <f t="shared" si="47"/>
        <v>1101</v>
      </c>
      <c r="BF13" s="78"/>
      <c r="BG13" s="78"/>
      <c r="BH13" s="78"/>
      <c r="BI13" s="78"/>
      <c r="BJ13" s="78"/>
      <c r="BK13" s="78"/>
      <c r="BL13" s="78"/>
      <c r="BM13" s="78"/>
      <c r="BN13" s="30" t="str">
        <f t="shared" si="4"/>
        <v>1000101100011000</v>
      </c>
      <c r="BO13" s="30" t="str">
        <f t="shared" si="5"/>
        <v>1011010010011101</v>
      </c>
      <c r="BP13" s="78"/>
      <c r="BQ13" s="78"/>
      <c r="BR13" s="46" t="str">
        <f>CONCATENATE(MID(L13,1,1)*MID(K12,1,1),MID(L13,2,1)*MID(K12,2,1),MID(L13,3,1)*MID(K12,3,1),MID(L13,4,1)*MID(K12,4,1),MID(L13,5,1)*MID(K12,5,1),MID(L13,6,1)*MID(K12,6,1),MID(L13,7,1)*MID(K12,7,1),MID(L13,8,1)*MID(K12,8,1),MID(L13,9,1)*MID(K12,1,1),MID(L13,10,1)*MID(K12,2,1),MID(L13,11,1)*MID(K12,3,1),MID(L13,12,1)*MID(K12,4,1),MID(L13,13,1)*MID(K12,5,1),MID(L13,14,1)*MID(K12,6,1),MID(L13,15,1)*MID(K12,7,1),MID(L13,16,1)*MID(K12,8,1),MID(L13,17,1)*MID(K12,1,1),MID(L13,18,1)*MID(K12,2,1),MID(L13,19,1)*MID(K12,3,1),MID(L13,20,1)*MID(K12,4,1),MID(L13,21,1)*MID(K12,5,1),MID(L13,22,1)*MID(K12,6,1),MID(L13,23,1)*MID(K12,7,1),MID(L13,24,1)*MID(K12,8,1),MID(L13,25,1)*MID(K12,1,1),MID(L13,26,1)*MID(K12,2,1),MID(L13,27,1)*MID(K12,3,1),MID(L13,28,1)*MID(K12,4,1),MID(L13,29,1)*MID(K12,5,1),MID(L13,30,1)*MID(K12,6,1),MID(L13,31,1)*MID(K12,7,1),MID(L13,32,1)*MID(K12,8,1))</f>
        <v>00000000000000000010010000000100</v>
      </c>
      <c r="BS13" s="30" t="str">
        <f t="shared" si="48"/>
        <v>00000000</v>
      </c>
      <c r="BT13" s="30" t="str">
        <f t="shared" si="49"/>
        <v>00000000</v>
      </c>
      <c r="BU13" s="30" t="str">
        <f t="shared" si="50"/>
        <v>00100100</v>
      </c>
      <c r="BV13" s="30" t="str">
        <f t="shared" si="51"/>
        <v>00000100</v>
      </c>
      <c r="BW13" s="78"/>
      <c r="BX13" s="78"/>
      <c r="BY13" s="78"/>
      <c r="BZ13" s="78"/>
      <c r="CA13" s="31" t="str">
        <f t="shared" si="52"/>
        <v>1000</v>
      </c>
      <c r="CB13" s="31" t="str">
        <f t="shared" si="53"/>
        <v>1011</v>
      </c>
      <c r="CC13" s="31" t="str">
        <f t="shared" si="54"/>
        <v>0001</v>
      </c>
      <c r="CD13" s="31" t="str">
        <f t="shared" si="55"/>
        <v>1000</v>
      </c>
      <c r="CE13" s="31" t="str">
        <f t="shared" si="56"/>
        <v>1011</v>
      </c>
      <c r="CF13" s="31" t="str">
        <f t="shared" si="57"/>
        <v>0100</v>
      </c>
      <c r="CG13" s="31" t="str">
        <f t="shared" si="58"/>
        <v>1001</v>
      </c>
      <c r="CH13" s="31" t="str">
        <f t="shared" si="59"/>
        <v>1101</v>
      </c>
      <c r="CI13" s="78"/>
      <c r="CJ13" s="78"/>
      <c r="CK13" s="78"/>
      <c r="CL13" s="78"/>
      <c r="CM13" s="78"/>
      <c r="CN13" s="78"/>
      <c r="CO13" s="78"/>
      <c r="CP13" s="78"/>
      <c r="CQ13" s="30" t="str">
        <f t="shared" si="7"/>
        <v>0000000000000000</v>
      </c>
      <c r="CR13" s="30" t="str">
        <f t="shared" si="8"/>
        <v>0010010000000100</v>
      </c>
      <c r="CS13" s="78"/>
      <c r="CT13" s="78"/>
      <c r="CU13" s="46" t="str">
        <f>CONCATENATE(MID($L13,1,1)*MID($K12,1,1),MID($L13,2,1)*MID($K12,2,1),MID($L13,3,1)*MID($K12,3,1),MID($L13,4,1)*MID($K12,4,1),MID($L13,5,1)*MID($K12,5,1),MID($L13,6,1)*MID($K12,6,1),MID($L13,7,1)*MID($K12,7,1),MID($L13,8,1)*MID($K12,8,1),MID($L13,9,1)*MID($K12,1,1),MID($L13,10,1)*MID($K12,2,1),MID($L13,11,1)*MID($K12,3,1),MID($L13,12,1)*MID($K12,4,1),MID($L13,13,1)*MID($K12,5,1),MID($L13,14,1)*MID($K12,6,1),MID($L13,15,1)*MID($K12,7,1),MID($L13,16,1)*MID($K12,8,1),MID($L13,17,1)*MID($K12,1,1),MID($L13,18,1)*MID($K12,2,1),MID($L13,19,1)*MID($K12,3,1),MID($L13,20,1)*MID($K12,4,1),MID($L13,21,1)*MID($K12,5,1),MID($L13,22,1)*MID($K12,6,1),MID($L13,23,1)*MID($K12,7,1),MID($L13,24,1)*MID($K12,8,1),MID($L13,25,1)*MID($K12,1,1),MID($L13,26,1)*MID($K12,2,1),MID($L13,27,1)*MID($K12,3,1),MID($L13,28,1)*MID($K12,4,1),MID($L13,29,1)*MID($K12,5,1),MID($L13,30,1)*MID($K12,6,1),MID($L13,31,1)*MID($K12,7,1),MID($L13,32,1)*MID($K12,8,1))</f>
        <v>00000000000000000010010000000100</v>
      </c>
      <c r="CV13" s="30" t="str">
        <f t="shared" si="60"/>
        <v>00000000</v>
      </c>
      <c r="CW13" s="30" t="str">
        <f t="shared" si="61"/>
        <v>00000000</v>
      </c>
      <c r="CX13" s="30" t="str">
        <f t="shared" si="62"/>
        <v>00100100</v>
      </c>
      <c r="CY13" s="30" t="str">
        <f t="shared" si="63"/>
        <v>00000100</v>
      </c>
      <c r="CZ13" s="78"/>
      <c r="DA13" s="78"/>
      <c r="DB13" s="78"/>
      <c r="DC13" s="78"/>
      <c r="DD13" s="31" t="str">
        <f t="shared" si="64"/>
        <v>1000</v>
      </c>
      <c r="DE13" s="31" t="str">
        <f t="shared" si="65"/>
        <v>1011</v>
      </c>
      <c r="DF13" s="31" t="str">
        <f t="shared" si="66"/>
        <v>0001</v>
      </c>
      <c r="DG13" s="31" t="str">
        <f t="shared" si="67"/>
        <v>1000</v>
      </c>
      <c r="DH13" s="31" t="str">
        <f t="shared" si="68"/>
        <v>1011</v>
      </c>
      <c r="DI13" s="31" t="str">
        <f t="shared" si="69"/>
        <v>0100</v>
      </c>
      <c r="DJ13" s="31" t="str">
        <f t="shared" si="70"/>
        <v>1001</v>
      </c>
      <c r="DK13" s="31" t="str">
        <f t="shared" si="71"/>
        <v>1101</v>
      </c>
      <c r="DL13" s="78"/>
      <c r="DM13" s="78"/>
      <c r="DN13" s="78"/>
      <c r="DO13" s="78"/>
      <c r="DP13" s="78"/>
      <c r="DQ13" s="78"/>
      <c r="DR13" s="78"/>
      <c r="DS13" s="78"/>
      <c r="DT13" s="30" t="str">
        <f t="shared" si="10"/>
        <v>0000000000000000</v>
      </c>
      <c r="DU13" s="30" t="str">
        <f t="shared" si="11"/>
        <v>0010010000000100</v>
      </c>
      <c r="DV13" s="78"/>
      <c r="DW13" s="78"/>
      <c r="DX13" s="23"/>
      <c r="DY13" s="48" t="str">
        <f>H13</f>
        <v>10001011000110001011010010011101</v>
      </c>
      <c r="DZ13" s="30" t="str">
        <f t="shared" si="122"/>
        <v>10001011</v>
      </c>
      <c r="EA13" s="30" t="str">
        <f t="shared" si="72"/>
        <v>00011000</v>
      </c>
      <c r="EB13" s="30" t="str">
        <f t="shared" si="73"/>
        <v>10110100</v>
      </c>
      <c r="EC13" s="30" t="str">
        <f t="shared" si="74"/>
        <v>10011101</v>
      </c>
      <c r="ED13" s="78"/>
      <c r="EE13" s="78"/>
      <c r="EF13" s="78"/>
      <c r="EG13" s="78"/>
      <c r="EH13" s="31" t="str">
        <f t="shared" si="75"/>
        <v>1000</v>
      </c>
      <c r="EI13" s="31" t="str">
        <f t="shared" si="76"/>
        <v>1011</v>
      </c>
      <c r="EJ13" s="31" t="str">
        <f t="shared" si="77"/>
        <v>0001</v>
      </c>
      <c r="EK13" s="31" t="str">
        <f t="shared" si="78"/>
        <v>1000</v>
      </c>
      <c r="EL13" s="31" t="str">
        <f t="shared" si="79"/>
        <v>1011</v>
      </c>
      <c r="EM13" s="31" t="str">
        <f t="shared" si="80"/>
        <v>0100</v>
      </c>
      <c r="EN13" s="31" t="str">
        <f t="shared" si="81"/>
        <v>1001</v>
      </c>
      <c r="EO13" s="31" t="str">
        <f t="shared" si="82"/>
        <v>1101</v>
      </c>
      <c r="EP13" s="78"/>
      <c r="EQ13" s="78"/>
      <c r="ER13" s="78"/>
      <c r="ES13" s="78"/>
      <c r="ET13" s="78"/>
      <c r="EU13" s="78"/>
      <c r="EV13" s="78"/>
      <c r="EW13" s="78"/>
      <c r="EX13" s="30" t="str">
        <f t="shared" si="13"/>
        <v>1000101100011000</v>
      </c>
      <c r="EY13" s="30" t="str">
        <f t="shared" si="14"/>
        <v>1011010010011101</v>
      </c>
      <c r="EZ13" s="78"/>
      <c r="FA13" s="78"/>
      <c r="FB13" s="48" t="str">
        <f>H13</f>
        <v>10001011000110001011010010011101</v>
      </c>
      <c r="FC13" s="30" t="str">
        <f t="shared" si="124"/>
        <v>10001011</v>
      </c>
      <c r="FD13" s="30" t="str">
        <f t="shared" si="83"/>
        <v>00011000</v>
      </c>
      <c r="FE13" s="30" t="str">
        <f t="shared" si="84"/>
        <v>10110100</v>
      </c>
      <c r="FF13" s="30" t="str">
        <f t="shared" si="85"/>
        <v>10011101</v>
      </c>
      <c r="FG13" s="78"/>
      <c r="FH13" s="78"/>
      <c r="FI13" s="78"/>
      <c r="FJ13" s="78"/>
      <c r="FK13" s="31" t="str">
        <f t="shared" si="86"/>
        <v>1000</v>
      </c>
      <c r="FL13" s="31" t="str">
        <f t="shared" si="87"/>
        <v>1011</v>
      </c>
      <c r="FM13" s="31" t="str">
        <f t="shared" si="88"/>
        <v>0001</v>
      </c>
      <c r="FN13" s="31" t="str">
        <f t="shared" si="89"/>
        <v>1000</v>
      </c>
      <c r="FO13" s="31" t="str">
        <f t="shared" si="90"/>
        <v>1011</v>
      </c>
      <c r="FP13" s="31" t="str">
        <f t="shared" si="91"/>
        <v>0100</v>
      </c>
      <c r="FQ13" s="31" t="str">
        <f t="shared" si="92"/>
        <v>1001</v>
      </c>
      <c r="FR13" s="31" t="str">
        <f t="shared" si="93"/>
        <v>1101</v>
      </c>
      <c r="FS13" s="78"/>
      <c r="FT13" s="78"/>
      <c r="FU13" s="78"/>
      <c r="FV13" s="78"/>
      <c r="FW13" s="78"/>
      <c r="FX13" s="78"/>
      <c r="FY13" s="78"/>
      <c r="FZ13" s="78"/>
      <c r="GA13" s="30" t="str">
        <f t="shared" si="16"/>
        <v>1000101100011000</v>
      </c>
      <c r="GB13" s="30" t="str">
        <f t="shared" si="17"/>
        <v>1011010010011101</v>
      </c>
      <c r="GC13" s="78"/>
      <c r="GD13" s="78"/>
      <c r="GE13" s="48" t="str">
        <f>BR13</f>
        <v>00000000000000000010010000000100</v>
      </c>
      <c r="GF13" s="30" t="str">
        <f t="shared" si="126"/>
        <v>00000000</v>
      </c>
      <c r="GG13" s="30" t="str">
        <f t="shared" si="94"/>
        <v>00000000</v>
      </c>
      <c r="GH13" s="30" t="str">
        <f t="shared" si="95"/>
        <v>00100100</v>
      </c>
      <c r="GI13" s="30" t="str">
        <f t="shared" si="96"/>
        <v>00000100</v>
      </c>
      <c r="GJ13" s="78"/>
      <c r="GK13" s="78"/>
      <c r="GL13" s="78"/>
      <c r="GM13" s="78"/>
      <c r="GN13" s="31" t="str">
        <f t="shared" si="97"/>
        <v>1000</v>
      </c>
      <c r="GO13" s="31" t="str">
        <f t="shared" si="98"/>
        <v>1011</v>
      </c>
      <c r="GP13" s="31" t="str">
        <f t="shared" si="99"/>
        <v>0001</v>
      </c>
      <c r="GQ13" s="31" t="str">
        <f t="shared" si="100"/>
        <v>1000</v>
      </c>
      <c r="GR13" s="31" t="str">
        <f t="shared" si="101"/>
        <v>1011</v>
      </c>
      <c r="GS13" s="31" t="str">
        <f t="shared" si="102"/>
        <v>0100</v>
      </c>
      <c r="GT13" s="31" t="str">
        <f t="shared" si="103"/>
        <v>1001</v>
      </c>
      <c r="GU13" s="31" t="str">
        <f t="shared" si="104"/>
        <v>1101</v>
      </c>
      <c r="GV13" s="78"/>
      <c r="GW13" s="78"/>
      <c r="GX13" s="78"/>
      <c r="GY13" s="78"/>
      <c r="GZ13" s="78"/>
      <c r="HA13" s="78"/>
      <c r="HB13" s="78"/>
      <c r="HC13" s="78"/>
      <c r="HD13" s="30" t="str">
        <f t="shared" si="19"/>
        <v>0000000000000000</v>
      </c>
      <c r="HE13" s="30" t="str">
        <f t="shared" si="20"/>
        <v>0010010000000100</v>
      </c>
      <c r="HF13" s="78"/>
      <c r="HG13" s="78"/>
      <c r="HH13" s="48" t="str">
        <f>GE13</f>
        <v>00000000000000000010010000000100</v>
      </c>
      <c r="HI13" s="30" t="str">
        <f t="shared" si="128"/>
        <v>00000000</v>
      </c>
      <c r="HJ13" s="30" t="str">
        <f t="shared" si="105"/>
        <v>00000000</v>
      </c>
      <c r="HK13" s="30" t="str">
        <f t="shared" si="106"/>
        <v>00100100</v>
      </c>
      <c r="HL13" s="30" t="str">
        <f t="shared" si="107"/>
        <v>00000100</v>
      </c>
      <c r="HM13" s="78"/>
      <c r="HN13" s="78"/>
      <c r="HO13" s="78"/>
      <c r="HP13" s="78"/>
      <c r="HQ13" s="31" t="str">
        <f t="shared" si="108"/>
        <v>1000</v>
      </c>
      <c r="HR13" s="31" t="str">
        <f t="shared" si="109"/>
        <v>1011</v>
      </c>
      <c r="HS13" s="31" t="str">
        <f t="shared" si="110"/>
        <v>0001</v>
      </c>
      <c r="HT13" s="31" t="str">
        <f t="shared" si="111"/>
        <v>1000</v>
      </c>
      <c r="HU13" s="31" t="str">
        <f t="shared" si="112"/>
        <v>1011</v>
      </c>
      <c r="HV13" s="31" t="str">
        <f t="shared" si="113"/>
        <v>0100</v>
      </c>
      <c r="HW13" s="31" t="str">
        <f t="shared" si="114"/>
        <v>1001</v>
      </c>
      <c r="HX13" s="31" t="str">
        <f t="shared" si="115"/>
        <v>1101</v>
      </c>
      <c r="HY13" s="78"/>
      <c r="HZ13" s="78"/>
      <c r="IA13" s="78"/>
      <c r="IB13" s="78"/>
      <c r="IC13" s="78"/>
      <c r="ID13" s="78"/>
      <c r="IE13" s="78"/>
      <c r="IF13" s="78"/>
      <c r="IG13" s="30" t="str">
        <f t="shared" si="22"/>
        <v>0000000000000000</v>
      </c>
      <c r="IH13" s="30" t="str">
        <f t="shared" si="23"/>
        <v>0010010000000100</v>
      </c>
      <c r="II13" s="78"/>
      <c r="IJ13" s="78"/>
      <c r="IL13" s="30"/>
      <c r="IM13" s="30"/>
      <c r="IN13" s="30"/>
      <c r="IO13" s="30"/>
      <c r="IP13" s="23"/>
      <c r="IQ13" s="23"/>
      <c r="IR13" s="23"/>
      <c r="IS13" s="23"/>
      <c r="JB13" s="23"/>
      <c r="JC13" s="23"/>
      <c r="JD13" s="23"/>
      <c r="JE13" s="23"/>
      <c r="JF13" s="23"/>
      <c r="JG13" s="23"/>
      <c r="JH13" s="23"/>
      <c r="JI13" s="23"/>
      <c r="JJ13" s="30"/>
      <c r="JK13" s="30"/>
      <c r="JL13" s="23"/>
      <c r="JM13" s="23"/>
    </row>
    <row r="14" spans="1:273" s="27" customFormat="1" x14ac:dyDescent="0.35">
      <c r="A14" s="24"/>
      <c r="B14" s="25"/>
      <c r="C14" s="16" t="s">
        <v>0</v>
      </c>
      <c r="D14" s="16">
        <v>21</v>
      </c>
      <c r="E14" s="16">
        <v>29</v>
      </c>
      <c r="F14" s="16" t="s">
        <v>20</v>
      </c>
      <c r="G14" s="16" t="s">
        <v>127</v>
      </c>
      <c r="H14" s="16" t="str">
        <f t="shared" si="146"/>
        <v>00100001001010010000101010101101</v>
      </c>
      <c r="I14" s="16">
        <f t="shared" si="147"/>
        <v>12</v>
      </c>
      <c r="J14" s="16">
        <v>64</v>
      </c>
      <c r="K14" s="16" t="str">
        <f>HEX2BIN(J14,8)</f>
        <v>01100100</v>
      </c>
      <c r="L14" s="43" t="str">
        <f>CONCATENATE(MID(H14,30,3),MID(H14,17,5),MID(H14,6,3),MID(H14,25,5),MID(H14,14,3),MID(H14,1,5),MID(H14,22,3),MID(H14,9,5))</f>
        <v>10100001001101010010010001000101</v>
      </c>
      <c r="M14" s="26" t="str">
        <f t="shared" si="24"/>
        <v>10100001</v>
      </c>
      <c r="N14" s="26" t="str">
        <f t="shared" si="25"/>
        <v>00110101</v>
      </c>
      <c r="O14" s="26" t="str">
        <f t="shared" si="26"/>
        <v>00100100</v>
      </c>
      <c r="P14" s="26" t="str">
        <f t="shared" si="27"/>
        <v>01000101</v>
      </c>
      <c r="Q14" s="77">
        <f>BIN2DEC(M14)-BIN2DEC(M15)</f>
        <v>103</v>
      </c>
      <c r="R14" s="77">
        <f>BIN2DEC(N14)-BIN2DEC(N15)</f>
        <v>19</v>
      </c>
      <c r="S14" s="77">
        <f>BIN2DEC(O14)-BIN2DEC(O15)</f>
        <v>-178</v>
      </c>
      <c r="T14" s="77">
        <f>BIN2DEC(P14)-BIN2DEC(P15)</f>
        <v>-37</v>
      </c>
      <c r="U14" s="27" t="str">
        <f t="shared" si="28"/>
        <v>1010</v>
      </c>
      <c r="V14" s="27" t="str">
        <f t="shared" si="29"/>
        <v>0001</v>
      </c>
      <c r="W14" s="27" t="str">
        <f t="shared" si="30"/>
        <v>0011</v>
      </c>
      <c r="X14" s="27" t="str">
        <f t="shared" si="31"/>
        <v>0101</v>
      </c>
      <c r="Y14" s="27" t="str">
        <f t="shared" si="32"/>
        <v>0010</v>
      </c>
      <c r="Z14" s="27" t="str">
        <f t="shared" si="33"/>
        <v>0100</v>
      </c>
      <c r="AA14" s="27" t="str">
        <f t="shared" si="34"/>
        <v>0100</v>
      </c>
      <c r="AB14" s="27" t="str">
        <f t="shared" si="35"/>
        <v>0101</v>
      </c>
      <c r="AC14" s="77">
        <f t="shared" ref="AC14:AJ14" si="164">BIN2DEC(U14)-BIN2DEC(U15)</f>
        <v>7</v>
      </c>
      <c r="AD14" s="77">
        <f t="shared" si="164"/>
        <v>-9</v>
      </c>
      <c r="AE14" s="77">
        <f t="shared" si="164"/>
        <v>1</v>
      </c>
      <c r="AF14" s="77">
        <f t="shared" si="164"/>
        <v>3</v>
      </c>
      <c r="AG14" s="77">
        <f t="shared" si="164"/>
        <v>-11</v>
      </c>
      <c r="AH14" s="77">
        <f t="shared" si="164"/>
        <v>-2</v>
      </c>
      <c r="AI14" s="77">
        <f t="shared" si="164"/>
        <v>-2</v>
      </c>
      <c r="AJ14" s="77">
        <f t="shared" si="164"/>
        <v>-5</v>
      </c>
      <c r="AK14" s="26" t="str">
        <f t="shared" si="1"/>
        <v>1010000100110101</v>
      </c>
      <c r="AL14" s="26" t="str">
        <f t="shared" si="2"/>
        <v>0010010001000101</v>
      </c>
      <c r="AM14" s="77">
        <f>MID(AK14,16,1)*POWER(2,0)+MID(AK14,15,1)*POWER(2,1)+MID(AK14,14,1)*POWER(2,2)+MID(AK14,13,1)*POWER(2,3)+MID(AK14,12,1)*POWER(2,4)+MID(AK14,11,1)*POWER(2,5)+MID(AK14,10,1)*POWER(2,6)+MID(AK14,9,1)*POWER(2,7)+MID(AK14,8,1)*POWER(2,8)+MID(AK14,7,1)*POWER(2,9)+MID(AK14,6,1)*POWER(2,10)+MID(AK14,5,1)*POWER(2,11)+MID(AK14,4,1)*POWER(2,12)+MID(AK14,3,1)*POWER(2,13)+MID(AK14,2,1)*POWER(2,14)+MID(AK14,1,1)*POWER(2,15)-(MID(AK15,16,1)*POWER(2,0)+MID(AK15,15,1)*POWER(2,1)+MID(AK15,14,1)*POWER(2,2)+MID(AK15,13,1)*POWER(2,3)+MID(AK15,12,1)*POWER(2,4)+MID(AK15,11,1)*POWER(2,5)+MID(AK15,10,1)*POWER(2,6)+MID(AK15,9,1)*POWER(2,7)+MID(AK15,8,1)*POWER(2,8)+MID(AK15,7,1)*POWER(2,9)+MID(AK15,6,1)*POWER(2,10)+MID(AK15,5,1)*POWER(2,11)+MID(AK15,4,1)*POWER(2,12)+MID(AK15,3,1)*POWER(2,13)+MID(AK15,2,1)*POWER(2,14)+MID(AK15,1,1)*POWER(2,15))</f>
        <v>26387</v>
      </c>
      <c r="AN14" s="77">
        <f>MID(AL14,16,1)*POWER(2,0)+MID(AL14,15,1)*POWER(2,1)+MID(AL14,14,1)*POWER(2,2)+MID(AL14,13,1)*POWER(2,3)+MID(AL14,12,1)*POWER(2,4)+MID(AL14,11,1)*POWER(2,5)+MID(AL14,10,1)*POWER(2,6)+MID(AL14,9,1)*POWER(2,7)+MID(AL14,8,1)*POWER(2,8)+MID(AL14,7,1)*POWER(2,9)+MID(AL14,6,1)*POWER(2,10)+MID(AL14,5,1)*POWER(2,11)+MID(AL14,4,1)*POWER(2,12)+MID(AL14,3,1)*POWER(2,13)+MID(AL14,2,1)*POWER(2,14)+MID(AL14,1,1)*POWER(2,15)-(MID(AL15,16,1)*POWER(2,0)+MID(AL15,15,1)*POWER(2,1)+MID(AL15,14,1)*POWER(2,2)+MID(AL15,13,1)*POWER(2,3)+MID(AL15,12,1)*POWER(2,4)+MID(AL15,11,1)*POWER(2,5)+MID(AL15,10,1)*POWER(2,6)+MID(AL15,9,1)*POWER(2,7)+MID(AL15,8,1)*POWER(2,8)+MID(AL15,7,1)*POWER(2,9)+MID(AL15,6,1)*POWER(2,10)+MID(AL15,5,1)*POWER(2,11)+MID(AL15,4,1)*POWER(2,12)+MID(AL15,3,1)*POWER(2,13)+MID(AL15,2,1)*POWER(2,14)+MID(AL15,1,1)*POWER(2,15))</f>
        <v>-45605</v>
      </c>
      <c r="AO14" s="45" t="str">
        <f>CONCATENATE(MID(L14,1,1)*MID(K14,1,1),MID(L14,2,1)*MID(K14,2,1),MID(L14,3,1)*MID(K14,3,1),MID(L14,4,1)*MID(K14,4,1),MID(L14,5,1)*MID(K14,5,1),MID(L14,6,1)*MID(K14,6,1),MID(L14,7,1)*MID(K14,7,1),MID(L14,8,1)*MID(K14,8,1),MID(L14,9,1)*MID(K14,1,1),MID(L14,10,1)*MID(K14,2,1),MID(L14,11,1)*MID(K14,3,1),MID(L14,12,1)*MID(K14,4,1),MID(L14,13,1)*MID(K14,5,1),MID(L14,14,1)*MID(K14,6,1),MID(L14,15,1)*MID(K14,7,1),MID(L14,16,1)*MID(K14,8,1),MID(L14,17,1)*MID(K14,1,1),MID(L14,18,1)*MID(K14,2,1),MID(L14,19,1)*MID(K14,3,1),MID(L14,20,1)*MID(K14,4,1),MID(L14,21,1)*MID(K14,5,1),MID(L14,22,1)*MID(K14,6,1),MID(L14,23,1)*MID(K14,7,1),MID(L14,24,1)*MID(K14,8,1),MID(L14,25,1)*MID(K14,1,1),MID(L14,26,1)*MID(K14,2,1),MID(L14,27,1)*MID(K14,3,1),MID(L14,28,1)*MID(K14,4,1),MID(L14,29,1)*MID(K14,5,1),MID(L14,30,1)*MID(K14,6,1),MID(L14,31,1)*MID(K14,7,1),MID(L14,32,1)*MID(K14,8,1))</f>
        <v>00100000001001000010010001000100</v>
      </c>
      <c r="AP14" s="26" t="str">
        <f t="shared" si="36"/>
        <v>00100000</v>
      </c>
      <c r="AQ14" s="26" t="str">
        <f t="shared" si="37"/>
        <v>00100100</v>
      </c>
      <c r="AR14" s="26" t="str">
        <f t="shared" si="38"/>
        <v>00100100</v>
      </c>
      <c r="AS14" s="26" t="str">
        <f t="shared" si="39"/>
        <v>01000100</v>
      </c>
      <c r="AT14" s="77">
        <f>BIN2DEC(AP14)-BIN2DEC(AP15)</f>
        <v>-26</v>
      </c>
      <c r="AU14" s="77">
        <f>BIN2DEC(AQ14)-BIN2DEC(AQ15)</f>
        <v>2</v>
      </c>
      <c r="AV14" s="77">
        <f>BIN2DEC(AR14)-BIN2DEC(AR15)</f>
        <v>-178</v>
      </c>
      <c r="AW14" s="77">
        <f>BIN2DEC(AS14)-BIN2DEC(AS15)</f>
        <v>-38</v>
      </c>
      <c r="AX14" s="27" t="str">
        <f t="shared" si="40"/>
        <v>1010</v>
      </c>
      <c r="AY14" s="27" t="str">
        <f t="shared" si="41"/>
        <v>0001</v>
      </c>
      <c r="AZ14" s="27" t="str">
        <f t="shared" si="42"/>
        <v>0011</v>
      </c>
      <c r="BA14" s="27" t="str">
        <f t="shared" si="43"/>
        <v>0101</v>
      </c>
      <c r="BB14" s="27" t="str">
        <f t="shared" si="44"/>
        <v>0010</v>
      </c>
      <c r="BC14" s="27" t="str">
        <f t="shared" si="45"/>
        <v>0100</v>
      </c>
      <c r="BD14" s="27" t="str">
        <f t="shared" si="46"/>
        <v>0100</v>
      </c>
      <c r="BE14" s="27" t="str">
        <f t="shared" si="47"/>
        <v>0101</v>
      </c>
      <c r="BF14" s="77">
        <f t="shared" ref="BF14:BM14" si="165">BIN2DEC(AX14)-BIN2DEC(AX15)</f>
        <v>7</v>
      </c>
      <c r="BG14" s="77">
        <f t="shared" si="165"/>
        <v>-9</v>
      </c>
      <c r="BH14" s="77">
        <f t="shared" si="165"/>
        <v>1</v>
      </c>
      <c r="BI14" s="77">
        <f t="shared" si="165"/>
        <v>3</v>
      </c>
      <c r="BJ14" s="77">
        <f t="shared" si="165"/>
        <v>-11</v>
      </c>
      <c r="BK14" s="77">
        <f t="shared" si="165"/>
        <v>-2</v>
      </c>
      <c r="BL14" s="77">
        <f t="shared" si="165"/>
        <v>-2</v>
      </c>
      <c r="BM14" s="77">
        <f t="shared" si="165"/>
        <v>-5</v>
      </c>
      <c r="BN14" s="26" t="str">
        <f t="shared" si="4"/>
        <v>0010000000100100</v>
      </c>
      <c r="BO14" s="26" t="str">
        <f t="shared" si="5"/>
        <v>0010010001000100</v>
      </c>
      <c r="BP14" s="77">
        <f>MID(BN14,16,1)*POWER(2,0)+MID(BN14,15,1)*POWER(2,1)+MID(BN14,14,1)*POWER(2,2)+MID(BN14,13,1)*POWER(2,3)+MID(BN14,12,1)*POWER(2,4)+MID(BN14,11,1)*POWER(2,5)+MID(BN14,10,1)*POWER(2,6)+MID(BN14,9,1)*POWER(2,7)+MID(BN14,8,1)*POWER(2,8)+MID(BN14,7,1)*POWER(2,9)+MID(BN14,6,1)*POWER(2,10)+MID(BN14,5,1)*POWER(2,11)+MID(BN14,4,1)*POWER(2,12)+MID(BN14,3,1)*POWER(2,13)+MID(BN14,2,1)*POWER(2,14)+MID(BN14,1,1)*POWER(2,15)-(MID(BN15,16,1)*POWER(2,0)+MID(BN15,15,1)*POWER(2,1)+MID(BN15,14,1)*POWER(2,2)+MID(BN15,13,1)*POWER(2,3)+MID(BN15,12,1)*POWER(2,4)+MID(BN15,11,1)*POWER(2,5)+MID(BN15,10,1)*POWER(2,6)+MID(BN15,9,1)*POWER(2,7)+MID(BN15,8,1)*POWER(2,8)+MID(BN15,7,1)*POWER(2,9)+MID(BN15,6,1)*POWER(2,10)+MID(BN15,5,1)*POWER(2,11)+MID(BN15,4,1)*POWER(2,12)+MID(BN15,3,1)*POWER(2,13)+MID(BN15,2,1)*POWER(2,14)+MID(BN15,1,1)*POWER(2,15))</f>
        <v>-6654</v>
      </c>
      <c r="BQ14" s="77">
        <f>MID(BO14,16,1)*POWER(2,0)+MID(BO14,15,1)*POWER(2,1)+MID(BO14,14,1)*POWER(2,2)+MID(BO14,13,1)*POWER(2,3)+MID(BO14,12,1)*POWER(2,4)+MID(BO14,11,1)*POWER(2,5)+MID(BO14,10,1)*POWER(2,6)+MID(BO14,9,1)*POWER(2,7)+MID(BO14,8,1)*POWER(2,8)+MID(BO14,7,1)*POWER(2,9)+MID(BO14,6,1)*POWER(2,10)+MID(BO14,5,1)*POWER(2,11)+MID(BO14,4,1)*POWER(2,12)+MID(BO14,3,1)*POWER(2,13)+MID(BO14,2,1)*POWER(2,14)+MID(BO14,1,1)*POWER(2,15)-(MID(BO15,16,1)*POWER(2,0)+MID(BO15,15,1)*POWER(2,1)+MID(BO15,14,1)*POWER(2,2)+MID(BO15,13,1)*POWER(2,3)+MID(BO15,12,1)*POWER(2,4)+MID(BO15,11,1)*POWER(2,5)+MID(BO15,10,1)*POWER(2,6)+MID(BO15,9,1)*POWER(2,7)+MID(BO15,8,1)*POWER(2,8)+MID(BO15,7,1)*POWER(2,9)+MID(BO15,6,1)*POWER(2,10)+MID(BO15,5,1)*POWER(2,11)+MID(BO15,4,1)*POWER(2,12)+MID(BO15,3,1)*POWER(2,13)+MID(BO15,2,1)*POWER(2,14)+MID(BO15,1,1)*POWER(2,15))</f>
        <v>-45606</v>
      </c>
      <c r="BR14" s="47" t="str">
        <f>L14</f>
        <v>10100001001101010010010001000101</v>
      </c>
      <c r="BS14" s="26" t="str">
        <f t="shared" si="48"/>
        <v>10100001</v>
      </c>
      <c r="BT14" s="26" t="str">
        <f t="shared" si="49"/>
        <v>00110101</v>
      </c>
      <c r="BU14" s="26" t="str">
        <f t="shared" si="50"/>
        <v>00100100</v>
      </c>
      <c r="BV14" s="26" t="str">
        <f t="shared" si="51"/>
        <v>01000101</v>
      </c>
      <c r="BW14" s="77">
        <f>BIN2DEC(BS14)-BIN2DEC(BS15)</f>
        <v>129</v>
      </c>
      <c r="BX14" s="77">
        <f>BIN2DEC(BT14)-BIN2DEC(BT15)</f>
        <v>21</v>
      </c>
      <c r="BY14" s="77">
        <f>BIN2DEC(BU14)-BIN2DEC(BU15)</f>
        <v>-32</v>
      </c>
      <c r="BZ14" s="77">
        <f>BIN2DEC(BV14)-BIN2DEC(BV15)</f>
        <v>-27</v>
      </c>
      <c r="CA14" s="27" t="str">
        <f t="shared" si="52"/>
        <v>1010</v>
      </c>
      <c r="CB14" s="27" t="str">
        <f t="shared" si="53"/>
        <v>0001</v>
      </c>
      <c r="CC14" s="27" t="str">
        <f t="shared" si="54"/>
        <v>0011</v>
      </c>
      <c r="CD14" s="27" t="str">
        <f t="shared" si="55"/>
        <v>0101</v>
      </c>
      <c r="CE14" s="27" t="str">
        <f t="shared" si="56"/>
        <v>0010</v>
      </c>
      <c r="CF14" s="27" t="str">
        <f t="shared" si="57"/>
        <v>0100</v>
      </c>
      <c r="CG14" s="27" t="str">
        <f t="shared" si="58"/>
        <v>0100</v>
      </c>
      <c r="CH14" s="27" t="str">
        <f t="shared" si="59"/>
        <v>0101</v>
      </c>
      <c r="CI14" s="77">
        <f t="shared" ref="CI14:CP14" si="166">BIN2DEC(CA14)-BIN2DEC(CA15)</f>
        <v>7</v>
      </c>
      <c r="CJ14" s="77">
        <f t="shared" si="166"/>
        <v>-9</v>
      </c>
      <c r="CK14" s="77">
        <f t="shared" si="166"/>
        <v>1</v>
      </c>
      <c r="CL14" s="77">
        <f t="shared" si="166"/>
        <v>3</v>
      </c>
      <c r="CM14" s="77">
        <f t="shared" si="166"/>
        <v>-11</v>
      </c>
      <c r="CN14" s="77">
        <f t="shared" si="166"/>
        <v>-2</v>
      </c>
      <c r="CO14" s="77">
        <f t="shared" si="166"/>
        <v>-2</v>
      </c>
      <c r="CP14" s="77">
        <f t="shared" si="166"/>
        <v>-5</v>
      </c>
      <c r="CQ14" s="26" t="str">
        <f t="shared" si="7"/>
        <v>1010000100110101</v>
      </c>
      <c r="CR14" s="26" t="str">
        <f t="shared" si="8"/>
        <v>0010010001000101</v>
      </c>
      <c r="CS14" s="77">
        <f>MID(CQ14,16,1)*POWER(2,0)+MID(CQ14,15,1)*POWER(2,1)+MID(CQ14,14,1)*POWER(2,2)+MID(CQ14,13,1)*POWER(2,3)+MID(CQ14,12,1)*POWER(2,4)+MID(CQ14,11,1)*POWER(2,5)+MID(CQ14,10,1)*POWER(2,6)+MID(CQ14,9,1)*POWER(2,7)+MID(CQ14,8,1)*POWER(2,8)+MID(CQ14,7,1)*POWER(2,9)+MID(CQ14,6,1)*POWER(2,10)+MID(CQ14,5,1)*POWER(2,11)+MID(CQ14,4,1)*POWER(2,12)+MID(CQ14,3,1)*POWER(2,13)+MID(CQ14,2,1)*POWER(2,14)+MID(CQ14,1,1)*POWER(2,15)-(MID(CQ15,16,1)*POWER(2,0)+MID(CQ15,15,1)*POWER(2,1)+MID(CQ15,14,1)*POWER(2,2)+MID(CQ15,13,1)*POWER(2,3)+MID(CQ15,12,1)*POWER(2,4)+MID(CQ15,11,1)*POWER(2,5)+MID(CQ15,10,1)*POWER(2,6)+MID(CQ15,9,1)*POWER(2,7)+MID(CQ15,8,1)*POWER(2,8)+MID(CQ15,7,1)*POWER(2,9)+MID(CQ15,6,1)*POWER(2,10)+MID(CQ15,5,1)*POWER(2,11)+MID(CQ15,4,1)*POWER(2,12)+MID(CQ15,3,1)*POWER(2,13)+MID(CQ15,2,1)*POWER(2,14)+MID(CQ15,1,1)*POWER(2,15))</f>
        <v>33045</v>
      </c>
      <c r="CT14" s="77">
        <f>MID(CR14,16,1)*POWER(2,0)+MID(CR14,15,1)*POWER(2,1)+MID(CR14,14,1)*POWER(2,2)+MID(CR14,13,1)*POWER(2,3)+MID(CR14,12,1)*POWER(2,4)+MID(CR14,11,1)*POWER(2,5)+MID(CR14,10,1)*POWER(2,6)+MID(CR14,9,1)*POWER(2,7)+MID(CR14,8,1)*POWER(2,8)+MID(CR14,7,1)*POWER(2,9)+MID(CR14,6,1)*POWER(2,10)+MID(CR14,5,1)*POWER(2,11)+MID(CR14,4,1)*POWER(2,12)+MID(CR14,3,1)*POWER(2,13)+MID(CR14,2,1)*POWER(2,14)+MID(CR14,1,1)*POWER(2,15)-(MID(CR15,16,1)*POWER(2,0)+MID(CR15,15,1)*POWER(2,1)+MID(CR15,14,1)*POWER(2,2)+MID(CR15,13,1)*POWER(2,3)+MID(CR15,12,1)*POWER(2,4)+MID(CR15,11,1)*POWER(2,5)+MID(CR15,10,1)*POWER(2,6)+MID(CR15,9,1)*POWER(2,7)+MID(CR15,8,1)*POWER(2,8)+MID(CR15,7,1)*POWER(2,9)+MID(CR15,6,1)*POWER(2,10)+MID(CR15,5,1)*POWER(2,11)+MID(CR15,4,1)*POWER(2,12)+MID(CR15,3,1)*POWER(2,13)+MID(CR15,2,1)*POWER(2,14)+MID(CR15,1,1)*POWER(2,15))</f>
        <v>-8219</v>
      </c>
      <c r="CU14" s="45" t="str">
        <f>CONCATENATE(MID($L14,1,1)*MID($K14,1,1),MID($L14,2,1)*MID($K14,2,1),MID($L14,3,1)*MID($K14,3,1),MID($L14,4,1)*MID($K14,4,1),MID($L14,5,1)*MID($K14,5,1),MID($L14,6,1)*MID($K14,6,1),MID($L14,7,1)*MID($K14,7,1),MID($L14,8,1)*MID($K14,8,1),MID($L14,9,1)*MID($K14,1,1),MID($L14,10,1)*MID($K14,2,1),MID($L14,11,1)*MID($K14,3,1),MID($L14,12,1)*MID($K14,4,1),MID($L14,13,1)*MID($K14,5,1),MID($L14,14,1)*MID($K14,6,1),MID($L14,15,1)*MID($K14,7,1),MID($L14,16,1)*MID($K14,8,1),MID($L14,17,1)*MID($K14,1,1),MID($L14,18,1)*MID($K14,2,1),MID($L14,19,1)*MID($K14,3,1),MID($L14,20,1)*MID($K14,4,1),MID($L14,21,1)*MID($K14,5,1),MID($L14,22,1)*MID($K14,6,1),MID($L14,23,1)*MID($K14,7,1),MID($L14,24,1)*MID($K14,8,1),MID($L14,25,1)*MID($K14,1,1),MID($L14,26,1)*MID($K14,2,1),MID($L14,27,1)*MID($K14,3,1),MID($L14,28,1)*MID($K14,4,1),MID($L14,29,1)*MID($K14,5,1),MID($L14,30,1)*MID($K14,6,1),MID($L14,31,1)*MID($K14,7,1),MID($L14,32,1)*MID($K14,8,1))</f>
        <v>00100000001001000010010001000100</v>
      </c>
      <c r="CV14" s="26" t="str">
        <f t="shared" si="60"/>
        <v>00100000</v>
      </c>
      <c r="CW14" s="26" t="str">
        <f t="shared" si="61"/>
        <v>00100100</v>
      </c>
      <c r="CX14" s="26" t="str">
        <f t="shared" si="62"/>
        <v>00100100</v>
      </c>
      <c r="CY14" s="26" t="str">
        <f t="shared" si="63"/>
        <v>01000100</v>
      </c>
      <c r="CZ14" s="77">
        <f>BIN2DEC(CV14)-BIN2DEC(CV15)</f>
        <v>0</v>
      </c>
      <c r="DA14" s="77">
        <f>BIN2DEC(CW14)-BIN2DEC(CW15)</f>
        <v>4</v>
      </c>
      <c r="DB14" s="77">
        <f>BIN2DEC(CX14)-BIN2DEC(CX15)</f>
        <v>-32</v>
      </c>
      <c r="DC14" s="77">
        <f>BIN2DEC(CY14)-BIN2DEC(CY15)</f>
        <v>-28</v>
      </c>
      <c r="DD14" s="27" t="str">
        <f t="shared" si="64"/>
        <v>1010</v>
      </c>
      <c r="DE14" s="27" t="str">
        <f t="shared" si="65"/>
        <v>0001</v>
      </c>
      <c r="DF14" s="27" t="str">
        <f t="shared" si="66"/>
        <v>0011</v>
      </c>
      <c r="DG14" s="27" t="str">
        <f t="shared" si="67"/>
        <v>0101</v>
      </c>
      <c r="DH14" s="27" t="str">
        <f t="shared" si="68"/>
        <v>0010</v>
      </c>
      <c r="DI14" s="27" t="str">
        <f t="shared" si="69"/>
        <v>0100</v>
      </c>
      <c r="DJ14" s="27" t="str">
        <f t="shared" si="70"/>
        <v>0100</v>
      </c>
      <c r="DK14" s="27" t="str">
        <f t="shared" si="71"/>
        <v>0101</v>
      </c>
      <c r="DL14" s="77">
        <f t="shared" ref="DL14:DS14" si="167">BIN2DEC(DD14)-BIN2DEC(DD15)</f>
        <v>7</v>
      </c>
      <c r="DM14" s="77">
        <f t="shared" si="167"/>
        <v>-9</v>
      </c>
      <c r="DN14" s="77">
        <f t="shared" si="167"/>
        <v>1</v>
      </c>
      <c r="DO14" s="77">
        <f t="shared" si="167"/>
        <v>3</v>
      </c>
      <c r="DP14" s="77">
        <f t="shared" si="167"/>
        <v>-11</v>
      </c>
      <c r="DQ14" s="77">
        <f t="shared" si="167"/>
        <v>-2</v>
      </c>
      <c r="DR14" s="77">
        <f t="shared" si="167"/>
        <v>-2</v>
      </c>
      <c r="DS14" s="77">
        <f t="shared" si="167"/>
        <v>-5</v>
      </c>
      <c r="DT14" s="26" t="str">
        <f t="shared" si="10"/>
        <v>0010000000100100</v>
      </c>
      <c r="DU14" s="26" t="str">
        <f t="shared" si="11"/>
        <v>0010010001000100</v>
      </c>
      <c r="DV14" s="77">
        <f>MID(DT14,16,1)*POWER(2,0)+MID(DT14,15,1)*POWER(2,1)+MID(DT14,14,1)*POWER(2,2)+MID(DT14,13,1)*POWER(2,3)+MID(DT14,12,1)*POWER(2,4)+MID(DT14,11,1)*POWER(2,5)+MID(DT14,10,1)*POWER(2,6)+MID(DT14,9,1)*POWER(2,7)+MID(DT14,8,1)*POWER(2,8)+MID(DT14,7,1)*POWER(2,9)+MID(DT14,6,1)*POWER(2,10)+MID(DT14,5,1)*POWER(2,11)+MID(DT14,4,1)*POWER(2,12)+MID(DT14,3,1)*POWER(2,13)+MID(DT14,2,1)*POWER(2,14)+MID(DT14,1,1)*POWER(2,15)-(MID(DT15,16,1)*POWER(2,0)+MID(DT15,15,1)*POWER(2,1)+MID(DT15,14,1)*POWER(2,2)+MID(DT15,13,1)*POWER(2,3)+MID(DT15,12,1)*POWER(2,4)+MID(DT15,11,1)*POWER(2,5)+MID(DT15,10,1)*POWER(2,6)+MID(DT15,9,1)*POWER(2,7)+MID(DT15,8,1)*POWER(2,8)+MID(DT15,7,1)*POWER(2,9)+MID(DT15,6,1)*POWER(2,10)+MID(DT15,5,1)*POWER(2,11)+MID(DT15,4,1)*POWER(2,12)+MID(DT15,3,1)*POWER(2,13)+MID(DT15,2,1)*POWER(2,14)+MID(DT15,1,1)*POWER(2,15))</f>
        <v>4</v>
      </c>
      <c r="DW14" s="77">
        <f>MID(DU14,16,1)*POWER(2,0)+MID(DU14,15,1)*POWER(2,1)+MID(DU14,14,1)*POWER(2,2)+MID(DU14,13,1)*POWER(2,3)+MID(DU14,12,1)*POWER(2,4)+MID(DU14,11,1)*POWER(2,5)+MID(DU14,10,1)*POWER(2,6)+MID(DU14,9,1)*POWER(2,7)+MID(DU14,8,1)*POWER(2,8)+MID(DU14,7,1)*POWER(2,9)+MID(DU14,6,1)*POWER(2,10)+MID(DU14,5,1)*POWER(2,11)+MID(DU14,4,1)*POWER(2,12)+MID(DU14,3,1)*POWER(2,13)+MID(DU14,2,1)*POWER(2,14)+MID(DU14,1,1)*POWER(2,15)-(MID(DU15,16,1)*POWER(2,0)+MID(DU15,15,1)*POWER(2,1)+MID(DU15,14,1)*POWER(2,2)+MID(DU15,13,1)*POWER(2,3)+MID(DU15,12,1)*POWER(2,4)+MID(DU15,11,1)*POWER(2,5)+MID(DU15,10,1)*POWER(2,6)+MID(DU15,9,1)*POWER(2,7)+MID(DU15,8,1)*POWER(2,8)+MID(DU15,7,1)*POWER(2,9)+MID(DU15,6,1)*POWER(2,10)+MID(DU15,5,1)*POWER(2,11)+MID(DU15,4,1)*POWER(2,12)+MID(DU15,3,1)*POWER(2,13)+MID(DU15,2,1)*POWER(2,14)+MID(DU15,1,1)*POWER(2,15))</f>
        <v>-8220</v>
      </c>
      <c r="DX14" s="22" t="str">
        <f>CONCATENATE(MID($H14,1,1)*MID($K14,1,1),MID($H14,2,1)*MID($K14,2,1),MID($H14,3,1)*MID($K14,3,1),MID($H14,4,1)*MID($K14,4,1),MID($H14,5,1)*MID($K14,5,1),MID($H14,6,1)*MID($K14,6,1),MID($H14,7,1)*MID($K14,7,1),MID($H14,8,1)*MID($K14,8,1),MID($H14,9,1)*MID($K14,1,1),MID($H14,10,1)*MID($K14,2,1),MID($H14,11,1)*MID($K14,3,1),MID($H14,12,1)*MID($K14,4,1),MID($H14,13,1)*MID($K14,5,1),MID($H14,14,1)*MID($K14,6,1),MID($H14,15,1)*MID($K14,7,1),MID($H14,16,1)*MID($K14,8,1),MID($H14,17,1)*MID($K14,1,1),MID($H14,18,1)*MID($K14,2,1),MID($H14,19,1)*MID($K14,3,1),MID($H14,20,1)*MID($K14,4,1),MID($H14,21,1)*MID($K14,5,1),MID($H14,22,1)*MID($K14,6,1),MID($H14,23,1)*MID($K14,7,1),MID($H14,24,1)*MID($K14,8,1),MID($H14,25,1)*MID($K14,1,1),MID($H14,26,1)*MID($K14,2,1),MID($H14,27,1)*MID($K14,3,1),MID($H14,28,1)*MID($K14,4,1),MID($H14,29,1)*MID($K14,5,1),MID($H14,30,1)*MID($K14,6,1),MID($H14,31,1)*MID($K14,7,1),MID($H14,32,1)*MID($K14,8,1))</f>
        <v>00100000001000000000000000100100</v>
      </c>
      <c r="DY14" s="43" t="str">
        <f>CONCATENATE(MID(DX14,30,3),MID(DX14,17,5),MID(DX14,6,3),MID(DX14,25,5),MID(DX14,14,3),MID(DX14,1,5),MID(DX14,22,3),MID(DX14,9,5))</f>
        <v>10000000000001000000010000000100</v>
      </c>
      <c r="DZ14" s="26" t="str">
        <f t="shared" si="122"/>
        <v>10000000</v>
      </c>
      <c r="EA14" s="26" t="str">
        <f t="shared" si="72"/>
        <v>00000100</v>
      </c>
      <c r="EB14" s="26" t="str">
        <f t="shared" si="73"/>
        <v>00000100</v>
      </c>
      <c r="EC14" s="26" t="str">
        <f t="shared" si="74"/>
        <v>00000100</v>
      </c>
      <c r="ED14" s="77">
        <f>BIN2DEC(DZ14)-BIN2DEC(DZ15)</f>
        <v>70</v>
      </c>
      <c r="EE14" s="77">
        <f>BIN2DEC(EA14)-BIN2DEC(EA15)</f>
        <v>-30</v>
      </c>
      <c r="EF14" s="77">
        <f>BIN2DEC(EB14)-BIN2DEC(EB15)</f>
        <v>-210</v>
      </c>
      <c r="EG14" s="77">
        <f>BIN2DEC(EC14)-BIN2DEC(EC15)</f>
        <v>-102</v>
      </c>
      <c r="EH14" s="27" t="str">
        <f t="shared" si="75"/>
        <v>1010</v>
      </c>
      <c r="EI14" s="27" t="str">
        <f t="shared" si="76"/>
        <v>0001</v>
      </c>
      <c r="EJ14" s="27" t="str">
        <f t="shared" si="77"/>
        <v>0011</v>
      </c>
      <c r="EK14" s="27" t="str">
        <f t="shared" si="78"/>
        <v>0101</v>
      </c>
      <c r="EL14" s="27" t="str">
        <f t="shared" si="79"/>
        <v>0010</v>
      </c>
      <c r="EM14" s="27" t="str">
        <f t="shared" si="80"/>
        <v>0100</v>
      </c>
      <c r="EN14" s="27" t="str">
        <f t="shared" si="81"/>
        <v>0100</v>
      </c>
      <c r="EO14" s="27" t="str">
        <f t="shared" si="82"/>
        <v>0101</v>
      </c>
      <c r="EP14" s="77">
        <f t="shared" ref="EP14:EW14" si="168">BIN2DEC(EH14)-BIN2DEC(EH15)</f>
        <v>7</v>
      </c>
      <c r="EQ14" s="77">
        <f t="shared" si="168"/>
        <v>-9</v>
      </c>
      <c r="ER14" s="77">
        <f t="shared" si="168"/>
        <v>1</v>
      </c>
      <c r="ES14" s="77">
        <f t="shared" si="168"/>
        <v>3</v>
      </c>
      <c r="ET14" s="77">
        <f t="shared" si="168"/>
        <v>-11</v>
      </c>
      <c r="EU14" s="77">
        <f t="shared" si="168"/>
        <v>-2</v>
      </c>
      <c r="EV14" s="77">
        <f t="shared" si="168"/>
        <v>-2</v>
      </c>
      <c r="EW14" s="77">
        <f t="shared" si="168"/>
        <v>-5</v>
      </c>
      <c r="EX14" s="26" t="str">
        <f t="shared" si="13"/>
        <v>1000000000000100</v>
      </c>
      <c r="EY14" s="26" t="str">
        <f t="shared" si="14"/>
        <v>0000010000000100</v>
      </c>
      <c r="EZ14" s="77">
        <f>MID(EX14,16,1)*POWER(2,0)+MID(EX14,15,1)*POWER(2,1)+MID(EX14,14,1)*POWER(2,2)+MID(EX14,13,1)*POWER(2,3)+MID(EX14,12,1)*POWER(2,4)+MID(EX14,11,1)*POWER(2,5)+MID(EX14,10,1)*POWER(2,6)+MID(EX14,9,1)*POWER(2,7)+MID(EX14,8,1)*POWER(2,8)+MID(EX14,7,1)*POWER(2,9)+MID(EX14,6,1)*POWER(2,10)+MID(EX14,5,1)*POWER(2,11)+MID(EX14,4,1)*POWER(2,12)+MID(EX14,3,1)*POWER(2,13)+MID(EX14,2,1)*POWER(2,14)+MID(EX14,1,1)*POWER(2,15)-(MID(EX15,16,1)*POWER(2,0)+MID(EX15,15,1)*POWER(2,1)+MID(EX15,14,1)*POWER(2,2)+MID(EX15,13,1)*POWER(2,3)+MID(EX15,12,1)*POWER(2,4)+MID(EX15,11,1)*POWER(2,5)+MID(EX15,10,1)*POWER(2,6)+MID(EX15,9,1)*POWER(2,7)+MID(EX15,8,1)*POWER(2,8)+MID(EX15,7,1)*POWER(2,9)+MID(EX15,6,1)*POWER(2,10)+MID(EX15,5,1)*POWER(2,11)+MID(EX15,4,1)*POWER(2,12)+MID(EX15,3,1)*POWER(2,13)+MID(EX15,2,1)*POWER(2,14)+MID(EX15,1,1)*POWER(2,15))</f>
        <v>17890</v>
      </c>
      <c r="FA14" s="77">
        <f>MID(EY14,16,1)*POWER(2,0)+MID(EY14,15,1)*POWER(2,1)+MID(EY14,14,1)*POWER(2,2)+MID(EY14,13,1)*POWER(2,3)+MID(EY14,12,1)*POWER(2,4)+MID(EY14,11,1)*POWER(2,5)+MID(EY14,10,1)*POWER(2,6)+MID(EY14,9,1)*POWER(2,7)+MID(EY14,8,1)*POWER(2,8)+MID(EY14,7,1)*POWER(2,9)+MID(EY14,6,1)*POWER(2,10)+MID(EY14,5,1)*POWER(2,11)+MID(EY14,4,1)*POWER(2,12)+MID(EY14,3,1)*POWER(2,13)+MID(EY14,2,1)*POWER(2,14)+MID(EY14,1,1)*POWER(2,15)-(MID(EY15,16,1)*POWER(2,0)+MID(EY15,15,1)*POWER(2,1)+MID(EY15,14,1)*POWER(2,2)+MID(EY15,13,1)*POWER(2,3)+MID(EY15,12,1)*POWER(2,4)+MID(EY15,11,1)*POWER(2,5)+MID(EY15,10,1)*POWER(2,6)+MID(EY15,9,1)*POWER(2,7)+MID(EY15,8,1)*POWER(2,8)+MID(EY15,7,1)*POWER(2,9)+MID(EY15,6,1)*POWER(2,10)+MID(EY15,5,1)*POWER(2,11)+MID(EY15,4,1)*POWER(2,12)+MID(EY15,3,1)*POWER(2,13)+MID(EY15,2,1)*POWER(2,14)+MID(EY15,1,1)*POWER(2,15))</f>
        <v>-53862</v>
      </c>
      <c r="FB14" s="45" t="str">
        <f>CONCATENATE(MID(DY14,1,1)*MID($K14,1,1),MID(DY14,2,1)*MID($K14,2,1),MID(DY14,3,1)*MID($K14,3,1),MID(DY14,4,1)*MID($K14,4,1),MID(DY14,5,1)*MID($K14,5,1),MID(DY14,6,1)*MID($K14,6,1),MID(DY14,7,1)*MID($K14,7,1),MID(DY14,8,1)*MID($K14,8,1),MID(DY14,9,1)*MID($K14,1,1),MID(DY14,10,1)*MID($K14,2,1),MID(DY14,11,1)*MID($K14,3,1),MID(DY14,12,1)*MID($K14,4,1),MID(DY14,13,1)*MID($K14,5,1),MID(DY14,14,1)*MID($K14,6,1),MID(DY14,15,1)*MID($K14,7,1),MID(DY14,16,1)*MID($K14,8,1),MID(DY14,17,1)*MID($K14,1,1),MID(DY14,18,1)*MID($K14,2,1),MID(DY14,19,1)*MID($K14,3,1),MID(DY14,20,1)*MID($K14,4,1),MID(DY14,21,1)*MID($K14,5,1),MID(DY14,22,1)*MID($K14,6,1),MID(DY14,23,1)*MID($K14,7,1),MID(DY14,24,1)*MID($K14,8,1),MID(DY14,25,1)*MID($K14,1,1),MID(DY14,26,1)*MID($K14,2,1),MID(DY14,27,1)*MID($K14,3,1),MID(DY14,28,1)*MID($K14,4,1),MID(DY14,29,1)*MID($K14,5,1),MID(DY14,30,1)*MID($K14,6,1),MID(DY14,31,1)*MID($K14,7,1),MID(DY14,32,1)*MID($K14,8,1))</f>
        <v>00000000000001000000010000000100</v>
      </c>
      <c r="FC14" s="26" t="str">
        <f t="shared" si="124"/>
        <v>00000000</v>
      </c>
      <c r="FD14" s="26" t="str">
        <f t="shared" si="83"/>
        <v>00000100</v>
      </c>
      <c r="FE14" s="26" t="str">
        <f t="shared" si="84"/>
        <v>00000100</v>
      </c>
      <c r="FF14" s="26" t="str">
        <f t="shared" si="85"/>
        <v>00000100</v>
      </c>
      <c r="FG14" s="77">
        <f>BIN2DEC(FC14)-BIN2DEC(FC15)</f>
        <v>-58</v>
      </c>
      <c r="FH14" s="77">
        <f>BIN2DEC(FD14)-BIN2DEC(FD15)</f>
        <v>-30</v>
      </c>
      <c r="FI14" s="77">
        <f>BIN2DEC(FE14)-BIN2DEC(FE15)</f>
        <v>-210</v>
      </c>
      <c r="FJ14" s="77">
        <f>BIN2DEC(FF14)-BIN2DEC(FF15)</f>
        <v>-102</v>
      </c>
      <c r="FK14" s="27" t="str">
        <f t="shared" si="86"/>
        <v>1010</v>
      </c>
      <c r="FL14" s="27" t="str">
        <f t="shared" si="87"/>
        <v>0001</v>
      </c>
      <c r="FM14" s="27" t="str">
        <f t="shared" si="88"/>
        <v>0011</v>
      </c>
      <c r="FN14" s="27" t="str">
        <f t="shared" si="89"/>
        <v>0101</v>
      </c>
      <c r="FO14" s="27" t="str">
        <f t="shared" si="90"/>
        <v>0010</v>
      </c>
      <c r="FP14" s="27" t="str">
        <f t="shared" si="91"/>
        <v>0100</v>
      </c>
      <c r="FQ14" s="27" t="str">
        <f t="shared" si="92"/>
        <v>0100</v>
      </c>
      <c r="FR14" s="27" t="str">
        <f t="shared" si="93"/>
        <v>0101</v>
      </c>
      <c r="FS14" s="77">
        <f t="shared" ref="FS14:FZ14" si="169">BIN2DEC(FK14)-BIN2DEC(FK15)</f>
        <v>7</v>
      </c>
      <c r="FT14" s="77">
        <f t="shared" si="169"/>
        <v>-9</v>
      </c>
      <c r="FU14" s="77">
        <f t="shared" si="169"/>
        <v>1</v>
      </c>
      <c r="FV14" s="77">
        <f t="shared" si="169"/>
        <v>3</v>
      </c>
      <c r="FW14" s="77">
        <f t="shared" si="169"/>
        <v>-11</v>
      </c>
      <c r="FX14" s="77">
        <f t="shared" si="169"/>
        <v>-2</v>
      </c>
      <c r="FY14" s="77">
        <f t="shared" si="169"/>
        <v>-2</v>
      </c>
      <c r="FZ14" s="77">
        <f t="shared" si="169"/>
        <v>-5</v>
      </c>
      <c r="GA14" s="26" t="str">
        <f t="shared" si="16"/>
        <v>0000000000000100</v>
      </c>
      <c r="GB14" s="26" t="str">
        <f t="shared" si="17"/>
        <v>0000010000000100</v>
      </c>
      <c r="GC14" s="77">
        <f>MID(GA14,16,1)*POWER(2,0)+MID(GA14,15,1)*POWER(2,1)+MID(GA14,14,1)*POWER(2,2)+MID(GA14,13,1)*POWER(2,3)+MID(GA14,12,1)*POWER(2,4)+MID(GA14,11,1)*POWER(2,5)+MID(GA14,10,1)*POWER(2,6)+MID(GA14,9,1)*POWER(2,7)+MID(GA14,8,1)*POWER(2,8)+MID(GA14,7,1)*POWER(2,9)+MID(GA14,6,1)*POWER(2,10)+MID(GA14,5,1)*POWER(2,11)+MID(GA14,4,1)*POWER(2,12)+MID(GA14,3,1)*POWER(2,13)+MID(GA14,2,1)*POWER(2,14)+MID(GA14,1,1)*POWER(2,15)-(MID(GA15,16,1)*POWER(2,0)+MID(GA15,15,1)*POWER(2,1)+MID(GA15,14,1)*POWER(2,2)+MID(GA15,13,1)*POWER(2,3)+MID(GA15,12,1)*POWER(2,4)+MID(GA15,11,1)*POWER(2,5)+MID(GA15,10,1)*POWER(2,6)+MID(GA15,9,1)*POWER(2,7)+MID(GA15,8,1)*POWER(2,8)+MID(GA15,7,1)*POWER(2,9)+MID(GA15,6,1)*POWER(2,10)+MID(GA15,5,1)*POWER(2,11)+MID(GA15,4,1)*POWER(2,12)+MID(GA15,3,1)*POWER(2,13)+MID(GA15,2,1)*POWER(2,14)+MID(GA15,1,1)*POWER(2,15))</f>
        <v>-14878</v>
      </c>
      <c r="GD14" s="77">
        <f>MID(GB14,16,1)*POWER(2,0)+MID(GB14,15,1)*POWER(2,1)+MID(GB14,14,1)*POWER(2,2)+MID(GB14,13,1)*POWER(2,3)+MID(GB14,12,1)*POWER(2,4)+MID(GB14,11,1)*POWER(2,5)+MID(GB14,10,1)*POWER(2,6)+MID(GB14,9,1)*POWER(2,7)+MID(GB14,8,1)*POWER(2,8)+MID(GB14,7,1)*POWER(2,9)+MID(GB14,6,1)*POWER(2,10)+MID(GB14,5,1)*POWER(2,11)+MID(GB14,4,1)*POWER(2,12)+MID(GB14,3,1)*POWER(2,13)+MID(GB14,2,1)*POWER(2,14)+MID(GB14,1,1)*POWER(2,15)-(MID(GB15,16,1)*POWER(2,0)+MID(GB15,15,1)*POWER(2,1)+MID(GB15,14,1)*POWER(2,2)+MID(GB15,13,1)*POWER(2,3)+MID(GB15,12,1)*POWER(2,4)+MID(GB15,11,1)*POWER(2,5)+MID(GB15,10,1)*POWER(2,6)+MID(GB15,9,1)*POWER(2,7)+MID(GB15,8,1)*POWER(2,8)+MID(GB15,7,1)*POWER(2,9)+MID(GB15,6,1)*POWER(2,10)+MID(GB15,5,1)*POWER(2,11)+MID(GB15,4,1)*POWER(2,12)+MID(GB15,3,1)*POWER(2,13)+MID(GB15,2,1)*POWER(2,14)+MID(GB15,1,1)*POWER(2,15))</f>
        <v>-53862</v>
      </c>
      <c r="GE14" s="47" t="str">
        <f>DY14</f>
        <v>10000000000001000000010000000100</v>
      </c>
      <c r="GF14" s="26" t="str">
        <f t="shared" si="126"/>
        <v>10000000</v>
      </c>
      <c r="GG14" s="26" t="str">
        <f t="shared" si="94"/>
        <v>00000100</v>
      </c>
      <c r="GH14" s="26" t="str">
        <f t="shared" si="95"/>
        <v>00000100</v>
      </c>
      <c r="GI14" s="26" t="str">
        <f t="shared" si="96"/>
        <v>00000100</v>
      </c>
      <c r="GJ14" s="77">
        <f>BIN2DEC(GF14)-BIN2DEC(GF15)</f>
        <v>96</v>
      </c>
      <c r="GK14" s="77">
        <f>BIN2DEC(GG14)-BIN2DEC(GG15)</f>
        <v>-28</v>
      </c>
      <c r="GL14" s="77">
        <f>BIN2DEC(GH14)-BIN2DEC(GH15)</f>
        <v>-64</v>
      </c>
      <c r="GM14" s="77">
        <f>BIN2DEC(GI14)-BIN2DEC(GI15)</f>
        <v>-92</v>
      </c>
      <c r="GN14" s="27" t="str">
        <f t="shared" si="97"/>
        <v>1010</v>
      </c>
      <c r="GO14" s="27" t="str">
        <f t="shared" si="98"/>
        <v>0001</v>
      </c>
      <c r="GP14" s="27" t="str">
        <f t="shared" si="99"/>
        <v>0011</v>
      </c>
      <c r="GQ14" s="27" t="str">
        <f t="shared" si="100"/>
        <v>0101</v>
      </c>
      <c r="GR14" s="27" t="str">
        <f t="shared" si="101"/>
        <v>0010</v>
      </c>
      <c r="GS14" s="27" t="str">
        <f t="shared" si="102"/>
        <v>0100</v>
      </c>
      <c r="GT14" s="27" t="str">
        <f t="shared" si="103"/>
        <v>0100</v>
      </c>
      <c r="GU14" s="27" t="str">
        <f t="shared" si="104"/>
        <v>0101</v>
      </c>
      <c r="GV14" s="77">
        <f t="shared" ref="GV14:HC14" si="170">BIN2DEC(GN14)-BIN2DEC(GN15)</f>
        <v>7</v>
      </c>
      <c r="GW14" s="77">
        <f t="shared" si="170"/>
        <v>-9</v>
      </c>
      <c r="GX14" s="77">
        <f t="shared" si="170"/>
        <v>1</v>
      </c>
      <c r="GY14" s="77">
        <f t="shared" si="170"/>
        <v>3</v>
      </c>
      <c r="GZ14" s="77">
        <f t="shared" si="170"/>
        <v>-11</v>
      </c>
      <c r="HA14" s="77">
        <f t="shared" si="170"/>
        <v>-2</v>
      </c>
      <c r="HB14" s="77">
        <f t="shared" si="170"/>
        <v>-2</v>
      </c>
      <c r="HC14" s="77">
        <f t="shared" si="170"/>
        <v>-5</v>
      </c>
      <c r="HD14" s="26" t="str">
        <f t="shared" si="19"/>
        <v>1000000000000100</v>
      </c>
      <c r="HE14" s="26" t="str">
        <f t="shared" si="20"/>
        <v>0000010000000100</v>
      </c>
      <c r="HF14" s="77">
        <f>MID(HD14,16,1)*POWER(2,0)+MID(HD14,15,1)*POWER(2,1)+MID(HD14,14,1)*POWER(2,2)+MID(HD14,13,1)*POWER(2,3)+MID(HD14,12,1)*POWER(2,4)+MID(HD14,11,1)*POWER(2,5)+MID(HD14,10,1)*POWER(2,6)+MID(HD14,9,1)*POWER(2,7)+MID(HD14,8,1)*POWER(2,8)+MID(HD14,7,1)*POWER(2,9)+MID(HD14,6,1)*POWER(2,10)+MID(HD14,5,1)*POWER(2,11)+MID(HD14,4,1)*POWER(2,12)+MID(HD14,3,1)*POWER(2,13)+MID(HD14,2,1)*POWER(2,14)+MID(HD14,1,1)*POWER(2,15)-(MID(HD15,16,1)*POWER(2,0)+MID(HD15,15,1)*POWER(2,1)+MID(HD15,14,1)*POWER(2,2)+MID(HD15,13,1)*POWER(2,3)+MID(HD15,12,1)*POWER(2,4)+MID(HD15,11,1)*POWER(2,5)+MID(HD15,10,1)*POWER(2,6)+MID(HD15,9,1)*POWER(2,7)+MID(HD15,8,1)*POWER(2,8)+MID(HD15,7,1)*POWER(2,9)+MID(HD15,6,1)*POWER(2,10)+MID(HD15,5,1)*POWER(2,11)+MID(HD15,4,1)*POWER(2,12)+MID(HD15,3,1)*POWER(2,13)+MID(HD15,2,1)*POWER(2,14)+MID(HD15,1,1)*POWER(2,15))</f>
        <v>24548</v>
      </c>
      <c r="HG14" s="77">
        <f>MID(HE14,16,1)*POWER(2,0)+MID(HE14,15,1)*POWER(2,1)+MID(HE14,14,1)*POWER(2,2)+MID(HE14,13,1)*POWER(2,3)+MID(HE14,12,1)*POWER(2,4)+MID(HE14,11,1)*POWER(2,5)+MID(HE14,10,1)*POWER(2,6)+MID(HE14,9,1)*POWER(2,7)+MID(HE14,8,1)*POWER(2,8)+MID(HE14,7,1)*POWER(2,9)+MID(HE14,6,1)*POWER(2,10)+MID(HE14,5,1)*POWER(2,11)+MID(HE14,4,1)*POWER(2,12)+MID(HE14,3,1)*POWER(2,13)+MID(HE14,2,1)*POWER(2,14)+MID(HE14,1,1)*POWER(2,15)-(MID(HE15,16,1)*POWER(2,0)+MID(HE15,15,1)*POWER(2,1)+MID(HE15,14,1)*POWER(2,2)+MID(HE15,13,1)*POWER(2,3)+MID(HE15,12,1)*POWER(2,4)+MID(HE15,11,1)*POWER(2,5)+MID(HE15,10,1)*POWER(2,6)+MID(HE15,9,1)*POWER(2,7)+MID(HE15,8,1)*POWER(2,8)+MID(HE15,7,1)*POWER(2,9)+MID(HE15,6,1)*POWER(2,10)+MID(HE15,5,1)*POWER(2,11)+MID(HE15,4,1)*POWER(2,12)+MID(HE15,3,1)*POWER(2,13)+MID(HE15,2,1)*POWER(2,14)+MID(HE15,1,1)*POWER(2,15))</f>
        <v>-16476</v>
      </c>
      <c r="HH14" s="45" t="str">
        <f>CONCATENATE(MID(GE14,1,1)*MID($K14,1,1),MID(GE14,2,1)*MID($K14,2,1),MID(GE14,3,1)*MID($K14,3,1),MID(GE14,4,1)*MID($K14,4,1),MID(GE14,5,1)*MID($K14,5,1),MID(GE14,6,1)*MID($K14,6,1),MID(GE14,7,1)*MID($K14,7,1),MID(GE14,8,1)*MID($K14,8,1),MID(GE14,9,1)*MID($K14,1,1),MID(GE14,10,1)*MID($K14,2,1),MID(GE14,11,1)*MID($K14,3,1),MID(GE14,12,1)*MID($K14,4,1),MID(GE14,13,1)*MID($K14,5,1),MID(GE14,14,1)*MID($K14,6,1),MID(GE14,15,1)*MID($K14,7,1),MID(GE14,16,1)*MID($K14,8,1),MID(GE14,17,1)*MID($K14,1,1),MID(GE14,18,1)*MID($K14,2,1),MID(GE14,19,1)*MID($K14,3,1),MID(GE14,20,1)*MID($K14,4,1),MID(GE14,21,1)*MID($K14,5,1),MID(GE14,22,1)*MID($K14,6,1),MID(GE14,23,1)*MID($K14,7,1),MID(GE14,24,1)*MID($K14,8,1),MID(GE14,25,1)*MID($K14,1,1),MID(GE14,26,1)*MID($K14,2,1),MID(GE14,27,1)*MID($K14,3,1),MID(GE14,28,1)*MID($K14,4,1),MID(GE14,29,1)*MID($K14,5,1),MID(GE14,30,1)*MID($K14,6,1),MID(GE14,31,1)*MID($K14,7,1),MID(GE14,32,1)*MID($K14,8,1))</f>
        <v>00000000000001000000010000000100</v>
      </c>
      <c r="HI14" s="26" t="str">
        <f t="shared" si="128"/>
        <v>00000000</v>
      </c>
      <c r="HJ14" s="26" t="str">
        <f t="shared" si="105"/>
        <v>00000100</v>
      </c>
      <c r="HK14" s="26" t="str">
        <f t="shared" si="106"/>
        <v>00000100</v>
      </c>
      <c r="HL14" s="26" t="str">
        <f t="shared" si="107"/>
        <v>00000100</v>
      </c>
      <c r="HM14" s="77">
        <f>BIN2DEC(HI14)-BIN2DEC(HI15)</f>
        <v>-32</v>
      </c>
      <c r="HN14" s="77">
        <f>BIN2DEC(HJ14)-BIN2DEC(HJ15)</f>
        <v>-28</v>
      </c>
      <c r="HO14" s="77">
        <f>BIN2DEC(HK14)-BIN2DEC(HK15)</f>
        <v>-64</v>
      </c>
      <c r="HP14" s="77">
        <f>BIN2DEC(HL14)-BIN2DEC(HL15)</f>
        <v>-92</v>
      </c>
      <c r="HQ14" s="27" t="str">
        <f t="shared" si="108"/>
        <v>1010</v>
      </c>
      <c r="HR14" s="27" t="str">
        <f t="shared" si="109"/>
        <v>0001</v>
      </c>
      <c r="HS14" s="27" t="str">
        <f t="shared" si="110"/>
        <v>0011</v>
      </c>
      <c r="HT14" s="27" t="str">
        <f t="shared" si="111"/>
        <v>0101</v>
      </c>
      <c r="HU14" s="27" t="str">
        <f t="shared" si="112"/>
        <v>0010</v>
      </c>
      <c r="HV14" s="27" t="str">
        <f t="shared" si="113"/>
        <v>0100</v>
      </c>
      <c r="HW14" s="27" t="str">
        <f t="shared" si="114"/>
        <v>0100</v>
      </c>
      <c r="HX14" s="27" t="str">
        <f t="shared" si="115"/>
        <v>0101</v>
      </c>
      <c r="HY14" s="77">
        <f t="shared" ref="HY14:IF14" si="171">BIN2DEC(HQ14)-BIN2DEC(HQ15)</f>
        <v>7</v>
      </c>
      <c r="HZ14" s="77">
        <f t="shared" si="171"/>
        <v>-9</v>
      </c>
      <c r="IA14" s="77">
        <f t="shared" si="171"/>
        <v>1</v>
      </c>
      <c r="IB14" s="77">
        <f t="shared" si="171"/>
        <v>3</v>
      </c>
      <c r="IC14" s="77">
        <f t="shared" si="171"/>
        <v>-11</v>
      </c>
      <c r="ID14" s="77">
        <f t="shared" si="171"/>
        <v>-2</v>
      </c>
      <c r="IE14" s="77">
        <f t="shared" si="171"/>
        <v>-2</v>
      </c>
      <c r="IF14" s="77">
        <f t="shared" si="171"/>
        <v>-5</v>
      </c>
      <c r="IG14" s="26" t="str">
        <f t="shared" si="22"/>
        <v>0000000000000100</v>
      </c>
      <c r="IH14" s="26" t="str">
        <f t="shared" si="23"/>
        <v>0000010000000100</v>
      </c>
      <c r="II14" s="77">
        <f>MID(IG14,16,1)*POWER(2,0)+MID(IG14,15,1)*POWER(2,1)+MID(IG14,14,1)*POWER(2,2)+MID(IG14,13,1)*POWER(2,3)+MID(IG14,12,1)*POWER(2,4)+MID(IG14,11,1)*POWER(2,5)+MID(IG14,10,1)*POWER(2,6)+MID(IG14,9,1)*POWER(2,7)+MID(IG14,8,1)*POWER(2,8)+MID(IG14,7,1)*POWER(2,9)+MID(IG14,6,1)*POWER(2,10)+MID(IG14,5,1)*POWER(2,11)+MID(IG14,4,1)*POWER(2,12)+MID(IG14,3,1)*POWER(2,13)+MID(IG14,2,1)*POWER(2,14)+MID(IG14,1,1)*POWER(2,15)-(MID(IG15,16,1)*POWER(2,0)+MID(IG15,15,1)*POWER(2,1)+MID(IG15,14,1)*POWER(2,2)+MID(IG15,13,1)*POWER(2,3)+MID(IG15,12,1)*POWER(2,4)+MID(IG15,11,1)*POWER(2,5)+MID(IG15,10,1)*POWER(2,6)+MID(IG15,9,1)*POWER(2,7)+MID(IG15,8,1)*POWER(2,8)+MID(IG15,7,1)*POWER(2,9)+MID(IG15,6,1)*POWER(2,10)+MID(IG15,5,1)*POWER(2,11)+MID(IG15,4,1)*POWER(2,12)+MID(IG15,3,1)*POWER(2,13)+MID(IG15,2,1)*POWER(2,14)+MID(IG15,1,1)*POWER(2,15))</f>
        <v>-8220</v>
      </c>
      <c r="IJ14" s="77">
        <f>MID(IH14,16,1)*POWER(2,0)+MID(IH14,15,1)*POWER(2,1)+MID(IH14,14,1)*POWER(2,2)+MID(IH14,13,1)*POWER(2,3)+MID(IH14,12,1)*POWER(2,4)+MID(IH14,11,1)*POWER(2,5)+MID(IH14,10,1)*POWER(2,6)+MID(IH14,9,1)*POWER(2,7)+MID(IH14,8,1)*POWER(2,8)+MID(IH14,7,1)*POWER(2,9)+MID(IH14,6,1)*POWER(2,10)+MID(IH14,5,1)*POWER(2,11)+MID(IH14,4,1)*POWER(2,12)+MID(IH14,3,1)*POWER(2,13)+MID(IH14,2,1)*POWER(2,14)+MID(IH14,1,1)*POWER(2,15)-(MID(IH15,16,1)*POWER(2,0)+MID(IH15,15,1)*POWER(2,1)+MID(IH15,14,1)*POWER(2,2)+MID(IH15,13,1)*POWER(2,3)+MID(IH15,12,1)*POWER(2,4)+MID(IH15,11,1)*POWER(2,5)+MID(IH15,10,1)*POWER(2,6)+MID(IH15,9,1)*POWER(2,7)+MID(IH15,8,1)*POWER(2,8)+MID(IH15,7,1)*POWER(2,9)+MID(IH15,6,1)*POWER(2,10)+MID(IH15,5,1)*POWER(2,11)+MID(IH15,4,1)*POWER(2,12)+MID(IH15,3,1)*POWER(2,13)+MID(IH15,2,1)*POWER(2,14)+MID(IH15,1,1)*POWER(2,15))</f>
        <v>-16476</v>
      </c>
      <c r="IL14" s="26"/>
      <c r="IM14" s="26"/>
      <c r="IN14" s="26"/>
      <c r="IO14" s="26"/>
      <c r="IP14" s="22"/>
      <c r="IQ14" s="22"/>
      <c r="IR14" s="22"/>
      <c r="IS14" s="22"/>
      <c r="JB14" s="22"/>
      <c r="JC14" s="22"/>
      <c r="JD14" s="22"/>
      <c r="JE14" s="22"/>
      <c r="JF14" s="22"/>
      <c r="JG14" s="22"/>
      <c r="JH14" s="22"/>
      <c r="JI14" s="22"/>
      <c r="JJ14" s="26"/>
      <c r="JK14" s="26"/>
      <c r="JL14" s="22"/>
      <c r="JM14" s="22"/>
    </row>
    <row r="15" spans="1:273" s="31" customFormat="1" ht="18.600000000000001" thickBot="1" x14ac:dyDescent="0.4">
      <c r="A15" s="28"/>
      <c r="B15" s="29"/>
      <c r="C15" s="17" t="s">
        <v>6</v>
      </c>
      <c r="D15" s="17" t="s">
        <v>115</v>
      </c>
      <c r="E15" s="17">
        <v>22</v>
      </c>
      <c r="F15" s="17" t="s">
        <v>35</v>
      </c>
      <c r="G15" s="17" t="s">
        <v>59</v>
      </c>
      <c r="H15" s="17" t="str">
        <f t="shared" si="146"/>
        <v>00111010001000101101011001101010</v>
      </c>
      <c r="I15" s="17">
        <f t="shared" si="147"/>
        <v>15</v>
      </c>
      <c r="J15" s="17"/>
      <c r="K15" s="17"/>
      <c r="L15" s="44" t="str">
        <f>H15</f>
        <v>00111010001000101101011001101010</v>
      </c>
      <c r="M15" s="30" t="str">
        <f t="shared" si="24"/>
        <v>00111010</v>
      </c>
      <c r="N15" s="30" t="str">
        <f t="shared" si="25"/>
        <v>00100010</v>
      </c>
      <c r="O15" s="30" t="str">
        <f t="shared" si="26"/>
        <v>11010110</v>
      </c>
      <c r="P15" s="30" t="str">
        <f t="shared" si="27"/>
        <v>01101010</v>
      </c>
      <c r="Q15" s="78"/>
      <c r="R15" s="78"/>
      <c r="S15" s="78"/>
      <c r="T15" s="78"/>
      <c r="U15" s="31" t="str">
        <f t="shared" si="28"/>
        <v>0011</v>
      </c>
      <c r="V15" s="31" t="str">
        <f t="shared" si="29"/>
        <v>1010</v>
      </c>
      <c r="W15" s="31" t="str">
        <f t="shared" si="30"/>
        <v>0010</v>
      </c>
      <c r="X15" s="31" t="str">
        <f t="shared" si="31"/>
        <v>0010</v>
      </c>
      <c r="Y15" s="31" t="str">
        <f t="shared" si="32"/>
        <v>1101</v>
      </c>
      <c r="Z15" s="31" t="str">
        <f t="shared" si="33"/>
        <v>0110</v>
      </c>
      <c r="AA15" s="31" t="str">
        <f t="shared" si="34"/>
        <v>0110</v>
      </c>
      <c r="AB15" s="31" t="str">
        <f t="shared" si="35"/>
        <v>1010</v>
      </c>
      <c r="AC15" s="78"/>
      <c r="AD15" s="78"/>
      <c r="AE15" s="78"/>
      <c r="AF15" s="78"/>
      <c r="AG15" s="78"/>
      <c r="AH15" s="78"/>
      <c r="AI15" s="78"/>
      <c r="AJ15" s="78"/>
      <c r="AK15" s="30" t="str">
        <f t="shared" si="1"/>
        <v>0011101000100010</v>
      </c>
      <c r="AL15" s="30" t="str">
        <f t="shared" si="2"/>
        <v>1101011001101010</v>
      </c>
      <c r="AM15" s="78"/>
      <c r="AN15" s="78"/>
      <c r="AO15" s="46" t="str">
        <f>L15</f>
        <v>00111010001000101101011001101010</v>
      </c>
      <c r="AP15" s="30" t="str">
        <f t="shared" si="36"/>
        <v>00111010</v>
      </c>
      <c r="AQ15" s="30" t="str">
        <f t="shared" si="37"/>
        <v>00100010</v>
      </c>
      <c r="AR15" s="30" t="str">
        <f t="shared" si="38"/>
        <v>11010110</v>
      </c>
      <c r="AS15" s="30" t="str">
        <f t="shared" si="39"/>
        <v>01101010</v>
      </c>
      <c r="AT15" s="78"/>
      <c r="AU15" s="78"/>
      <c r="AV15" s="78"/>
      <c r="AW15" s="78"/>
      <c r="AX15" s="31" t="str">
        <f t="shared" si="40"/>
        <v>0011</v>
      </c>
      <c r="AY15" s="31" t="str">
        <f t="shared" si="41"/>
        <v>1010</v>
      </c>
      <c r="AZ15" s="31" t="str">
        <f t="shared" si="42"/>
        <v>0010</v>
      </c>
      <c r="BA15" s="31" t="str">
        <f t="shared" si="43"/>
        <v>0010</v>
      </c>
      <c r="BB15" s="31" t="str">
        <f t="shared" si="44"/>
        <v>1101</v>
      </c>
      <c r="BC15" s="31" t="str">
        <f t="shared" si="45"/>
        <v>0110</v>
      </c>
      <c r="BD15" s="31" t="str">
        <f t="shared" si="46"/>
        <v>0110</v>
      </c>
      <c r="BE15" s="31" t="str">
        <f t="shared" si="47"/>
        <v>1010</v>
      </c>
      <c r="BF15" s="78"/>
      <c r="BG15" s="78"/>
      <c r="BH15" s="78"/>
      <c r="BI15" s="78"/>
      <c r="BJ15" s="78"/>
      <c r="BK15" s="78"/>
      <c r="BL15" s="78"/>
      <c r="BM15" s="78"/>
      <c r="BN15" s="30" t="str">
        <f t="shared" si="4"/>
        <v>0011101000100010</v>
      </c>
      <c r="BO15" s="30" t="str">
        <f t="shared" si="5"/>
        <v>1101011001101010</v>
      </c>
      <c r="BP15" s="78"/>
      <c r="BQ15" s="78"/>
      <c r="BR15" s="46" t="str">
        <f>CONCATENATE(MID(L15,1,1)*MID(K14,1,1),MID(L15,2,1)*MID(K14,2,1),MID(L15,3,1)*MID(K14,3,1),MID(L15,4,1)*MID(K14,4,1),MID(L15,5,1)*MID(K14,5,1),MID(L15,6,1)*MID(K14,6,1),MID(L15,7,1)*MID(K14,7,1),MID(L15,8,1)*MID(K14,8,1),MID(L15,9,1)*MID(K14,1,1),MID(L15,10,1)*MID(K14,2,1),MID(L15,11,1)*MID(K14,3,1),MID(L15,12,1)*MID(K14,4,1),MID(L15,13,1)*MID(K14,5,1),MID(L15,14,1)*MID(K14,6,1),MID(L15,15,1)*MID(K14,7,1),MID(L15,16,1)*MID(K14,8,1),MID(L15,17,1)*MID(K14,1,1),MID(L15,18,1)*MID(K14,2,1),MID(L15,19,1)*MID(K14,3,1),MID(L15,20,1)*MID(K14,4,1),MID(L15,21,1)*MID(K14,5,1),MID(L15,22,1)*MID(K14,6,1),MID(L15,23,1)*MID(K14,7,1),MID(L15,24,1)*MID(K14,8,1),MID(L15,25,1)*MID(K14,1,1),MID(L15,26,1)*MID(K14,2,1),MID(L15,27,1)*MID(K14,3,1),MID(L15,28,1)*MID(K14,4,1),MID(L15,29,1)*MID(K14,5,1),MID(L15,30,1)*MID(K14,6,1),MID(L15,31,1)*MID(K14,7,1),MID(L15,32,1)*MID(K14,8,1))</f>
        <v>00100000001000000100010001100000</v>
      </c>
      <c r="BS15" s="30" t="str">
        <f t="shared" si="48"/>
        <v>00100000</v>
      </c>
      <c r="BT15" s="30" t="str">
        <f t="shared" si="49"/>
        <v>00100000</v>
      </c>
      <c r="BU15" s="30" t="str">
        <f t="shared" si="50"/>
        <v>01000100</v>
      </c>
      <c r="BV15" s="30" t="str">
        <f t="shared" si="51"/>
        <v>01100000</v>
      </c>
      <c r="BW15" s="78"/>
      <c r="BX15" s="78"/>
      <c r="BY15" s="78"/>
      <c r="BZ15" s="78"/>
      <c r="CA15" s="31" t="str">
        <f t="shared" si="52"/>
        <v>0011</v>
      </c>
      <c r="CB15" s="31" t="str">
        <f t="shared" si="53"/>
        <v>1010</v>
      </c>
      <c r="CC15" s="31" t="str">
        <f t="shared" si="54"/>
        <v>0010</v>
      </c>
      <c r="CD15" s="31" t="str">
        <f t="shared" si="55"/>
        <v>0010</v>
      </c>
      <c r="CE15" s="31" t="str">
        <f t="shared" si="56"/>
        <v>1101</v>
      </c>
      <c r="CF15" s="31" t="str">
        <f t="shared" si="57"/>
        <v>0110</v>
      </c>
      <c r="CG15" s="31" t="str">
        <f t="shared" si="58"/>
        <v>0110</v>
      </c>
      <c r="CH15" s="31" t="str">
        <f t="shared" si="59"/>
        <v>1010</v>
      </c>
      <c r="CI15" s="78"/>
      <c r="CJ15" s="78"/>
      <c r="CK15" s="78"/>
      <c r="CL15" s="78"/>
      <c r="CM15" s="78"/>
      <c r="CN15" s="78"/>
      <c r="CO15" s="78"/>
      <c r="CP15" s="78"/>
      <c r="CQ15" s="30" t="str">
        <f t="shared" si="7"/>
        <v>0010000000100000</v>
      </c>
      <c r="CR15" s="30" t="str">
        <f t="shared" si="8"/>
        <v>0100010001100000</v>
      </c>
      <c r="CS15" s="78"/>
      <c r="CT15" s="78"/>
      <c r="CU15" s="46" t="str">
        <f>CONCATENATE(MID($L15,1,1)*MID($K14,1,1),MID($L15,2,1)*MID($K14,2,1),MID($L15,3,1)*MID($K14,3,1),MID($L15,4,1)*MID($K14,4,1),MID($L15,5,1)*MID($K14,5,1),MID($L15,6,1)*MID($K14,6,1),MID($L15,7,1)*MID($K14,7,1),MID($L15,8,1)*MID($K14,8,1),MID($L15,9,1)*MID($K14,1,1),MID($L15,10,1)*MID($K14,2,1),MID($L15,11,1)*MID($K14,3,1),MID($L15,12,1)*MID($K14,4,1),MID($L15,13,1)*MID($K14,5,1),MID($L15,14,1)*MID($K14,6,1),MID($L15,15,1)*MID($K14,7,1),MID($L15,16,1)*MID($K14,8,1),MID($L15,17,1)*MID($K14,1,1),MID($L15,18,1)*MID($K14,2,1),MID($L15,19,1)*MID($K14,3,1),MID($L15,20,1)*MID($K14,4,1),MID($L15,21,1)*MID($K14,5,1),MID($L15,22,1)*MID($K14,6,1),MID($L15,23,1)*MID($K14,7,1),MID($L15,24,1)*MID($K14,8,1),MID($L15,25,1)*MID($K14,1,1),MID($L15,26,1)*MID($K14,2,1),MID($L15,27,1)*MID($K14,3,1),MID($L15,28,1)*MID($K14,4,1),MID($L15,29,1)*MID($K14,5,1),MID($L15,30,1)*MID($K14,6,1),MID($L15,31,1)*MID($K14,7,1),MID($L15,32,1)*MID($K14,8,1))</f>
        <v>00100000001000000100010001100000</v>
      </c>
      <c r="CV15" s="30" t="str">
        <f t="shared" si="60"/>
        <v>00100000</v>
      </c>
      <c r="CW15" s="30" t="str">
        <f t="shared" si="61"/>
        <v>00100000</v>
      </c>
      <c r="CX15" s="30" t="str">
        <f t="shared" si="62"/>
        <v>01000100</v>
      </c>
      <c r="CY15" s="30" t="str">
        <f t="shared" si="63"/>
        <v>01100000</v>
      </c>
      <c r="CZ15" s="78"/>
      <c r="DA15" s="78"/>
      <c r="DB15" s="78"/>
      <c r="DC15" s="78"/>
      <c r="DD15" s="31" t="str">
        <f t="shared" si="64"/>
        <v>0011</v>
      </c>
      <c r="DE15" s="31" t="str">
        <f t="shared" si="65"/>
        <v>1010</v>
      </c>
      <c r="DF15" s="31" t="str">
        <f t="shared" si="66"/>
        <v>0010</v>
      </c>
      <c r="DG15" s="31" t="str">
        <f t="shared" si="67"/>
        <v>0010</v>
      </c>
      <c r="DH15" s="31" t="str">
        <f t="shared" si="68"/>
        <v>1101</v>
      </c>
      <c r="DI15" s="31" t="str">
        <f t="shared" si="69"/>
        <v>0110</v>
      </c>
      <c r="DJ15" s="31" t="str">
        <f t="shared" si="70"/>
        <v>0110</v>
      </c>
      <c r="DK15" s="31" t="str">
        <f t="shared" si="71"/>
        <v>1010</v>
      </c>
      <c r="DL15" s="78"/>
      <c r="DM15" s="78"/>
      <c r="DN15" s="78"/>
      <c r="DO15" s="78"/>
      <c r="DP15" s="78"/>
      <c r="DQ15" s="78"/>
      <c r="DR15" s="78"/>
      <c r="DS15" s="78"/>
      <c r="DT15" s="30" t="str">
        <f t="shared" si="10"/>
        <v>0010000000100000</v>
      </c>
      <c r="DU15" s="30" t="str">
        <f t="shared" si="11"/>
        <v>0100010001100000</v>
      </c>
      <c r="DV15" s="78"/>
      <c r="DW15" s="78"/>
      <c r="DX15" s="23"/>
      <c r="DY15" s="48" t="str">
        <f>H15</f>
        <v>00111010001000101101011001101010</v>
      </c>
      <c r="DZ15" s="30" t="str">
        <f t="shared" si="122"/>
        <v>00111010</v>
      </c>
      <c r="EA15" s="30" t="str">
        <f t="shared" si="72"/>
        <v>00100010</v>
      </c>
      <c r="EB15" s="30" t="str">
        <f t="shared" si="73"/>
        <v>11010110</v>
      </c>
      <c r="EC15" s="30" t="str">
        <f t="shared" si="74"/>
        <v>01101010</v>
      </c>
      <c r="ED15" s="78"/>
      <c r="EE15" s="78"/>
      <c r="EF15" s="78"/>
      <c r="EG15" s="78"/>
      <c r="EH15" s="31" t="str">
        <f t="shared" si="75"/>
        <v>0011</v>
      </c>
      <c r="EI15" s="31" t="str">
        <f t="shared" si="76"/>
        <v>1010</v>
      </c>
      <c r="EJ15" s="31" t="str">
        <f t="shared" si="77"/>
        <v>0010</v>
      </c>
      <c r="EK15" s="31" t="str">
        <f t="shared" si="78"/>
        <v>0010</v>
      </c>
      <c r="EL15" s="31" t="str">
        <f t="shared" si="79"/>
        <v>1101</v>
      </c>
      <c r="EM15" s="31" t="str">
        <f t="shared" si="80"/>
        <v>0110</v>
      </c>
      <c r="EN15" s="31" t="str">
        <f t="shared" si="81"/>
        <v>0110</v>
      </c>
      <c r="EO15" s="31" t="str">
        <f t="shared" si="82"/>
        <v>1010</v>
      </c>
      <c r="EP15" s="78"/>
      <c r="EQ15" s="78"/>
      <c r="ER15" s="78"/>
      <c r="ES15" s="78"/>
      <c r="ET15" s="78"/>
      <c r="EU15" s="78"/>
      <c r="EV15" s="78"/>
      <c r="EW15" s="78"/>
      <c r="EX15" s="30" t="str">
        <f t="shared" si="13"/>
        <v>0011101000100010</v>
      </c>
      <c r="EY15" s="30" t="str">
        <f t="shared" si="14"/>
        <v>1101011001101010</v>
      </c>
      <c r="EZ15" s="78"/>
      <c r="FA15" s="78"/>
      <c r="FB15" s="48" t="str">
        <f>H15</f>
        <v>00111010001000101101011001101010</v>
      </c>
      <c r="FC15" s="30" t="str">
        <f t="shared" si="124"/>
        <v>00111010</v>
      </c>
      <c r="FD15" s="30" t="str">
        <f t="shared" si="83"/>
        <v>00100010</v>
      </c>
      <c r="FE15" s="30" t="str">
        <f t="shared" si="84"/>
        <v>11010110</v>
      </c>
      <c r="FF15" s="30" t="str">
        <f t="shared" si="85"/>
        <v>01101010</v>
      </c>
      <c r="FG15" s="78"/>
      <c r="FH15" s="78"/>
      <c r="FI15" s="78"/>
      <c r="FJ15" s="78"/>
      <c r="FK15" s="31" t="str">
        <f t="shared" si="86"/>
        <v>0011</v>
      </c>
      <c r="FL15" s="31" t="str">
        <f t="shared" si="87"/>
        <v>1010</v>
      </c>
      <c r="FM15" s="31" t="str">
        <f t="shared" si="88"/>
        <v>0010</v>
      </c>
      <c r="FN15" s="31" t="str">
        <f t="shared" si="89"/>
        <v>0010</v>
      </c>
      <c r="FO15" s="31" t="str">
        <f t="shared" si="90"/>
        <v>1101</v>
      </c>
      <c r="FP15" s="31" t="str">
        <f t="shared" si="91"/>
        <v>0110</v>
      </c>
      <c r="FQ15" s="31" t="str">
        <f t="shared" si="92"/>
        <v>0110</v>
      </c>
      <c r="FR15" s="31" t="str">
        <f t="shared" si="93"/>
        <v>1010</v>
      </c>
      <c r="FS15" s="78"/>
      <c r="FT15" s="78"/>
      <c r="FU15" s="78"/>
      <c r="FV15" s="78"/>
      <c r="FW15" s="78"/>
      <c r="FX15" s="78"/>
      <c r="FY15" s="78"/>
      <c r="FZ15" s="78"/>
      <c r="GA15" s="30" t="str">
        <f t="shared" si="16"/>
        <v>0011101000100010</v>
      </c>
      <c r="GB15" s="30" t="str">
        <f t="shared" si="17"/>
        <v>1101011001101010</v>
      </c>
      <c r="GC15" s="78"/>
      <c r="GD15" s="78"/>
      <c r="GE15" s="48" t="str">
        <f>BR15</f>
        <v>00100000001000000100010001100000</v>
      </c>
      <c r="GF15" s="30" t="str">
        <f t="shared" si="126"/>
        <v>00100000</v>
      </c>
      <c r="GG15" s="30" t="str">
        <f t="shared" si="94"/>
        <v>00100000</v>
      </c>
      <c r="GH15" s="30" t="str">
        <f t="shared" si="95"/>
        <v>01000100</v>
      </c>
      <c r="GI15" s="30" t="str">
        <f t="shared" si="96"/>
        <v>01100000</v>
      </c>
      <c r="GJ15" s="78"/>
      <c r="GK15" s="78"/>
      <c r="GL15" s="78"/>
      <c r="GM15" s="78"/>
      <c r="GN15" s="31" t="str">
        <f t="shared" si="97"/>
        <v>0011</v>
      </c>
      <c r="GO15" s="31" t="str">
        <f t="shared" si="98"/>
        <v>1010</v>
      </c>
      <c r="GP15" s="31" t="str">
        <f t="shared" si="99"/>
        <v>0010</v>
      </c>
      <c r="GQ15" s="31" t="str">
        <f t="shared" si="100"/>
        <v>0010</v>
      </c>
      <c r="GR15" s="31" t="str">
        <f t="shared" si="101"/>
        <v>1101</v>
      </c>
      <c r="GS15" s="31" t="str">
        <f t="shared" si="102"/>
        <v>0110</v>
      </c>
      <c r="GT15" s="31" t="str">
        <f t="shared" si="103"/>
        <v>0110</v>
      </c>
      <c r="GU15" s="31" t="str">
        <f t="shared" si="104"/>
        <v>1010</v>
      </c>
      <c r="GV15" s="78"/>
      <c r="GW15" s="78"/>
      <c r="GX15" s="78"/>
      <c r="GY15" s="78"/>
      <c r="GZ15" s="78"/>
      <c r="HA15" s="78"/>
      <c r="HB15" s="78"/>
      <c r="HC15" s="78"/>
      <c r="HD15" s="30" t="str">
        <f t="shared" si="19"/>
        <v>0010000000100000</v>
      </c>
      <c r="HE15" s="30" t="str">
        <f t="shared" si="20"/>
        <v>0100010001100000</v>
      </c>
      <c r="HF15" s="78"/>
      <c r="HG15" s="78"/>
      <c r="HH15" s="48" t="str">
        <f>GE15</f>
        <v>00100000001000000100010001100000</v>
      </c>
      <c r="HI15" s="30" t="str">
        <f t="shared" si="128"/>
        <v>00100000</v>
      </c>
      <c r="HJ15" s="30" t="str">
        <f t="shared" si="105"/>
        <v>00100000</v>
      </c>
      <c r="HK15" s="30" t="str">
        <f t="shared" si="106"/>
        <v>01000100</v>
      </c>
      <c r="HL15" s="30" t="str">
        <f t="shared" si="107"/>
        <v>01100000</v>
      </c>
      <c r="HM15" s="78"/>
      <c r="HN15" s="78"/>
      <c r="HO15" s="78"/>
      <c r="HP15" s="78"/>
      <c r="HQ15" s="31" t="str">
        <f t="shared" si="108"/>
        <v>0011</v>
      </c>
      <c r="HR15" s="31" t="str">
        <f t="shared" si="109"/>
        <v>1010</v>
      </c>
      <c r="HS15" s="31" t="str">
        <f t="shared" si="110"/>
        <v>0010</v>
      </c>
      <c r="HT15" s="31" t="str">
        <f t="shared" si="111"/>
        <v>0010</v>
      </c>
      <c r="HU15" s="31" t="str">
        <f t="shared" si="112"/>
        <v>1101</v>
      </c>
      <c r="HV15" s="31" t="str">
        <f t="shared" si="113"/>
        <v>0110</v>
      </c>
      <c r="HW15" s="31" t="str">
        <f t="shared" si="114"/>
        <v>0110</v>
      </c>
      <c r="HX15" s="31" t="str">
        <f t="shared" si="115"/>
        <v>1010</v>
      </c>
      <c r="HY15" s="78"/>
      <c r="HZ15" s="78"/>
      <c r="IA15" s="78"/>
      <c r="IB15" s="78"/>
      <c r="IC15" s="78"/>
      <c r="ID15" s="78"/>
      <c r="IE15" s="78"/>
      <c r="IF15" s="78"/>
      <c r="IG15" s="30" t="str">
        <f t="shared" si="22"/>
        <v>0010000000100000</v>
      </c>
      <c r="IH15" s="30" t="str">
        <f t="shared" si="23"/>
        <v>0100010001100000</v>
      </c>
      <c r="II15" s="78"/>
      <c r="IJ15" s="78"/>
      <c r="IL15" s="30"/>
      <c r="IM15" s="30"/>
      <c r="IN15" s="30"/>
      <c r="IO15" s="30"/>
      <c r="IP15" s="23"/>
      <c r="IQ15" s="23"/>
      <c r="IR15" s="23"/>
      <c r="IS15" s="23"/>
      <c r="JB15" s="23"/>
      <c r="JC15" s="23"/>
      <c r="JD15" s="23"/>
      <c r="JE15" s="23"/>
      <c r="JF15" s="23"/>
      <c r="JG15" s="23"/>
      <c r="JH15" s="23"/>
      <c r="JI15" s="23"/>
      <c r="JJ15" s="30"/>
      <c r="JK15" s="30"/>
      <c r="JL15" s="23"/>
      <c r="JM15" s="23"/>
    </row>
    <row r="16" spans="1:273" s="27" customFormat="1" x14ac:dyDescent="0.35">
      <c r="A16" s="24"/>
      <c r="B16" s="25"/>
      <c r="C16" s="16" t="s">
        <v>0</v>
      </c>
      <c r="D16" s="16">
        <v>54</v>
      </c>
      <c r="E16" s="16">
        <v>68</v>
      </c>
      <c r="F16" s="16" t="s">
        <v>137</v>
      </c>
      <c r="G16" s="16" t="s">
        <v>157</v>
      </c>
      <c r="H16" s="16" t="str">
        <f t="shared" ref="H16:H21" si="172">CONCATENATE(HEX2BIN(D16,8),HEX2BIN(E16,8),HEX2BIN(F16,8),HEX2BIN(G16,8))</f>
        <v>01010100011010001001101010001011</v>
      </c>
      <c r="I16" s="16">
        <f t="shared" ref="I16:I21" si="173">MID(H16,1,1)+MID(H16,2,1)+MID(H16,3,1)+MID(H16,4,1)+MID(H16,5,1)+MID(H16,6,1)+MID(H16,7,1)+MID(H16,8,1)+MID(H16,9,1)+MID(H16,10,1)+MID(H16,11,1)+MID(H16,12,1)+MID(H16,13,1)+MID(H16,14,1)+MID(H16,15,1)+MID(H16,16,1)+MID(H16,17,1)+MID(H16,18,1)+MID(H16,19,1)+MID(H16,20,1)+MID(H16,21,1)+MID(H16,22,1)+MID(H16,23,1)+MID(H16,24,1)+MID(H16,25,1)+MID(H16,26,1)+MID(H16,27,1)+MID(H16,28,1)+MID(H16,29,1)+MID(H16,30,1)+MID(H16,31,1)+MID(H16,32,1)</f>
        <v>14</v>
      </c>
      <c r="J16" s="16">
        <v>64</v>
      </c>
      <c r="K16" s="16" t="str">
        <f>HEX2BIN(J16,8)</f>
        <v>01100100</v>
      </c>
      <c r="L16" s="43" t="str">
        <f>CONCATENATE(MID(H16,30,3),MID(H16,17,5),MID(H16,6,3),MID(H16,25,5),MID(H16,14,3),MID(H16,1,5),MID(H16,22,3),MID(H16,9,5))</f>
        <v>01110011100100010000101001001101</v>
      </c>
      <c r="M16" s="26" t="str">
        <f t="shared" si="24"/>
        <v>01110011</v>
      </c>
      <c r="N16" s="26" t="str">
        <f t="shared" si="25"/>
        <v>10010001</v>
      </c>
      <c r="O16" s="26" t="str">
        <f t="shared" si="26"/>
        <v>00001010</v>
      </c>
      <c r="P16" s="26" t="str">
        <f t="shared" si="27"/>
        <v>01001101</v>
      </c>
      <c r="Q16" s="77">
        <f>BIN2DEC(M16)-BIN2DEC(M17)</f>
        <v>103</v>
      </c>
      <c r="R16" s="77">
        <f>BIN2DEC(N16)-BIN2DEC(N17)</f>
        <v>-13</v>
      </c>
      <c r="S16" s="77">
        <f>BIN2DEC(O16)-BIN2DEC(O17)</f>
        <v>-178</v>
      </c>
      <c r="T16" s="77">
        <f>BIN2DEC(P16)-BIN2DEC(P17)</f>
        <v>-37</v>
      </c>
      <c r="U16" s="27" t="str">
        <f t="shared" si="28"/>
        <v>0111</v>
      </c>
      <c r="V16" s="27" t="str">
        <f t="shared" si="29"/>
        <v>0011</v>
      </c>
      <c r="W16" s="27" t="str">
        <f t="shared" si="30"/>
        <v>1001</v>
      </c>
      <c r="X16" s="27" t="str">
        <f t="shared" si="31"/>
        <v>0001</v>
      </c>
      <c r="Y16" s="27" t="str">
        <f t="shared" si="32"/>
        <v>0000</v>
      </c>
      <c r="Z16" s="27" t="str">
        <f t="shared" si="33"/>
        <v>1010</v>
      </c>
      <c r="AA16" s="27" t="str">
        <f t="shared" si="34"/>
        <v>0100</v>
      </c>
      <c r="AB16" s="27" t="str">
        <f t="shared" si="35"/>
        <v>1101</v>
      </c>
      <c r="AC16" s="77">
        <f t="shared" ref="AC16:AJ16" si="174">BIN2DEC(U16)-BIN2DEC(U17)</f>
        <v>7</v>
      </c>
      <c r="AD16" s="77">
        <f t="shared" si="174"/>
        <v>-9</v>
      </c>
      <c r="AE16" s="77">
        <f t="shared" si="174"/>
        <v>0</v>
      </c>
      <c r="AF16" s="77">
        <f t="shared" si="174"/>
        <v>-13</v>
      </c>
      <c r="AG16" s="77">
        <f t="shared" si="174"/>
        <v>-11</v>
      </c>
      <c r="AH16" s="77">
        <f t="shared" si="174"/>
        <v>-2</v>
      </c>
      <c r="AI16" s="77">
        <f t="shared" si="174"/>
        <v>-3</v>
      </c>
      <c r="AJ16" s="77">
        <f t="shared" si="174"/>
        <v>11</v>
      </c>
      <c r="AK16" s="26" t="str">
        <f t="shared" si="1"/>
        <v>0111001110010001</v>
      </c>
      <c r="AL16" s="26" t="str">
        <f t="shared" si="2"/>
        <v>0000101001001101</v>
      </c>
      <c r="AM16" s="77">
        <f>MID(AK16,16,1)*POWER(2,0)+MID(AK16,15,1)*POWER(2,1)+MID(AK16,14,1)*POWER(2,2)+MID(AK16,13,1)*POWER(2,3)+MID(AK16,12,1)*POWER(2,4)+MID(AK16,11,1)*POWER(2,5)+MID(AK16,10,1)*POWER(2,6)+MID(AK16,9,1)*POWER(2,7)+MID(AK16,8,1)*POWER(2,8)+MID(AK16,7,1)*POWER(2,9)+MID(AK16,6,1)*POWER(2,10)+MID(AK16,5,1)*POWER(2,11)+MID(AK16,4,1)*POWER(2,12)+MID(AK16,3,1)*POWER(2,13)+MID(AK16,2,1)*POWER(2,14)+MID(AK16,1,1)*POWER(2,15)-(MID(AK17,16,1)*POWER(2,0)+MID(AK17,15,1)*POWER(2,1)+MID(AK17,14,1)*POWER(2,2)+MID(AK17,13,1)*POWER(2,3)+MID(AK17,12,1)*POWER(2,4)+MID(AK17,11,1)*POWER(2,5)+MID(AK17,10,1)*POWER(2,6)+MID(AK17,9,1)*POWER(2,7)+MID(AK17,8,1)*POWER(2,8)+MID(AK17,7,1)*POWER(2,9)+MID(AK17,6,1)*POWER(2,10)+MID(AK17,5,1)*POWER(2,11)+MID(AK17,4,1)*POWER(2,12)+MID(AK17,3,1)*POWER(2,13)+MID(AK17,2,1)*POWER(2,14)+MID(AK17,1,1)*POWER(2,15))</f>
        <v>26355</v>
      </c>
      <c r="AN16" s="77">
        <f>MID(AL16,16,1)*POWER(2,0)+MID(AL16,15,1)*POWER(2,1)+MID(AL16,14,1)*POWER(2,2)+MID(AL16,13,1)*POWER(2,3)+MID(AL16,12,1)*POWER(2,4)+MID(AL16,11,1)*POWER(2,5)+MID(AL16,10,1)*POWER(2,6)+MID(AL16,9,1)*POWER(2,7)+MID(AL16,8,1)*POWER(2,8)+MID(AL16,7,1)*POWER(2,9)+MID(AL16,6,1)*POWER(2,10)+MID(AL16,5,1)*POWER(2,11)+MID(AL16,4,1)*POWER(2,12)+MID(AL16,3,1)*POWER(2,13)+MID(AL16,2,1)*POWER(2,14)+MID(AL16,1,1)*POWER(2,15)-(MID(AL17,16,1)*POWER(2,0)+MID(AL17,15,1)*POWER(2,1)+MID(AL17,14,1)*POWER(2,2)+MID(AL17,13,1)*POWER(2,3)+MID(AL17,12,1)*POWER(2,4)+MID(AL17,11,1)*POWER(2,5)+MID(AL17,10,1)*POWER(2,6)+MID(AL17,9,1)*POWER(2,7)+MID(AL17,8,1)*POWER(2,8)+MID(AL17,7,1)*POWER(2,9)+MID(AL17,6,1)*POWER(2,10)+MID(AL17,5,1)*POWER(2,11)+MID(AL17,4,1)*POWER(2,12)+MID(AL17,3,1)*POWER(2,13)+MID(AL17,2,1)*POWER(2,14)+MID(AL17,1,1)*POWER(2,15))</f>
        <v>-45605</v>
      </c>
      <c r="AO16" s="45" t="str">
        <f>CONCATENATE(MID(L16,1,1)*MID(K16,1,1),MID(L16,2,1)*MID(K16,2,1),MID(L16,3,1)*MID(K16,3,1),MID(L16,4,1)*MID(K16,4,1),MID(L16,5,1)*MID(K16,5,1),MID(L16,6,1)*MID(K16,6,1),MID(L16,7,1)*MID(K16,7,1),MID(L16,8,1)*MID(K16,8,1),MID(L16,9,1)*MID(K16,1,1),MID(L16,10,1)*MID(K16,2,1),MID(L16,11,1)*MID(K16,3,1),MID(L16,12,1)*MID(K16,4,1),MID(L16,13,1)*MID(K16,5,1),MID(L16,14,1)*MID(K16,6,1),MID(L16,15,1)*MID(K16,7,1),MID(L16,16,1)*MID(K16,8,1),MID(L16,17,1)*MID(K16,1,1),MID(L16,18,1)*MID(K16,2,1),MID(L16,19,1)*MID(K16,3,1),MID(L16,20,1)*MID(K16,4,1),MID(L16,21,1)*MID(K16,5,1),MID(L16,22,1)*MID(K16,6,1),MID(L16,23,1)*MID(K16,7,1),MID(L16,24,1)*MID(K16,8,1),MID(L16,25,1)*MID(K16,1,1),MID(L16,26,1)*MID(K16,2,1),MID(L16,27,1)*MID(K16,3,1),MID(L16,28,1)*MID(K16,4,1),MID(L16,29,1)*MID(K16,5,1),MID(L16,30,1)*MID(K16,6,1),MID(L16,31,1)*MID(K16,7,1),MID(L16,32,1)*MID(K16,8,1))</f>
        <v>01100000000000000000000001000100</v>
      </c>
      <c r="AP16" s="26" t="str">
        <f t="shared" si="36"/>
        <v>01100000</v>
      </c>
      <c r="AQ16" s="26" t="str">
        <f t="shared" si="37"/>
        <v>00000000</v>
      </c>
      <c r="AR16" s="26" t="str">
        <f t="shared" si="38"/>
        <v>00000000</v>
      </c>
      <c r="AS16" s="26" t="str">
        <f t="shared" si="39"/>
        <v>01000100</v>
      </c>
      <c r="AT16" s="77">
        <f>BIN2DEC(AP16)-BIN2DEC(AP17)</f>
        <v>84</v>
      </c>
      <c r="AU16" s="77">
        <f>BIN2DEC(AQ16)-BIN2DEC(AQ17)</f>
        <v>-158</v>
      </c>
      <c r="AV16" s="77">
        <f>BIN2DEC(AR16)-BIN2DEC(AR17)</f>
        <v>-188</v>
      </c>
      <c r="AW16" s="77">
        <f>BIN2DEC(AS16)-BIN2DEC(AS17)</f>
        <v>-46</v>
      </c>
      <c r="AX16" s="27" t="str">
        <f t="shared" si="40"/>
        <v>0111</v>
      </c>
      <c r="AY16" s="27" t="str">
        <f t="shared" si="41"/>
        <v>0011</v>
      </c>
      <c r="AZ16" s="27" t="str">
        <f t="shared" si="42"/>
        <v>1001</v>
      </c>
      <c r="BA16" s="27" t="str">
        <f t="shared" si="43"/>
        <v>0001</v>
      </c>
      <c r="BB16" s="27" t="str">
        <f t="shared" si="44"/>
        <v>0000</v>
      </c>
      <c r="BC16" s="27" t="str">
        <f t="shared" si="45"/>
        <v>1010</v>
      </c>
      <c r="BD16" s="27" t="str">
        <f t="shared" si="46"/>
        <v>0100</v>
      </c>
      <c r="BE16" s="27" t="str">
        <f t="shared" si="47"/>
        <v>1101</v>
      </c>
      <c r="BF16" s="77">
        <f t="shared" ref="BF16:BM16" si="175">BIN2DEC(AX16)-BIN2DEC(AX17)</f>
        <v>7</v>
      </c>
      <c r="BG16" s="77">
        <f t="shared" si="175"/>
        <v>-9</v>
      </c>
      <c r="BH16" s="77">
        <f t="shared" si="175"/>
        <v>0</v>
      </c>
      <c r="BI16" s="77">
        <f t="shared" si="175"/>
        <v>-13</v>
      </c>
      <c r="BJ16" s="77">
        <f t="shared" si="175"/>
        <v>-11</v>
      </c>
      <c r="BK16" s="77">
        <f t="shared" si="175"/>
        <v>-2</v>
      </c>
      <c r="BL16" s="77">
        <f t="shared" si="175"/>
        <v>-3</v>
      </c>
      <c r="BM16" s="77">
        <f t="shared" si="175"/>
        <v>11</v>
      </c>
      <c r="BN16" s="26" t="str">
        <f t="shared" si="4"/>
        <v>0110000000000000</v>
      </c>
      <c r="BO16" s="26" t="str">
        <f t="shared" si="5"/>
        <v>0000000001000100</v>
      </c>
      <c r="BP16" s="77">
        <f>MID(BN16,16,1)*POWER(2,0)+MID(BN16,15,1)*POWER(2,1)+MID(BN16,14,1)*POWER(2,2)+MID(BN16,13,1)*POWER(2,3)+MID(BN16,12,1)*POWER(2,4)+MID(BN16,11,1)*POWER(2,5)+MID(BN16,10,1)*POWER(2,6)+MID(BN16,9,1)*POWER(2,7)+MID(BN16,8,1)*POWER(2,8)+MID(BN16,7,1)*POWER(2,9)+MID(BN16,6,1)*POWER(2,10)+MID(BN16,5,1)*POWER(2,11)+MID(BN16,4,1)*POWER(2,12)+MID(BN16,3,1)*POWER(2,13)+MID(BN16,2,1)*POWER(2,14)+MID(BN16,1,1)*POWER(2,15)-(MID(BN17,16,1)*POWER(2,0)+MID(BN17,15,1)*POWER(2,1)+MID(BN17,14,1)*POWER(2,2)+MID(BN17,13,1)*POWER(2,3)+MID(BN17,12,1)*POWER(2,4)+MID(BN17,11,1)*POWER(2,5)+MID(BN17,10,1)*POWER(2,6)+MID(BN17,9,1)*POWER(2,7)+MID(BN17,8,1)*POWER(2,8)+MID(BN17,7,1)*POWER(2,9)+MID(BN17,6,1)*POWER(2,10)+MID(BN17,5,1)*POWER(2,11)+MID(BN17,4,1)*POWER(2,12)+MID(BN17,3,1)*POWER(2,13)+MID(BN17,2,1)*POWER(2,14)+MID(BN17,1,1)*POWER(2,15))</f>
        <v>21346</v>
      </c>
      <c r="BQ16" s="77">
        <f>MID(BO16,16,1)*POWER(2,0)+MID(BO16,15,1)*POWER(2,1)+MID(BO16,14,1)*POWER(2,2)+MID(BO16,13,1)*POWER(2,3)+MID(BO16,12,1)*POWER(2,4)+MID(BO16,11,1)*POWER(2,5)+MID(BO16,10,1)*POWER(2,6)+MID(BO16,9,1)*POWER(2,7)+MID(BO16,8,1)*POWER(2,8)+MID(BO16,7,1)*POWER(2,9)+MID(BO16,6,1)*POWER(2,10)+MID(BO16,5,1)*POWER(2,11)+MID(BO16,4,1)*POWER(2,12)+MID(BO16,3,1)*POWER(2,13)+MID(BO16,2,1)*POWER(2,14)+MID(BO16,1,1)*POWER(2,15)-(MID(BO17,16,1)*POWER(2,0)+MID(BO17,15,1)*POWER(2,1)+MID(BO17,14,1)*POWER(2,2)+MID(BO17,13,1)*POWER(2,3)+MID(BO17,12,1)*POWER(2,4)+MID(BO17,11,1)*POWER(2,5)+MID(BO17,10,1)*POWER(2,6)+MID(BO17,9,1)*POWER(2,7)+MID(BO17,8,1)*POWER(2,8)+MID(BO17,7,1)*POWER(2,9)+MID(BO17,6,1)*POWER(2,10)+MID(BO17,5,1)*POWER(2,11)+MID(BO17,4,1)*POWER(2,12)+MID(BO17,3,1)*POWER(2,13)+MID(BO17,2,1)*POWER(2,14)+MID(BO17,1,1)*POWER(2,15))</f>
        <v>-48174</v>
      </c>
      <c r="BR16" s="47" t="str">
        <f>L16</f>
        <v>01110011100100010000101001001101</v>
      </c>
      <c r="BS16" s="26" t="str">
        <f t="shared" si="48"/>
        <v>01110011</v>
      </c>
      <c r="BT16" s="26" t="str">
        <f t="shared" si="49"/>
        <v>10010001</v>
      </c>
      <c r="BU16" s="26" t="str">
        <f t="shared" si="50"/>
        <v>00001010</v>
      </c>
      <c r="BV16" s="26" t="str">
        <f t="shared" si="51"/>
        <v>01001101</v>
      </c>
      <c r="BW16" s="77">
        <f>BIN2DEC(BS16)-BIN2DEC(BS17)</f>
        <v>111</v>
      </c>
      <c r="BX16" s="77">
        <f>BIN2DEC(BT16)-BIN2DEC(BT17)</f>
        <v>141</v>
      </c>
      <c r="BY16" s="77">
        <f>BIN2DEC(BU16)-BIN2DEC(BU17)</f>
        <v>-26</v>
      </c>
      <c r="BZ16" s="77">
        <f>BIN2DEC(BV16)-BIN2DEC(BV17)</f>
        <v>-19</v>
      </c>
      <c r="CA16" s="27" t="str">
        <f t="shared" si="52"/>
        <v>0111</v>
      </c>
      <c r="CB16" s="27" t="str">
        <f t="shared" si="53"/>
        <v>0011</v>
      </c>
      <c r="CC16" s="27" t="str">
        <f t="shared" si="54"/>
        <v>1001</v>
      </c>
      <c r="CD16" s="27" t="str">
        <f t="shared" si="55"/>
        <v>0001</v>
      </c>
      <c r="CE16" s="27" t="str">
        <f t="shared" si="56"/>
        <v>0000</v>
      </c>
      <c r="CF16" s="27" t="str">
        <f t="shared" si="57"/>
        <v>1010</v>
      </c>
      <c r="CG16" s="27" t="str">
        <f t="shared" si="58"/>
        <v>0100</v>
      </c>
      <c r="CH16" s="27" t="str">
        <f t="shared" si="59"/>
        <v>1101</v>
      </c>
      <c r="CI16" s="77">
        <f t="shared" ref="CI16:CP16" si="176">BIN2DEC(CA16)-BIN2DEC(CA17)</f>
        <v>7</v>
      </c>
      <c r="CJ16" s="77">
        <f t="shared" si="176"/>
        <v>-9</v>
      </c>
      <c r="CK16" s="77">
        <f t="shared" si="176"/>
        <v>0</v>
      </c>
      <c r="CL16" s="77">
        <f t="shared" si="176"/>
        <v>-13</v>
      </c>
      <c r="CM16" s="77">
        <f t="shared" si="176"/>
        <v>-11</v>
      </c>
      <c r="CN16" s="77">
        <f t="shared" si="176"/>
        <v>-2</v>
      </c>
      <c r="CO16" s="77">
        <f t="shared" si="176"/>
        <v>-3</v>
      </c>
      <c r="CP16" s="77">
        <f t="shared" si="176"/>
        <v>11</v>
      </c>
      <c r="CQ16" s="26" t="str">
        <f t="shared" si="7"/>
        <v>0111001110010001</v>
      </c>
      <c r="CR16" s="26" t="str">
        <f t="shared" si="8"/>
        <v>0000101001001101</v>
      </c>
      <c r="CS16" s="77">
        <f>MID(CQ16,16,1)*POWER(2,0)+MID(CQ16,15,1)*POWER(2,1)+MID(CQ16,14,1)*POWER(2,2)+MID(CQ16,13,1)*POWER(2,3)+MID(CQ16,12,1)*POWER(2,4)+MID(CQ16,11,1)*POWER(2,5)+MID(CQ16,10,1)*POWER(2,6)+MID(CQ16,9,1)*POWER(2,7)+MID(CQ16,8,1)*POWER(2,8)+MID(CQ16,7,1)*POWER(2,9)+MID(CQ16,6,1)*POWER(2,10)+MID(CQ16,5,1)*POWER(2,11)+MID(CQ16,4,1)*POWER(2,12)+MID(CQ16,3,1)*POWER(2,13)+MID(CQ16,2,1)*POWER(2,14)+MID(CQ16,1,1)*POWER(2,15)-(MID(CQ17,16,1)*POWER(2,0)+MID(CQ17,15,1)*POWER(2,1)+MID(CQ17,14,1)*POWER(2,2)+MID(CQ17,13,1)*POWER(2,3)+MID(CQ17,12,1)*POWER(2,4)+MID(CQ17,11,1)*POWER(2,5)+MID(CQ17,10,1)*POWER(2,6)+MID(CQ17,9,1)*POWER(2,7)+MID(CQ17,8,1)*POWER(2,8)+MID(CQ17,7,1)*POWER(2,9)+MID(CQ17,6,1)*POWER(2,10)+MID(CQ17,5,1)*POWER(2,11)+MID(CQ17,4,1)*POWER(2,12)+MID(CQ17,3,1)*POWER(2,13)+MID(CQ17,2,1)*POWER(2,14)+MID(CQ17,1,1)*POWER(2,15))</f>
        <v>28557</v>
      </c>
      <c r="CT16" s="77">
        <f>MID(CR16,16,1)*POWER(2,0)+MID(CR16,15,1)*POWER(2,1)+MID(CR16,14,1)*POWER(2,2)+MID(CR16,13,1)*POWER(2,3)+MID(CR16,12,1)*POWER(2,4)+MID(CR16,11,1)*POWER(2,5)+MID(CR16,10,1)*POWER(2,6)+MID(CR16,9,1)*POWER(2,7)+MID(CR16,8,1)*POWER(2,8)+MID(CR16,7,1)*POWER(2,9)+MID(CR16,6,1)*POWER(2,10)+MID(CR16,5,1)*POWER(2,11)+MID(CR16,4,1)*POWER(2,12)+MID(CR16,3,1)*POWER(2,13)+MID(CR16,2,1)*POWER(2,14)+MID(CR16,1,1)*POWER(2,15)-(MID(CR17,16,1)*POWER(2,0)+MID(CR17,15,1)*POWER(2,1)+MID(CR17,14,1)*POWER(2,2)+MID(CR17,13,1)*POWER(2,3)+MID(CR17,12,1)*POWER(2,4)+MID(CR17,11,1)*POWER(2,5)+MID(CR17,10,1)*POWER(2,6)+MID(CR17,9,1)*POWER(2,7)+MID(CR17,8,1)*POWER(2,8)+MID(CR17,7,1)*POWER(2,9)+MID(CR17,6,1)*POWER(2,10)+MID(CR17,5,1)*POWER(2,11)+MID(CR17,4,1)*POWER(2,12)+MID(CR17,3,1)*POWER(2,13)+MID(CR17,2,1)*POWER(2,14)+MID(CR17,1,1)*POWER(2,15))</f>
        <v>-6675</v>
      </c>
      <c r="CU16" s="45" t="str">
        <f>CONCATENATE(MID($L16,1,1)*MID($K16,1,1),MID($L16,2,1)*MID($K16,2,1),MID($L16,3,1)*MID($K16,3,1),MID($L16,4,1)*MID($K16,4,1),MID($L16,5,1)*MID($K16,5,1),MID($L16,6,1)*MID($K16,6,1),MID($L16,7,1)*MID($K16,7,1),MID($L16,8,1)*MID($K16,8,1),MID($L16,9,1)*MID($K16,1,1),MID($L16,10,1)*MID($K16,2,1),MID($L16,11,1)*MID($K16,3,1),MID($L16,12,1)*MID($K16,4,1),MID($L16,13,1)*MID($K16,5,1),MID($L16,14,1)*MID($K16,6,1),MID($L16,15,1)*MID($K16,7,1),MID($L16,16,1)*MID($K16,8,1),MID($L16,17,1)*MID($K16,1,1),MID($L16,18,1)*MID($K16,2,1),MID($L16,19,1)*MID($K16,3,1),MID($L16,20,1)*MID($K16,4,1),MID($L16,21,1)*MID($K16,5,1),MID($L16,22,1)*MID($K16,6,1),MID($L16,23,1)*MID($K16,7,1),MID($L16,24,1)*MID($K16,8,1),MID($L16,25,1)*MID($K16,1,1),MID($L16,26,1)*MID($K16,2,1),MID($L16,27,1)*MID($K16,3,1),MID($L16,28,1)*MID($K16,4,1),MID($L16,29,1)*MID($K16,5,1),MID($L16,30,1)*MID($K16,6,1),MID($L16,31,1)*MID($K16,7,1),MID($L16,32,1)*MID($K16,8,1))</f>
        <v>01100000000000000000000001000100</v>
      </c>
      <c r="CV16" s="26" t="str">
        <f t="shared" si="60"/>
        <v>01100000</v>
      </c>
      <c r="CW16" s="26" t="str">
        <f t="shared" si="61"/>
        <v>00000000</v>
      </c>
      <c r="CX16" s="26" t="str">
        <f t="shared" si="62"/>
        <v>00000000</v>
      </c>
      <c r="CY16" s="26" t="str">
        <f t="shared" si="63"/>
        <v>01000100</v>
      </c>
      <c r="CZ16" s="77">
        <f>BIN2DEC(CV16)-BIN2DEC(CV17)</f>
        <v>92</v>
      </c>
      <c r="DA16" s="77">
        <f>BIN2DEC(CW16)-BIN2DEC(CW17)</f>
        <v>-4</v>
      </c>
      <c r="DB16" s="77">
        <f>BIN2DEC(CX16)-BIN2DEC(CX17)</f>
        <v>-36</v>
      </c>
      <c r="DC16" s="77">
        <f>BIN2DEC(CY16)-BIN2DEC(CY17)</f>
        <v>-28</v>
      </c>
      <c r="DD16" s="27" t="str">
        <f t="shared" si="64"/>
        <v>0111</v>
      </c>
      <c r="DE16" s="27" t="str">
        <f t="shared" si="65"/>
        <v>0011</v>
      </c>
      <c r="DF16" s="27" t="str">
        <f t="shared" si="66"/>
        <v>1001</v>
      </c>
      <c r="DG16" s="27" t="str">
        <f t="shared" si="67"/>
        <v>0001</v>
      </c>
      <c r="DH16" s="27" t="str">
        <f t="shared" si="68"/>
        <v>0000</v>
      </c>
      <c r="DI16" s="27" t="str">
        <f t="shared" si="69"/>
        <v>1010</v>
      </c>
      <c r="DJ16" s="27" t="str">
        <f t="shared" si="70"/>
        <v>0100</v>
      </c>
      <c r="DK16" s="27" t="str">
        <f t="shared" si="71"/>
        <v>1101</v>
      </c>
      <c r="DL16" s="77">
        <f t="shared" ref="DL16:DS16" si="177">BIN2DEC(DD16)-BIN2DEC(DD17)</f>
        <v>7</v>
      </c>
      <c r="DM16" s="77">
        <f t="shared" si="177"/>
        <v>-9</v>
      </c>
      <c r="DN16" s="77">
        <f t="shared" si="177"/>
        <v>0</v>
      </c>
      <c r="DO16" s="77">
        <f t="shared" si="177"/>
        <v>-13</v>
      </c>
      <c r="DP16" s="77">
        <f t="shared" si="177"/>
        <v>-11</v>
      </c>
      <c r="DQ16" s="77">
        <f t="shared" si="177"/>
        <v>-2</v>
      </c>
      <c r="DR16" s="77">
        <f t="shared" si="177"/>
        <v>-3</v>
      </c>
      <c r="DS16" s="77">
        <f t="shared" si="177"/>
        <v>11</v>
      </c>
      <c r="DT16" s="26" t="str">
        <f t="shared" si="10"/>
        <v>0110000000000000</v>
      </c>
      <c r="DU16" s="26" t="str">
        <f t="shared" si="11"/>
        <v>0000000001000100</v>
      </c>
      <c r="DV16" s="77">
        <f>MID(DT16,16,1)*POWER(2,0)+MID(DT16,15,1)*POWER(2,1)+MID(DT16,14,1)*POWER(2,2)+MID(DT16,13,1)*POWER(2,3)+MID(DT16,12,1)*POWER(2,4)+MID(DT16,11,1)*POWER(2,5)+MID(DT16,10,1)*POWER(2,6)+MID(DT16,9,1)*POWER(2,7)+MID(DT16,8,1)*POWER(2,8)+MID(DT16,7,1)*POWER(2,9)+MID(DT16,6,1)*POWER(2,10)+MID(DT16,5,1)*POWER(2,11)+MID(DT16,4,1)*POWER(2,12)+MID(DT16,3,1)*POWER(2,13)+MID(DT16,2,1)*POWER(2,14)+MID(DT16,1,1)*POWER(2,15)-(MID(DT17,16,1)*POWER(2,0)+MID(DT17,15,1)*POWER(2,1)+MID(DT17,14,1)*POWER(2,2)+MID(DT17,13,1)*POWER(2,3)+MID(DT17,12,1)*POWER(2,4)+MID(DT17,11,1)*POWER(2,5)+MID(DT17,10,1)*POWER(2,6)+MID(DT17,9,1)*POWER(2,7)+MID(DT17,8,1)*POWER(2,8)+MID(DT17,7,1)*POWER(2,9)+MID(DT17,6,1)*POWER(2,10)+MID(DT17,5,1)*POWER(2,11)+MID(DT17,4,1)*POWER(2,12)+MID(DT17,3,1)*POWER(2,13)+MID(DT17,2,1)*POWER(2,14)+MID(DT17,1,1)*POWER(2,15))</f>
        <v>23548</v>
      </c>
      <c r="DW16" s="77">
        <f>MID(DU16,16,1)*POWER(2,0)+MID(DU16,15,1)*POWER(2,1)+MID(DU16,14,1)*POWER(2,2)+MID(DU16,13,1)*POWER(2,3)+MID(DU16,12,1)*POWER(2,4)+MID(DU16,11,1)*POWER(2,5)+MID(DU16,10,1)*POWER(2,6)+MID(DU16,9,1)*POWER(2,7)+MID(DU16,8,1)*POWER(2,8)+MID(DU16,7,1)*POWER(2,9)+MID(DU16,6,1)*POWER(2,10)+MID(DU16,5,1)*POWER(2,11)+MID(DU16,4,1)*POWER(2,12)+MID(DU16,3,1)*POWER(2,13)+MID(DU16,2,1)*POWER(2,14)+MID(DU16,1,1)*POWER(2,15)-(MID(DU17,16,1)*POWER(2,0)+MID(DU17,15,1)*POWER(2,1)+MID(DU17,14,1)*POWER(2,2)+MID(DU17,13,1)*POWER(2,3)+MID(DU17,12,1)*POWER(2,4)+MID(DU17,11,1)*POWER(2,5)+MID(DU17,10,1)*POWER(2,6)+MID(DU17,9,1)*POWER(2,7)+MID(DU17,8,1)*POWER(2,8)+MID(DU17,7,1)*POWER(2,9)+MID(DU17,6,1)*POWER(2,10)+MID(DU17,5,1)*POWER(2,11)+MID(DU17,4,1)*POWER(2,12)+MID(DU17,3,1)*POWER(2,13)+MID(DU17,2,1)*POWER(2,14)+MID(DU17,1,1)*POWER(2,15))</f>
        <v>-9244</v>
      </c>
      <c r="DX16" s="22" t="str">
        <f>CONCATENATE(MID($H16,1,1)*MID($K16,1,1),MID($H16,2,1)*MID($K16,2,1),MID($H16,3,1)*MID($K16,3,1),MID($H16,4,1)*MID($K16,4,1),MID($H16,5,1)*MID($K16,5,1),MID($H16,6,1)*MID($K16,6,1),MID($H16,7,1)*MID($K16,7,1),MID($H16,8,1)*MID($K16,8,1),MID($H16,9,1)*MID($K16,1,1),MID($H16,10,1)*MID($K16,2,1),MID($H16,11,1)*MID($K16,3,1),MID($H16,12,1)*MID($K16,4,1),MID($H16,13,1)*MID($K16,5,1),MID($H16,14,1)*MID($K16,6,1),MID($H16,15,1)*MID($K16,7,1),MID($H16,16,1)*MID($K16,8,1),MID($H16,17,1)*MID($K16,1,1),MID($H16,18,1)*MID($K16,2,1),MID($H16,19,1)*MID($K16,3,1),MID($H16,20,1)*MID($K16,4,1),MID($H16,21,1)*MID($K16,5,1),MID($H16,22,1)*MID($K16,6,1),MID($H16,23,1)*MID($K16,7,1),MID($H16,24,1)*MID($K16,8,1),MID($H16,25,1)*MID($K16,1,1),MID($H16,26,1)*MID($K16,2,1),MID($H16,27,1)*MID($K16,3,1),MID($H16,28,1)*MID($K16,4,1),MID($H16,29,1)*MID($K16,5,1),MID($H16,30,1)*MID($K16,6,1),MID($H16,31,1)*MID($K16,7,1),MID($H16,32,1)*MID($K16,8,1))</f>
        <v>01000100011000000000000000000000</v>
      </c>
      <c r="DY16" s="43" t="str">
        <f>CONCATENATE(MID(DX16,30,3),MID(DX16,17,5),MID(DX16,6,3),MID(DX16,25,5),MID(DX16,14,3),MID(DX16,1,5),MID(DX16,22,3),MID(DX16,9,5))</f>
        <v>00000000100000000000100000001100</v>
      </c>
      <c r="DZ16" s="26" t="str">
        <f t="shared" si="122"/>
        <v>00000000</v>
      </c>
      <c r="EA16" s="26" t="str">
        <f t="shared" si="72"/>
        <v>10000000</v>
      </c>
      <c r="EB16" s="26" t="str">
        <f t="shared" si="73"/>
        <v>00001000</v>
      </c>
      <c r="EC16" s="26" t="str">
        <f t="shared" si="74"/>
        <v>00001100</v>
      </c>
      <c r="ED16" s="77">
        <f>BIN2DEC(DZ16)-BIN2DEC(DZ17)</f>
        <v>-12</v>
      </c>
      <c r="EE16" s="77">
        <f>BIN2DEC(EA16)-BIN2DEC(EA17)</f>
        <v>-30</v>
      </c>
      <c r="EF16" s="77">
        <f>BIN2DEC(EB16)-BIN2DEC(EB17)</f>
        <v>-180</v>
      </c>
      <c r="EG16" s="77">
        <f>BIN2DEC(EC16)-BIN2DEC(EC17)</f>
        <v>-102</v>
      </c>
      <c r="EH16" s="27" t="str">
        <f t="shared" si="75"/>
        <v>0111</v>
      </c>
      <c r="EI16" s="27" t="str">
        <f t="shared" si="76"/>
        <v>0011</v>
      </c>
      <c r="EJ16" s="27" t="str">
        <f t="shared" si="77"/>
        <v>1001</v>
      </c>
      <c r="EK16" s="27" t="str">
        <f t="shared" si="78"/>
        <v>0001</v>
      </c>
      <c r="EL16" s="27" t="str">
        <f t="shared" si="79"/>
        <v>0000</v>
      </c>
      <c r="EM16" s="27" t="str">
        <f t="shared" si="80"/>
        <v>1010</v>
      </c>
      <c r="EN16" s="27" t="str">
        <f t="shared" si="81"/>
        <v>0100</v>
      </c>
      <c r="EO16" s="27" t="str">
        <f t="shared" si="82"/>
        <v>1101</v>
      </c>
      <c r="EP16" s="77">
        <f t="shared" ref="EP16:EW16" si="178">BIN2DEC(EH16)-BIN2DEC(EH17)</f>
        <v>7</v>
      </c>
      <c r="EQ16" s="77">
        <f t="shared" si="178"/>
        <v>-9</v>
      </c>
      <c r="ER16" s="77">
        <f t="shared" si="178"/>
        <v>0</v>
      </c>
      <c r="ES16" s="77">
        <f t="shared" si="178"/>
        <v>-13</v>
      </c>
      <c r="ET16" s="77">
        <f t="shared" si="178"/>
        <v>-11</v>
      </c>
      <c r="EU16" s="77">
        <f t="shared" si="178"/>
        <v>-2</v>
      </c>
      <c r="EV16" s="77">
        <f t="shared" si="178"/>
        <v>-3</v>
      </c>
      <c r="EW16" s="77">
        <f t="shared" si="178"/>
        <v>11</v>
      </c>
      <c r="EX16" s="26" t="str">
        <f t="shared" si="13"/>
        <v>0000000010000000</v>
      </c>
      <c r="EY16" s="26" t="str">
        <f t="shared" si="14"/>
        <v>0000100000001100</v>
      </c>
      <c r="EZ16" s="77">
        <f>MID(EX16,16,1)*POWER(2,0)+MID(EX16,15,1)*POWER(2,1)+MID(EX16,14,1)*POWER(2,2)+MID(EX16,13,1)*POWER(2,3)+MID(EX16,12,1)*POWER(2,4)+MID(EX16,11,1)*POWER(2,5)+MID(EX16,10,1)*POWER(2,6)+MID(EX16,9,1)*POWER(2,7)+MID(EX16,8,1)*POWER(2,8)+MID(EX16,7,1)*POWER(2,9)+MID(EX16,6,1)*POWER(2,10)+MID(EX16,5,1)*POWER(2,11)+MID(EX16,4,1)*POWER(2,12)+MID(EX16,3,1)*POWER(2,13)+MID(EX16,2,1)*POWER(2,14)+MID(EX16,1,1)*POWER(2,15)-(MID(EX17,16,1)*POWER(2,0)+MID(EX17,15,1)*POWER(2,1)+MID(EX17,14,1)*POWER(2,2)+MID(EX17,13,1)*POWER(2,3)+MID(EX17,12,1)*POWER(2,4)+MID(EX17,11,1)*POWER(2,5)+MID(EX17,10,1)*POWER(2,6)+MID(EX17,9,1)*POWER(2,7)+MID(EX17,8,1)*POWER(2,8)+MID(EX17,7,1)*POWER(2,9)+MID(EX17,6,1)*POWER(2,10)+MID(EX17,5,1)*POWER(2,11)+MID(EX17,4,1)*POWER(2,12)+MID(EX17,3,1)*POWER(2,13)+MID(EX17,2,1)*POWER(2,14)+MID(EX17,1,1)*POWER(2,15))</f>
        <v>-3102</v>
      </c>
      <c r="FA16" s="77">
        <f>MID(EY16,16,1)*POWER(2,0)+MID(EY16,15,1)*POWER(2,1)+MID(EY16,14,1)*POWER(2,2)+MID(EY16,13,1)*POWER(2,3)+MID(EY16,12,1)*POWER(2,4)+MID(EY16,11,1)*POWER(2,5)+MID(EY16,10,1)*POWER(2,6)+MID(EY16,9,1)*POWER(2,7)+MID(EY16,8,1)*POWER(2,8)+MID(EY16,7,1)*POWER(2,9)+MID(EY16,6,1)*POWER(2,10)+MID(EY16,5,1)*POWER(2,11)+MID(EY16,4,1)*POWER(2,12)+MID(EY16,3,1)*POWER(2,13)+MID(EY16,2,1)*POWER(2,14)+MID(EY16,1,1)*POWER(2,15)-(MID(EY17,16,1)*POWER(2,0)+MID(EY17,15,1)*POWER(2,1)+MID(EY17,14,1)*POWER(2,2)+MID(EY17,13,1)*POWER(2,3)+MID(EY17,12,1)*POWER(2,4)+MID(EY17,11,1)*POWER(2,5)+MID(EY17,10,1)*POWER(2,6)+MID(EY17,9,1)*POWER(2,7)+MID(EY17,8,1)*POWER(2,8)+MID(EY17,7,1)*POWER(2,9)+MID(EY17,6,1)*POWER(2,10)+MID(EY17,5,1)*POWER(2,11)+MID(EY17,4,1)*POWER(2,12)+MID(EY17,3,1)*POWER(2,13)+MID(EY17,2,1)*POWER(2,14)+MID(EY17,1,1)*POWER(2,15))</f>
        <v>-46182</v>
      </c>
      <c r="FB16" s="45" t="str">
        <f>CONCATENATE(MID(DY16,1,1)*MID($K16,1,1),MID(DY16,2,1)*MID($K16,2,1),MID(DY16,3,1)*MID($K16,3,1),MID(DY16,4,1)*MID($K16,4,1),MID(DY16,5,1)*MID($K16,5,1),MID(DY16,6,1)*MID($K16,6,1),MID(DY16,7,1)*MID($K16,7,1),MID(DY16,8,1)*MID($K16,8,1),MID(DY16,9,1)*MID($K16,1,1),MID(DY16,10,1)*MID($K16,2,1),MID(DY16,11,1)*MID($K16,3,1),MID(DY16,12,1)*MID($K16,4,1),MID(DY16,13,1)*MID($K16,5,1),MID(DY16,14,1)*MID($K16,6,1),MID(DY16,15,1)*MID($K16,7,1),MID(DY16,16,1)*MID($K16,8,1),MID(DY16,17,1)*MID($K16,1,1),MID(DY16,18,1)*MID($K16,2,1),MID(DY16,19,1)*MID($K16,3,1),MID(DY16,20,1)*MID($K16,4,1),MID(DY16,21,1)*MID($K16,5,1),MID(DY16,22,1)*MID($K16,6,1),MID(DY16,23,1)*MID($K16,7,1),MID(DY16,24,1)*MID($K16,8,1),MID(DY16,25,1)*MID($K16,1,1),MID(DY16,26,1)*MID($K16,2,1),MID(DY16,27,1)*MID($K16,3,1),MID(DY16,28,1)*MID($K16,4,1),MID(DY16,29,1)*MID($K16,5,1),MID(DY16,30,1)*MID($K16,6,1),MID(DY16,31,1)*MID($K16,7,1),MID(DY16,32,1)*MID($K16,8,1))</f>
        <v>00000000000000000000000000000100</v>
      </c>
      <c r="FC16" s="26" t="str">
        <f t="shared" si="124"/>
        <v>00000000</v>
      </c>
      <c r="FD16" s="26" t="str">
        <f t="shared" si="83"/>
        <v>00000000</v>
      </c>
      <c r="FE16" s="26" t="str">
        <f t="shared" si="84"/>
        <v>00000000</v>
      </c>
      <c r="FF16" s="26" t="str">
        <f t="shared" si="85"/>
        <v>00000100</v>
      </c>
      <c r="FG16" s="77">
        <f>BIN2DEC(FC16)-BIN2DEC(FC17)</f>
        <v>-12</v>
      </c>
      <c r="FH16" s="77">
        <f>BIN2DEC(FD16)-BIN2DEC(FD17)</f>
        <v>-158</v>
      </c>
      <c r="FI16" s="77">
        <f>BIN2DEC(FE16)-BIN2DEC(FE17)</f>
        <v>-188</v>
      </c>
      <c r="FJ16" s="77">
        <f>BIN2DEC(FF16)-BIN2DEC(FF17)</f>
        <v>-110</v>
      </c>
      <c r="FK16" s="27" t="str">
        <f t="shared" si="86"/>
        <v>0111</v>
      </c>
      <c r="FL16" s="27" t="str">
        <f t="shared" si="87"/>
        <v>0011</v>
      </c>
      <c r="FM16" s="27" t="str">
        <f t="shared" si="88"/>
        <v>1001</v>
      </c>
      <c r="FN16" s="27" t="str">
        <f t="shared" si="89"/>
        <v>0001</v>
      </c>
      <c r="FO16" s="27" t="str">
        <f t="shared" si="90"/>
        <v>0000</v>
      </c>
      <c r="FP16" s="27" t="str">
        <f t="shared" si="91"/>
        <v>1010</v>
      </c>
      <c r="FQ16" s="27" t="str">
        <f t="shared" si="92"/>
        <v>0100</v>
      </c>
      <c r="FR16" s="27" t="str">
        <f t="shared" si="93"/>
        <v>1101</v>
      </c>
      <c r="FS16" s="77">
        <f t="shared" ref="FS16:FZ16" si="179">BIN2DEC(FK16)-BIN2DEC(FK17)</f>
        <v>7</v>
      </c>
      <c r="FT16" s="77">
        <f t="shared" si="179"/>
        <v>-9</v>
      </c>
      <c r="FU16" s="77">
        <f t="shared" si="179"/>
        <v>0</v>
      </c>
      <c r="FV16" s="77">
        <f t="shared" si="179"/>
        <v>-13</v>
      </c>
      <c r="FW16" s="77">
        <f t="shared" si="179"/>
        <v>-11</v>
      </c>
      <c r="FX16" s="77">
        <f t="shared" si="179"/>
        <v>-2</v>
      </c>
      <c r="FY16" s="77">
        <f t="shared" si="179"/>
        <v>-3</v>
      </c>
      <c r="FZ16" s="77">
        <f t="shared" si="179"/>
        <v>11</v>
      </c>
      <c r="GA16" s="26" t="str">
        <f t="shared" si="16"/>
        <v>0000000000000000</v>
      </c>
      <c r="GB16" s="26" t="str">
        <f t="shared" si="17"/>
        <v>0000000000000100</v>
      </c>
      <c r="GC16" s="77">
        <f>MID(GA16,16,1)*POWER(2,0)+MID(GA16,15,1)*POWER(2,1)+MID(GA16,14,1)*POWER(2,2)+MID(GA16,13,1)*POWER(2,3)+MID(GA16,12,1)*POWER(2,4)+MID(GA16,11,1)*POWER(2,5)+MID(GA16,10,1)*POWER(2,6)+MID(GA16,9,1)*POWER(2,7)+MID(GA16,8,1)*POWER(2,8)+MID(GA16,7,1)*POWER(2,9)+MID(GA16,6,1)*POWER(2,10)+MID(GA16,5,1)*POWER(2,11)+MID(GA16,4,1)*POWER(2,12)+MID(GA16,3,1)*POWER(2,13)+MID(GA16,2,1)*POWER(2,14)+MID(GA16,1,1)*POWER(2,15)-(MID(GA17,16,1)*POWER(2,0)+MID(GA17,15,1)*POWER(2,1)+MID(GA17,14,1)*POWER(2,2)+MID(GA17,13,1)*POWER(2,3)+MID(GA17,12,1)*POWER(2,4)+MID(GA17,11,1)*POWER(2,5)+MID(GA17,10,1)*POWER(2,6)+MID(GA17,9,1)*POWER(2,7)+MID(GA17,8,1)*POWER(2,8)+MID(GA17,7,1)*POWER(2,9)+MID(GA17,6,1)*POWER(2,10)+MID(GA17,5,1)*POWER(2,11)+MID(GA17,4,1)*POWER(2,12)+MID(GA17,3,1)*POWER(2,13)+MID(GA17,2,1)*POWER(2,14)+MID(GA17,1,1)*POWER(2,15))</f>
        <v>-3230</v>
      </c>
      <c r="GD16" s="77">
        <f>MID(GB16,16,1)*POWER(2,0)+MID(GB16,15,1)*POWER(2,1)+MID(GB16,14,1)*POWER(2,2)+MID(GB16,13,1)*POWER(2,3)+MID(GB16,12,1)*POWER(2,4)+MID(GB16,11,1)*POWER(2,5)+MID(GB16,10,1)*POWER(2,6)+MID(GB16,9,1)*POWER(2,7)+MID(GB16,8,1)*POWER(2,8)+MID(GB16,7,1)*POWER(2,9)+MID(GB16,6,1)*POWER(2,10)+MID(GB16,5,1)*POWER(2,11)+MID(GB16,4,1)*POWER(2,12)+MID(GB16,3,1)*POWER(2,13)+MID(GB16,2,1)*POWER(2,14)+MID(GB16,1,1)*POWER(2,15)-(MID(GB17,16,1)*POWER(2,0)+MID(GB17,15,1)*POWER(2,1)+MID(GB17,14,1)*POWER(2,2)+MID(GB17,13,1)*POWER(2,3)+MID(GB17,12,1)*POWER(2,4)+MID(GB17,11,1)*POWER(2,5)+MID(GB17,10,1)*POWER(2,6)+MID(GB17,9,1)*POWER(2,7)+MID(GB17,8,1)*POWER(2,8)+MID(GB17,7,1)*POWER(2,9)+MID(GB17,6,1)*POWER(2,10)+MID(GB17,5,1)*POWER(2,11)+MID(GB17,4,1)*POWER(2,12)+MID(GB17,3,1)*POWER(2,13)+MID(GB17,2,1)*POWER(2,14)+MID(GB17,1,1)*POWER(2,15))</f>
        <v>-48238</v>
      </c>
      <c r="GE16" s="47" t="str">
        <f>DY16</f>
        <v>00000000100000000000100000001100</v>
      </c>
      <c r="GF16" s="26" t="str">
        <f t="shared" si="126"/>
        <v>00000000</v>
      </c>
      <c r="GG16" s="26" t="str">
        <f t="shared" si="94"/>
        <v>10000000</v>
      </c>
      <c r="GH16" s="26" t="str">
        <f t="shared" si="95"/>
        <v>00001000</v>
      </c>
      <c r="GI16" s="26" t="str">
        <f t="shared" si="96"/>
        <v>00001100</v>
      </c>
      <c r="GJ16" s="77">
        <f>BIN2DEC(GF16)-BIN2DEC(GF17)</f>
        <v>-4</v>
      </c>
      <c r="GK16" s="77">
        <f>BIN2DEC(GG16)-BIN2DEC(GG17)</f>
        <v>124</v>
      </c>
      <c r="GL16" s="77">
        <f>BIN2DEC(GH16)-BIN2DEC(GH17)</f>
        <v>-28</v>
      </c>
      <c r="GM16" s="77">
        <f>BIN2DEC(GI16)-BIN2DEC(GI17)</f>
        <v>-84</v>
      </c>
      <c r="GN16" s="27" t="str">
        <f t="shared" si="97"/>
        <v>0111</v>
      </c>
      <c r="GO16" s="27" t="str">
        <f t="shared" si="98"/>
        <v>0011</v>
      </c>
      <c r="GP16" s="27" t="str">
        <f t="shared" si="99"/>
        <v>1001</v>
      </c>
      <c r="GQ16" s="27" t="str">
        <f t="shared" si="100"/>
        <v>0001</v>
      </c>
      <c r="GR16" s="27" t="str">
        <f t="shared" si="101"/>
        <v>0000</v>
      </c>
      <c r="GS16" s="27" t="str">
        <f t="shared" si="102"/>
        <v>1010</v>
      </c>
      <c r="GT16" s="27" t="str">
        <f t="shared" si="103"/>
        <v>0100</v>
      </c>
      <c r="GU16" s="27" t="str">
        <f t="shared" si="104"/>
        <v>1101</v>
      </c>
      <c r="GV16" s="77">
        <f t="shared" ref="GV16:HC16" si="180">BIN2DEC(GN16)-BIN2DEC(GN17)</f>
        <v>7</v>
      </c>
      <c r="GW16" s="77">
        <f t="shared" si="180"/>
        <v>-9</v>
      </c>
      <c r="GX16" s="77">
        <f t="shared" si="180"/>
        <v>0</v>
      </c>
      <c r="GY16" s="77">
        <f t="shared" si="180"/>
        <v>-13</v>
      </c>
      <c r="GZ16" s="77">
        <f t="shared" si="180"/>
        <v>-11</v>
      </c>
      <c r="HA16" s="77">
        <f t="shared" si="180"/>
        <v>-2</v>
      </c>
      <c r="HB16" s="77">
        <f t="shared" si="180"/>
        <v>-3</v>
      </c>
      <c r="HC16" s="77">
        <f t="shared" si="180"/>
        <v>11</v>
      </c>
      <c r="HD16" s="26" t="str">
        <f t="shared" si="19"/>
        <v>0000000010000000</v>
      </c>
      <c r="HE16" s="26" t="str">
        <f t="shared" si="20"/>
        <v>0000100000001100</v>
      </c>
      <c r="HF16" s="77">
        <f>MID(HD16,16,1)*POWER(2,0)+MID(HD16,15,1)*POWER(2,1)+MID(HD16,14,1)*POWER(2,2)+MID(HD16,13,1)*POWER(2,3)+MID(HD16,12,1)*POWER(2,4)+MID(HD16,11,1)*POWER(2,5)+MID(HD16,10,1)*POWER(2,6)+MID(HD16,9,1)*POWER(2,7)+MID(HD16,8,1)*POWER(2,8)+MID(HD16,7,1)*POWER(2,9)+MID(HD16,6,1)*POWER(2,10)+MID(HD16,5,1)*POWER(2,11)+MID(HD16,4,1)*POWER(2,12)+MID(HD16,3,1)*POWER(2,13)+MID(HD16,2,1)*POWER(2,14)+MID(HD16,1,1)*POWER(2,15)-(MID(HD17,16,1)*POWER(2,0)+MID(HD17,15,1)*POWER(2,1)+MID(HD17,14,1)*POWER(2,2)+MID(HD17,13,1)*POWER(2,3)+MID(HD17,12,1)*POWER(2,4)+MID(HD17,11,1)*POWER(2,5)+MID(HD17,10,1)*POWER(2,6)+MID(HD17,9,1)*POWER(2,7)+MID(HD17,8,1)*POWER(2,8)+MID(HD17,7,1)*POWER(2,9)+MID(HD17,6,1)*POWER(2,10)+MID(HD17,5,1)*POWER(2,11)+MID(HD17,4,1)*POWER(2,12)+MID(HD17,3,1)*POWER(2,13)+MID(HD17,2,1)*POWER(2,14)+MID(HD17,1,1)*POWER(2,15))</f>
        <v>-900</v>
      </c>
      <c r="HG16" s="77">
        <f>MID(HE16,16,1)*POWER(2,0)+MID(HE16,15,1)*POWER(2,1)+MID(HE16,14,1)*POWER(2,2)+MID(HE16,13,1)*POWER(2,3)+MID(HE16,12,1)*POWER(2,4)+MID(HE16,11,1)*POWER(2,5)+MID(HE16,10,1)*POWER(2,6)+MID(HE16,9,1)*POWER(2,7)+MID(HE16,8,1)*POWER(2,8)+MID(HE16,7,1)*POWER(2,9)+MID(HE16,6,1)*POWER(2,10)+MID(HE16,5,1)*POWER(2,11)+MID(HE16,4,1)*POWER(2,12)+MID(HE16,3,1)*POWER(2,13)+MID(HE16,2,1)*POWER(2,14)+MID(HE16,1,1)*POWER(2,15)-(MID(HE17,16,1)*POWER(2,0)+MID(HE17,15,1)*POWER(2,1)+MID(HE17,14,1)*POWER(2,2)+MID(HE17,13,1)*POWER(2,3)+MID(HE17,12,1)*POWER(2,4)+MID(HE17,11,1)*POWER(2,5)+MID(HE17,10,1)*POWER(2,6)+MID(HE17,9,1)*POWER(2,7)+MID(HE17,8,1)*POWER(2,8)+MID(HE17,7,1)*POWER(2,9)+MID(HE17,6,1)*POWER(2,10)+MID(HE17,5,1)*POWER(2,11)+MID(HE17,4,1)*POWER(2,12)+MID(HE17,3,1)*POWER(2,13)+MID(HE17,2,1)*POWER(2,14)+MID(HE17,1,1)*POWER(2,15))</f>
        <v>-7252</v>
      </c>
      <c r="HH16" s="45" t="str">
        <f>CONCATENATE(MID(GE16,1,1)*MID($K16,1,1),MID(GE16,2,1)*MID($K16,2,1),MID(GE16,3,1)*MID($K16,3,1),MID(GE16,4,1)*MID($K16,4,1),MID(GE16,5,1)*MID($K16,5,1),MID(GE16,6,1)*MID($K16,6,1),MID(GE16,7,1)*MID($K16,7,1),MID(GE16,8,1)*MID($K16,8,1),MID(GE16,9,1)*MID($K16,1,1),MID(GE16,10,1)*MID($K16,2,1),MID(GE16,11,1)*MID($K16,3,1),MID(GE16,12,1)*MID($K16,4,1),MID(GE16,13,1)*MID($K16,5,1),MID(GE16,14,1)*MID($K16,6,1),MID(GE16,15,1)*MID($K16,7,1),MID(GE16,16,1)*MID($K16,8,1),MID(GE16,17,1)*MID($K16,1,1),MID(GE16,18,1)*MID($K16,2,1),MID(GE16,19,1)*MID($K16,3,1),MID(GE16,20,1)*MID($K16,4,1),MID(GE16,21,1)*MID($K16,5,1),MID(GE16,22,1)*MID($K16,6,1),MID(GE16,23,1)*MID($K16,7,1),MID(GE16,24,1)*MID($K16,8,1),MID(GE16,25,1)*MID($K16,1,1),MID(GE16,26,1)*MID($K16,2,1),MID(GE16,27,1)*MID($K16,3,1),MID(GE16,28,1)*MID($K16,4,1),MID(GE16,29,1)*MID($K16,5,1),MID(GE16,30,1)*MID($K16,6,1),MID(GE16,31,1)*MID($K16,7,1),MID(GE16,32,1)*MID($K16,8,1))</f>
        <v>00000000000000000000000000000100</v>
      </c>
      <c r="HI16" s="26" t="str">
        <f t="shared" si="128"/>
        <v>00000000</v>
      </c>
      <c r="HJ16" s="26" t="str">
        <f t="shared" si="105"/>
        <v>00000000</v>
      </c>
      <c r="HK16" s="26" t="str">
        <f t="shared" si="106"/>
        <v>00000000</v>
      </c>
      <c r="HL16" s="26" t="str">
        <f t="shared" si="107"/>
        <v>00000100</v>
      </c>
      <c r="HM16" s="77">
        <f>BIN2DEC(HI16)-BIN2DEC(HI17)</f>
        <v>-4</v>
      </c>
      <c r="HN16" s="77">
        <f>BIN2DEC(HJ16)-BIN2DEC(HJ17)</f>
        <v>-4</v>
      </c>
      <c r="HO16" s="77">
        <f>BIN2DEC(HK16)-BIN2DEC(HK17)</f>
        <v>-36</v>
      </c>
      <c r="HP16" s="77">
        <f>BIN2DEC(HL16)-BIN2DEC(HL17)</f>
        <v>-92</v>
      </c>
      <c r="HQ16" s="27" t="str">
        <f t="shared" si="108"/>
        <v>0111</v>
      </c>
      <c r="HR16" s="27" t="str">
        <f t="shared" si="109"/>
        <v>0011</v>
      </c>
      <c r="HS16" s="27" t="str">
        <f t="shared" si="110"/>
        <v>1001</v>
      </c>
      <c r="HT16" s="27" t="str">
        <f t="shared" si="111"/>
        <v>0001</v>
      </c>
      <c r="HU16" s="27" t="str">
        <f t="shared" si="112"/>
        <v>0000</v>
      </c>
      <c r="HV16" s="27" t="str">
        <f t="shared" si="113"/>
        <v>1010</v>
      </c>
      <c r="HW16" s="27" t="str">
        <f t="shared" si="114"/>
        <v>0100</v>
      </c>
      <c r="HX16" s="27" t="str">
        <f t="shared" si="115"/>
        <v>1101</v>
      </c>
      <c r="HY16" s="77">
        <f t="shared" ref="HY16:IF16" si="181">BIN2DEC(HQ16)-BIN2DEC(HQ17)</f>
        <v>7</v>
      </c>
      <c r="HZ16" s="77">
        <f t="shared" si="181"/>
        <v>-9</v>
      </c>
      <c r="IA16" s="77">
        <f t="shared" si="181"/>
        <v>0</v>
      </c>
      <c r="IB16" s="77">
        <f t="shared" si="181"/>
        <v>-13</v>
      </c>
      <c r="IC16" s="77">
        <f t="shared" si="181"/>
        <v>-11</v>
      </c>
      <c r="ID16" s="77">
        <f t="shared" si="181"/>
        <v>-2</v>
      </c>
      <c r="IE16" s="77">
        <f t="shared" si="181"/>
        <v>-3</v>
      </c>
      <c r="IF16" s="77">
        <f t="shared" si="181"/>
        <v>11</v>
      </c>
      <c r="IG16" s="26" t="str">
        <f t="shared" si="22"/>
        <v>0000000000000000</v>
      </c>
      <c r="IH16" s="26" t="str">
        <f t="shared" si="23"/>
        <v>0000000000000100</v>
      </c>
      <c r="II16" s="77">
        <f>MID(IG16,16,1)*POWER(2,0)+MID(IG16,15,1)*POWER(2,1)+MID(IG16,14,1)*POWER(2,2)+MID(IG16,13,1)*POWER(2,3)+MID(IG16,12,1)*POWER(2,4)+MID(IG16,11,1)*POWER(2,5)+MID(IG16,10,1)*POWER(2,6)+MID(IG16,9,1)*POWER(2,7)+MID(IG16,8,1)*POWER(2,8)+MID(IG16,7,1)*POWER(2,9)+MID(IG16,6,1)*POWER(2,10)+MID(IG16,5,1)*POWER(2,11)+MID(IG16,4,1)*POWER(2,12)+MID(IG16,3,1)*POWER(2,13)+MID(IG16,2,1)*POWER(2,14)+MID(IG16,1,1)*POWER(2,15)-(MID(IG17,16,1)*POWER(2,0)+MID(IG17,15,1)*POWER(2,1)+MID(IG17,14,1)*POWER(2,2)+MID(IG17,13,1)*POWER(2,3)+MID(IG17,12,1)*POWER(2,4)+MID(IG17,11,1)*POWER(2,5)+MID(IG17,10,1)*POWER(2,6)+MID(IG17,9,1)*POWER(2,7)+MID(IG17,8,1)*POWER(2,8)+MID(IG17,7,1)*POWER(2,9)+MID(IG17,6,1)*POWER(2,10)+MID(IG17,5,1)*POWER(2,11)+MID(IG17,4,1)*POWER(2,12)+MID(IG17,3,1)*POWER(2,13)+MID(IG17,2,1)*POWER(2,14)+MID(IG17,1,1)*POWER(2,15))</f>
        <v>-1028</v>
      </c>
      <c r="IJ16" s="77">
        <f>MID(IH16,16,1)*POWER(2,0)+MID(IH16,15,1)*POWER(2,1)+MID(IH16,14,1)*POWER(2,2)+MID(IH16,13,1)*POWER(2,3)+MID(IH16,12,1)*POWER(2,4)+MID(IH16,11,1)*POWER(2,5)+MID(IH16,10,1)*POWER(2,6)+MID(IH16,9,1)*POWER(2,7)+MID(IH16,8,1)*POWER(2,8)+MID(IH16,7,1)*POWER(2,9)+MID(IH16,6,1)*POWER(2,10)+MID(IH16,5,1)*POWER(2,11)+MID(IH16,4,1)*POWER(2,12)+MID(IH16,3,1)*POWER(2,13)+MID(IH16,2,1)*POWER(2,14)+MID(IH16,1,1)*POWER(2,15)-(MID(IH17,16,1)*POWER(2,0)+MID(IH17,15,1)*POWER(2,1)+MID(IH17,14,1)*POWER(2,2)+MID(IH17,13,1)*POWER(2,3)+MID(IH17,12,1)*POWER(2,4)+MID(IH17,11,1)*POWER(2,5)+MID(IH17,10,1)*POWER(2,6)+MID(IH17,9,1)*POWER(2,7)+MID(IH17,8,1)*POWER(2,8)+MID(IH17,7,1)*POWER(2,9)+MID(IH17,6,1)*POWER(2,10)+MID(IH17,5,1)*POWER(2,11)+MID(IH17,4,1)*POWER(2,12)+MID(IH17,3,1)*POWER(2,13)+MID(IH17,2,1)*POWER(2,14)+MID(IH17,1,1)*POWER(2,15))</f>
        <v>-9308</v>
      </c>
      <c r="IL16" s="26"/>
      <c r="IM16" s="26"/>
      <c r="IN16" s="26"/>
      <c r="IO16" s="26"/>
      <c r="IP16" s="22"/>
      <c r="IQ16" s="22"/>
      <c r="IR16" s="22"/>
      <c r="IS16" s="22"/>
      <c r="JB16" s="22"/>
      <c r="JC16" s="22"/>
      <c r="JD16" s="22"/>
      <c r="JE16" s="22"/>
      <c r="JF16" s="22"/>
      <c r="JG16" s="22"/>
      <c r="JH16" s="22"/>
      <c r="JI16" s="22"/>
      <c r="JJ16" s="26"/>
      <c r="JK16" s="26"/>
      <c r="JL16" s="22"/>
      <c r="JM16" s="22"/>
    </row>
    <row r="17" spans="1:273" s="31" customFormat="1" ht="18.600000000000001" thickBot="1" x14ac:dyDescent="0.4">
      <c r="A17" s="28"/>
      <c r="B17" s="29"/>
      <c r="C17" s="17" t="s">
        <v>6</v>
      </c>
      <c r="D17" s="17" t="s">
        <v>118</v>
      </c>
      <c r="E17" s="17" t="s">
        <v>13</v>
      </c>
      <c r="F17" s="17" t="s">
        <v>102</v>
      </c>
      <c r="G17" s="17">
        <v>72</v>
      </c>
      <c r="H17" s="17" t="str">
        <f t="shared" si="172"/>
        <v>00001100100111101011110001110010</v>
      </c>
      <c r="I17" s="17">
        <f t="shared" si="173"/>
        <v>16</v>
      </c>
      <c r="J17" s="17"/>
      <c r="K17" s="17"/>
      <c r="L17" s="44" t="str">
        <f>H17</f>
        <v>00001100100111101011110001110010</v>
      </c>
      <c r="M17" s="30" t="str">
        <f t="shared" si="24"/>
        <v>00001100</v>
      </c>
      <c r="N17" s="30" t="str">
        <f t="shared" si="25"/>
        <v>10011110</v>
      </c>
      <c r="O17" s="30" t="str">
        <f t="shared" si="26"/>
        <v>10111100</v>
      </c>
      <c r="P17" s="30" t="str">
        <f t="shared" si="27"/>
        <v>01110010</v>
      </c>
      <c r="Q17" s="78"/>
      <c r="R17" s="78"/>
      <c r="S17" s="78"/>
      <c r="T17" s="78"/>
      <c r="U17" s="31" t="str">
        <f t="shared" si="28"/>
        <v>0000</v>
      </c>
      <c r="V17" s="31" t="str">
        <f t="shared" si="29"/>
        <v>1100</v>
      </c>
      <c r="W17" s="31" t="str">
        <f t="shared" si="30"/>
        <v>1001</v>
      </c>
      <c r="X17" s="31" t="str">
        <f t="shared" si="31"/>
        <v>1110</v>
      </c>
      <c r="Y17" s="31" t="str">
        <f t="shared" si="32"/>
        <v>1011</v>
      </c>
      <c r="Z17" s="31" t="str">
        <f t="shared" si="33"/>
        <v>1100</v>
      </c>
      <c r="AA17" s="31" t="str">
        <f t="shared" si="34"/>
        <v>0111</v>
      </c>
      <c r="AB17" s="31" t="str">
        <f t="shared" si="35"/>
        <v>0010</v>
      </c>
      <c r="AC17" s="78"/>
      <c r="AD17" s="78"/>
      <c r="AE17" s="78"/>
      <c r="AF17" s="78"/>
      <c r="AG17" s="78"/>
      <c r="AH17" s="78"/>
      <c r="AI17" s="78"/>
      <c r="AJ17" s="78"/>
      <c r="AK17" s="30" t="str">
        <f t="shared" si="1"/>
        <v>0000110010011110</v>
      </c>
      <c r="AL17" s="30" t="str">
        <f t="shared" si="2"/>
        <v>1011110001110010</v>
      </c>
      <c r="AM17" s="78"/>
      <c r="AN17" s="78"/>
      <c r="AO17" s="46" t="str">
        <f>L17</f>
        <v>00001100100111101011110001110010</v>
      </c>
      <c r="AP17" s="30" t="str">
        <f t="shared" si="36"/>
        <v>00001100</v>
      </c>
      <c r="AQ17" s="30" t="str">
        <f t="shared" si="37"/>
        <v>10011110</v>
      </c>
      <c r="AR17" s="30" t="str">
        <f t="shared" si="38"/>
        <v>10111100</v>
      </c>
      <c r="AS17" s="30" t="str">
        <f t="shared" si="39"/>
        <v>01110010</v>
      </c>
      <c r="AT17" s="78"/>
      <c r="AU17" s="78"/>
      <c r="AV17" s="78"/>
      <c r="AW17" s="78"/>
      <c r="AX17" s="31" t="str">
        <f t="shared" si="40"/>
        <v>0000</v>
      </c>
      <c r="AY17" s="31" t="str">
        <f t="shared" si="41"/>
        <v>1100</v>
      </c>
      <c r="AZ17" s="31" t="str">
        <f t="shared" si="42"/>
        <v>1001</v>
      </c>
      <c r="BA17" s="31" t="str">
        <f t="shared" si="43"/>
        <v>1110</v>
      </c>
      <c r="BB17" s="31" t="str">
        <f t="shared" si="44"/>
        <v>1011</v>
      </c>
      <c r="BC17" s="31" t="str">
        <f t="shared" si="45"/>
        <v>1100</v>
      </c>
      <c r="BD17" s="31" t="str">
        <f t="shared" si="46"/>
        <v>0111</v>
      </c>
      <c r="BE17" s="31" t="str">
        <f t="shared" si="47"/>
        <v>0010</v>
      </c>
      <c r="BF17" s="78"/>
      <c r="BG17" s="78"/>
      <c r="BH17" s="78"/>
      <c r="BI17" s="78"/>
      <c r="BJ17" s="78"/>
      <c r="BK17" s="78"/>
      <c r="BL17" s="78"/>
      <c r="BM17" s="78"/>
      <c r="BN17" s="30" t="str">
        <f t="shared" si="4"/>
        <v>0000110010011110</v>
      </c>
      <c r="BO17" s="30" t="str">
        <f t="shared" si="5"/>
        <v>1011110001110010</v>
      </c>
      <c r="BP17" s="78"/>
      <c r="BQ17" s="78"/>
      <c r="BR17" s="46" t="str">
        <f>CONCATENATE(MID(L17,1,1)*MID(K16,1,1),MID(L17,2,1)*MID(K16,2,1),MID(L17,3,1)*MID(K16,3,1),MID(L17,4,1)*MID(K16,4,1),MID(L17,5,1)*MID(K16,5,1),MID(L17,6,1)*MID(K16,6,1),MID(L17,7,1)*MID(K16,7,1),MID(L17,8,1)*MID(K16,8,1),MID(L17,9,1)*MID(K16,1,1),MID(L17,10,1)*MID(K16,2,1),MID(L17,11,1)*MID(K16,3,1),MID(L17,12,1)*MID(K16,4,1),MID(L17,13,1)*MID(K16,5,1),MID(L17,14,1)*MID(K16,6,1),MID(L17,15,1)*MID(K16,7,1),MID(L17,16,1)*MID(K16,8,1),MID(L17,17,1)*MID(K16,1,1),MID(L17,18,1)*MID(K16,2,1),MID(L17,19,1)*MID(K16,3,1),MID(L17,20,1)*MID(K16,4,1),MID(L17,21,1)*MID(K16,5,1),MID(L17,22,1)*MID(K16,6,1),MID(L17,23,1)*MID(K16,7,1),MID(L17,24,1)*MID(K16,8,1),MID(L17,25,1)*MID(K16,1,1),MID(L17,26,1)*MID(K16,2,1),MID(L17,27,1)*MID(K16,3,1),MID(L17,28,1)*MID(K16,4,1),MID(L17,29,1)*MID(K16,5,1),MID(L17,30,1)*MID(K16,6,1),MID(L17,31,1)*MID(K16,7,1),MID(L17,32,1)*MID(K16,8,1))</f>
        <v>00000100000001000010010001100000</v>
      </c>
      <c r="BS17" s="30" t="str">
        <f t="shared" si="48"/>
        <v>00000100</v>
      </c>
      <c r="BT17" s="30" t="str">
        <f t="shared" si="49"/>
        <v>00000100</v>
      </c>
      <c r="BU17" s="30" t="str">
        <f t="shared" si="50"/>
        <v>00100100</v>
      </c>
      <c r="BV17" s="30" t="str">
        <f t="shared" si="51"/>
        <v>01100000</v>
      </c>
      <c r="BW17" s="78"/>
      <c r="BX17" s="78"/>
      <c r="BY17" s="78"/>
      <c r="BZ17" s="78"/>
      <c r="CA17" s="31" t="str">
        <f t="shared" si="52"/>
        <v>0000</v>
      </c>
      <c r="CB17" s="31" t="str">
        <f t="shared" si="53"/>
        <v>1100</v>
      </c>
      <c r="CC17" s="31" t="str">
        <f t="shared" si="54"/>
        <v>1001</v>
      </c>
      <c r="CD17" s="31" t="str">
        <f t="shared" si="55"/>
        <v>1110</v>
      </c>
      <c r="CE17" s="31" t="str">
        <f t="shared" si="56"/>
        <v>1011</v>
      </c>
      <c r="CF17" s="31" t="str">
        <f t="shared" si="57"/>
        <v>1100</v>
      </c>
      <c r="CG17" s="31" t="str">
        <f t="shared" si="58"/>
        <v>0111</v>
      </c>
      <c r="CH17" s="31" t="str">
        <f t="shared" si="59"/>
        <v>0010</v>
      </c>
      <c r="CI17" s="78"/>
      <c r="CJ17" s="78"/>
      <c r="CK17" s="78"/>
      <c r="CL17" s="78"/>
      <c r="CM17" s="78"/>
      <c r="CN17" s="78"/>
      <c r="CO17" s="78"/>
      <c r="CP17" s="78"/>
      <c r="CQ17" s="30" t="str">
        <f t="shared" si="7"/>
        <v>0000010000000100</v>
      </c>
      <c r="CR17" s="30" t="str">
        <f t="shared" si="8"/>
        <v>0010010001100000</v>
      </c>
      <c r="CS17" s="78"/>
      <c r="CT17" s="78"/>
      <c r="CU17" s="46" t="str">
        <f>CONCATENATE(MID($L17,1,1)*MID($K16,1,1),MID($L17,2,1)*MID($K16,2,1),MID($L17,3,1)*MID($K16,3,1),MID($L17,4,1)*MID($K16,4,1),MID($L17,5,1)*MID($K16,5,1),MID($L17,6,1)*MID($K16,6,1),MID($L17,7,1)*MID($K16,7,1),MID($L17,8,1)*MID($K16,8,1),MID($L17,9,1)*MID($K16,1,1),MID($L17,10,1)*MID($K16,2,1),MID($L17,11,1)*MID($K16,3,1),MID($L17,12,1)*MID($K16,4,1),MID($L17,13,1)*MID($K16,5,1),MID($L17,14,1)*MID($K16,6,1),MID($L17,15,1)*MID($K16,7,1),MID($L17,16,1)*MID($K16,8,1),MID($L17,17,1)*MID($K16,1,1),MID($L17,18,1)*MID($K16,2,1),MID($L17,19,1)*MID($K16,3,1),MID($L17,20,1)*MID($K16,4,1),MID($L17,21,1)*MID($K16,5,1),MID($L17,22,1)*MID($K16,6,1),MID($L17,23,1)*MID($K16,7,1),MID($L17,24,1)*MID($K16,8,1),MID($L17,25,1)*MID($K16,1,1),MID($L17,26,1)*MID($K16,2,1),MID($L17,27,1)*MID($K16,3,1),MID($L17,28,1)*MID($K16,4,1),MID($L17,29,1)*MID($K16,5,1),MID($L17,30,1)*MID($K16,6,1),MID($L17,31,1)*MID($K16,7,1),MID($L17,32,1)*MID($K16,8,1))</f>
        <v>00000100000001000010010001100000</v>
      </c>
      <c r="CV17" s="30" t="str">
        <f t="shared" si="60"/>
        <v>00000100</v>
      </c>
      <c r="CW17" s="30" t="str">
        <f t="shared" si="61"/>
        <v>00000100</v>
      </c>
      <c r="CX17" s="30" t="str">
        <f t="shared" si="62"/>
        <v>00100100</v>
      </c>
      <c r="CY17" s="30" t="str">
        <f t="shared" si="63"/>
        <v>01100000</v>
      </c>
      <c r="CZ17" s="78"/>
      <c r="DA17" s="78"/>
      <c r="DB17" s="78"/>
      <c r="DC17" s="78"/>
      <c r="DD17" s="31" t="str">
        <f t="shared" si="64"/>
        <v>0000</v>
      </c>
      <c r="DE17" s="31" t="str">
        <f t="shared" si="65"/>
        <v>1100</v>
      </c>
      <c r="DF17" s="31" t="str">
        <f t="shared" si="66"/>
        <v>1001</v>
      </c>
      <c r="DG17" s="31" t="str">
        <f t="shared" si="67"/>
        <v>1110</v>
      </c>
      <c r="DH17" s="31" t="str">
        <f t="shared" si="68"/>
        <v>1011</v>
      </c>
      <c r="DI17" s="31" t="str">
        <f t="shared" si="69"/>
        <v>1100</v>
      </c>
      <c r="DJ17" s="31" t="str">
        <f t="shared" si="70"/>
        <v>0111</v>
      </c>
      <c r="DK17" s="31" t="str">
        <f t="shared" si="71"/>
        <v>0010</v>
      </c>
      <c r="DL17" s="78"/>
      <c r="DM17" s="78"/>
      <c r="DN17" s="78"/>
      <c r="DO17" s="78"/>
      <c r="DP17" s="78"/>
      <c r="DQ17" s="78"/>
      <c r="DR17" s="78"/>
      <c r="DS17" s="78"/>
      <c r="DT17" s="30" t="str">
        <f t="shared" si="10"/>
        <v>0000010000000100</v>
      </c>
      <c r="DU17" s="30" t="str">
        <f t="shared" si="11"/>
        <v>0010010001100000</v>
      </c>
      <c r="DV17" s="78"/>
      <c r="DW17" s="78"/>
      <c r="DX17" s="23"/>
      <c r="DY17" s="48" t="str">
        <f>H17</f>
        <v>00001100100111101011110001110010</v>
      </c>
      <c r="DZ17" s="30" t="str">
        <f t="shared" si="122"/>
        <v>00001100</v>
      </c>
      <c r="EA17" s="30" t="str">
        <f t="shared" si="72"/>
        <v>10011110</v>
      </c>
      <c r="EB17" s="30" t="str">
        <f t="shared" si="73"/>
        <v>10111100</v>
      </c>
      <c r="EC17" s="30" t="str">
        <f t="shared" si="74"/>
        <v>01110010</v>
      </c>
      <c r="ED17" s="78"/>
      <c r="EE17" s="78"/>
      <c r="EF17" s="78"/>
      <c r="EG17" s="78"/>
      <c r="EH17" s="31" t="str">
        <f t="shared" si="75"/>
        <v>0000</v>
      </c>
      <c r="EI17" s="31" t="str">
        <f t="shared" si="76"/>
        <v>1100</v>
      </c>
      <c r="EJ17" s="31" t="str">
        <f t="shared" si="77"/>
        <v>1001</v>
      </c>
      <c r="EK17" s="31" t="str">
        <f t="shared" si="78"/>
        <v>1110</v>
      </c>
      <c r="EL17" s="31" t="str">
        <f t="shared" si="79"/>
        <v>1011</v>
      </c>
      <c r="EM17" s="31" t="str">
        <f t="shared" si="80"/>
        <v>1100</v>
      </c>
      <c r="EN17" s="31" t="str">
        <f t="shared" si="81"/>
        <v>0111</v>
      </c>
      <c r="EO17" s="31" t="str">
        <f t="shared" si="82"/>
        <v>0010</v>
      </c>
      <c r="EP17" s="78"/>
      <c r="EQ17" s="78"/>
      <c r="ER17" s="78"/>
      <c r="ES17" s="78"/>
      <c r="ET17" s="78"/>
      <c r="EU17" s="78"/>
      <c r="EV17" s="78"/>
      <c r="EW17" s="78"/>
      <c r="EX17" s="30" t="str">
        <f t="shared" si="13"/>
        <v>0000110010011110</v>
      </c>
      <c r="EY17" s="30" t="str">
        <f t="shared" si="14"/>
        <v>1011110001110010</v>
      </c>
      <c r="EZ17" s="78"/>
      <c r="FA17" s="78"/>
      <c r="FB17" s="48" t="str">
        <f>H17</f>
        <v>00001100100111101011110001110010</v>
      </c>
      <c r="FC17" s="30" t="str">
        <f t="shared" si="124"/>
        <v>00001100</v>
      </c>
      <c r="FD17" s="30" t="str">
        <f t="shared" si="83"/>
        <v>10011110</v>
      </c>
      <c r="FE17" s="30" t="str">
        <f t="shared" si="84"/>
        <v>10111100</v>
      </c>
      <c r="FF17" s="30" t="str">
        <f t="shared" si="85"/>
        <v>01110010</v>
      </c>
      <c r="FG17" s="78"/>
      <c r="FH17" s="78"/>
      <c r="FI17" s="78"/>
      <c r="FJ17" s="78"/>
      <c r="FK17" s="31" t="str">
        <f t="shared" si="86"/>
        <v>0000</v>
      </c>
      <c r="FL17" s="31" t="str">
        <f t="shared" si="87"/>
        <v>1100</v>
      </c>
      <c r="FM17" s="31" t="str">
        <f t="shared" si="88"/>
        <v>1001</v>
      </c>
      <c r="FN17" s="31" t="str">
        <f t="shared" si="89"/>
        <v>1110</v>
      </c>
      <c r="FO17" s="31" t="str">
        <f t="shared" si="90"/>
        <v>1011</v>
      </c>
      <c r="FP17" s="31" t="str">
        <f t="shared" si="91"/>
        <v>1100</v>
      </c>
      <c r="FQ17" s="31" t="str">
        <f t="shared" si="92"/>
        <v>0111</v>
      </c>
      <c r="FR17" s="31" t="str">
        <f t="shared" si="93"/>
        <v>0010</v>
      </c>
      <c r="FS17" s="78"/>
      <c r="FT17" s="78"/>
      <c r="FU17" s="78"/>
      <c r="FV17" s="78"/>
      <c r="FW17" s="78"/>
      <c r="FX17" s="78"/>
      <c r="FY17" s="78"/>
      <c r="FZ17" s="78"/>
      <c r="GA17" s="30" t="str">
        <f t="shared" si="16"/>
        <v>0000110010011110</v>
      </c>
      <c r="GB17" s="30" t="str">
        <f t="shared" si="17"/>
        <v>1011110001110010</v>
      </c>
      <c r="GC17" s="78"/>
      <c r="GD17" s="78"/>
      <c r="GE17" s="48" t="str">
        <f>BR17</f>
        <v>00000100000001000010010001100000</v>
      </c>
      <c r="GF17" s="30" t="str">
        <f t="shared" si="126"/>
        <v>00000100</v>
      </c>
      <c r="GG17" s="30" t="str">
        <f t="shared" si="94"/>
        <v>00000100</v>
      </c>
      <c r="GH17" s="30" t="str">
        <f t="shared" si="95"/>
        <v>00100100</v>
      </c>
      <c r="GI17" s="30" t="str">
        <f t="shared" si="96"/>
        <v>01100000</v>
      </c>
      <c r="GJ17" s="78"/>
      <c r="GK17" s="78"/>
      <c r="GL17" s="78"/>
      <c r="GM17" s="78"/>
      <c r="GN17" s="31" t="str">
        <f t="shared" si="97"/>
        <v>0000</v>
      </c>
      <c r="GO17" s="31" t="str">
        <f t="shared" si="98"/>
        <v>1100</v>
      </c>
      <c r="GP17" s="31" t="str">
        <f t="shared" si="99"/>
        <v>1001</v>
      </c>
      <c r="GQ17" s="31" t="str">
        <f t="shared" si="100"/>
        <v>1110</v>
      </c>
      <c r="GR17" s="31" t="str">
        <f t="shared" si="101"/>
        <v>1011</v>
      </c>
      <c r="GS17" s="31" t="str">
        <f t="shared" si="102"/>
        <v>1100</v>
      </c>
      <c r="GT17" s="31" t="str">
        <f t="shared" si="103"/>
        <v>0111</v>
      </c>
      <c r="GU17" s="31" t="str">
        <f t="shared" si="104"/>
        <v>0010</v>
      </c>
      <c r="GV17" s="78"/>
      <c r="GW17" s="78"/>
      <c r="GX17" s="78"/>
      <c r="GY17" s="78"/>
      <c r="GZ17" s="78"/>
      <c r="HA17" s="78"/>
      <c r="HB17" s="78"/>
      <c r="HC17" s="78"/>
      <c r="HD17" s="30" t="str">
        <f t="shared" si="19"/>
        <v>0000010000000100</v>
      </c>
      <c r="HE17" s="30" t="str">
        <f t="shared" si="20"/>
        <v>0010010001100000</v>
      </c>
      <c r="HF17" s="78"/>
      <c r="HG17" s="78"/>
      <c r="HH17" s="48" t="str">
        <f>GE17</f>
        <v>00000100000001000010010001100000</v>
      </c>
      <c r="HI17" s="30" t="str">
        <f t="shared" si="128"/>
        <v>00000100</v>
      </c>
      <c r="HJ17" s="30" t="str">
        <f t="shared" si="105"/>
        <v>00000100</v>
      </c>
      <c r="HK17" s="30" t="str">
        <f t="shared" si="106"/>
        <v>00100100</v>
      </c>
      <c r="HL17" s="30" t="str">
        <f t="shared" si="107"/>
        <v>01100000</v>
      </c>
      <c r="HM17" s="78"/>
      <c r="HN17" s="78"/>
      <c r="HO17" s="78"/>
      <c r="HP17" s="78"/>
      <c r="HQ17" s="31" t="str">
        <f t="shared" si="108"/>
        <v>0000</v>
      </c>
      <c r="HR17" s="31" t="str">
        <f t="shared" si="109"/>
        <v>1100</v>
      </c>
      <c r="HS17" s="31" t="str">
        <f t="shared" si="110"/>
        <v>1001</v>
      </c>
      <c r="HT17" s="31" t="str">
        <f t="shared" si="111"/>
        <v>1110</v>
      </c>
      <c r="HU17" s="31" t="str">
        <f t="shared" si="112"/>
        <v>1011</v>
      </c>
      <c r="HV17" s="31" t="str">
        <f t="shared" si="113"/>
        <v>1100</v>
      </c>
      <c r="HW17" s="31" t="str">
        <f t="shared" si="114"/>
        <v>0111</v>
      </c>
      <c r="HX17" s="31" t="str">
        <f t="shared" si="115"/>
        <v>0010</v>
      </c>
      <c r="HY17" s="78"/>
      <c r="HZ17" s="78"/>
      <c r="IA17" s="78"/>
      <c r="IB17" s="78"/>
      <c r="IC17" s="78"/>
      <c r="ID17" s="78"/>
      <c r="IE17" s="78"/>
      <c r="IF17" s="78"/>
      <c r="IG17" s="30" t="str">
        <f t="shared" si="22"/>
        <v>0000010000000100</v>
      </c>
      <c r="IH17" s="30" t="str">
        <f t="shared" si="23"/>
        <v>0010010001100000</v>
      </c>
      <c r="II17" s="78"/>
      <c r="IJ17" s="78"/>
      <c r="IL17" s="30"/>
      <c r="IM17" s="30"/>
      <c r="IN17" s="30"/>
      <c r="IO17" s="30"/>
      <c r="IP17" s="23"/>
      <c r="IQ17" s="23"/>
      <c r="IR17" s="23"/>
      <c r="IS17" s="23"/>
      <c r="JB17" s="23"/>
      <c r="JC17" s="23"/>
      <c r="JD17" s="23"/>
      <c r="JE17" s="23"/>
      <c r="JF17" s="23"/>
      <c r="JG17" s="23"/>
      <c r="JH17" s="23"/>
      <c r="JI17" s="23"/>
      <c r="JJ17" s="30"/>
      <c r="JK17" s="30"/>
      <c r="JL17" s="23"/>
      <c r="JM17" s="23"/>
    </row>
    <row r="18" spans="1:273" s="27" customFormat="1" x14ac:dyDescent="0.35">
      <c r="A18" s="24"/>
      <c r="B18" s="25"/>
      <c r="C18" s="16" t="s">
        <v>0</v>
      </c>
      <c r="D18" s="16" t="s">
        <v>72</v>
      </c>
      <c r="E18" s="16">
        <v>94</v>
      </c>
      <c r="F18" s="16" t="s">
        <v>12</v>
      </c>
      <c r="G18" s="16" t="s">
        <v>45</v>
      </c>
      <c r="H18" s="16" t="str">
        <f t="shared" si="172"/>
        <v>01011010100101001010001101111100</v>
      </c>
      <c r="I18" s="16">
        <f t="shared" si="173"/>
        <v>16</v>
      </c>
      <c r="J18" s="16">
        <v>64</v>
      </c>
      <c r="K18" s="16" t="str">
        <f>HEX2BIN(J18,8)</f>
        <v>01100100</v>
      </c>
      <c r="L18" s="43" t="str">
        <f>CONCATENATE(MID(H18,30,3),MID(H18,17,5),MID(H18,6,3),MID(H18,25,5),MID(H18,14,3),MID(H18,1,5),MID(H18,22,3),MID(H18,9,5))</f>
        <v>10010100010011111000101101110010</v>
      </c>
      <c r="M18" s="26" t="str">
        <f t="shared" si="24"/>
        <v>10010100</v>
      </c>
      <c r="N18" s="26" t="str">
        <f t="shared" si="25"/>
        <v>01001111</v>
      </c>
      <c r="O18" s="26" t="str">
        <f t="shared" si="26"/>
        <v>10001011</v>
      </c>
      <c r="P18" s="26" t="str">
        <f t="shared" si="27"/>
        <v>01110010</v>
      </c>
      <c r="Q18" s="77">
        <f>BIN2DEC(M18)-BIN2DEC(M19)</f>
        <v>103</v>
      </c>
      <c r="R18" s="77">
        <f>BIN2DEC(N18)-BIN2DEC(N19)</f>
        <v>-13</v>
      </c>
      <c r="S18" s="77">
        <f>BIN2DEC(O18)-BIN2DEC(O19)</f>
        <v>78</v>
      </c>
      <c r="T18" s="77">
        <f>BIN2DEC(P18)-BIN2DEC(P19)</f>
        <v>-38</v>
      </c>
      <c r="U18" s="27" t="str">
        <f t="shared" si="28"/>
        <v>1001</v>
      </c>
      <c r="V18" s="27" t="str">
        <f t="shared" si="29"/>
        <v>0100</v>
      </c>
      <c r="W18" s="27" t="str">
        <f t="shared" si="30"/>
        <v>0100</v>
      </c>
      <c r="X18" s="27" t="str">
        <f t="shared" si="31"/>
        <v>1111</v>
      </c>
      <c r="Y18" s="27" t="str">
        <f t="shared" si="32"/>
        <v>1000</v>
      </c>
      <c r="Z18" s="27" t="str">
        <f t="shared" si="33"/>
        <v>1011</v>
      </c>
      <c r="AA18" s="27" t="str">
        <f t="shared" si="34"/>
        <v>0111</v>
      </c>
      <c r="AB18" s="27" t="str">
        <f t="shared" si="35"/>
        <v>0010</v>
      </c>
      <c r="AC18" s="77">
        <f t="shared" ref="AC18:AJ18" si="182">BIN2DEC(U18)-BIN2DEC(U19)</f>
        <v>7</v>
      </c>
      <c r="AD18" s="77">
        <f t="shared" si="182"/>
        <v>-9</v>
      </c>
      <c r="AE18" s="77">
        <f t="shared" si="182"/>
        <v>-1</v>
      </c>
      <c r="AF18" s="77">
        <f t="shared" si="182"/>
        <v>3</v>
      </c>
      <c r="AG18" s="77">
        <f t="shared" si="182"/>
        <v>5</v>
      </c>
      <c r="AH18" s="77">
        <f t="shared" si="182"/>
        <v>-2</v>
      </c>
      <c r="AI18" s="77">
        <f t="shared" si="182"/>
        <v>-2</v>
      </c>
      <c r="AJ18" s="77">
        <f t="shared" si="182"/>
        <v>-6</v>
      </c>
      <c r="AK18" s="26" t="str">
        <f t="shared" si="1"/>
        <v>1001010001001111</v>
      </c>
      <c r="AL18" s="26" t="str">
        <f t="shared" si="2"/>
        <v>1000101101110010</v>
      </c>
      <c r="AM18" s="77">
        <f>MID(AK18,16,1)*POWER(2,0)+MID(AK18,15,1)*POWER(2,1)+MID(AK18,14,1)*POWER(2,2)+MID(AK18,13,1)*POWER(2,3)+MID(AK18,12,1)*POWER(2,4)+MID(AK18,11,1)*POWER(2,5)+MID(AK18,10,1)*POWER(2,6)+MID(AK18,9,1)*POWER(2,7)+MID(AK18,8,1)*POWER(2,8)+MID(AK18,7,1)*POWER(2,9)+MID(AK18,6,1)*POWER(2,10)+MID(AK18,5,1)*POWER(2,11)+MID(AK18,4,1)*POWER(2,12)+MID(AK18,3,1)*POWER(2,13)+MID(AK18,2,1)*POWER(2,14)+MID(AK18,1,1)*POWER(2,15)-(MID(AK19,16,1)*POWER(2,0)+MID(AK19,15,1)*POWER(2,1)+MID(AK19,14,1)*POWER(2,2)+MID(AK19,13,1)*POWER(2,3)+MID(AK19,12,1)*POWER(2,4)+MID(AK19,11,1)*POWER(2,5)+MID(AK19,10,1)*POWER(2,6)+MID(AK19,9,1)*POWER(2,7)+MID(AK19,8,1)*POWER(2,8)+MID(AK19,7,1)*POWER(2,9)+MID(AK19,6,1)*POWER(2,10)+MID(AK19,5,1)*POWER(2,11)+MID(AK19,4,1)*POWER(2,12)+MID(AK19,3,1)*POWER(2,13)+MID(AK19,2,1)*POWER(2,14)+MID(AK19,1,1)*POWER(2,15))</f>
        <v>26355</v>
      </c>
      <c r="AN18" s="77">
        <f>MID(AL18,16,1)*POWER(2,0)+MID(AL18,15,1)*POWER(2,1)+MID(AL18,14,1)*POWER(2,2)+MID(AL18,13,1)*POWER(2,3)+MID(AL18,12,1)*POWER(2,4)+MID(AL18,11,1)*POWER(2,5)+MID(AL18,10,1)*POWER(2,6)+MID(AL18,9,1)*POWER(2,7)+MID(AL18,8,1)*POWER(2,8)+MID(AL18,7,1)*POWER(2,9)+MID(AL18,6,1)*POWER(2,10)+MID(AL18,5,1)*POWER(2,11)+MID(AL18,4,1)*POWER(2,12)+MID(AL18,3,1)*POWER(2,13)+MID(AL18,2,1)*POWER(2,14)+MID(AL18,1,1)*POWER(2,15)-(MID(AL19,16,1)*POWER(2,0)+MID(AL19,15,1)*POWER(2,1)+MID(AL19,14,1)*POWER(2,2)+MID(AL19,13,1)*POWER(2,3)+MID(AL19,12,1)*POWER(2,4)+MID(AL19,11,1)*POWER(2,5)+MID(AL19,10,1)*POWER(2,6)+MID(AL19,9,1)*POWER(2,7)+MID(AL19,8,1)*POWER(2,8)+MID(AL19,7,1)*POWER(2,9)+MID(AL19,6,1)*POWER(2,10)+MID(AL19,5,1)*POWER(2,11)+MID(AL19,4,1)*POWER(2,12)+MID(AL19,3,1)*POWER(2,13)+MID(AL19,2,1)*POWER(2,14)+MID(AL19,1,1)*POWER(2,15))</f>
        <v>19930</v>
      </c>
      <c r="AO18" s="45" t="str">
        <f>CONCATENATE(MID(L18,1,1)*MID(K18,1,1),MID(L18,2,1)*MID(K18,2,1),MID(L18,3,1)*MID(K18,3,1),MID(L18,4,1)*MID(K18,4,1),MID(L18,5,1)*MID(K18,5,1),MID(L18,6,1)*MID(K18,6,1),MID(L18,7,1)*MID(K18,7,1),MID(L18,8,1)*MID(K18,8,1),MID(L18,9,1)*MID(K18,1,1),MID(L18,10,1)*MID(K18,2,1),MID(L18,11,1)*MID(K18,3,1),MID(L18,12,1)*MID(K18,4,1),MID(L18,13,1)*MID(K18,5,1),MID(L18,14,1)*MID(K18,6,1),MID(L18,15,1)*MID(K18,7,1),MID(L18,16,1)*MID(K18,8,1),MID(L18,17,1)*MID(K18,1,1),MID(L18,18,1)*MID(K18,2,1),MID(L18,19,1)*MID(K18,3,1),MID(L18,20,1)*MID(K18,4,1),MID(L18,21,1)*MID(K18,5,1),MID(L18,22,1)*MID(K18,6,1),MID(L18,23,1)*MID(K18,7,1),MID(L18,24,1)*MID(K18,8,1),MID(L18,25,1)*MID(K18,1,1),MID(L18,26,1)*MID(K18,2,1),MID(L18,27,1)*MID(K18,3,1),MID(L18,28,1)*MID(K18,4,1),MID(L18,29,1)*MID(K18,5,1),MID(L18,30,1)*MID(K18,6,1),MID(L18,31,1)*MID(K18,7,1),MID(L18,32,1)*MID(K18,8,1))</f>
        <v>00000100010001000000000001100000</v>
      </c>
      <c r="AP18" s="26" t="str">
        <f t="shared" si="36"/>
        <v>00000100</v>
      </c>
      <c r="AQ18" s="26" t="str">
        <f t="shared" si="37"/>
        <v>01000100</v>
      </c>
      <c r="AR18" s="26" t="str">
        <f t="shared" si="38"/>
        <v>00000000</v>
      </c>
      <c r="AS18" s="26" t="str">
        <f t="shared" si="39"/>
        <v>01100000</v>
      </c>
      <c r="AT18" s="77">
        <f>BIN2DEC(AP18)-BIN2DEC(AP19)</f>
        <v>-41</v>
      </c>
      <c r="AU18" s="77">
        <f>BIN2DEC(AQ18)-BIN2DEC(AQ19)</f>
        <v>-24</v>
      </c>
      <c r="AV18" s="77">
        <f>BIN2DEC(AR18)-BIN2DEC(AR19)</f>
        <v>-61</v>
      </c>
      <c r="AW18" s="77">
        <f>BIN2DEC(AS18)-BIN2DEC(AS19)</f>
        <v>-56</v>
      </c>
      <c r="AX18" s="27" t="str">
        <f t="shared" si="40"/>
        <v>1001</v>
      </c>
      <c r="AY18" s="27" t="str">
        <f t="shared" si="41"/>
        <v>0100</v>
      </c>
      <c r="AZ18" s="27" t="str">
        <f t="shared" si="42"/>
        <v>0100</v>
      </c>
      <c r="BA18" s="27" t="str">
        <f t="shared" si="43"/>
        <v>1111</v>
      </c>
      <c r="BB18" s="27" t="str">
        <f t="shared" si="44"/>
        <v>1000</v>
      </c>
      <c r="BC18" s="27" t="str">
        <f t="shared" si="45"/>
        <v>1011</v>
      </c>
      <c r="BD18" s="27" t="str">
        <f t="shared" si="46"/>
        <v>0111</v>
      </c>
      <c r="BE18" s="27" t="str">
        <f t="shared" si="47"/>
        <v>0010</v>
      </c>
      <c r="BF18" s="77">
        <f t="shared" ref="BF18:BM18" si="183">BIN2DEC(AX18)-BIN2DEC(AX19)</f>
        <v>7</v>
      </c>
      <c r="BG18" s="77">
        <f t="shared" si="183"/>
        <v>-9</v>
      </c>
      <c r="BH18" s="77">
        <f t="shared" si="183"/>
        <v>-1</v>
      </c>
      <c r="BI18" s="77">
        <f t="shared" si="183"/>
        <v>3</v>
      </c>
      <c r="BJ18" s="77">
        <f t="shared" si="183"/>
        <v>5</v>
      </c>
      <c r="BK18" s="77">
        <f t="shared" si="183"/>
        <v>-2</v>
      </c>
      <c r="BL18" s="77">
        <f t="shared" si="183"/>
        <v>-2</v>
      </c>
      <c r="BM18" s="77">
        <f t="shared" si="183"/>
        <v>-6</v>
      </c>
      <c r="BN18" s="26" t="str">
        <f t="shared" si="4"/>
        <v>0000010001000100</v>
      </c>
      <c r="BO18" s="26" t="str">
        <f t="shared" si="5"/>
        <v>0000000001100000</v>
      </c>
      <c r="BP18" s="77">
        <f>MID(BN18,16,1)*POWER(2,0)+MID(BN18,15,1)*POWER(2,1)+MID(BN18,14,1)*POWER(2,2)+MID(BN18,13,1)*POWER(2,3)+MID(BN18,12,1)*POWER(2,4)+MID(BN18,11,1)*POWER(2,5)+MID(BN18,10,1)*POWER(2,6)+MID(BN18,9,1)*POWER(2,7)+MID(BN18,8,1)*POWER(2,8)+MID(BN18,7,1)*POWER(2,9)+MID(BN18,6,1)*POWER(2,10)+MID(BN18,5,1)*POWER(2,11)+MID(BN18,4,1)*POWER(2,12)+MID(BN18,3,1)*POWER(2,13)+MID(BN18,2,1)*POWER(2,14)+MID(BN18,1,1)*POWER(2,15)-(MID(BN19,16,1)*POWER(2,0)+MID(BN19,15,1)*POWER(2,1)+MID(BN19,14,1)*POWER(2,2)+MID(BN19,13,1)*POWER(2,3)+MID(BN19,12,1)*POWER(2,4)+MID(BN19,11,1)*POWER(2,5)+MID(BN19,10,1)*POWER(2,6)+MID(BN19,9,1)*POWER(2,7)+MID(BN19,8,1)*POWER(2,8)+MID(BN19,7,1)*POWER(2,9)+MID(BN19,6,1)*POWER(2,10)+MID(BN19,5,1)*POWER(2,11)+MID(BN19,4,1)*POWER(2,12)+MID(BN19,3,1)*POWER(2,13)+MID(BN19,2,1)*POWER(2,14)+MID(BN19,1,1)*POWER(2,15))</f>
        <v>-10520</v>
      </c>
      <c r="BQ18" s="77">
        <f>MID(BO18,16,1)*POWER(2,0)+MID(BO18,15,1)*POWER(2,1)+MID(BO18,14,1)*POWER(2,2)+MID(BO18,13,1)*POWER(2,3)+MID(BO18,12,1)*POWER(2,4)+MID(BO18,11,1)*POWER(2,5)+MID(BO18,10,1)*POWER(2,6)+MID(BO18,9,1)*POWER(2,7)+MID(BO18,8,1)*POWER(2,8)+MID(BO18,7,1)*POWER(2,9)+MID(BO18,6,1)*POWER(2,10)+MID(BO18,5,1)*POWER(2,11)+MID(BO18,4,1)*POWER(2,12)+MID(BO18,3,1)*POWER(2,13)+MID(BO18,2,1)*POWER(2,14)+MID(BO18,1,1)*POWER(2,15)-(MID(BO19,16,1)*POWER(2,0)+MID(BO19,15,1)*POWER(2,1)+MID(BO19,14,1)*POWER(2,2)+MID(BO19,13,1)*POWER(2,3)+MID(BO19,12,1)*POWER(2,4)+MID(BO19,11,1)*POWER(2,5)+MID(BO19,10,1)*POWER(2,6)+MID(BO19,9,1)*POWER(2,7)+MID(BO19,8,1)*POWER(2,8)+MID(BO19,7,1)*POWER(2,9)+MID(BO19,6,1)*POWER(2,10)+MID(BO19,5,1)*POWER(2,11)+MID(BO19,4,1)*POWER(2,12)+MID(BO19,3,1)*POWER(2,13)+MID(BO19,2,1)*POWER(2,14)+MID(BO19,1,1)*POWER(2,15))</f>
        <v>-15672</v>
      </c>
      <c r="BR18" s="47" t="str">
        <f>L18</f>
        <v>10010100010011111000101101110010</v>
      </c>
      <c r="BS18" s="26" t="str">
        <f t="shared" si="48"/>
        <v>10010100</v>
      </c>
      <c r="BT18" s="26" t="str">
        <f t="shared" si="49"/>
        <v>01001111</v>
      </c>
      <c r="BU18" s="26" t="str">
        <f t="shared" si="50"/>
        <v>10001011</v>
      </c>
      <c r="BV18" s="26" t="str">
        <f t="shared" si="51"/>
        <v>01110010</v>
      </c>
      <c r="BW18" s="77">
        <f>BIN2DEC(BS18)-BIN2DEC(BS19)</f>
        <v>112</v>
      </c>
      <c r="BX18" s="77">
        <f>BIN2DEC(BT18)-BIN2DEC(BT19)</f>
        <v>11</v>
      </c>
      <c r="BY18" s="77">
        <f>BIN2DEC(BU18)-BIN2DEC(BU19)</f>
        <v>103</v>
      </c>
      <c r="BZ18" s="77">
        <f>BIN2DEC(BV18)-BIN2DEC(BV19)</f>
        <v>114</v>
      </c>
      <c r="CA18" s="27" t="str">
        <f t="shared" si="52"/>
        <v>1001</v>
      </c>
      <c r="CB18" s="27" t="str">
        <f t="shared" si="53"/>
        <v>0100</v>
      </c>
      <c r="CC18" s="27" t="str">
        <f t="shared" si="54"/>
        <v>0100</v>
      </c>
      <c r="CD18" s="27" t="str">
        <f t="shared" si="55"/>
        <v>1111</v>
      </c>
      <c r="CE18" s="27" t="str">
        <f t="shared" si="56"/>
        <v>1000</v>
      </c>
      <c r="CF18" s="27" t="str">
        <f t="shared" si="57"/>
        <v>1011</v>
      </c>
      <c r="CG18" s="27" t="str">
        <f t="shared" si="58"/>
        <v>0111</v>
      </c>
      <c r="CH18" s="27" t="str">
        <f t="shared" si="59"/>
        <v>0010</v>
      </c>
      <c r="CI18" s="77">
        <f t="shared" ref="CI18:CP18" si="184">BIN2DEC(CA18)-BIN2DEC(CA19)</f>
        <v>7</v>
      </c>
      <c r="CJ18" s="77">
        <f t="shared" si="184"/>
        <v>-9</v>
      </c>
      <c r="CK18" s="77">
        <f t="shared" si="184"/>
        <v>-1</v>
      </c>
      <c r="CL18" s="77">
        <f t="shared" si="184"/>
        <v>3</v>
      </c>
      <c r="CM18" s="77">
        <f t="shared" si="184"/>
        <v>5</v>
      </c>
      <c r="CN18" s="77">
        <f t="shared" si="184"/>
        <v>-2</v>
      </c>
      <c r="CO18" s="77">
        <f t="shared" si="184"/>
        <v>-2</v>
      </c>
      <c r="CP18" s="77">
        <f t="shared" si="184"/>
        <v>-6</v>
      </c>
      <c r="CQ18" s="26" t="str">
        <f t="shared" si="7"/>
        <v>1001010001001111</v>
      </c>
      <c r="CR18" s="26" t="str">
        <f t="shared" si="8"/>
        <v>1000101101110010</v>
      </c>
      <c r="CS18" s="77">
        <f>MID(CQ18,16,1)*POWER(2,0)+MID(CQ18,15,1)*POWER(2,1)+MID(CQ18,14,1)*POWER(2,2)+MID(CQ18,13,1)*POWER(2,3)+MID(CQ18,12,1)*POWER(2,4)+MID(CQ18,11,1)*POWER(2,5)+MID(CQ18,10,1)*POWER(2,6)+MID(CQ18,9,1)*POWER(2,7)+MID(CQ18,8,1)*POWER(2,8)+MID(CQ18,7,1)*POWER(2,9)+MID(CQ18,6,1)*POWER(2,10)+MID(CQ18,5,1)*POWER(2,11)+MID(CQ18,4,1)*POWER(2,12)+MID(CQ18,3,1)*POWER(2,13)+MID(CQ18,2,1)*POWER(2,14)+MID(CQ18,1,1)*POWER(2,15)-(MID(CQ19,16,1)*POWER(2,0)+MID(CQ19,15,1)*POWER(2,1)+MID(CQ19,14,1)*POWER(2,2)+MID(CQ19,13,1)*POWER(2,3)+MID(CQ19,12,1)*POWER(2,4)+MID(CQ19,11,1)*POWER(2,5)+MID(CQ19,10,1)*POWER(2,6)+MID(CQ19,9,1)*POWER(2,7)+MID(CQ19,8,1)*POWER(2,8)+MID(CQ19,7,1)*POWER(2,9)+MID(CQ19,6,1)*POWER(2,10)+MID(CQ19,5,1)*POWER(2,11)+MID(CQ19,4,1)*POWER(2,12)+MID(CQ19,3,1)*POWER(2,13)+MID(CQ19,2,1)*POWER(2,14)+MID(CQ19,1,1)*POWER(2,15))</f>
        <v>28683</v>
      </c>
      <c r="CT18" s="77">
        <f>MID(CR18,16,1)*POWER(2,0)+MID(CR18,15,1)*POWER(2,1)+MID(CR18,14,1)*POWER(2,2)+MID(CR18,13,1)*POWER(2,3)+MID(CR18,12,1)*POWER(2,4)+MID(CR18,11,1)*POWER(2,5)+MID(CR18,10,1)*POWER(2,6)+MID(CR18,9,1)*POWER(2,7)+MID(CR18,8,1)*POWER(2,8)+MID(CR18,7,1)*POWER(2,9)+MID(CR18,6,1)*POWER(2,10)+MID(CR18,5,1)*POWER(2,11)+MID(CR18,4,1)*POWER(2,12)+MID(CR18,3,1)*POWER(2,13)+MID(CR18,2,1)*POWER(2,14)+MID(CR18,1,1)*POWER(2,15)-(MID(CR19,16,1)*POWER(2,0)+MID(CR19,15,1)*POWER(2,1)+MID(CR19,14,1)*POWER(2,2)+MID(CR19,13,1)*POWER(2,3)+MID(CR19,12,1)*POWER(2,4)+MID(CR19,11,1)*POWER(2,5)+MID(CR19,10,1)*POWER(2,6)+MID(CR19,9,1)*POWER(2,7)+MID(CR19,8,1)*POWER(2,8)+MID(CR19,7,1)*POWER(2,9)+MID(CR19,6,1)*POWER(2,10)+MID(CR19,5,1)*POWER(2,11)+MID(CR19,4,1)*POWER(2,12)+MID(CR19,3,1)*POWER(2,13)+MID(CR19,2,1)*POWER(2,14)+MID(CR19,1,1)*POWER(2,15))</f>
        <v>26482</v>
      </c>
      <c r="CU18" s="45" t="str">
        <f>CONCATENATE(MID($L18,1,1)*MID($K18,1,1),MID($L18,2,1)*MID($K18,2,1),MID($L18,3,1)*MID($K18,3,1),MID($L18,4,1)*MID($K18,4,1),MID($L18,5,1)*MID($K18,5,1),MID($L18,6,1)*MID($K18,6,1),MID($L18,7,1)*MID($K18,7,1),MID($L18,8,1)*MID($K18,8,1),MID($L18,9,1)*MID($K18,1,1),MID($L18,10,1)*MID($K18,2,1),MID($L18,11,1)*MID($K18,3,1),MID($L18,12,1)*MID($K18,4,1),MID($L18,13,1)*MID($K18,5,1),MID($L18,14,1)*MID($K18,6,1),MID($L18,15,1)*MID($K18,7,1),MID($L18,16,1)*MID($K18,8,1),MID($L18,17,1)*MID($K18,1,1),MID($L18,18,1)*MID($K18,2,1),MID($L18,19,1)*MID($K18,3,1),MID($L18,20,1)*MID($K18,4,1),MID($L18,21,1)*MID($K18,5,1),MID($L18,22,1)*MID($K18,6,1),MID($L18,23,1)*MID($K18,7,1),MID($L18,24,1)*MID($K18,8,1),MID($L18,25,1)*MID($K18,1,1),MID($L18,26,1)*MID($K18,2,1),MID($L18,27,1)*MID($K18,3,1),MID($L18,28,1)*MID($K18,4,1),MID($L18,29,1)*MID($K18,5,1),MID($L18,30,1)*MID($K18,6,1),MID($L18,31,1)*MID($K18,7,1),MID($L18,32,1)*MID($K18,8,1))</f>
        <v>00000100010001000000000001100000</v>
      </c>
      <c r="CV18" s="26" t="str">
        <f t="shared" si="60"/>
        <v>00000100</v>
      </c>
      <c r="CW18" s="26" t="str">
        <f t="shared" si="61"/>
        <v>01000100</v>
      </c>
      <c r="CX18" s="26" t="str">
        <f t="shared" si="62"/>
        <v>00000000</v>
      </c>
      <c r="CY18" s="26" t="str">
        <f t="shared" si="63"/>
        <v>01100000</v>
      </c>
      <c r="CZ18" s="77">
        <f>BIN2DEC(CV18)-BIN2DEC(CV19)</f>
        <v>-32</v>
      </c>
      <c r="DA18" s="77">
        <f>BIN2DEC(CW18)-BIN2DEC(CW19)</f>
        <v>0</v>
      </c>
      <c r="DB18" s="77">
        <f>BIN2DEC(CX18)-BIN2DEC(CX19)</f>
        <v>-36</v>
      </c>
      <c r="DC18" s="77">
        <f>BIN2DEC(CY18)-BIN2DEC(CY19)</f>
        <v>96</v>
      </c>
      <c r="DD18" s="27" t="str">
        <f t="shared" si="64"/>
        <v>1001</v>
      </c>
      <c r="DE18" s="27" t="str">
        <f t="shared" si="65"/>
        <v>0100</v>
      </c>
      <c r="DF18" s="27" t="str">
        <f t="shared" si="66"/>
        <v>0100</v>
      </c>
      <c r="DG18" s="27" t="str">
        <f t="shared" si="67"/>
        <v>1111</v>
      </c>
      <c r="DH18" s="27" t="str">
        <f t="shared" si="68"/>
        <v>1000</v>
      </c>
      <c r="DI18" s="27" t="str">
        <f t="shared" si="69"/>
        <v>1011</v>
      </c>
      <c r="DJ18" s="27" t="str">
        <f t="shared" si="70"/>
        <v>0111</v>
      </c>
      <c r="DK18" s="27" t="str">
        <f t="shared" si="71"/>
        <v>0010</v>
      </c>
      <c r="DL18" s="77">
        <f t="shared" ref="DL18:DS18" si="185">BIN2DEC(DD18)-BIN2DEC(DD19)</f>
        <v>7</v>
      </c>
      <c r="DM18" s="77">
        <f t="shared" si="185"/>
        <v>-9</v>
      </c>
      <c r="DN18" s="77">
        <f t="shared" si="185"/>
        <v>-1</v>
      </c>
      <c r="DO18" s="77">
        <f t="shared" si="185"/>
        <v>3</v>
      </c>
      <c r="DP18" s="77">
        <f t="shared" si="185"/>
        <v>5</v>
      </c>
      <c r="DQ18" s="77">
        <f t="shared" si="185"/>
        <v>-2</v>
      </c>
      <c r="DR18" s="77">
        <f t="shared" si="185"/>
        <v>-2</v>
      </c>
      <c r="DS18" s="77">
        <f t="shared" si="185"/>
        <v>-6</v>
      </c>
      <c r="DT18" s="26" t="str">
        <f t="shared" si="10"/>
        <v>0000010001000100</v>
      </c>
      <c r="DU18" s="26" t="str">
        <f t="shared" si="11"/>
        <v>0000000001100000</v>
      </c>
      <c r="DV18" s="77">
        <f>MID(DT18,16,1)*POWER(2,0)+MID(DT18,15,1)*POWER(2,1)+MID(DT18,14,1)*POWER(2,2)+MID(DT18,13,1)*POWER(2,3)+MID(DT18,12,1)*POWER(2,4)+MID(DT18,11,1)*POWER(2,5)+MID(DT18,10,1)*POWER(2,6)+MID(DT18,9,1)*POWER(2,7)+MID(DT18,8,1)*POWER(2,8)+MID(DT18,7,1)*POWER(2,9)+MID(DT18,6,1)*POWER(2,10)+MID(DT18,5,1)*POWER(2,11)+MID(DT18,4,1)*POWER(2,12)+MID(DT18,3,1)*POWER(2,13)+MID(DT18,2,1)*POWER(2,14)+MID(DT18,1,1)*POWER(2,15)-(MID(DT19,16,1)*POWER(2,0)+MID(DT19,15,1)*POWER(2,1)+MID(DT19,14,1)*POWER(2,2)+MID(DT19,13,1)*POWER(2,3)+MID(DT19,12,1)*POWER(2,4)+MID(DT19,11,1)*POWER(2,5)+MID(DT19,10,1)*POWER(2,6)+MID(DT19,9,1)*POWER(2,7)+MID(DT19,8,1)*POWER(2,8)+MID(DT19,7,1)*POWER(2,9)+MID(DT19,6,1)*POWER(2,10)+MID(DT19,5,1)*POWER(2,11)+MID(DT19,4,1)*POWER(2,12)+MID(DT19,3,1)*POWER(2,13)+MID(DT19,2,1)*POWER(2,14)+MID(DT19,1,1)*POWER(2,15))</f>
        <v>-8192</v>
      </c>
      <c r="DW18" s="77">
        <f>MID(DU18,16,1)*POWER(2,0)+MID(DU18,15,1)*POWER(2,1)+MID(DU18,14,1)*POWER(2,2)+MID(DU18,13,1)*POWER(2,3)+MID(DU18,12,1)*POWER(2,4)+MID(DU18,11,1)*POWER(2,5)+MID(DU18,10,1)*POWER(2,6)+MID(DU18,9,1)*POWER(2,7)+MID(DU18,8,1)*POWER(2,8)+MID(DU18,7,1)*POWER(2,9)+MID(DU18,6,1)*POWER(2,10)+MID(DU18,5,1)*POWER(2,11)+MID(DU18,4,1)*POWER(2,12)+MID(DU18,3,1)*POWER(2,13)+MID(DU18,2,1)*POWER(2,14)+MID(DU18,1,1)*POWER(2,15)-(MID(DU19,16,1)*POWER(2,0)+MID(DU19,15,1)*POWER(2,1)+MID(DU19,14,1)*POWER(2,2)+MID(DU19,13,1)*POWER(2,3)+MID(DU19,12,1)*POWER(2,4)+MID(DU19,11,1)*POWER(2,5)+MID(DU19,10,1)*POWER(2,6)+MID(DU19,9,1)*POWER(2,7)+MID(DU19,8,1)*POWER(2,8)+MID(DU19,7,1)*POWER(2,9)+MID(DU19,6,1)*POWER(2,10)+MID(DU19,5,1)*POWER(2,11)+MID(DU19,4,1)*POWER(2,12)+MID(DU19,3,1)*POWER(2,13)+MID(DU19,2,1)*POWER(2,14)+MID(DU19,1,1)*POWER(2,15))</f>
        <v>-9120</v>
      </c>
      <c r="DX18" s="22" t="str">
        <f>CONCATENATE(MID($H18,1,1)*MID($K18,1,1),MID($H18,2,1)*MID($K18,2,1),MID($H18,3,1)*MID($K18,3,1),MID($H18,4,1)*MID($K18,4,1),MID($H18,5,1)*MID($K18,5,1),MID($H18,6,1)*MID($K18,6,1),MID($H18,7,1)*MID($K18,7,1),MID($H18,8,1)*MID($K18,8,1),MID($H18,9,1)*MID($K18,1,1),MID($H18,10,1)*MID($K18,2,1),MID($H18,11,1)*MID($K18,3,1),MID($H18,12,1)*MID($K18,4,1),MID($H18,13,1)*MID($K18,5,1),MID($H18,14,1)*MID($K18,6,1),MID($H18,15,1)*MID($K18,7,1),MID($H18,16,1)*MID($K18,8,1),MID($H18,17,1)*MID($K18,1,1),MID($H18,18,1)*MID($K18,2,1),MID($H18,19,1)*MID($K18,3,1),MID($H18,20,1)*MID($K18,4,1),MID($H18,21,1)*MID($K18,5,1),MID($H18,22,1)*MID($K18,6,1),MID($H18,23,1)*MID($K18,7,1),MID($H18,24,1)*MID($K18,8,1),MID($H18,25,1)*MID($K18,1,1),MID($H18,26,1)*MID($K18,2,1),MID($H18,27,1)*MID($K18,3,1),MID($H18,28,1)*MID($K18,4,1),MID($H18,29,1)*MID($K18,5,1),MID($H18,30,1)*MID($K18,6,1),MID($H18,31,1)*MID($K18,7,1),MID($H18,32,1)*MID($K18,8,1))</f>
        <v>01000000000001000010000001100100</v>
      </c>
      <c r="DY18" s="43" t="str">
        <f>CONCATENATE(MID(DX18,30,3),MID(DX18,17,5),MID(DX18,6,3),MID(DX18,25,5),MID(DX18,14,3),MID(DX18,1,5),MID(DX18,22,3),MID(DX18,9,5))</f>
        <v>10000100000011001000100000000000</v>
      </c>
      <c r="DZ18" s="26" t="str">
        <f t="shared" si="122"/>
        <v>10000100</v>
      </c>
      <c r="EA18" s="26" t="str">
        <f t="shared" si="72"/>
        <v>00001100</v>
      </c>
      <c r="EB18" s="26" t="str">
        <f t="shared" si="73"/>
        <v>10001000</v>
      </c>
      <c r="EC18" s="26" t="str">
        <f t="shared" si="74"/>
        <v>00000000</v>
      </c>
      <c r="ED18" s="77">
        <f>BIN2DEC(DZ18)-BIN2DEC(DZ19)</f>
        <v>87</v>
      </c>
      <c r="EE18" s="77">
        <f>BIN2DEC(EA18)-BIN2DEC(EA19)</f>
        <v>-80</v>
      </c>
      <c r="EF18" s="77">
        <f>BIN2DEC(EB18)-BIN2DEC(EB19)</f>
        <v>75</v>
      </c>
      <c r="EG18" s="77">
        <f>BIN2DEC(EC18)-BIN2DEC(EC19)</f>
        <v>-152</v>
      </c>
      <c r="EH18" s="27" t="str">
        <f t="shared" si="75"/>
        <v>1001</v>
      </c>
      <c r="EI18" s="27" t="str">
        <f t="shared" si="76"/>
        <v>0100</v>
      </c>
      <c r="EJ18" s="27" t="str">
        <f t="shared" si="77"/>
        <v>0100</v>
      </c>
      <c r="EK18" s="27" t="str">
        <f t="shared" si="78"/>
        <v>1111</v>
      </c>
      <c r="EL18" s="27" t="str">
        <f t="shared" si="79"/>
        <v>1000</v>
      </c>
      <c r="EM18" s="27" t="str">
        <f t="shared" si="80"/>
        <v>1011</v>
      </c>
      <c r="EN18" s="27" t="str">
        <f t="shared" si="81"/>
        <v>0111</v>
      </c>
      <c r="EO18" s="27" t="str">
        <f t="shared" si="82"/>
        <v>0010</v>
      </c>
      <c r="EP18" s="77">
        <f t="shared" ref="EP18:EW18" si="186">BIN2DEC(EH18)-BIN2DEC(EH19)</f>
        <v>7</v>
      </c>
      <c r="EQ18" s="77">
        <f t="shared" si="186"/>
        <v>-9</v>
      </c>
      <c r="ER18" s="77">
        <f t="shared" si="186"/>
        <v>-1</v>
      </c>
      <c r="ES18" s="77">
        <f t="shared" si="186"/>
        <v>3</v>
      </c>
      <c r="ET18" s="77">
        <f t="shared" si="186"/>
        <v>5</v>
      </c>
      <c r="EU18" s="77">
        <f t="shared" si="186"/>
        <v>-2</v>
      </c>
      <c r="EV18" s="77">
        <f t="shared" si="186"/>
        <v>-2</v>
      </c>
      <c r="EW18" s="77">
        <f t="shared" si="186"/>
        <v>-6</v>
      </c>
      <c r="EX18" s="26" t="str">
        <f t="shared" si="13"/>
        <v>1000010000001100</v>
      </c>
      <c r="EY18" s="26" t="str">
        <f t="shared" si="14"/>
        <v>1000100000000000</v>
      </c>
      <c r="EZ18" s="77">
        <f>MID(EX18,16,1)*POWER(2,0)+MID(EX18,15,1)*POWER(2,1)+MID(EX18,14,1)*POWER(2,2)+MID(EX18,13,1)*POWER(2,3)+MID(EX18,12,1)*POWER(2,4)+MID(EX18,11,1)*POWER(2,5)+MID(EX18,10,1)*POWER(2,6)+MID(EX18,9,1)*POWER(2,7)+MID(EX18,8,1)*POWER(2,8)+MID(EX18,7,1)*POWER(2,9)+MID(EX18,6,1)*POWER(2,10)+MID(EX18,5,1)*POWER(2,11)+MID(EX18,4,1)*POWER(2,12)+MID(EX18,3,1)*POWER(2,13)+MID(EX18,2,1)*POWER(2,14)+MID(EX18,1,1)*POWER(2,15)-(MID(EX19,16,1)*POWER(2,0)+MID(EX19,15,1)*POWER(2,1)+MID(EX19,14,1)*POWER(2,2)+MID(EX19,13,1)*POWER(2,3)+MID(EX19,12,1)*POWER(2,4)+MID(EX19,11,1)*POWER(2,5)+MID(EX19,10,1)*POWER(2,6)+MID(EX19,9,1)*POWER(2,7)+MID(EX19,8,1)*POWER(2,8)+MID(EX19,7,1)*POWER(2,9)+MID(EX19,6,1)*POWER(2,10)+MID(EX19,5,1)*POWER(2,11)+MID(EX19,4,1)*POWER(2,12)+MID(EX19,3,1)*POWER(2,13)+MID(EX19,2,1)*POWER(2,14)+MID(EX19,1,1)*POWER(2,15))</f>
        <v>22192</v>
      </c>
      <c r="FA18" s="77">
        <f>MID(EY18,16,1)*POWER(2,0)+MID(EY18,15,1)*POWER(2,1)+MID(EY18,14,1)*POWER(2,2)+MID(EY18,13,1)*POWER(2,3)+MID(EY18,12,1)*POWER(2,4)+MID(EY18,11,1)*POWER(2,5)+MID(EY18,10,1)*POWER(2,6)+MID(EY18,9,1)*POWER(2,7)+MID(EY18,8,1)*POWER(2,8)+MID(EY18,7,1)*POWER(2,9)+MID(EY18,6,1)*POWER(2,10)+MID(EY18,5,1)*POWER(2,11)+MID(EY18,4,1)*POWER(2,12)+MID(EY18,3,1)*POWER(2,13)+MID(EY18,2,1)*POWER(2,14)+MID(EY18,1,1)*POWER(2,15)-(MID(EY19,16,1)*POWER(2,0)+MID(EY19,15,1)*POWER(2,1)+MID(EY19,14,1)*POWER(2,2)+MID(EY19,13,1)*POWER(2,3)+MID(EY19,12,1)*POWER(2,4)+MID(EY19,11,1)*POWER(2,5)+MID(EY19,10,1)*POWER(2,6)+MID(EY19,9,1)*POWER(2,7)+MID(EY19,8,1)*POWER(2,8)+MID(EY19,7,1)*POWER(2,9)+MID(EY19,6,1)*POWER(2,10)+MID(EY19,5,1)*POWER(2,11)+MID(EY19,4,1)*POWER(2,12)+MID(EY19,3,1)*POWER(2,13)+MID(EY19,2,1)*POWER(2,14)+MID(EY19,1,1)*POWER(2,15))</f>
        <v>19048</v>
      </c>
      <c r="FB18" s="45" t="str">
        <f>CONCATENATE(MID(DY18,1,1)*MID($K18,1,1),MID(DY18,2,1)*MID($K18,2,1),MID(DY18,3,1)*MID($K18,3,1),MID(DY18,4,1)*MID($K18,4,1),MID(DY18,5,1)*MID($K18,5,1),MID(DY18,6,1)*MID($K18,6,1),MID(DY18,7,1)*MID($K18,7,1),MID(DY18,8,1)*MID($K18,8,1),MID(DY18,9,1)*MID($K18,1,1),MID(DY18,10,1)*MID($K18,2,1),MID(DY18,11,1)*MID($K18,3,1),MID(DY18,12,1)*MID($K18,4,1),MID(DY18,13,1)*MID($K18,5,1),MID(DY18,14,1)*MID($K18,6,1),MID(DY18,15,1)*MID($K18,7,1),MID(DY18,16,1)*MID($K18,8,1),MID(DY18,17,1)*MID($K18,1,1),MID(DY18,18,1)*MID($K18,2,1),MID(DY18,19,1)*MID($K18,3,1),MID(DY18,20,1)*MID($K18,4,1),MID(DY18,21,1)*MID($K18,5,1),MID(DY18,22,1)*MID($K18,6,1),MID(DY18,23,1)*MID($K18,7,1),MID(DY18,24,1)*MID($K18,8,1),MID(DY18,25,1)*MID($K18,1,1),MID(DY18,26,1)*MID($K18,2,1),MID(DY18,27,1)*MID($K18,3,1),MID(DY18,28,1)*MID($K18,4,1),MID(DY18,29,1)*MID($K18,5,1),MID(DY18,30,1)*MID($K18,6,1),MID(DY18,31,1)*MID($K18,7,1),MID(DY18,32,1)*MID($K18,8,1))</f>
        <v>00000100000001000000000000000000</v>
      </c>
      <c r="FC18" s="26" t="str">
        <f t="shared" si="124"/>
        <v>00000100</v>
      </c>
      <c r="FD18" s="26" t="str">
        <f t="shared" si="83"/>
        <v>00000100</v>
      </c>
      <c r="FE18" s="26" t="str">
        <f t="shared" si="84"/>
        <v>00000000</v>
      </c>
      <c r="FF18" s="26" t="str">
        <f t="shared" si="85"/>
        <v>00000000</v>
      </c>
      <c r="FG18" s="77">
        <f>BIN2DEC(FC18)-BIN2DEC(FC19)</f>
        <v>-41</v>
      </c>
      <c r="FH18" s="77">
        <f>BIN2DEC(FD18)-BIN2DEC(FD19)</f>
        <v>-88</v>
      </c>
      <c r="FI18" s="77">
        <f>BIN2DEC(FE18)-BIN2DEC(FE19)</f>
        <v>-61</v>
      </c>
      <c r="FJ18" s="77">
        <f>BIN2DEC(FF18)-BIN2DEC(FF19)</f>
        <v>-152</v>
      </c>
      <c r="FK18" s="27" t="str">
        <f t="shared" si="86"/>
        <v>1001</v>
      </c>
      <c r="FL18" s="27" t="str">
        <f t="shared" si="87"/>
        <v>0100</v>
      </c>
      <c r="FM18" s="27" t="str">
        <f t="shared" si="88"/>
        <v>0100</v>
      </c>
      <c r="FN18" s="27" t="str">
        <f t="shared" si="89"/>
        <v>1111</v>
      </c>
      <c r="FO18" s="27" t="str">
        <f t="shared" si="90"/>
        <v>1000</v>
      </c>
      <c r="FP18" s="27" t="str">
        <f t="shared" si="91"/>
        <v>1011</v>
      </c>
      <c r="FQ18" s="27" t="str">
        <f t="shared" si="92"/>
        <v>0111</v>
      </c>
      <c r="FR18" s="27" t="str">
        <f t="shared" si="93"/>
        <v>0010</v>
      </c>
      <c r="FS18" s="77">
        <f t="shared" ref="FS18:FZ18" si="187">BIN2DEC(FK18)-BIN2DEC(FK19)</f>
        <v>7</v>
      </c>
      <c r="FT18" s="77">
        <f t="shared" si="187"/>
        <v>-9</v>
      </c>
      <c r="FU18" s="77">
        <f t="shared" si="187"/>
        <v>-1</v>
      </c>
      <c r="FV18" s="77">
        <f t="shared" si="187"/>
        <v>3</v>
      </c>
      <c r="FW18" s="77">
        <f t="shared" si="187"/>
        <v>5</v>
      </c>
      <c r="FX18" s="77">
        <f t="shared" si="187"/>
        <v>-2</v>
      </c>
      <c r="FY18" s="77">
        <f t="shared" si="187"/>
        <v>-2</v>
      </c>
      <c r="FZ18" s="77">
        <f t="shared" si="187"/>
        <v>-6</v>
      </c>
      <c r="GA18" s="26" t="str">
        <f t="shared" si="16"/>
        <v>0000010000000100</v>
      </c>
      <c r="GB18" s="26" t="str">
        <f t="shared" si="17"/>
        <v>0000000000000000</v>
      </c>
      <c r="GC18" s="77">
        <f>MID(GA18,16,1)*POWER(2,0)+MID(GA18,15,1)*POWER(2,1)+MID(GA18,14,1)*POWER(2,2)+MID(GA18,13,1)*POWER(2,3)+MID(GA18,12,1)*POWER(2,4)+MID(GA18,11,1)*POWER(2,5)+MID(GA18,10,1)*POWER(2,6)+MID(GA18,9,1)*POWER(2,7)+MID(GA18,8,1)*POWER(2,8)+MID(GA18,7,1)*POWER(2,9)+MID(GA18,6,1)*POWER(2,10)+MID(GA18,5,1)*POWER(2,11)+MID(GA18,4,1)*POWER(2,12)+MID(GA18,3,1)*POWER(2,13)+MID(GA18,2,1)*POWER(2,14)+MID(GA18,1,1)*POWER(2,15)-(MID(GA19,16,1)*POWER(2,0)+MID(GA19,15,1)*POWER(2,1)+MID(GA19,14,1)*POWER(2,2)+MID(GA19,13,1)*POWER(2,3)+MID(GA19,12,1)*POWER(2,4)+MID(GA19,11,1)*POWER(2,5)+MID(GA19,10,1)*POWER(2,6)+MID(GA19,9,1)*POWER(2,7)+MID(GA19,8,1)*POWER(2,8)+MID(GA19,7,1)*POWER(2,9)+MID(GA19,6,1)*POWER(2,10)+MID(GA19,5,1)*POWER(2,11)+MID(GA19,4,1)*POWER(2,12)+MID(GA19,3,1)*POWER(2,13)+MID(GA19,2,1)*POWER(2,14)+MID(GA19,1,1)*POWER(2,15))</f>
        <v>-10584</v>
      </c>
      <c r="GD18" s="77">
        <f>MID(GB18,16,1)*POWER(2,0)+MID(GB18,15,1)*POWER(2,1)+MID(GB18,14,1)*POWER(2,2)+MID(GB18,13,1)*POWER(2,3)+MID(GB18,12,1)*POWER(2,4)+MID(GB18,11,1)*POWER(2,5)+MID(GB18,10,1)*POWER(2,6)+MID(GB18,9,1)*POWER(2,7)+MID(GB18,8,1)*POWER(2,8)+MID(GB18,7,1)*POWER(2,9)+MID(GB18,6,1)*POWER(2,10)+MID(GB18,5,1)*POWER(2,11)+MID(GB18,4,1)*POWER(2,12)+MID(GB18,3,1)*POWER(2,13)+MID(GB18,2,1)*POWER(2,14)+MID(GB18,1,1)*POWER(2,15)-(MID(GB19,16,1)*POWER(2,0)+MID(GB19,15,1)*POWER(2,1)+MID(GB19,14,1)*POWER(2,2)+MID(GB19,13,1)*POWER(2,3)+MID(GB19,12,1)*POWER(2,4)+MID(GB19,11,1)*POWER(2,5)+MID(GB19,10,1)*POWER(2,6)+MID(GB19,9,1)*POWER(2,7)+MID(GB19,8,1)*POWER(2,8)+MID(GB19,7,1)*POWER(2,9)+MID(GB19,6,1)*POWER(2,10)+MID(GB19,5,1)*POWER(2,11)+MID(GB19,4,1)*POWER(2,12)+MID(GB19,3,1)*POWER(2,13)+MID(GB19,2,1)*POWER(2,14)+MID(GB19,1,1)*POWER(2,15))</f>
        <v>-15768</v>
      </c>
      <c r="GE18" s="47" t="str">
        <f>DY18</f>
        <v>10000100000011001000100000000000</v>
      </c>
      <c r="GF18" s="26" t="str">
        <f t="shared" si="126"/>
        <v>10000100</v>
      </c>
      <c r="GG18" s="26" t="str">
        <f t="shared" si="94"/>
        <v>00001100</v>
      </c>
      <c r="GH18" s="26" t="str">
        <f t="shared" si="95"/>
        <v>10001000</v>
      </c>
      <c r="GI18" s="26" t="str">
        <f t="shared" si="96"/>
        <v>00000000</v>
      </c>
      <c r="GJ18" s="77">
        <f>BIN2DEC(GF18)-BIN2DEC(GF19)</f>
        <v>96</v>
      </c>
      <c r="GK18" s="77">
        <f>BIN2DEC(GG18)-BIN2DEC(GG19)</f>
        <v>-56</v>
      </c>
      <c r="GL18" s="77">
        <f>BIN2DEC(GH18)-BIN2DEC(GH19)</f>
        <v>100</v>
      </c>
      <c r="GM18" s="77">
        <f>BIN2DEC(GI18)-BIN2DEC(GI19)</f>
        <v>0</v>
      </c>
      <c r="GN18" s="27" t="str">
        <f t="shared" si="97"/>
        <v>1001</v>
      </c>
      <c r="GO18" s="27" t="str">
        <f t="shared" si="98"/>
        <v>0100</v>
      </c>
      <c r="GP18" s="27" t="str">
        <f t="shared" si="99"/>
        <v>0100</v>
      </c>
      <c r="GQ18" s="27" t="str">
        <f t="shared" si="100"/>
        <v>1111</v>
      </c>
      <c r="GR18" s="27" t="str">
        <f t="shared" si="101"/>
        <v>1000</v>
      </c>
      <c r="GS18" s="27" t="str">
        <f t="shared" si="102"/>
        <v>1011</v>
      </c>
      <c r="GT18" s="27" t="str">
        <f t="shared" si="103"/>
        <v>0111</v>
      </c>
      <c r="GU18" s="27" t="str">
        <f t="shared" si="104"/>
        <v>0010</v>
      </c>
      <c r="GV18" s="77">
        <f t="shared" ref="GV18:HC18" si="188">BIN2DEC(GN18)-BIN2DEC(GN19)</f>
        <v>7</v>
      </c>
      <c r="GW18" s="77">
        <f t="shared" si="188"/>
        <v>-9</v>
      </c>
      <c r="GX18" s="77">
        <f t="shared" si="188"/>
        <v>-1</v>
      </c>
      <c r="GY18" s="77">
        <f t="shared" si="188"/>
        <v>3</v>
      </c>
      <c r="GZ18" s="77">
        <f t="shared" si="188"/>
        <v>5</v>
      </c>
      <c r="HA18" s="77">
        <f t="shared" si="188"/>
        <v>-2</v>
      </c>
      <c r="HB18" s="77">
        <f t="shared" si="188"/>
        <v>-2</v>
      </c>
      <c r="HC18" s="77">
        <f t="shared" si="188"/>
        <v>-6</v>
      </c>
      <c r="HD18" s="26" t="str">
        <f t="shared" si="19"/>
        <v>1000010000001100</v>
      </c>
      <c r="HE18" s="26" t="str">
        <f t="shared" si="20"/>
        <v>1000100000000000</v>
      </c>
      <c r="HF18" s="77">
        <f>MID(HD18,16,1)*POWER(2,0)+MID(HD18,15,1)*POWER(2,1)+MID(HD18,14,1)*POWER(2,2)+MID(HD18,13,1)*POWER(2,3)+MID(HD18,12,1)*POWER(2,4)+MID(HD18,11,1)*POWER(2,5)+MID(HD18,10,1)*POWER(2,6)+MID(HD18,9,1)*POWER(2,7)+MID(HD18,8,1)*POWER(2,8)+MID(HD18,7,1)*POWER(2,9)+MID(HD18,6,1)*POWER(2,10)+MID(HD18,5,1)*POWER(2,11)+MID(HD18,4,1)*POWER(2,12)+MID(HD18,3,1)*POWER(2,13)+MID(HD18,2,1)*POWER(2,14)+MID(HD18,1,1)*POWER(2,15)-(MID(HD19,16,1)*POWER(2,0)+MID(HD19,15,1)*POWER(2,1)+MID(HD19,14,1)*POWER(2,2)+MID(HD19,13,1)*POWER(2,3)+MID(HD19,12,1)*POWER(2,4)+MID(HD19,11,1)*POWER(2,5)+MID(HD19,10,1)*POWER(2,6)+MID(HD19,9,1)*POWER(2,7)+MID(HD19,8,1)*POWER(2,8)+MID(HD19,7,1)*POWER(2,9)+MID(HD19,6,1)*POWER(2,10)+MID(HD19,5,1)*POWER(2,11)+MID(HD19,4,1)*POWER(2,12)+MID(HD19,3,1)*POWER(2,13)+MID(HD19,2,1)*POWER(2,14)+MID(HD19,1,1)*POWER(2,15))</f>
        <v>24520</v>
      </c>
      <c r="HG18" s="77">
        <f>MID(HE18,16,1)*POWER(2,0)+MID(HE18,15,1)*POWER(2,1)+MID(HE18,14,1)*POWER(2,2)+MID(HE18,13,1)*POWER(2,3)+MID(HE18,12,1)*POWER(2,4)+MID(HE18,11,1)*POWER(2,5)+MID(HE18,10,1)*POWER(2,6)+MID(HE18,9,1)*POWER(2,7)+MID(HE18,8,1)*POWER(2,8)+MID(HE18,7,1)*POWER(2,9)+MID(HE18,6,1)*POWER(2,10)+MID(HE18,5,1)*POWER(2,11)+MID(HE18,4,1)*POWER(2,12)+MID(HE18,3,1)*POWER(2,13)+MID(HE18,2,1)*POWER(2,14)+MID(HE18,1,1)*POWER(2,15)-(MID(HE19,16,1)*POWER(2,0)+MID(HE19,15,1)*POWER(2,1)+MID(HE19,14,1)*POWER(2,2)+MID(HE19,13,1)*POWER(2,3)+MID(HE19,12,1)*POWER(2,4)+MID(HE19,11,1)*POWER(2,5)+MID(HE19,10,1)*POWER(2,6)+MID(HE19,9,1)*POWER(2,7)+MID(HE19,8,1)*POWER(2,8)+MID(HE19,7,1)*POWER(2,9)+MID(HE19,6,1)*POWER(2,10)+MID(HE19,5,1)*POWER(2,11)+MID(HE19,4,1)*POWER(2,12)+MID(HE19,3,1)*POWER(2,13)+MID(HE19,2,1)*POWER(2,14)+MID(HE19,1,1)*POWER(2,15))</f>
        <v>25600</v>
      </c>
      <c r="HH18" s="45" t="str">
        <f>CONCATENATE(MID(GE18,1,1)*MID($K18,1,1),MID(GE18,2,1)*MID($K18,2,1),MID(GE18,3,1)*MID($K18,3,1),MID(GE18,4,1)*MID($K18,4,1),MID(GE18,5,1)*MID($K18,5,1),MID(GE18,6,1)*MID($K18,6,1),MID(GE18,7,1)*MID($K18,7,1),MID(GE18,8,1)*MID($K18,8,1),MID(GE18,9,1)*MID($K18,1,1),MID(GE18,10,1)*MID($K18,2,1),MID(GE18,11,1)*MID($K18,3,1),MID(GE18,12,1)*MID($K18,4,1),MID(GE18,13,1)*MID($K18,5,1),MID(GE18,14,1)*MID($K18,6,1),MID(GE18,15,1)*MID($K18,7,1),MID(GE18,16,1)*MID($K18,8,1),MID(GE18,17,1)*MID($K18,1,1),MID(GE18,18,1)*MID($K18,2,1),MID(GE18,19,1)*MID($K18,3,1),MID(GE18,20,1)*MID($K18,4,1),MID(GE18,21,1)*MID($K18,5,1),MID(GE18,22,1)*MID($K18,6,1),MID(GE18,23,1)*MID($K18,7,1),MID(GE18,24,1)*MID($K18,8,1),MID(GE18,25,1)*MID($K18,1,1),MID(GE18,26,1)*MID($K18,2,1),MID(GE18,27,1)*MID($K18,3,1),MID(GE18,28,1)*MID($K18,4,1),MID(GE18,29,1)*MID($K18,5,1),MID(GE18,30,1)*MID($K18,6,1),MID(GE18,31,1)*MID($K18,7,1),MID(GE18,32,1)*MID($K18,8,1))</f>
        <v>00000100000001000000000000000000</v>
      </c>
      <c r="HI18" s="26" t="str">
        <f t="shared" si="128"/>
        <v>00000100</v>
      </c>
      <c r="HJ18" s="26" t="str">
        <f t="shared" si="105"/>
        <v>00000100</v>
      </c>
      <c r="HK18" s="26" t="str">
        <f t="shared" si="106"/>
        <v>00000000</v>
      </c>
      <c r="HL18" s="26" t="str">
        <f t="shared" si="107"/>
        <v>00000000</v>
      </c>
      <c r="HM18" s="77">
        <f>BIN2DEC(HI18)-BIN2DEC(HI19)</f>
        <v>-32</v>
      </c>
      <c r="HN18" s="77">
        <f>BIN2DEC(HJ18)-BIN2DEC(HJ19)</f>
        <v>-64</v>
      </c>
      <c r="HO18" s="77">
        <f>BIN2DEC(HK18)-BIN2DEC(HK19)</f>
        <v>-36</v>
      </c>
      <c r="HP18" s="77">
        <f>BIN2DEC(HL18)-BIN2DEC(HL19)</f>
        <v>0</v>
      </c>
      <c r="HQ18" s="27" t="str">
        <f t="shared" si="108"/>
        <v>1001</v>
      </c>
      <c r="HR18" s="27" t="str">
        <f t="shared" si="109"/>
        <v>0100</v>
      </c>
      <c r="HS18" s="27" t="str">
        <f t="shared" si="110"/>
        <v>0100</v>
      </c>
      <c r="HT18" s="27" t="str">
        <f t="shared" si="111"/>
        <v>1111</v>
      </c>
      <c r="HU18" s="27" t="str">
        <f t="shared" si="112"/>
        <v>1000</v>
      </c>
      <c r="HV18" s="27" t="str">
        <f t="shared" si="113"/>
        <v>1011</v>
      </c>
      <c r="HW18" s="27" t="str">
        <f t="shared" si="114"/>
        <v>0111</v>
      </c>
      <c r="HX18" s="27" t="str">
        <f t="shared" si="115"/>
        <v>0010</v>
      </c>
      <c r="HY18" s="77">
        <f t="shared" ref="HY18:IF18" si="189">BIN2DEC(HQ18)-BIN2DEC(HQ19)</f>
        <v>7</v>
      </c>
      <c r="HZ18" s="77">
        <f t="shared" si="189"/>
        <v>-9</v>
      </c>
      <c r="IA18" s="77">
        <f t="shared" si="189"/>
        <v>-1</v>
      </c>
      <c r="IB18" s="77">
        <f t="shared" si="189"/>
        <v>3</v>
      </c>
      <c r="IC18" s="77">
        <f t="shared" si="189"/>
        <v>5</v>
      </c>
      <c r="ID18" s="77">
        <f t="shared" si="189"/>
        <v>-2</v>
      </c>
      <c r="IE18" s="77">
        <f t="shared" si="189"/>
        <v>-2</v>
      </c>
      <c r="IF18" s="77">
        <f t="shared" si="189"/>
        <v>-6</v>
      </c>
      <c r="IG18" s="26" t="str">
        <f t="shared" si="22"/>
        <v>0000010000000100</v>
      </c>
      <c r="IH18" s="26" t="str">
        <f t="shared" si="23"/>
        <v>0000000000000000</v>
      </c>
      <c r="II18" s="77">
        <f>MID(IG18,16,1)*POWER(2,0)+MID(IG18,15,1)*POWER(2,1)+MID(IG18,14,1)*POWER(2,2)+MID(IG18,13,1)*POWER(2,3)+MID(IG18,12,1)*POWER(2,4)+MID(IG18,11,1)*POWER(2,5)+MID(IG18,10,1)*POWER(2,6)+MID(IG18,9,1)*POWER(2,7)+MID(IG18,8,1)*POWER(2,8)+MID(IG18,7,1)*POWER(2,9)+MID(IG18,6,1)*POWER(2,10)+MID(IG18,5,1)*POWER(2,11)+MID(IG18,4,1)*POWER(2,12)+MID(IG18,3,1)*POWER(2,13)+MID(IG18,2,1)*POWER(2,14)+MID(IG18,1,1)*POWER(2,15)-(MID(IG19,16,1)*POWER(2,0)+MID(IG19,15,1)*POWER(2,1)+MID(IG19,14,1)*POWER(2,2)+MID(IG19,13,1)*POWER(2,3)+MID(IG19,12,1)*POWER(2,4)+MID(IG19,11,1)*POWER(2,5)+MID(IG19,10,1)*POWER(2,6)+MID(IG19,9,1)*POWER(2,7)+MID(IG19,8,1)*POWER(2,8)+MID(IG19,7,1)*POWER(2,9)+MID(IG19,6,1)*POWER(2,10)+MID(IG19,5,1)*POWER(2,11)+MID(IG19,4,1)*POWER(2,12)+MID(IG19,3,1)*POWER(2,13)+MID(IG19,2,1)*POWER(2,14)+MID(IG19,1,1)*POWER(2,15))</f>
        <v>-8256</v>
      </c>
      <c r="IJ18" s="77">
        <f>MID(IH18,16,1)*POWER(2,0)+MID(IH18,15,1)*POWER(2,1)+MID(IH18,14,1)*POWER(2,2)+MID(IH18,13,1)*POWER(2,3)+MID(IH18,12,1)*POWER(2,4)+MID(IH18,11,1)*POWER(2,5)+MID(IH18,10,1)*POWER(2,6)+MID(IH18,9,1)*POWER(2,7)+MID(IH18,8,1)*POWER(2,8)+MID(IH18,7,1)*POWER(2,9)+MID(IH18,6,1)*POWER(2,10)+MID(IH18,5,1)*POWER(2,11)+MID(IH18,4,1)*POWER(2,12)+MID(IH18,3,1)*POWER(2,13)+MID(IH18,2,1)*POWER(2,14)+MID(IH18,1,1)*POWER(2,15)-(MID(IH19,16,1)*POWER(2,0)+MID(IH19,15,1)*POWER(2,1)+MID(IH19,14,1)*POWER(2,2)+MID(IH19,13,1)*POWER(2,3)+MID(IH19,12,1)*POWER(2,4)+MID(IH19,11,1)*POWER(2,5)+MID(IH19,10,1)*POWER(2,6)+MID(IH19,9,1)*POWER(2,7)+MID(IH19,8,1)*POWER(2,8)+MID(IH19,7,1)*POWER(2,9)+MID(IH19,6,1)*POWER(2,10)+MID(IH19,5,1)*POWER(2,11)+MID(IH19,4,1)*POWER(2,12)+MID(IH19,3,1)*POWER(2,13)+MID(IH19,2,1)*POWER(2,14)+MID(IH19,1,1)*POWER(2,15))</f>
        <v>-9216</v>
      </c>
      <c r="IL18" s="26"/>
      <c r="IM18" s="26"/>
      <c r="IN18" s="26"/>
      <c r="IO18" s="26"/>
      <c r="IP18" s="22"/>
      <c r="IQ18" s="22"/>
      <c r="IR18" s="22"/>
      <c r="IS18" s="22"/>
      <c r="JB18" s="22"/>
      <c r="JC18" s="22"/>
      <c r="JD18" s="22"/>
      <c r="JE18" s="22"/>
      <c r="JF18" s="22"/>
      <c r="JG18" s="22"/>
      <c r="JH18" s="22"/>
      <c r="JI18" s="22"/>
      <c r="JJ18" s="26"/>
      <c r="JK18" s="26"/>
      <c r="JL18" s="22"/>
      <c r="JM18" s="22"/>
    </row>
    <row r="19" spans="1:273" s="31" customFormat="1" ht="18.600000000000001" thickBot="1" x14ac:dyDescent="0.4">
      <c r="A19" s="28"/>
      <c r="B19" s="29"/>
      <c r="C19" s="17" t="s">
        <v>6</v>
      </c>
      <c r="D19" s="17" t="s">
        <v>61</v>
      </c>
      <c r="E19" s="17" t="s">
        <v>58</v>
      </c>
      <c r="F19" s="17" t="s">
        <v>60</v>
      </c>
      <c r="G19" s="17">
        <v>98</v>
      </c>
      <c r="H19" s="17" t="str">
        <f t="shared" si="172"/>
        <v>00101101010111000011110110011000</v>
      </c>
      <c r="I19" s="17">
        <f t="shared" si="173"/>
        <v>16</v>
      </c>
      <c r="J19" s="17"/>
      <c r="K19" s="17"/>
      <c r="L19" s="44" t="str">
        <f>H19</f>
        <v>00101101010111000011110110011000</v>
      </c>
      <c r="M19" s="30" t="str">
        <f t="shared" si="24"/>
        <v>00101101</v>
      </c>
      <c r="N19" s="30" t="str">
        <f t="shared" si="25"/>
        <v>01011100</v>
      </c>
      <c r="O19" s="30" t="str">
        <f t="shared" si="26"/>
        <v>00111101</v>
      </c>
      <c r="P19" s="30" t="str">
        <f t="shared" si="27"/>
        <v>10011000</v>
      </c>
      <c r="Q19" s="78"/>
      <c r="R19" s="78"/>
      <c r="S19" s="78"/>
      <c r="T19" s="78"/>
      <c r="U19" s="31" t="str">
        <f t="shared" si="28"/>
        <v>0010</v>
      </c>
      <c r="V19" s="31" t="str">
        <f t="shared" si="29"/>
        <v>1101</v>
      </c>
      <c r="W19" s="31" t="str">
        <f t="shared" si="30"/>
        <v>0101</v>
      </c>
      <c r="X19" s="31" t="str">
        <f t="shared" si="31"/>
        <v>1100</v>
      </c>
      <c r="Y19" s="31" t="str">
        <f t="shared" si="32"/>
        <v>0011</v>
      </c>
      <c r="Z19" s="31" t="str">
        <f t="shared" si="33"/>
        <v>1101</v>
      </c>
      <c r="AA19" s="31" t="str">
        <f t="shared" si="34"/>
        <v>1001</v>
      </c>
      <c r="AB19" s="31" t="str">
        <f t="shared" si="35"/>
        <v>1000</v>
      </c>
      <c r="AC19" s="78"/>
      <c r="AD19" s="78"/>
      <c r="AE19" s="78"/>
      <c r="AF19" s="78"/>
      <c r="AG19" s="78"/>
      <c r="AH19" s="78"/>
      <c r="AI19" s="78"/>
      <c r="AJ19" s="78"/>
      <c r="AK19" s="30" t="str">
        <f t="shared" si="1"/>
        <v>0010110101011100</v>
      </c>
      <c r="AL19" s="30" t="str">
        <f t="shared" si="2"/>
        <v>0011110110011000</v>
      </c>
      <c r="AM19" s="78"/>
      <c r="AN19" s="78"/>
      <c r="AO19" s="46" t="str">
        <f>L19</f>
        <v>00101101010111000011110110011000</v>
      </c>
      <c r="AP19" s="30" t="str">
        <f t="shared" si="36"/>
        <v>00101101</v>
      </c>
      <c r="AQ19" s="30" t="str">
        <f t="shared" si="37"/>
        <v>01011100</v>
      </c>
      <c r="AR19" s="30" t="str">
        <f t="shared" si="38"/>
        <v>00111101</v>
      </c>
      <c r="AS19" s="30" t="str">
        <f t="shared" si="39"/>
        <v>10011000</v>
      </c>
      <c r="AT19" s="78"/>
      <c r="AU19" s="78"/>
      <c r="AV19" s="78"/>
      <c r="AW19" s="78"/>
      <c r="AX19" s="31" t="str">
        <f t="shared" si="40"/>
        <v>0010</v>
      </c>
      <c r="AY19" s="31" t="str">
        <f t="shared" si="41"/>
        <v>1101</v>
      </c>
      <c r="AZ19" s="31" t="str">
        <f t="shared" si="42"/>
        <v>0101</v>
      </c>
      <c r="BA19" s="31" t="str">
        <f t="shared" si="43"/>
        <v>1100</v>
      </c>
      <c r="BB19" s="31" t="str">
        <f t="shared" si="44"/>
        <v>0011</v>
      </c>
      <c r="BC19" s="31" t="str">
        <f t="shared" si="45"/>
        <v>1101</v>
      </c>
      <c r="BD19" s="31" t="str">
        <f t="shared" si="46"/>
        <v>1001</v>
      </c>
      <c r="BE19" s="31" t="str">
        <f t="shared" si="47"/>
        <v>1000</v>
      </c>
      <c r="BF19" s="78"/>
      <c r="BG19" s="78"/>
      <c r="BH19" s="78"/>
      <c r="BI19" s="78"/>
      <c r="BJ19" s="78"/>
      <c r="BK19" s="78"/>
      <c r="BL19" s="78"/>
      <c r="BM19" s="78"/>
      <c r="BN19" s="30" t="str">
        <f t="shared" si="4"/>
        <v>0010110101011100</v>
      </c>
      <c r="BO19" s="30" t="str">
        <f t="shared" si="5"/>
        <v>0011110110011000</v>
      </c>
      <c r="BP19" s="78"/>
      <c r="BQ19" s="78"/>
      <c r="BR19" s="46" t="str">
        <f>CONCATENATE(MID(L19,1,1)*MID(K18,1,1),MID(L19,2,1)*MID(K18,2,1),MID(L19,3,1)*MID(K18,3,1),MID(L19,4,1)*MID(K18,4,1),MID(L19,5,1)*MID(K18,5,1),MID(L19,6,1)*MID(K18,6,1),MID(L19,7,1)*MID(K18,7,1),MID(L19,8,1)*MID(K18,8,1),MID(L19,9,1)*MID(K18,1,1),MID(L19,10,1)*MID(K18,2,1),MID(L19,11,1)*MID(K18,3,1),MID(L19,12,1)*MID(K18,4,1),MID(L19,13,1)*MID(K18,5,1),MID(L19,14,1)*MID(K18,6,1),MID(L19,15,1)*MID(K18,7,1),MID(L19,16,1)*MID(K18,8,1),MID(L19,17,1)*MID(K18,1,1),MID(L19,18,1)*MID(K18,2,1),MID(L19,19,1)*MID(K18,3,1),MID(L19,20,1)*MID(K18,4,1),MID(L19,21,1)*MID(K18,5,1),MID(L19,22,1)*MID(K18,6,1),MID(L19,23,1)*MID(K18,7,1),MID(L19,24,1)*MID(K18,8,1),MID(L19,25,1)*MID(K18,1,1),MID(L19,26,1)*MID(K18,2,1),MID(L19,27,1)*MID(K18,3,1),MID(L19,28,1)*MID(K18,4,1),MID(L19,29,1)*MID(K18,5,1),MID(L19,30,1)*MID(K18,6,1),MID(L19,31,1)*MID(K18,7,1),MID(L19,32,1)*MID(K18,8,1))</f>
        <v>00100100010001000010010000000000</v>
      </c>
      <c r="BS19" s="30" t="str">
        <f t="shared" si="48"/>
        <v>00100100</v>
      </c>
      <c r="BT19" s="30" t="str">
        <f t="shared" si="49"/>
        <v>01000100</v>
      </c>
      <c r="BU19" s="30" t="str">
        <f t="shared" si="50"/>
        <v>00100100</v>
      </c>
      <c r="BV19" s="30" t="str">
        <f t="shared" si="51"/>
        <v>00000000</v>
      </c>
      <c r="BW19" s="78"/>
      <c r="BX19" s="78"/>
      <c r="BY19" s="78"/>
      <c r="BZ19" s="78"/>
      <c r="CA19" s="31" t="str">
        <f t="shared" si="52"/>
        <v>0010</v>
      </c>
      <c r="CB19" s="31" t="str">
        <f t="shared" si="53"/>
        <v>1101</v>
      </c>
      <c r="CC19" s="31" t="str">
        <f t="shared" si="54"/>
        <v>0101</v>
      </c>
      <c r="CD19" s="31" t="str">
        <f t="shared" si="55"/>
        <v>1100</v>
      </c>
      <c r="CE19" s="31" t="str">
        <f t="shared" si="56"/>
        <v>0011</v>
      </c>
      <c r="CF19" s="31" t="str">
        <f t="shared" si="57"/>
        <v>1101</v>
      </c>
      <c r="CG19" s="31" t="str">
        <f t="shared" si="58"/>
        <v>1001</v>
      </c>
      <c r="CH19" s="31" t="str">
        <f t="shared" si="59"/>
        <v>1000</v>
      </c>
      <c r="CI19" s="78"/>
      <c r="CJ19" s="78"/>
      <c r="CK19" s="78"/>
      <c r="CL19" s="78"/>
      <c r="CM19" s="78"/>
      <c r="CN19" s="78"/>
      <c r="CO19" s="78"/>
      <c r="CP19" s="78"/>
      <c r="CQ19" s="30" t="str">
        <f t="shared" si="7"/>
        <v>0010010001000100</v>
      </c>
      <c r="CR19" s="30" t="str">
        <f t="shared" si="8"/>
        <v>0010010000000000</v>
      </c>
      <c r="CS19" s="78"/>
      <c r="CT19" s="78"/>
      <c r="CU19" s="46" t="str">
        <f>CONCATENATE(MID($L19,1,1)*MID($K18,1,1),MID($L19,2,1)*MID($K18,2,1),MID($L19,3,1)*MID($K18,3,1),MID($L19,4,1)*MID($K18,4,1),MID($L19,5,1)*MID($K18,5,1),MID($L19,6,1)*MID($K18,6,1),MID($L19,7,1)*MID($K18,7,1),MID($L19,8,1)*MID($K18,8,1),MID($L19,9,1)*MID($K18,1,1),MID($L19,10,1)*MID($K18,2,1),MID($L19,11,1)*MID($K18,3,1),MID($L19,12,1)*MID($K18,4,1),MID($L19,13,1)*MID($K18,5,1),MID($L19,14,1)*MID($K18,6,1),MID($L19,15,1)*MID($K18,7,1),MID($L19,16,1)*MID($K18,8,1),MID($L19,17,1)*MID($K18,1,1),MID($L19,18,1)*MID($K18,2,1),MID($L19,19,1)*MID($K18,3,1),MID($L19,20,1)*MID($K18,4,1),MID($L19,21,1)*MID($K18,5,1),MID($L19,22,1)*MID($K18,6,1),MID($L19,23,1)*MID($K18,7,1),MID($L19,24,1)*MID($K18,8,1),MID($L19,25,1)*MID($K18,1,1),MID($L19,26,1)*MID($K18,2,1),MID($L19,27,1)*MID($K18,3,1),MID($L19,28,1)*MID($K18,4,1),MID($L19,29,1)*MID($K18,5,1),MID($L19,30,1)*MID($K18,6,1),MID($L19,31,1)*MID($K18,7,1),MID($L19,32,1)*MID($K18,8,1))</f>
        <v>00100100010001000010010000000000</v>
      </c>
      <c r="CV19" s="30" t="str">
        <f t="shared" si="60"/>
        <v>00100100</v>
      </c>
      <c r="CW19" s="30" t="str">
        <f t="shared" si="61"/>
        <v>01000100</v>
      </c>
      <c r="CX19" s="30" t="str">
        <f t="shared" si="62"/>
        <v>00100100</v>
      </c>
      <c r="CY19" s="30" t="str">
        <f t="shared" si="63"/>
        <v>00000000</v>
      </c>
      <c r="CZ19" s="78"/>
      <c r="DA19" s="78"/>
      <c r="DB19" s="78"/>
      <c r="DC19" s="78"/>
      <c r="DD19" s="31" t="str">
        <f t="shared" si="64"/>
        <v>0010</v>
      </c>
      <c r="DE19" s="31" t="str">
        <f t="shared" si="65"/>
        <v>1101</v>
      </c>
      <c r="DF19" s="31" t="str">
        <f t="shared" si="66"/>
        <v>0101</v>
      </c>
      <c r="DG19" s="31" t="str">
        <f t="shared" si="67"/>
        <v>1100</v>
      </c>
      <c r="DH19" s="31" t="str">
        <f t="shared" si="68"/>
        <v>0011</v>
      </c>
      <c r="DI19" s="31" t="str">
        <f t="shared" si="69"/>
        <v>1101</v>
      </c>
      <c r="DJ19" s="31" t="str">
        <f t="shared" si="70"/>
        <v>1001</v>
      </c>
      <c r="DK19" s="31" t="str">
        <f t="shared" si="71"/>
        <v>1000</v>
      </c>
      <c r="DL19" s="78"/>
      <c r="DM19" s="78"/>
      <c r="DN19" s="78"/>
      <c r="DO19" s="78"/>
      <c r="DP19" s="78"/>
      <c r="DQ19" s="78"/>
      <c r="DR19" s="78"/>
      <c r="DS19" s="78"/>
      <c r="DT19" s="30" t="str">
        <f t="shared" si="10"/>
        <v>0010010001000100</v>
      </c>
      <c r="DU19" s="30" t="str">
        <f t="shared" si="11"/>
        <v>0010010000000000</v>
      </c>
      <c r="DV19" s="78"/>
      <c r="DW19" s="78"/>
      <c r="DX19" s="23"/>
      <c r="DY19" s="48" t="str">
        <f>H19</f>
        <v>00101101010111000011110110011000</v>
      </c>
      <c r="DZ19" s="30" t="str">
        <f t="shared" si="122"/>
        <v>00101101</v>
      </c>
      <c r="EA19" s="30" t="str">
        <f t="shared" si="72"/>
        <v>01011100</v>
      </c>
      <c r="EB19" s="30" t="str">
        <f t="shared" si="73"/>
        <v>00111101</v>
      </c>
      <c r="EC19" s="30" t="str">
        <f t="shared" si="74"/>
        <v>10011000</v>
      </c>
      <c r="ED19" s="78"/>
      <c r="EE19" s="78"/>
      <c r="EF19" s="78"/>
      <c r="EG19" s="78"/>
      <c r="EH19" s="31" t="str">
        <f t="shared" si="75"/>
        <v>0010</v>
      </c>
      <c r="EI19" s="31" t="str">
        <f t="shared" si="76"/>
        <v>1101</v>
      </c>
      <c r="EJ19" s="31" t="str">
        <f t="shared" si="77"/>
        <v>0101</v>
      </c>
      <c r="EK19" s="31" t="str">
        <f t="shared" si="78"/>
        <v>1100</v>
      </c>
      <c r="EL19" s="31" t="str">
        <f t="shared" si="79"/>
        <v>0011</v>
      </c>
      <c r="EM19" s="31" t="str">
        <f t="shared" si="80"/>
        <v>1101</v>
      </c>
      <c r="EN19" s="31" t="str">
        <f t="shared" si="81"/>
        <v>1001</v>
      </c>
      <c r="EO19" s="31" t="str">
        <f t="shared" si="82"/>
        <v>1000</v>
      </c>
      <c r="EP19" s="78"/>
      <c r="EQ19" s="78"/>
      <c r="ER19" s="78"/>
      <c r="ES19" s="78"/>
      <c r="ET19" s="78"/>
      <c r="EU19" s="78"/>
      <c r="EV19" s="78"/>
      <c r="EW19" s="78"/>
      <c r="EX19" s="30" t="str">
        <f t="shared" si="13"/>
        <v>0010110101011100</v>
      </c>
      <c r="EY19" s="30" t="str">
        <f t="shared" si="14"/>
        <v>0011110110011000</v>
      </c>
      <c r="EZ19" s="78"/>
      <c r="FA19" s="78"/>
      <c r="FB19" s="48" t="str">
        <f>H19</f>
        <v>00101101010111000011110110011000</v>
      </c>
      <c r="FC19" s="30" t="str">
        <f t="shared" si="124"/>
        <v>00101101</v>
      </c>
      <c r="FD19" s="30" t="str">
        <f t="shared" si="83"/>
        <v>01011100</v>
      </c>
      <c r="FE19" s="30" t="str">
        <f t="shared" si="84"/>
        <v>00111101</v>
      </c>
      <c r="FF19" s="30" t="str">
        <f t="shared" si="85"/>
        <v>10011000</v>
      </c>
      <c r="FG19" s="78"/>
      <c r="FH19" s="78"/>
      <c r="FI19" s="78"/>
      <c r="FJ19" s="78"/>
      <c r="FK19" s="31" t="str">
        <f t="shared" si="86"/>
        <v>0010</v>
      </c>
      <c r="FL19" s="31" t="str">
        <f t="shared" si="87"/>
        <v>1101</v>
      </c>
      <c r="FM19" s="31" t="str">
        <f t="shared" si="88"/>
        <v>0101</v>
      </c>
      <c r="FN19" s="31" t="str">
        <f t="shared" si="89"/>
        <v>1100</v>
      </c>
      <c r="FO19" s="31" t="str">
        <f t="shared" si="90"/>
        <v>0011</v>
      </c>
      <c r="FP19" s="31" t="str">
        <f t="shared" si="91"/>
        <v>1101</v>
      </c>
      <c r="FQ19" s="31" t="str">
        <f t="shared" si="92"/>
        <v>1001</v>
      </c>
      <c r="FR19" s="31" t="str">
        <f t="shared" si="93"/>
        <v>1000</v>
      </c>
      <c r="FS19" s="78"/>
      <c r="FT19" s="78"/>
      <c r="FU19" s="78"/>
      <c r="FV19" s="78"/>
      <c r="FW19" s="78"/>
      <c r="FX19" s="78"/>
      <c r="FY19" s="78"/>
      <c r="FZ19" s="78"/>
      <c r="GA19" s="30" t="str">
        <f t="shared" si="16"/>
        <v>0010110101011100</v>
      </c>
      <c r="GB19" s="30" t="str">
        <f t="shared" si="17"/>
        <v>0011110110011000</v>
      </c>
      <c r="GC19" s="78"/>
      <c r="GD19" s="78"/>
      <c r="GE19" s="48" t="str">
        <f>BR19</f>
        <v>00100100010001000010010000000000</v>
      </c>
      <c r="GF19" s="30" t="str">
        <f t="shared" si="126"/>
        <v>00100100</v>
      </c>
      <c r="GG19" s="30" t="str">
        <f t="shared" si="94"/>
        <v>01000100</v>
      </c>
      <c r="GH19" s="30" t="str">
        <f t="shared" si="95"/>
        <v>00100100</v>
      </c>
      <c r="GI19" s="30" t="str">
        <f t="shared" si="96"/>
        <v>00000000</v>
      </c>
      <c r="GJ19" s="78"/>
      <c r="GK19" s="78"/>
      <c r="GL19" s="78"/>
      <c r="GM19" s="78"/>
      <c r="GN19" s="31" t="str">
        <f t="shared" si="97"/>
        <v>0010</v>
      </c>
      <c r="GO19" s="31" t="str">
        <f t="shared" si="98"/>
        <v>1101</v>
      </c>
      <c r="GP19" s="31" t="str">
        <f t="shared" si="99"/>
        <v>0101</v>
      </c>
      <c r="GQ19" s="31" t="str">
        <f t="shared" si="100"/>
        <v>1100</v>
      </c>
      <c r="GR19" s="31" t="str">
        <f t="shared" si="101"/>
        <v>0011</v>
      </c>
      <c r="GS19" s="31" t="str">
        <f t="shared" si="102"/>
        <v>1101</v>
      </c>
      <c r="GT19" s="31" t="str">
        <f t="shared" si="103"/>
        <v>1001</v>
      </c>
      <c r="GU19" s="31" t="str">
        <f t="shared" si="104"/>
        <v>1000</v>
      </c>
      <c r="GV19" s="78"/>
      <c r="GW19" s="78"/>
      <c r="GX19" s="78"/>
      <c r="GY19" s="78"/>
      <c r="GZ19" s="78"/>
      <c r="HA19" s="78"/>
      <c r="HB19" s="78"/>
      <c r="HC19" s="78"/>
      <c r="HD19" s="30" t="str">
        <f t="shared" si="19"/>
        <v>0010010001000100</v>
      </c>
      <c r="HE19" s="30" t="str">
        <f t="shared" si="20"/>
        <v>0010010000000000</v>
      </c>
      <c r="HF19" s="78"/>
      <c r="HG19" s="78"/>
      <c r="HH19" s="48" t="str">
        <f>GE19</f>
        <v>00100100010001000010010000000000</v>
      </c>
      <c r="HI19" s="30" t="str">
        <f t="shared" si="128"/>
        <v>00100100</v>
      </c>
      <c r="HJ19" s="30" t="str">
        <f t="shared" si="105"/>
        <v>01000100</v>
      </c>
      <c r="HK19" s="30" t="str">
        <f t="shared" si="106"/>
        <v>00100100</v>
      </c>
      <c r="HL19" s="30" t="str">
        <f t="shared" si="107"/>
        <v>00000000</v>
      </c>
      <c r="HM19" s="78"/>
      <c r="HN19" s="78"/>
      <c r="HO19" s="78"/>
      <c r="HP19" s="78"/>
      <c r="HQ19" s="31" t="str">
        <f t="shared" si="108"/>
        <v>0010</v>
      </c>
      <c r="HR19" s="31" t="str">
        <f t="shared" si="109"/>
        <v>1101</v>
      </c>
      <c r="HS19" s="31" t="str">
        <f t="shared" si="110"/>
        <v>0101</v>
      </c>
      <c r="HT19" s="31" t="str">
        <f t="shared" si="111"/>
        <v>1100</v>
      </c>
      <c r="HU19" s="31" t="str">
        <f t="shared" si="112"/>
        <v>0011</v>
      </c>
      <c r="HV19" s="31" t="str">
        <f t="shared" si="113"/>
        <v>1101</v>
      </c>
      <c r="HW19" s="31" t="str">
        <f t="shared" si="114"/>
        <v>1001</v>
      </c>
      <c r="HX19" s="31" t="str">
        <f t="shared" si="115"/>
        <v>1000</v>
      </c>
      <c r="HY19" s="78"/>
      <c r="HZ19" s="78"/>
      <c r="IA19" s="78"/>
      <c r="IB19" s="78"/>
      <c r="IC19" s="78"/>
      <c r="ID19" s="78"/>
      <c r="IE19" s="78"/>
      <c r="IF19" s="78"/>
      <c r="IG19" s="30" t="str">
        <f t="shared" si="22"/>
        <v>0010010001000100</v>
      </c>
      <c r="IH19" s="30" t="str">
        <f t="shared" si="23"/>
        <v>0010010000000000</v>
      </c>
      <c r="II19" s="78"/>
      <c r="IJ19" s="78"/>
      <c r="IL19" s="30"/>
      <c r="IM19" s="30"/>
      <c r="IN19" s="30"/>
      <c r="IO19" s="30"/>
      <c r="IP19" s="23"/>
      <c r="IQ19" s="23"/>
      <c r="IR19" s="23"/>
      <c r="IS19" s="23"/>
      <c r="JB19" s="23"/>
      <c r="JC19" s="23"/>
      <c r="JD19" s="23"/>
      <c r="JE19" s="23"/>
      <c r="JF19" s="23"/>
      <c r="JG19" s="23"/>
      <c r="JH19" s="23"/>
      <c r="JI19" s="23"/>
      <c r="JJ19" s="30"/>
      <c r="JK19" s="30"/>
      <c r="JL19" s="23"/>
      <c r="JM19" s="23"/>
    </row>
    <row r="20" spans="1:273" s="27" customFormat="1" x14ac:dyDescent="0.35">
      <c r="A20" s="24"/>
      <c r="B20" s="25"/>
      <c r="C20" s="16" t="s">
        <v>0</v>
      </c>
      <c r="D20" s="16">
        <v>37</v>
      </c>
      <c r="E20" s="16" t="s">
        <v>89</v>
      </c>
      <c r="F20" s="16" t="s">
        <v>24</v>
      </c>
      <c r="G20" s="16">
        <v>92</v>
      </c>
      <c r="H20" s="16" t="str">
        <f t="shared" si="172"/>
        <v>00110111111000111011010110010010</v>
      </c>
      <c r="I20" s="16">
        <f t="shared" si="173"/>
        <v>18</v>
      </c>
      <c r="J20" s="16">
        <v>64</v>
      </c>
      <c r="K20" s="16" t="str">
        <f>HEX2BIN(J20,8)</f>
        <v>01100100</v>
      </c>
      <c r="L20" s="43" t="str">
        <f>CONCATENATE(MID(H20,30,3),MID(H20,17,5),MID(H20,6,3),MID(H20,25,5),MID(H20,14,3),MID(H20,1,5),MID(H20,22,3),MID(H20,9,5))</f>
        <v>01010110111100100110011010111100</v>
      </c>
      <c r="M20" s="26" t="str">
        <f t="shared" si="24"/>
        <v>01010110</v>
      </c>
      <c r="N20" s="26" t="str">
        <f t="shared" si="25"/>
        <v>11110010</v>
      </c>
      <c r="O20" s="26" t="str">
        <f t="shared" si="26"/>
        <v>01100110</v>
      </c>
      <c r="P20" s="26" t="str">
        <f t="shared" si="27"/>
        <v>10111100</v>
      </c>
      <c r="Q20" s="77">
        <f>BIN2DEC(M20)-BIN2DEC(M21)</f>
        <v>-153</v>
      </c>
      <c r="R20" s="77">
        <f>BIN2DEC(N20)-BIN2DEC(N21)</f>
        <v>-12</v>
      </c>
      <c r="S20" s="77">
        <f>BIN2DEC(O20)-BIN2DEC(O21)</f>
        <v>78</v>
      </c>
      <c r="T20" s="77">
        <f>BIN2DEC(P20)-BIN2DEC(P21)</f>
        <v>-38</v>
      </c>
      <c r="U20" s="27" t="str">
        <f t="shared" si="28"/>
        <v>0101</v>
      </c>
      <c r="V20" s="27" t="str">
        <f t="shared" si="29"/>
        <v>0110</v>
      </c>
      <c r="W20" s="27" t="str">
        <f t="shared" si="30"/>
        <v>1111</v>
      </c>
      <c r="X20" s="27" t="str">
        <f t="shared" si="31"/>
        <v>0010</v>
      </c>
      <c r="Y20" s="27" t="str">
        <f t="shared" si="32"/>
        <v>0110</v>
      </c>
      <c r="Z20" s="27" t="str">
        <f t="shared" si="33"/>
        <v>0110</v>
      </c>
      <c r="AA20" s="27" t="str">
        <f t="shared" si="34"/>
        <v>1011</v>
      </c>
      <c r="AB20" s="27" t="str">
        <f t="shared" si="35"/>
        <v>1100</v>
      </c>
      <c r="AC20" s="77">
        <f t="shared" ref="AC20:AJ20" si="190">BIN2DEC(U20)-BIN2DEC(U21)</f>
        <v>-9</v>
      </c>
      <c r="AD20" s="77">
        <f t="shared" si="190"/>
        <v>-9</v>
      </c>
      <c r="AE20" s="77">
        <f t="shared" si="190"/>
        <v>0</v>
      </c>
      <c r="AF20" s="77">
        <f t="shared" si="190"/>
        <v>-12</v>
      </c>
      <c r="AG20" s="77">
        <f t="shared" si="190"/>
        <v>5</v>
      </c>
      <c r="AH20" s="77">
        <f t="shared" si="190"/>
        <v>-2</v>
      </c>
      <c r="AI20" s="77">
        <f t="shared" si="190"/>
        <v>-3</v>
      </c>
      <c r="AJ20" s="77">
        <f t="shared" si="190"/>
        <v>10</v>
      </c>
      <c r="AK20" s="26" t="str">
        <f t="shared" si="1"/>
        <v>0101011011110010</v>
      </c>
      <c r="AL20" s="26" t="str">
        <f t="shared" si="2"/>
        <v>0110011010111100</v>
      </c>
      <c r="AM20" s="77">
        <f>MID(AK20,16,1)*POWER(2,0)+MID(AK20,15,1)*POWER(2,1)+MID(AK20,14,1)*POWER(2,2)+MID(AK20,13,1)*POWER(2,3)+MID(AK20,12,1)*POWER(2,4)+MID(AK20,11,1)*POWER(2,5)+MID(AK20,10,1)*POWER(2,6)+MID(AK20,9,1)*POWER(2,7)+MID(AK20,8,1)*POWER(2,8)+MID(AK20,7,1)*POWER(2,9)+MID(AK20,6,1)*POWER(2,10)+MID(AK20,5,1)*POWER(2,11)+MID(AK20,4,1)*POWER(2,12)+MID(AK20,3,1)*POWER(2,13)+MID(AK20,2,1)*POWER(2,14)+MID(AK20,1,1)*POWER(2,15)-(MID(AK21,16,1)*POWER(2,0)+MID(AK21,15,1)*POWER(2,1)+MID(AK21,14,1)*POWER(2,2)+MID(AK21,13,1)*POWER(2,3)+MID(AK21,12,1)*POWER(2,4)+MID(AK21,11,1)*POWER(2,5)+MID(AK21,10,1)*POWER(2,6)+MID(AK21,9,1)*POWER(2,7)+MID(AK21,8,1)*POWER(2,8)+MID(AK21,7,1)*POWER(2,9)+MID(AK21,6,1)*POWER(2,10)+MID(AK21,5,1)*POWER(2,11)+MID(AK21,4,1)*POWER(2,12)+MID(AK21,3,1)*POWER(2,13)+MID(AK21,2,1)*POWER(2,14)+MID(AK21,1,1)*POWER(2,15))</f>
        <v>-39180</v>
      </c>
      <c r="AN20" s="77">
        <f>MID(AL20,16,1)*POWER(2,0)+MID(AL20,15,1)*POWER(2,1)+MID(AL20,14,1)*POWER(2,2)+MID(AL20,13,1)*POWER(2,3)+MID(AL20,12,1)*POWER(2,4)+MID(AL20,11,1)*POWER(2,5)+MID(AL20,10,1)*POWER(2,6)+MID(AL20,9,1)*POWER(2,7)+MID(AL20,8,1)*POWER(2,8)+MID(AL20,7,1)*POWER(2,9)+MID(AL20,6,1)*POWER(2,10)+MID(AL20,5,1)*POWER(2,11)+MID(AL20,4,1)*POWER(2,12)+MID(AL20,3,1)*POWER(2,13)+MID(AL20,2,1)*POWER(2,14)+MID(AL20,1,1)*POWER(2,15)-(MID(AL21,16,1)*POWER(2,0)+MID(AL21,15,1)*POWER(2,1)+MID(AL21,14,1)*POWER(2,2)+MID(AL21,13,1)*POWER(2,3)+MID(AL21,12,1)*POWER(2,4)+MID(AL21,11,1)*POWER(2,5)+MID(AL21,10,1)*POWER(2,6)+MID(AL21,9,1)*POWER(2,7)+MID(AL21,8,1)*POWER(2,8)+MID(AL21,7,1)*POWER(2,9)+MID(AL21,6,1)*POWER(2,10)+MID(AL21,5,1)*POWER(2,11)+MID(AL21,4,1)*POWER(2,12)+MID(AL21,3,1)*POWER(2,13)+MID(AL21,2,1)*POWER(2,14)+MID(AL21,1,1)*POWER(2,15))</f>
        <v>19930</v>
      </c>
      <c r="AO20" s="45" t="str">
        <f>CONCATENATE(MID(L20,1,1)*MID(K20,1,1),MID(L20,2,1)*MID(K20,2,1),MID(L20,3,1)*MID(K20,3,1),MID(L20,4,1)*MID(K20,4,1),MID(L20,5,1)*MID(K20,5,1),MID(L20,6,1)*MID(K20,6,1),MID(L20,7,1)*MID(K20,7,1),MID(L20,8,1)*MID(K20,8,1),MID(L20,9,1)*MID(K20,1,1),MID(L20,10,1)*MID(K20,2,1),MID(L20,11,1)*MID(K20,3,1),MID(L20,12,1)*MID(K20,4,1),MID(L20,13,1)*MID(K20,5,1),MID(L20,14,1)*MID(K20,6,1),MID(L20,15,1)*MID(K20,7,1),MID(L20,16,1)*MID(K20,8,1),MID(L20,17,1)*MID(K20,1,1),MID(L20,18,1)*MID(K20,2,1),MID(L20,19,1)*MID(K20,3,1),MID(L20,20,1)*MID(K20,4,1),MID(L20,21,1)*MID(K20,5,1),MID(L20,22,1)*MID(K20,6,1),MID(L20,23,1)*MID(K20,7,1),MID(L20,24,1)*MID(K20,8,1),MID(L20,25,1)*MID(K20,1,1),MID(L20,26,1)*MID(K20,2,1),MID(L20,27,1)*MID(K20,3,1),MID(L20,28,1)*MID(K20,4,1),MID(L20,29,1)*MID(K20,5,1),MID(L20,30,1)*MID(K20,6,1),MID(L20,31,1)*MID(K20,7,1),MID(L20,32,1)*MID(K20,8,1))</f>
        <v>01000100011000000110010000100100</v>
      </c>
      <c r="AP20" s="26" t="str">
        <f t="shared" si="36"/>
        <v>01000100</v>
      </c>
      <c r="AQ20" s="26" t="str">
        <f t="shared" si="37"/>
        <v>01100000</v>
      </c>
      <c r="AR20" s="26" t="str">
        <f t="shared" si="38"/>
        <v>01100100</v>
      </c>
      <c r="AS20" s="26" t="str">
        <f t="shared" si="39"/>
        <v>00100100</v>
      </c>
      <c r="AT20" s="77">
        <f>BIN2DEC(AP20)-BIN2DEC(AP21)</f>
        <v>-171</v>
      </c>
      <c r="AU20" s="77">
        <f>BIN2DEC(AQ20)-BIN2DEC(AQ21)</f>
        <v>-158</v>
      </c>
      <c r="AV20" s="77">
        <f>BIN2DEC(AR20)-BIN2DEC(AR21)</f>
        <v>76</v>
      </c>
      <c r="AW20" s="77">
        <f>BIN2DEC(AS20)-BIN2DEC(AS21)</f>
        <v>-190</v>
      </c>
      <c r="AX20" s="27" t="str">
        <f t="shared" si="40"/>
        <v>0101</v>
      </c>
      <c r="AY20" s="27" t="str">
        <f t="shared" si="41"/>
        <v>0110</v>
      </c>
      <c r="AZ20" s="27" t="str">
        <f t="shared" si="42"/>
        <v>1111</v>
      </c>
      <c r="BA20" s="27" t="str">
        <f t="shared" si="43"/>
        <v>0010</v>
      </c>
      <c r="BB20" s="27" t="str">
        <f t="shared" si="44"/>
        <v>0110</v>
      </c>
      <c r="BC20" s="27" t="str">
        <f t="shared" si="45"/>
        <v>0110</v>
      </c>
      <c r="BD20" s="27" t="str">
        <f t="shared" si="46"/>
        <v>1011</v>
      </c>
      <c r="BE20" s="27" t="str">
        <f t="shared" si="47"/>
        <v>1100</v>
      </c>
      <c r="BF20" s="77">
        <f t="shared" ref="BF20:BM20" si="191">BIN2DEC(AX20)-BIN2DEC(AX21)</f>
        <v>-9</v>
      </c>
      <c r="BG20" s="77">
        <f t="shared" si="191"/>
        <v>-9</v>
      </c>
      <c r="BH20" s="77">
        <f t="shared" si="191"/>
        <v>0</v>
      </c>
      <c r="BI20" s="77">
        <f t="shared" si="191"/>
        <v>-12</v>
      </c>
      <c r="BJ20" s="77">
        <f t="shared" si="191"/>
        <v>5</v>
      </c>
      <c r="BK20" s="77">
        <f t="shared" si="191"/>
        <v>-2</v>
      </c>
      <c r="BL20" s="77">
        <f t="shared" si="191"/>
        <v>-3</v>
      </c>
      <c r="BM20" s="77">
        <f t="shared" si="191"/>
        <v>10</v>
      </c>
      <c r="BN20" s="26" t="str">
        <f t="shared" si="4"/>
        <v>0100010001100000</v>
      </c>
      <c r="BO20" s="26" t="str">
        <f t="shared" si="5"/>
        <v>0110010000100100</v>
      </c>
      <c r="BP20" s="77">
        <f>MID(BN20,16,1)*POWER(2,0)+MID(BN20,15,1)*POWER(2,1)+MID(BN20,14,1)*POWER(2,2)+MID(BN20,13,1)*POWER(2,3)+MID(BN20,12,1)*POWER(2,4)+MID(BN20,11,1)*POWER(2,5)+MID(BN20,10,1)*POWER(2,6)+MID(BN20,9,1)*POWER(2,7)+MID(BN20,8,1)*POWER(2,8)+MID(BN20,7,1)*POWER(2,9)+MID(BN20,6,1)*POWER(2,10)+MID(BN20,5,1)*POWER(2,11)+MID(BN20,4,1)*POWER(2,12)+MID(BN20,3,1)*POWER(2,13)+MID(BN20,2,1)*POWER(2,14)+MID(BN20,1,1)*POWER(2,15)-(MID(BN21,16,1)*POWER(2,0)+MID(BN21,15,1)*POWER(2,1)+MID(BN21,14,1)*POWER(2,2)+MID(BN21,13,1)*POWER(2,3)+MID(BN21,12,1)*POWER(2,4)+MID(BN21,11,1)*POWER(2,5)+MID(BN21,10,1)*POWER(2,6)+MID(BN21,9,1)*POWER(2,7)+MID(BN21,8,1)*POWER(2,8)+MID(BN21,7,1)*POWER(2,9)+MID(BN21,6,1)*POWER(2,10)+MID(BN21,5,1)*POWER(2,11)+MID(BN21,4,1)*POWER(2,12)+MID(BN21,3,1)*POWER(2,13)+MID(BN21,2,1)*POWER(2,14)+MID(BN21,1,1)*POWER(2,15))</f>
        <v>-43934</v>
      </c>
      <c r="BQ20" s="77">
        <f>MID(BO20,16,1)*POWER(2,0)+MID(BO20,15,1)*POWER(2,1)+MID(BO20,14,1)*POWER(2,2)+MID(BO20,13,1)*POWER(2,3)+MID(BO20,12,1)*POWER(2,4)+MID(BO20,11,1)*POWER(2,5)+MID(BO20,10,1)*POWER(2,6)+MID(BO20,9,1)*POWER(2,7)+MID(BO20,8,1)*POWER(2,8)+MID(BO20,7,1)*POWER(2,9)+MID(BO20,6,1)*POWER(2,10)+MID(BO20,5,1)*POWER(2,11)+MID(BO20,4,1)*POWER(2,12)+MID(BO20,3,1)*POWER(2,13)+MID(BO20,2,1)*POWER(2,14)+MID(BO20,1,1)*POWER(2,15)-(MID(BO21,16,1)*POWER(2,0)+MID(BO21,15,1)*POWER(2,1)+MID(BO21,14,1)*POWER(2,2)+MID(BO21,13,1)*POWER(2,3)+MID(BO21,12,1)*POWER(2,4)+MID(BO21,11,1)*POWER(2,5)+MID(BO21,10,1)*POWER(2,6)+MID(BO21,9,1)*POWER(2,7)+MID(BO21,8,1)*POWER(2,8)+MID(BO21,7,1)*POWER(2,9)+MID(BO21,6,1)*POWER(2,10)+MID(BO21,5,1)*POWER(2,11)+MID(BO21,4,1)*POWER(2,12)+MID(BO21,3,1)*POWER(2,13)+MID(BO21,2,1)*POWER(2,14)+MID(BO21,1,1)*POWER(2,15))</f>
        <v>19266</v>
      </c>
      <c r="BR20" s="47" t="str">
        <f>L20</f>
        <v>01010110111100100110011010111100</v>
      </c>
      <c r="BS20" s="26" t="str">
        <f t="shared" si="48"/>
        <v>01010110</v>
      </c>
      <c r="BT20" s="26" t="str">
        <f t="shared" si="49"/>
        <v>11110010</v>
      </c>
      <c r="BU20" s="26" t="str">
        <f t="shared" si="50"/>
        <v>01100110</v>
      </c>
      <c r="BV20" s="26" t="str">
        <f t="shared" si="51"/>
        <v>10111100</v>
      </c>
      <c r="BW20" s="77">
        <f>BIN2DEC(BS20)-BIN2DEC(BS21)</f>
        <v>-14</v>
      </c>
      <c r="BX20" s="77">
        <f>BIN2DEC(BT20)-BIN2DEC(BT21)</f>
        <v>142</v>
      </c>
      <c r="BY20" s="77">
        <f>BIN2DEC(BU20)-BIN2DEC(BU21)</f>
        <v>102</v>
      </c>
      <c r="BZ20" s="77">
        <f>BIN2DEC(BV20)-BIN2DEC(BV21)</f>
        <v>92</v>
      </c>
      <c r="CA20" s="27" t="str">
        <f t="shared" si="52"/>
        <v>0101</v>
      </c>
      <c r="CB20" s="27" t="str">
        <f t="shared" si="53"/>
        <v>0110</v>
      </c>
      <c r="CC20" s="27" t="str">
        <f t="shared" si="54"/>
        <v>1111</v>
      </c>
      <c r="CD20" s="27" t="str">
        <f t="shared" si="55"/>
        <v>0010</v>
      </c>
      <c r="CE20" s="27" t="str">
        <f t="shared" si="56"/>
        <v>0110</v>
      </c>
      <c r="CF20" s="27" t="str">
        <f t="shared" si="57"/>
        <v>0110</v>
      </c>
      <c r="CG20" s="27" t="str">
        <f t="shared" si="58"/>
        <v>1011</v>
      </c>
      <c r="CH20" s="27" t="str">
        <f t="shared" si="59"/>
        <v>1100</v>
      </c>
      <c r="CI20" s="77">
        <f t="shared" ref="CI20:CP20" si="192">BIN2DEC(CA20)-BIN2DEC(CA21)</f>
        <v>-9</v>
      </c>
      <c r="CJ20" s="77">
        <f t="shared" si="192"/>
        <v>-9</v>
      </c>
      <c r="CK20" s="77">
        <f t="shared" si="192"/>
        <v>0</v>
      </c>
      <c r="CL20" s="77">
        <f t="shared" si="192"/>
        <v>-12</v>
      </c>
      <c r="CM20" s="77">
        <f t="shared" si="192"/>
        <v>5</v>
      </c>
      <c r="CN20" s="77">
        <f t="shared" si="192"/>
        <v>-2</v>
      </c>
      <c r="CO20" s="77">
        <f t="shared" si="192"/>
        <v>-3</v>
      </c>
      <c r="CP20" s="77">
        <f t="shared" si="192"/>
        <v>10</v>
      </c>
      <c r="CQ20" s="26" t="str">
        <f t="shared" si="7"/>
        <v>0101011011110010</v>
      </c>
      <c r="CR20" s="26" t="str">
        <f t="shared" si="8"/>
        <v>0110011010111100</v>
      </c>
      <c r="CS20" s="77">
        <f>MID(CQ20,16,1)*POWER(2,0)+MID(CQ20,15,1)*POWER(2,1)+MID(CQ20,14,1)*POWER(2,2)+MID(CQ20,13,1)*POWER(2,3)+MID(CQ20,12,1)*POWER(2,4)+MID(CQ20,11,1)*POWER(2,5)+MID(CQ20,10,1)*POWER(2,6)+MID(CQ20,9,1)*POWER(2,7)+MID(CQ20,8,1)*POWER(2,8)+MID(CQ20,7,1)*POWER(2,9)+MID(CQ20,6,1)*POWER(2,10)+MID(CQ20,5,1)*POWER(2,11)+MID(CQ20,4,1)*POWER(2,12)+MID(CQ20,3,1)*POWER(2,13)+MID(CQ20,2,1)*POWER(2,14)+MID(CQ20,1,1)*POWER(2,15)-(MID(CQ21,16,1)*POWER(2,0)+MID(CQ21,15,1)*POWER(2,1)+MID(CQ21,14,1)*POWER(2,2)+MID(CQ21,13,1)*POWER(2,3)+MID(CQ21,12,1)*POWER(2,4)+MID(CQ21,11,1)*POWER(2,5)+MID(CQ21,10,1)*POWER(2,6)+MID(CQ21,9,1)*POWER(2,7)+MID(CQ21,8,1)*POWER(2,8)+MID(CQ21,7,1)*POWER(2,9)+MID(CQ21,6,1)*POWER(2,10)+MID(CQ21,5,1)*POWER(2,11)+MID(CQ21,4,1)*POWER(2,12)+MID(CQ21,3,1)*POWER(2,13)+MID(CQ21,2,1)*POWER(2,14)+MID(CQ21,1,1)*POWER(2,15))</f>
        <v>-3442</v>
      </c>
      <c r="CT20" s="77">
        <f>MID(CR20,16,1)*POWER(2,0)+MID(CR20,15,1)*POWER(2,1)+MID(CR20,14,1)*POWER(2,2)+MID(CR20,13,1)*POWER(2,3)+MID(CR20,12,1)*POWER(2,4)+MID(CR20,11,1)*POWER(2,5)+MID(CR20,10,1)*POWER(2,6)+MID(CR20,9,1)*POWER(2,7)+MID(CR20,8,1)*POWER(2,8)+MID(CR20,7,1)*POWER(2,9)+MID(CR20,6,1)*POWER(2,10)+MID(CR20,5,1)*POWER(2,11)+MID(CR20,4,1)*POWER(2,12)+MID(CR20,3,1)*POWER(2,13)+MID(CR20,2,1)*POWER(2,14)+MID(CR20,1,1)*POWER(2,15)-(MID(CR21,16,1)*POWER(2,0)+MID(CR21,15,1)*POWER(2,1)+MID(CR21,14,1)*POWER(2,2)+MID(CR21,13,1)*POWER(2,3)+MID(CR21,12,1)*POWER(2,4)+MID(CR21,11,1)*POWER(2,5)+MID(CR21,10,1)*POWER(2,6)+MID(CR21,9,1)*POWER(2,7)+MID(CR21,8,1)*POWER(2,8)+MID(CR21,7,1)*POWER(2,9)+MID(CR21,6,1)*POWER(2,10)+MID(CR21,5,1)*POWER(2,11)+MID(CR21,4,1)*POWER(2,12)+MID(CR21,3,1)*POWER(2,13)+MID(CR21,2,1)*POWER(2,14)+MID(CR21,1,1)*POWER(2,15))</f>
        <v>26204</v>
      </c>
      <c r="CU20" s="45" t="str">
        <f>CONCATENATE(MID($L20,1,1)*MID($K20,1,1),MID($L20,2,1)*MID($K20,2,1),MID($L20,3,1)*MID($K20,3,1),MID($L20,4,1)*MID($K20,4,1),MID($L20,5,1)*MID($K20,5,1),MID($L20,6,1)*MID($K20,6,1),MID($L20,7,1)*MID($K20,7,1),MID($L20,8,1)*MID($K20,8,1),MID($L20,9,1)*MID($K20,1,1),MID($L20,10,1)*MID($K20,2,1),MID($L20,11,1)*MID($K20,3,1),MID($L20,12,1)*MID($K20,4,1),MID($L20,13,1)*MID($K20,5,1),MID($L20,14,1)*MID($K20,6,1),MID($L20,15,1)*MID($K20,7,1),MID($L20,16,1)*MID($K20,8,1),MID($L20,17,1)*MID($K20,1,1),MID($L20,18,1)*MID($K20,2,1),MID($L20,19,1)*MID($K20,3,1),MID($L20,20,1)*MID($K20,4,1),MID($L20,21,1)*MID($K20,5,1),MID($L20,22,1)*MID($K20,6,1),MID($L20,23,1)*MID($K20,7,1),MID($L20,24,1)*MID($K20,8,1),MID($L20,25,1)*MID($K20,1,1),MID($L20,26,1)*MID($K20,2,1),MID($L20,27,1)*MID($K20,3,1),MID($L20,28,1)*MID($K20,4,1),MID($L20,29,1)*MID($K20,5,1),MID($L20,30,1)*MID($K20,6,1),MID($L20,31,1)*MID($K20,7,1),MID($L20,32,1)*MID($K20,8,1))</f>
        <v>01000100011000000110010000100100</v>
      </c>
      <c r="CV20" s="26" t="str">
        <f t="shared" si="60"/>
        <v>01000100</v>
      </c>
      <c r="CW20" s="26" t="str">
        <f t="shared" si="61"/>
        <v>01100000</v>
      </c>
      <c r="CX20" s="26" t="str">
        <f t="shared" si="62"/>
        <v>01100100</v>
      </c>
      <c r="CY20" s="26" t="str">
        <f t="shared" si="63"/>
        <v>00100100</v>
      </c>
      <c r="CZ20" s="77">
        <f>BIN2DEC(CV20)-BIN2DEC(CV21)</f>
        <v>-32</v>
      </c>
      <c r="DA20" s="77">
        <f>BIN2DEC(CW20)-BIN2DEC(CW21)</f>
        <v>-4</v>
      </c>
      <c r="DB20" s="77">
        <f>BIN2DEC(CX20)-BIN2DEC(CX21)</f>
        <v>100</v>
      </c>
      <c r="DC20" s="77">
        <f>BIN2DEC(CY20)-BIN2DEC(CY21)</f>
        <v>-60</v>
      </c>
      <c r="DD20" s="27" t="str">
        <f t="shared" si="64"/>
        <v>0101</v>
      </c>
      <c r="DE20" s="27" t="str">
        <f t="shared" si="65"/>
        <v>0110</v>
      </c>
      <c r="DF20" s="27" t="str">
        <f t="shared" si="66"/>
        <v>1111</v>
      </c>
      <c r="DG20" s="27" t="str">
        <f t="shared" si="67"/>
        <v>0010</v>
      </c>
      <c r="DH20" s="27" t="str">
        <f t="shared" si="68"/>
        <v>0110</v>
      </c>
      <c r="DI20" s="27" t="str">
        <f t="shared" si="69"/>
        <v>0110</v>
      </c>
      <c r="DJ20" s="27" t="str">
        <f t="shared" si="70"/>
        <v>1011</v>
      </c>
      <c r="DK20" s="27" t="str">
        <f t="shared" si="71"/>
        <v>1100</v>
      </c>
      <c r="DL20" s="77">
        <f t="shared" ref="DL20:DS20" si="193">BIN2DEC(DD20)-BIN2DEC(DD21)</f>
        <v>-9</v>
      </c>
      <c r="DM20" s="77">
        <f t="shared" si="193"/>
        <v>-9</v>
      </c>
      <c r="DN20" s="77">
        <f t="shared" si="193"/>
        <v>0</v>
      </c>
      <c r="DO20" s="77">
        <f t="shared" si="193"/>
        <v>-12</v>
      </c>
      <c r="DP20" s="77">
        <f t="shared" si="193"/>
        <v>5</v>
      </c>
      <c r="DQ20" s="77">
        <f t="shared" si="193"/>
        <v>-2</v>
      </c>
      <c r="DR20" s="77">
        <f t="shared" si="193"/>
        <v>-3</v>
      </c>
      <c r="DS20" s="77">
        <f t="shared" si="193"/>
        <v>10</v>
      </c>
      <c r="DT20" s="26" t="str">
        <f t="shared" si="10"/>
        <v>0100010001100000</v>
      </c>
      <c r="DU20" s="26" t="str">
        <f t="shared" si="11"/>
        <v>0110010000100100</v>
      </c>
      <c r="DV20" s="77">
        <f>MID(DT20,16,1)*POWER(2,0)+MID(DT20,15,1)*POWER(2,1)+MID(DT20,14,1)*POWER(2,2)+MID(DT20,13,1)*POWER(2,3)+MID(DT20,12,1)*POWER(2,4)+MID(DT20,11,1)*POWER(2,5)+MID(DT20,10,1)*POWER(2,6)+MID(DT20,9,1)*POWER(2,7)+MID(DT20,8,1)*POWER(2,8)+MID(DT20,7,1)*POWER(2,9)+MID(DT20,6,1)*POWER(2,10)+MID(DT20,5,1)*POWER(2,11)+MID(DT20,4,1)*POWER(2,12)+MID(DT20,3,1)*POWER(2,13)+MID(DT20,2,1)*POWER(2,14)+MID(DT20,1,1)*POWER(2,15)-(MID(DT21,16,1)*POWER(2,0)+MID(DT21,15,1)*POWER(2,1)+MID(DT21,14,1)*POWER(2,2)+MID(DT21,13,1)*POWER(2,3)+MID(DT21,12,1)*POWER(2,4)+MID(DT21,11,1)*POWER(2,5)+MID(DT21,10,1)*POWER(2,6)+MID(DT21,9,1)*POWER(2,7)+MID(DT21,8,1)*POWER(2,8)+MID(DT21,7,1)*POWER(2,9)+MID(DT21,6,1)*POWER(2,10)+MID(DT21,5,1)*POWER(2,11)+MID(DT21,4,1)*POWER(2,12)+MID(DT21,3,1)*POWER(2,13)+MID(DT21,2,1)*POWER(2,14)+MID(DT21,1,1)*POWER(2,15))</f>
        <v>-8196</v>
      </c>
      <c r="DW20" s="77">
        <f>MID(DU20,16,1)*POWER(2,0)+MID(DU20,15,1)*POWER(2,1)+MID(DU20,14,1)*POWER(2,2)+MID(DU20,13,1)*POWER(2,3)+MID(DU20,12,1)*POWER(2,4)+MID(DU20,11,1)*POWER(2,5)+MID(DU20,10,1)*POWER(2,6)+MID(DU20,9,1)*POWER(2,7)+MID(DU20,8,1)*POWER(2,8)+MID(DU20,7,1)*POWER(2,9)+MID(DU20,6,1)*POWER(2,10)+MID(DU20,5,1)*POWER(2,11)+MID(DU20,4,1)*POWER(2,12)+MID(DU20,3,1)*POWER(2,13)+MID(DU20,2,1)*POWER(2,14)+MID(DU20,1,1)*POWER(2,15)-(MID(DU21,16,1)*POWER(2,0)+MID(DU21,15,1)*POWER(2,1)+MID(DU21,14,1)*POWER(2,2)+MID(DU21,13,1)*POWER(2,3)+MID(DU21,12,1)*POWER(2,4)+MID(DU21,11,1)*POWER(2,5)+MID(DU21,10,1)*POWER(2,6)+MID(DU21,9,1)*POWER(2,7)+MID(DU21,8,1)*POWER(2,8)+MID(DU21,7,1)*POWER(2,9)+MID(DU21,6,1)*POWER(2,10)+MID(DU21,5,1)*POWER(2,11)+MID(DU21,4,1)*POWER(2,12)+MID(DU21,3,1)*POWER(2,13)+MID(DU21,2,1)*POWER(2,14)+MID(DU21,1,1)*POWER(2,15))</f>
        <v>25540</v>
      </c>
      <c r="DX20" s="22" t="str">
        <f>CONCATENATE(MID($H20,1,1)*MID($K20,1,1),MID($H20,2,1)*MID($K20,2,1),MID($H20,3,1)*MID($K20,3,1),MID($H20,4,1)*MID($K20,4,1),MID($H20,5,1)*MID($K20,5,1),MID($H20,6,1)*MID($K20,6,1),MID($H20,7,1)*MID($K20,7,1),MID($H20,8,1)*MID($K20,8,1),MID($H20,9,1)*MID($K20,1,1),MID($H20,10,1)*MID($K20,2,1),MID($H20,11,1)*MID($K20,3,1),MID($H20,12,1)*MID($K20,4,1),MID($H20,13,1)*MID($K20,5,1),MID($H20,14,1)*MID($K20,6,1),MID($H20,15,1)*MID($K20,7,1),MID($H20,16,1)*MID($K20,8,1),MID($H20,17,1)*MID($K20,1,1),MID($H20,18,1)*MID($K20,2,1),MID($H20,19,1)*MID($K20,3,1),MID($H20,20,1)*MID($K20,4,1),MID($H20,21,1)*MID($K20,5,1),MID($H20,22,1)*MID($K20,6,1),MID($H20,23,1)*MID($K20,7,1),MID($H20,24,1)*MID($K20,8,1),MID($H20,25,1)*MID($K20,1,1),MID($H20,26,1)*MID($K20,2,1),MID($H20,27,1)*MID($K20,3,1),MID($H20,28,1)*MID($K20,4,1),MID($H20,29,1)*MID($K20,5,1),MID($H20,30,1)*MID($K20,6,1),MID($H20,31,1)*MID($K20,7,1),MID($H20,32,1)*MID($K20,8,1))</f>
        <v>00100100011000000010010000000000</v>
      </c>
      <c r="DY20" s="43" t="str">
        <f>CONCATENATE(MID(DX20,30,3),MID(DX20,17,5),MID(DX20,6,3),MID(DX20,25,5),MID(DX20,14,3),MID(DX20,1,5),MID(DX20,22,3),MID(DX20,9,5))</f>
        <v>00000100100000000000010010001100</v>
      </c>
      <c r="DZ20" s="26" t="str">
        <f t="shared" si="122"/>
        <v>00000100</v>
      </c>
      <c r="EA20" s="26" t="str">
        <f t="shared" si="72"/>
        <v>10000000</v>
      </c>
      <c r="EB20" s="26" t="str">
        <f t="shared" si="73"/>
        <v>00000100</v>
      </c>
      <c r="EC20" s="26" t="str">
        <f t="shared" si="74"/>
        <v>10001100</v>
      </c>
      <c r="ED20" s="77">
        <f>BIN2DEC(DZ20)-BIN2DEC(DZ21)</f>
        <v>-235</v>
      </c>
      <c r="EE20" s="77">
        <f>BIN2DEC(EA20)-BIN2DEC(EA21)</f>
        <v>-126</v>
      </c>
      <c r="EF20" s="77">
        <f>BIN2DEC(EB20)-BIN2DEC(EB21)</f>
        <v>-20</v>
      </c>
      <c r="EG20" s="77">
        <f>BIN2DEC(EC20)-BIN2DEC(EC21)</f>
        <v>-86</v>
      </c>
      <c r="EH20" s="27" t="str">
        <f t="shared" si="75"/>
        <v>0101</v>
      </c>
      <c r="EI20" s="27" t="str">
        <f t="shared" si="76"/>
        <v>0110</v>
      </c>
      <c r="EJ20" s="27" t="str">
        <f t="shared" si="77"/>
        <v>1111</v>
      </c>
      <c r="EK20" s="27" t="str">
        <f t="shared" si="78"/>
        <v>0010</v>
      </c>
      <c r="EL20" s="27" t="str">
        <f t="shared" si="79"/>
        <v>0110</v>
      </c>
      <c r="EM20" s="27" t="str">
        <f t="shared" si="80"/>
        <v>0110</v>
      </c>
      <c r="EN20" s="27" t="str">
        <f t="shared" si="81"/>
        <v>1011</v>
      </c>
      <c r="EO20" s="27" t="str">
        <f t="shared" si="82"/>
        <v>1100</v>
      </c>
      <c r="EP20" s="77">
        <f t="shared" ref="EP20:EW20" si="194">BIN2DEC(EH20)-BIN2DEC(EH21)</f>
        <v>-9</v>
      </c>
      <c r="EQ20" s="77">
        <f t="shared" si="194"/>
        <v>-9</v>
      </c>
      <c r="ER20" s="77">
        <f t="shared" si="194"/>
        <v>0</v>
      </c>
      <c r="ES20" s="77">
        <f t="shared" si="194"/>
        <v>-12</v>
      </c>
      <c r="ET20" s="77">
        <f t="shared" si="194"/>
        <v>5</v>
      </c>
      <c r="EU20" s="77">
        <f t="shared" si="194"/>
        <v>-2</v>
      </c>
      <c r="EV20" s="77">
        <f t="shared" si="194"/>
        <v>-3</v>
      </c>
      <c r="EW20" s="77">
        <f t="shared" si="194"/>
        <v>10</v>
      </c>
      <c r="EX20" s="26" t="str">
        <f t="shared" si="13"/>
        <v>0000010010000000</v>
      </c>
      <c r="EY20" s="26" t="str">
        <f t="shared" si="14"/>
        <v>0000010010001100</v>
      </c>
      <c r="EZ20" s="77">
        <f>MID(EX20,16,1)*POWER(2,0)+MID(EX20,15,1)*POWER(2,1)+MID(EX20,14,1)*POWER(2,2)+MID(EX20,13,1)*POWER(2,3)+MID(EX20,12,1)*POWER(2,4)+MID(EX20,11,1)*POWER(2,5)+MID(EX20,10,1)*POWER(2,6)+MID(EX20,9,1)*POWER(2,7)+MID(EX20,8,1)*POWER(2,8)+MID(EX20,7,1)*POWER(2,9)+MID(EX20,6,1)*POWER(2,10)+MID(EX20,5,1)*POWER(2,11)+MID(EX20,4,1)*POWER(2,12)+MID(EX20,3,1)*POWER(2,13)+MID(EX20,2,1)*POWER(2,14)+MID(EX20,1,1)*POWER(2,15)-(MID(EX21,16,1)*POWER(2,0)+MID(EX21,15,1)*POWER(2,1)+MID(EX21,14,1)*POWER(2,2)+MID(EX21,13,1)*POWER(2,3)+MID(EX21,12,1)*POWER(2,4)+MID(EX21,11,1)*POWER(2,5)+MID(EX21,10,1)*POWER(2,6)+MID(EX21,9,1)*POWER(2,7)+MID(EX21,8,1)*POWER(2,8)+MID(EX21,7,1)*POWER(2,9)+MID(EX21,6,1)*POWER(2,10)+MID(EX21,5,1)*POWER(2,11)+MID(EX21,4,1)*POWER(2,12)+MID(EX21,3,1)*POWER(2,13)+MID(EX21,2,1)*POWER(2,14)+MID(EX21,1,1)*POWER(2,15))</f>
        <v>-60286</v>
      </c>
      <c r="FA20" s="77">
        <f>MID(EY20,16,1)*POWER(2,0)+MID(EY20,15,1)*POWER(2,1)+MID(EY20,14,1)*POWER(2,2)+MID(EY20,13,1)*POWER(2,3)+MID(EY20,12,1)*POWER(2,4)+MID(EY20,11,1)*POWER(2,5)+MID(EY20,10,1)*POWER(2,6)+MID(EY20,9,1)*POWER(2,7)+MID(EY20,8,1)*POWER(2,8)+MID(EY20,7,1)*POWER(2,9)+MID(EY20,6,1)*POWER(2,10)+MID(EY20,5,1)*POWER(2,11)+MID(EY20,4,1)*POWER(2,12)+MID(EY20,3,1)*POWER(2,13)+MID(EY20,2,1)*POWER(2,14)+MID(EY20,1,1)*POWER(2,15)-(MID(EY21,16,1)*POWER(2,0)+MID(EY21,15,1)*POWER(2,1)+MID(EY21,14,1)*POWER(2,2)+MID(EY21,13,1)*POWER(2,3)+MID(EY21,12,1)*POWER(2,4)+MID(EY21,11,1)*POWER(2,5)+MID(EY21,10,1)*POWER(2,6)+MID(EY21,9,1)*POWER(2,7)+MID(EY21,8,1)*POWER(2,8)+MID(EY21,7,1)*POWER(2,9)+MID(EY21,6,1)*POWER(2,10)+MID(EY21,5,1)*POWER(2,11)+MID(EY21,4,1)*POWER(2,12)+MID(EY21,3,1)*POWER(2,13)+MID(EY21,2,1)*POWER(2,14)+MID(EY21,1,1)*POWER(2,15))</f>
        <v>-5206</v>
      </c>
      <c r="FB20" s="45" t="str">
        <f>CONCATENATE(MID(DY20,1,1)*MID($K20,1,1),MID(DY20,2,1)*MID($K20,2,1),MID(DY20,3,1)*MID($K20,3,1),MID(DY20,4,1)*MID($K20,4,1),MID(DY20,5,1)*MID($K20,5,1),MID(DY20,6,1)*MID($K20,6,1),MID(DY20,7,1)*MID($K20,7,1),MID(DY20,8,1)*MID($K20,8,1),MID(DY20,9,1)*MID($K20,1,1),MID(DY20,10,1)*MID($K20,2,1),MID(DY20,11,1)*MID($K20,3,1),MID(DY20,12,1)*MID($K20,4,1),MID(DY20,13,1)*MID($K20,5,1),MID(DY20,14,1)*MID($K20,6,1),MID(DY20,15,1)*MID($K20,7,1),MID(DY20,16,1)*MID($K20,8,1),MID(DY20,17,1)*MID($K20,1,1),MID(DY20,18,1)*MID($K20,2,1),MID(DY20,19,1)*MID($K20,3,1),MID(DY20,20,1)*MID($K20,4,1),MID(DY20,21,1)*MID($K20,5,1),MID(DY20,22,1)*MID($K20,6,1),MID(DY20,23,1)*MID($K20,7,1),MID(DY20,24,1)*MID($K20,8,1),MID(DY20,25,1)*MID($K20,1,1),MID(DY20,26,1)*MID($K20,2,1),MID(DY20,27,1)*MID($K20,3,1),MID(DY20,28,1)*MID($K20,4,1),MID(DY20,29,1)*MID($K20,5,1),MID(DY20,30,1)*MID($K20,6,1),MID(DY20,31,1)*MID($K20,7,1),MID(DY20,32,1)*MID($K20,8,1))</f>
        <v>00000100000000000000010000000100</v>
      </c>
      <c r="FC20" s="26" t="str">
        <f t="shared" si="124"/>
        <v>00000100</v>
      </c>
      <c r="FD20" s="26" t="str">
        <f t="shared" si="83"/>
        <v>00000000</v>
      </c>
      <c r="FE20" s="26" t="str">
        <f t="shared" si="84"/>
        <v>00000100</v>
      </c>
      <c r="FF20" s="26" t="str">
        <f t="shared" si="85"/>
        <v>00000100</v>
      </c>
      <c r="FG20" s="77">
        <f>BIN2DEC(FC20)-BIN2DEC(FC21)</f>
        <v>-235</v>
      </c>
      <c r="FH20" s="77">
        <f>BIN2DEC(FD20)-BIN2DEC(FD21)</f>
        <v>-254</v>
      </c>
      <c r="FI20" s="77">
        <f>BIN2DEC(FE20)-BIN2DEC(FE21)</f>
        <v>-20</v>
      </c>
      <c r="FJ20" s="77">
        <f>BIN2DEC(FF20)-BIN2DEC(FF21)</f>
        <v>-222</v>
      </c>
      <c r="FK20" s="27" t="str">
        <f t="shared" si="86"/>
        <v>0101</v>
      </c>
      <c r="FL20" s="27" t="str">
        <f t="shared" si="87"/>
        <v>0110</v>
      </c>
      <c r="FM20" s="27" t="str">
        <f t="shared" si="88"/>
        <v>1111</v>
      </c>
      <c r="FN20" s="27" t="str">
        <f t="shared" si="89"/>
        <v>0010</v>
      </c>
      <c r="FO20" s="27" t="str">
        <f t="shared" si="90"/>
        <v>0110</v>
      </c>
      <c r="FP20" s="27" t="str">
        <f t="shared" si="91"/>
        <v>0110</v>
      </c>
      <c r="FQ20" s="27" t="str">
        <f t="shared" si="92"/>
        <v>1011</v>
      </c>
      <c r="FR20" s="27" t="str">
        <f t="shared" si="93"/>
        <v>1100</v>
      </c>
      <c r="FS20" s="77">
        <f t="shared" ref="FS20:FZ20" si="195">BIN2DEC(FK20)-BIN2DEC(FK21)</f>
        <v>-9</v>
      </c>
      <c r="FT20" s="77">
        <f t="shared" si="195"/>
        <v>-9</v>
      </c>
      <c r="FU20" s="77">
        <f t="shared" si="195"/>
        <v>0</v>
      </c>
      <c r="FV20" s="77">
        <f t="shared" si="195"/>
        <v>-12</v>
      </c>
      <c r="FW20" s="77">
        <f t="shared" si="195"/>
        <v>5</v>
      </c>
      <c r="FX20" s="77">
        <f t="shared" si="195"/>
        <v>-2</v>
      </c>
      <c r="FY20" s="77">
        <f t="shared" si="195"/>
        <v>-3</v>
      </c>
      <c r="FZ20" s="77">
        <f t="shared" si="195"/>
        <v>10</v>
      </c>
      <c r="GA20" s="26" t="str">
        <f t="shared" si="16"/>
        <v>0000010000000000</v>
      </c>
      <c r="GB20" s="26" t="str">
        <f t="shared" si="17"/>
        <v>0000010000000100</v>
      </c>
      <c r="GC20" s="77">
        <f>MID(GA20,16,1)*POWER(2,0)+MID(GA20,15,1)*POWER(2,1)+MID(GA20,14,1)*POWER(2,2)+MID(GA20,13,1)*POWER(2,3)+MID(GA20,12,1)*POWER(2,4)+MID(GA20,11,1)*POWER(2,5)+MID(GA20,10,1)*POWER(2,6)+MID(GA20,9,1)*POWER(2,7)+MID(GA20,8,1)*POWER(2,8)+MID(GA20,7,1)*POWER(2,9)+MID(GA20,6,1)*POWER(2,10)+MID(GA20,5,1)*POWER(2,11)+MID(GA20,4,1)*POWER(2,12)+MID(GA20,3,1)*POWER(2,13)+MID(GA20,2,1)*POWER(2,14)+MID(GA20,1,1)*POWER(2,15)-(MID(GA21,16,1)*POWER(2,0)+MID(GA21,15,1)*POWER(2,1)+MID(GA21,14,1)*POWER(2,2)+MID(GA21,13,1)*POWER(2,3)+MID(GA21,12,1)*POWER(2,4)+MID(GA21,11,1)*POWER(2,5)+MID(GA21,10,1)*POWER(2,6)+MID(GA21,9,1)*POWER(2,7)+MID(GA21,8,1)*POWER(2,8)+MID(GA21,7,1)*POWER(2,9)+MID(GA21,6,1)*POWER(2,10)+MID(GA21,5,1)*POWER(2,11)+MID(GA21,4,1)*POWER(2,12)+MID(GA21,3,1)*POWER(2,13)+MID(GA21,2,1)*POWER(2,14)+MID(GA21,1,1)*POWER(2,15))</f>
        <v>-60414</v>
      </c>
      <c r="GD20" s="77">
        <f>MID(GB20,16,1)*POWER(2,0)+MID(GB20,15,1)*POWER(2,1)+MID(GB20,14,1)*POWER(2,2)+MID(GB20,13,1)*POWER(2,3)+MID(GB20,12,1)*POWER(2,4)+MID(GB20,11,1)*POWER(2,5)+MID(GB20,10,1)*POWER(2,6)+MID(GB20,9,1)*POWER(2,7)+MID(GB20,8,1)*POWER(2,8)+MID(GB20,7,1)*POWER(2,9)+MID(GB20,6,1)*POWER(2,10)+MID(GB20,5,1)*POWER(2,11)+MID(GB20,4,1)*POWER(2,12)+MID(GB20,3,1)*POWER(2,13)+MID(GB20,2,1)*POWER(2,14)+MID(GB20,1,1)*POWER(2,15)-(MID(GB21,16,1)*POWER(2,0)+MID(GB21,15,1)*POWER(2,1)+MID(GB21,14,1)*POWER(2,2)+MID(GB21,13,1)*POWER(2,3)+MID(GB21,12,1)*POWER(2,4)+MID(GB21,11,1)*POWER(2,5)+MID(GB21,10,1)*POWER(2,6)+MID(GB21,9,1)*POWER(2,7)+MID(GB21,8,1)*POWER(2,8)+MID(GB21,7,1)*POWER(2,9)+MID(GB21,6,1)*POWER(2,10)+MID(GB21,5,1)*POWER(2,11)+MID(GB21,4,1)*POWER(2,12)+MID(GB21,3,1)*POWER(2,13)+MID(GB21,2,1)*POWER(2,14)+MID(GB21,1,1)*POWER(2,15))</f>
        <v>-5342</v>
      </c>
      <c r="GE20" s="47" t="str">
        <f>DY20</f>
        <v>00000100100000000000010010001100</v>
      </c>
      <c r="GF20" s="26" t="str">
        <f t="shared" si="126"/>
        <v>00000100</v>
      </c>
      <c r="GG20" s="26" t="str">
        <f t="shared" si="94"/>
        <v>10000000</v>
      </c>
      <c r="GH20" s="26" t="str">
        <f t="shared" si="95"/>
        <v>00000100</v>
      </c>
      <c r="GI20" s="26" t="str">
        <f t="shared" si="96"/>
        <v>10001100</v>
      </c>
      <c r="GJ20" s="77">
        <f>BIN2DEC(GF20)-BIN2DEC(GF21)</f>
        <v>-96</v>
      </c>
      <c r="GK20" s="77">
        <f>BIN2DEC(GG20)-BIN2DEC(GG21)</f>
        <v>28</v>
      </c>
      <c r="GL20" s="77">
        <f>BIN2DEC(GH20)-BIN2DEC(GH21)</f>
        <v>4</v>
      </c>
      <c r="GM20" s="77">
        <f>BIN2DEC(GI20)-BIN2DEC(GI21)</f>
        <v>44</v>
      </c>
      <c r="GN20" s="27" t="str">
        <f t="shared" si="97"/>
        <v>0101</v>
      </c>
      <c r="GO20" s="27" t="str">
        <f t="shared" si="98"/>
        <v>0110</v>
      </c>
      <c r="GP20" s="27" t="str">
        <f t="shared" si="99"/>
        <v>1111</v>
      </c>
      <c r="GQ20" s="27" t="str">
        <f t="shared" si="100"/>
        <v>0010</v>
      </c>
      <c r="GR20" s="27" t="str">
        <f t="shared" si="101"/>
        <v>0110</v>
      </c>
      <c r="GS20" s="27" t="str">
        <f t="shared" si="102"/>
        <v>0110</v>
      </c>
      <c r="GT20" s="27" t="str">
        <f t="shared" si="103"/>
        <v>1011</v>
      </c>
      <c r="GU20" s="27" t="str">
        <f t="shared" si="104"/>
        <v>1100</v>
      </c>
      <c r="GV20" s="77">
        <f t="shared" ref="GV20:HC20" si="196">BIN2DEC(GN20)-BIN2DEC(GN21)</f>
        <v>-9</v>
      </c>
      <c r="GW20" s="77">
        <f t="shared" si="196"/>
        <v>-9</v>
      </c>
      <c r="GX20" s="77">
        <f t="shared" si="196"/>
        <v>0</v>
      </c>
      <c r="GY20" s="77">
        <f t="shared" si="196"/>
        <v>-12</v>
      </c>
      <c r="GZ20" s="77">
        <f t="shared" si="196"/>
        <v>5</v>
      </c>
      <c r="HA20" s="77">
        <f t="shared" si="196"/>
        <v>-2</v>
      </c>
      <c r="HB20" s="77">
        <f t="shared" si="196"/>
        <v>-3</v>
      </c>
      <c r="HC20" s="77">
        <f t="shared" si="196"/>
        <v>10</v>
      </c>
      <c r="HD20" s="26" t="str">
        <f t="shared" si="19"/>
        <v>0000010010000000</v>
      </c>
      <c r="HE20" s="26" t="str">
        <f t="shared" si="20"/>
        <v>0000010010001100</v>
      </c>
      <c r="HF20" s="77">
        <f>MID(HD20,16,1)*POWER(2,0)+MID(HD20,15,1)*POWER(2,1)+MID(HD20,14,1)*POWER(2,2)+MID(HD20,13,1)*POWER(2,3)+MID(HD20,12,1)*POWER(2,4)+MID(HD20,11,1)*POWER(2,5)+MID(HD20,10,1)*POWER(2,6)+MID(HD20,9,1)*POWER(2,7)+MID(HD20,8,1)*POWER(2,8)+MID(HD20,7,1)*POWER(2,9)+MID(HD20,6,1)*POWER(2,10)+MID(HD20,5,1)*POWER(2,11)+MID(HD20,4,1)*POWER(2,12)+MID(HD20,3,1)*POWER(2,13)+MID(HD20,2,1)*POWER(2,14)+MID(HD20,1,1)*POWER(2,15)-(MID(HD21,16,1)*POWER(2,0)+MID(HD21,15,1)*POWER(2,1)+MID(HD21,14,1)*POWER(2,2)+MID(HD21,13,1)*POWER(2,3)+MID(HD21,12,1)*POWER(2,4)+MID(HD21,11,1)*POWER(2,5)+MID(HD21,10,1)*POWER(2,6)+MID(HD21,9,1)*POWER(2,7)+MID(HD21,8,1)*POWER(2,8)+MID(HD21,7,1)*POWER(2,9)+MID(HD21,6,1)*POWER(2,10)+MID(HD21,5,1)*POWER(2,11)+MID(HD21,4,1)*POWER(2,12)+MID(HD21,3,1)*POWER(2,13)+MID(HD21,2,1)*POWER(2,14)+MID(HD21,1,1)*POWER(2,15))</f>
        <v>-24548</v>
      </c>
      <c r="HG20" s="77">
        <f>MID(HE20,16,1)*POWER(2,0)+MID(HE20,15,1)*POWER(2,1)+MID(HE20,14,1)*POWER(2,2)+MID(HE20,13,1)*POWER(2,3)+MID(HE20,12,1)*POWER(2,4)+MID(HE20,11,1)*POWER(2,5)+MID(HE20,10,1)*POWER(2,6)+MID(HE20,9,1)*POWER(2,7)+MID(HE20,8,1)*POWER(2,8)+MID(HE20,7,1)*POWER(2,9)+MID(HE20,6,1)*POWER(2,10)+MID(HE20,5,1)*POWER(2,11)+MID(HE20,4,1)*POWER(2,12)+MID(HE20,3,1)*POWER(2,13)+MID(HE20,2,1)*POWER(2,14)+MID(HE20,1,1)*POWER(2,15)-(MID(HE21,16,1)*POWER(2,0)+MID(HE21,15,1)*POWER(2,1)+MID(HE21,14,1)*POWER(2,2)+MID(HE21,13,1)*POWER(2,3)+MID(HE21,12,1)*POWER(2,4)+MID(HE21,11,1)*POWER(2,5)+MID(HE21,10,1)*POWER(2,6)+MID(HE21,9,1)*POWER(2,7)+MID(HE21,8,1)*POWER(2,8)+MID(HE21,7,1)*POWER(2,9)+MID(HE21,6,1)*POWER(2,10)+MID(HE21,5,1)*POWER(2,11)+MID(HE21,4,1)*POWER(2,12)+MID(HE21,3,1)*POWER(2,13)+MID(HE21,2,1)*POWER(2,14)+MID(HE21,1,1)*POWER(2,15))</f>
        <v>1068</v>
      </c>
      <c r="HH20" s="45" t="str">
        <f>CONCATENATE(MID(GE20,1,1)*MID($K20,1,1),MID(GE20,2,1)*MID($K20,2,1),MID(GE20,3,1)*MID($K20,3,1),MID(GE20,4,1)*MID($K20,4,1),MID(GE20,5,1)*MID($K20,5,1),MID(GE20,6,1)*MID($K20,6,1),MID(GE20,7,1)*MID($K20,7,1),MID(GE20,8,1)*MID($K20,8,1),MID(GE20,9,1)*MID($K20,1,1),MID(GE20,10,1)*MID($K20,2,1),MID(GE20,11,1)*MID($K20,3,1),MID(GE20,12,1)*MID($K20,4,1),MID(GE20,13,1)*MID($K20,5,1),MID(GE20,14,1)*MID($K20,6,1),MID(GE20,15,1)*MID($K20,7,1),MID(GE20,16,1)*MID($K20,8,1),MID(GE20,17,1)*MID($K20,1,1),MID(GE20,18,1)*MID($K20,2,1),MID(GE20,19,1)*MID($K20,3,1),MID(GE20,20,1)*MID($K20,4,1),MID(GE20,21,1)*MID($K20,5,1),MID(GE20,22,1)*MID($K20,6,1),MID(GE20,23,1)*MID($K20,7,1),MID(GE20,24,1)*MID($K20,8,1),MID(GE20,25,1)*MID($K20,1,1),MID(GE20,26,1)*MID($K20,2,1),MID(GE20,27,1)*MID($K20,3,1),MID(GE20,28,1)*MID($K20,4,1),MID(GE20,29,1)*MID($K20,5,1),MID(GE20,30,1)*MID($K20,6,1),MID(GE20,31,1)*MID($K20,7,1),MID(GE20,32,1)*MID($K20,8,1))</f>
        <v>00000100000000000000010000000100</v>
      </c>
      <c r="HI20" s="26" t="str">
        <f t="shared" si="128"/>
        <v>00000100</v>
      </c>
      <c r="HJ20" s="26" t="str">
        <f t="shared" si="105"/>
        <v>00000000</v>
      </c>
      <c r="HK20" s="26" t="str">
        <f t="shared" si="106"/>
        <v>00000100</v>
      </c>
      <c r="HL20" s="26" t="str">
        <f t="shared" si="107"/>
        <v>00000100</v>
      </c>
      <c r="HM20" s="77">
        <f>BIN2DEC(HI20)-BIN2DEC(HI21)</f>
        <v>-96</v>
      </c>
      <c r="HN20" s="77">
        <f>BIN2DEC(HJ20)-BIN2DEC(HJ21)</f>
        <v>-100</v>
      </c>
      <c r="HO20" s="77">
        <f>BIN2DEC(HK20)-BIN2DEC(HK21)</f>
        <v>4</v>
      </c>
      <c r="HP20" s="77">
        <f>BIN2DEC(HL20)-BIN2DEC(HL21)</f>
        <v>-92</v>
      </c>
      <c r="HQ20" s="27" t="str">
        <f t="shared" si="108"/>
        <v>0101</v>
      </c>
      <c r="HR20" s="27" t="str">
        <f t="shared" si="109"/>
        <v>0110</v>
      </c>
      <c r="HS20" s="27" t="str">
        <f t="shared" si="110"/>
        <v>1111</v>
      </c>
      <c r="HT20" s="27" t="str">
        <f t="shared" si="111"/>
        <v>0010</v>
      </c>
      <c r="HU20" s="27" t="str">
        <f t="shared" si="112"/>
        <v>0110</v>
      </c>
      <c r="HV20" s="27" t="str">
        <f t="shared" si="113"/>
        <v>0110</v>
      </c>
      <c r="HW20" s="27" t="str">
        <f t="shared" si="114"/>
        <v>1011</v>
      </c>
      <c r="HX20" s="27" t="str">
        <f t="shared" si="115"/>
        <v>1100</v>
      </c>
      <c r="HY20" s="77">
        <f t="shared" ref="HY20:IF20" si="197">BIN2DEC(HQ20)-BIN2DEC(HQ21)</f>
        <v>-9</v>
      </c>
      <c r="HZ20" s="77">
        <f t="shared" si="197"/>
        <v>-9</v>
      </c>
      <c r="IA20" s="77">
        <f t="shared" si="197"/>
        <v>0</v>
      </c>
      <c r="IB20" s="77">
        <f t="shared" si="197"/>
        <v>-12</v>
      </c>
      <c r="IC20" s="77">
        <f t="shared" si="197"/>
        <v>5</v>
      </c>
      <c r="ID20" s="77">
        <f t="shared" si="197"/>
        <v>-2</v>
      </c>
      <c r="IE20" s="77">
        <f t="shared" si="197"/>
        <v>-3</v>
      </c>
      <c r="IF20" s="77">
        <f t="shared" si="197"/>
        <v>10</v>
      </c>
      <c r="IG20" s="26" t="str">
        <f t="shared" si="22"/>
        <v>0000010000000000</v>
      </c>
      <c r="IH20" s="26" t="str">
        <f t="shared" si="23"/>
        <v>0000010000000100</v>
      </c>
      <c r="II20" s="77">
        <f>MID(IG20,16,1)*POWER(2,0)+MID(IG20,15,1)*POWER(2,1)+MID(IG20,14,1)*POWER(2,2)+MID(IG20,13,1)*POWER(2,3)+MID(IG20,12,1)*POWER(2,4)+MID(IG20,11,1)*POWER(2,5)+MID(IG20,10,1)*POWER(2,6)+MID(IG20,9,1)*POWER(2,7)+MID(IG20,8,1)*POWER(2,8)+MID(IG20,7,1)*POWER(2,9)+MID(IG20,6,1)*POWER(2,10)+MID(IG20,5,1)*POWER(2,11)+MID(IG20,4,1)*POWER(2,12)+MID(IG20,3,1)*POWER(2,13)+MID(IG20,2,1)*POWER(2,14)+MID(IG20,1,1)*POWER(2,15)-(MID(IG21,16,1)*POWER(2,0)+MID(IG21,15,1)*POWER(2,1)+MID(IG21,14,1)*POWER(2,2)+MID(IG21,13,1)*POWER(2,3)+MID(IG21,12,1)*POWER(2,4)+MID(IG21,11,1)*POWER(2,5)+MID(IG21,10,1)*POWER(2,6)+MID(IG21,9,1)*POWER(2,7)+MID(IG21,8,1)*POWER(2,8)+MID(IG21,7,1)*POWER(2,9)+MID(IG21,6,1)*POWER(2,10)+MID(IG21,5,1)*POWER(2,11)+MID(IG21,4,1)*POWER(2,12)+MID(IG21,3,1)*POWER(2,13)+MID(IG21,2,1)*POWER(2,14)+MID(IG21,1,1)*POWER(2,15))</f>
        <v>-24676</v>
      </c>
      <c r="IJ20" s="77">
        <f>MID(IH20,16,1)*POWER(2,0)+MID(IH20,15,1)*POWER(2,1)+MID(IH20,14,1)*POWER(2,2)+MID(IH20,13,1)*POWER(2,3)+MID(IH20,12,1)*POWER(2,4)+MID(IH20,11,1)*POWER(2,5)+MID(IH20,10,1)*POWER(2,6)+MID(IH20,9,1)*POWER(2,7)+MID(IH20,8,1)*POWER(2,8)+MID(IH20,7,1)*POWER(2,9)+MID(IH20,6,1)*POWER(2,10)+MID(IH20,5,1)*POWER(2,11)+MID(IH20,4,1)*POWER(2,12)+MID(IH20,3,1)*POWER(2,13)+MID(IH20,2,1)*POWER(2,14)+MID(IH20,1,1)*POWER(2,15)-(MID(IH21,16,1)*POWER(2,0)+MID(IH21,15,1)*POWER(2,1)+MID(IH21,14,1)*POWER(2,2)+MID(IH21,13,1)*POWER(2,3)+MID(IH21,12,1)*POWER(2,4)+MID(IH21,11,1)*POWER(2,5)+MID(IH21,10,1)*POWER(2,6)+MID(IH21,9,1)*POWER(2,7)+MID(IH21,8,1)*POWER(2,8)+MID(IH21,7,1)*POWER(2,9)+MID(IH21,6,1)*POWER(2,10)+MID(IH21,5,1)*POWER(2,11)+MID(IH21,4,1)*POWER(2,12)+MID(IH21,3,1)*POWER(2,13)+MID(IH21,2,1)*POWER(2,14)+MID(IH21,1,1)*POWER(2,15))</f>
        <v>932</v>
      </c>
      <c r="IL20" s="26"/>
      <c r="IM20" s="26"/>
      <c r="IN20" s="26"/>
      <c r="IO20" s="26"/>
      <c r="IP20" s="22"/>
      <c r="IQ20" s="22"/>
      <c r="IR20" s="22"/>
      <c r="IS20" s="22"/>
      <c r="JB20" s="22"/>
      <c r="JC20" s="22"/>
      <c r="JD20" s="22"/>
      <c r="JE20" s="22"/>
      <c r="JF20" s="22"/>
      <c r="JG20" s="22"/>
      <c r="JH20" s="22"/>
      <c r="JI20" s="22"/>
      <c r="JJ20" s="26"/>
      <c r="JK20" s="26"/>
      <c r="JL20" s="22"/>
      <c r="JM20" s="22"/>
    </row>
    <row r="21" spans="1:273" s="31" customFormat="1" ht="18.600000000000001" thickBot="1" x14ac:dyDescent="0.4">
      <c r="A21" s="28"/>
      <c r="B21" s="29"/>
      <c r="C21" s="17" t="s">
        <v>6</v>
      </c>
      <c r="D21" s="17" t="s">
        <v>56</v>
      </c>
      <c r="E21" s="17" t="s">
        <v>68</v>
      </c>
      <c r="F21" s="17">
        <v>18</v>
      </c>
      <c r="G21" s="17" t="s">
        <v>50</v>
      </c>
      <c r="H21" s="17" t="str">
        <f t="shared" si="172"/>
        <v>11101111111111100001100011100010</v>
      </c>
      <c r="I21" s="17">
        <f t="shared" si="173"/>
        <v>20</v>
      </c>
      <c r="J21" s="17"/>
      <c r="K21" s="17"/>
      <c r="L21" s="44" t="str">
        <f>H21</f>
        <v>11101111111111100001100011100010</v>
      </c>
      <c r="M21" s="30" t="str">
        <f t="shared" si="24"/>
        <v>11101111</v>
      </c>
      <c r="N21" s="30" t="str">
        <f t="shared" si="25"/>
        <v>11111110</v>
      </c>
      <c r="O21" s="30" t="str">
        <f t="shared" si="26"/>
        <v>00011000</v>
      </c>
      <c r="P21" s="30" t="str">
        <f t="shared" si="27"/>
        <v>11100010</v>
      </c>
      <c r="Q21" s="78"/>
      <c r="R21" s="78"/>
      <c r="S21" s="78"/>
      <c r="T21" s="78"/>
      <c r="U21" s="31" t="str">
        <f t="shared" si="28"/>
        <v>1110</v>
      </c>
      <c r="V21" s="31" t="str">
        <f t="shared" si="29"/>
        <v>1111</v>
      </c>
      <c r="W21" s="31" t="str">
        <f t="shared" si="30"/>
        <v>1111</v>
      </c>
      <c r="X21" s="31" t="str">
        <f t="shared" si="31"/>
        <v>1110</v>
      </c>
      <c r="Y21" s="31" t="str">
        <f t="shared" si="32"/>
        <v>0001</v>
      </c>
      <c r="Z21" s="31" t="str">
        <f t="shared" si="33"/>
        <v>1000</v>
      </c>
      <c r="AA21" s="31" t="str">
        <f t="shared" si="34"/>
        <v>1110</v>
      </c>
      <c r="AB21" s="31" t="str">
        <f t="shared" si="35"/>
        <v>0010</v>
      </c>
      <c r="AC21" s="78"/>
      <c r="AD21" s="78"/>
      <c r="AE21" s="78"/>
      <c r="AF21" s="78"/>
      <c r="AG21" s="78"/>
      <c r="AH21" s="78"/>
      <c r="AI21" s="78"/>
      <c r="AJ21" s="78"/>
      <c r="AK21" s="30" t="str">
        <f t="shared" si="1"/>
        <v>1110111111111110</v>
      </c>
      <c r="AL21" s="30" t="str">
        <f t="shared" si="2"/>
        <v>0001100011100010</v>
      </c>
      <c r="AM21" s="78"/>
      <c r="AN21" s="78"/>
      <c r="AO21" s="46" t="str">
        <f>L21</f>
        <v>11101111111111100001100011100010</v>
      </c>
      <c r="AP21" s="30" t="str">
        <f t="shared" si="36"/>
        <v>11101111</v>
      </c>
      <c r="AQ21" s="30" t="str">
        <f t="shared" si="37"/>
        <v>11111110</v>
      </c>
      <c r="AR21" s="30" t="str">
        <f t="shared" si="38"/>
        <v>00011000</v>
      </c>
      <c r="AS21" s="30" t="str">
        <f t="shared" si="39"/>
        <v>11100010</v>
      </c>
      <c r="AT21" s="78"/>
      <c r="AU21" s="78"/>
      <c r="AV21" s="78"/>
      <c r="AW21" s="78"/>
      <c r="AX21" s="31" t="str">
        <f t="shared" si="40"/>
        <v>1110</v>
      </c>
      <c r="AY21" s="31" t="str">
        <f t="shared" si="41"/>
        <v>1111</v>
      </c>
      <c r="AZ21" s="31" t="str">
        <f t="shared" si="42"/>
        <v>1111</v>
      </c>
      <c r="BA21" s="31" t="str">
        <f t="shared" si="43"/>
        <v>1110</v>
      </c>
      <c r="BB21" s="31" t="str">
        <f t="shared" si="44"/>
        <v>0001</v>
      </c>
      <c r="BC21" s="31" t="str">
        <f t="shared" si="45"/>
        <v>1000</v>
      </c>
      <c r="BD21" s="31" t="str">
        <f t="shared" si="46"/>
        <v>1110</v>
      </c>
      <c r="BE21" s="31" t="str">
        <f t="shared" si="47"/>
        <v>0010</v>
      </c>
      <c r="BF21" s="78"/>
      <c r="BG21" s="78"/>
      <c r="BH21" s="78"/>
      <c r="BI21" s="78"/>
      <c r="BJ21" s="78"/>
      <c r="BK21" s="78"/>
      <c r="BL21" s="78"/>
      <c r="BM21" s="78"/>
      <c r="BN21" s="30" t="str">
        <f t="shared" si="4"/>
        <v>1110111111111110</v>
      </c>
      <c r="BO21" s="30" t="str">
        <f t="shared" si="5"/>
        <v>0001100011100010</v>
      </c>
      <c r="BP21" s="78"/>
      <c r="BQ21" s="78"/>
      <c r="BR21" s="46" t="str">
        <f>CONCATENATE(MID(L21,1,1)*MID(K20,1,1),MID(L21,2,1)*MID(K20,2,1),MID(L21,3,1)*MID(K20,3,1),MID(L21,4,1)*MID(K20,4,1),MID(L21,5,1)*MID(K20,5,1),MID(L21,6,1)*MID(K20,6,1),MID(L21,7,1)*MID(K20,7,1),MID(L21,8,1)*MID(K20,8,1),MID(L21,9,1)*MID(K20,1,1),MID(L21,10,1)*MID(K20,2,1),MID(L21,11,1)*MID(K20,3,1),MID(L21,12,1)*MID(K20,4,1),MID(L21,13,1)*MID(K20,5,1),MID(L21,14,1)*MID(K20,6,1),MID(L21,15,1)*MID(K20,7,1),MID(L21,16,1)*MID(K20,8,1),MID(L21,17,1)*MID(K20,1,1),MID(L21,18,1)*MID(K20,2,1),MID(L21,19,1)*MID(K20,3,1),MID(L21,20,1)*MID(K20,4,1),MID(L21,21,1)*MID(K20,5,1),MID(L21,22,1)*MID(K20,6,1),MID(L21,23,1)*MID(K20,7,1),MID(L21,24,1)*MID(K20,8,1),MID(L21,25,1)*MID(K20,1,1),MID(L21,26,1)*MID(K20,2,1),MID(L21,27,1)*MID(K20,3,1),MID(L21,28,1)*MID(K20,4,1),MID(L21,29,1)*MID(K20,5,1),MID(L21,30,1)*MID(K20,6,1),MID(L21,31,1)*MID(K20,7,1),MID(L21,32,1)*MID(K20,8,1))</f>
        <v>01100100011001000000000001100000</v>
      </c>
      <c r="BS21" s="30" t="str">
        <f t="shared" si="48"/>
        <v>01100100</v>
      </c>
      <c r="BT21" s="30" t="str">
        <f t="shared" si="49"/>
        <v>01100100</v>
      </c>
      <c r="BU21" s="30" t="str">
        <f t="shared" si="50"/>
        <v>00000000</v>
      </c>
      <c r="BV21" s="30" t="str">
        <f t="shared" si="51"/>
        <v>01100000</v>
      </c>
      <c r="BW21" s="78"/>
      <c r="BX21" s="78"/>
      <c r="BY21" s="78"/>
      <c r="BZ21" s="78"/>
      <c r="CA21" s="31" t="str">
        <f t="shared" si="52"/>
        <v>1110</v>
      </c>
      <c r="CB21" s="31" t="str">
        <f t="shared" si="53"/>
        <v>1111</v>
      </c>
      <c r="CC21" s="31" t="str">
        <f t="shared" si="54"/>
        <v>1111</v>
      </c>
      <c r="CD21" s="31" t="str">
        <f t="shared" si="55"/>
        <v>1110</v>
      </c>
      <c r="CE21" s="31" t="str">
        <f t="shared" si="56"/>
        <v>0001</v>
      </c>
      <c r="CF21" s="31" t="str">
        <f t="shared" si="57"/>
        <v>1000</v>
      </c>
      <c r="CG21" s="31" t="str">
        <f t="shared" si="58"/>
        <v>1110</v>
      </c>
      <c r="CH21" s="31" t="str">
        <f t="shared" si="59"/>
        <v>0010</v>
      </c>
      <c r="CI21" s="78"/>
      <c r="CJ21" s="78"/>
      <c r="CK21" s="78"/>
      <c r="CL21" s="78"/>
      <c r="CM21" s="78"/>
      <c r="CN21" s="78"/>
      <c r="CO21" s="78"/>
      <c r="CP21" s="78"/>
      <c r="CQ21" s="30" t="str">
        <f t="shared" si="7"/>
        <v>0110010001100100</v>
      </c>
      <c r="CR21" s="30" t="str">
        <f t="shared" si="8"/>
        <v>0000000001100000</v>
      </c>
      <c r="CS21" s="78"/>
      <c r="CT21" s="78"/>
      <c r="CU21" s="46" t="str">
        <f>CONCATENATE(MID($L21,1,1)*MID($K20,1,1),MID($L21,2,1)*MID($K20,2,1),MID($L21,3,1)*MID($K20,3,1),MID($L21,4,1)*MID($K20,4,1),MID($L21,5,1)*MID($K20,5,1),MID($L21,6,1)*MID($K20,6,1),MID($L21,7,1)*MID($K20,7,1),MID($L21,8,1)*MID($K20,8,1),MID($L21,9,1)*MID($K20,1,1),MID($L21,10,1)*MID($K20,2,1),MID($L21,11,1)*MID($K20,3,1),MID($L21,12,1)*MID($K20,4,1),MID($L21,13,1)*MID($K20,5,1),MID($L21,14,1)*MID($K20,6,1),MID($L21,15,1)*MID($K20,7,1),MID($L21,16,1)*MID($K20,8,1),MID($L21,17,1)*MID($K20,1,1),MID($L21,18,1)*MID($K20,2,1),MID($L21,19,1)*MID($K20,3,1),MID($L21,20,1)*MID($K20,4,1),MID($L21,21,1)*MID($K20,5,1),MID($L21,22,1)*MID($K20,6,1),MID($L21,23,1)*MID($K20,7,1),MID($L21,24,1)*MID($K20,8,1),MID($L21,25,1)*MID($K20,1,1),MID($L21,26,1)*MID($K20,2,1),MID($L21,27,1)*MID($K20,3,1),MID($L21,28,1)*MID($K20,4,1),MID($L21,29,1)*MID($K20,5,1),MID($L21,30,1)*MID($K20,6,1),MID($L21,31,1)*MID($K20,7,1),MID($L21,32,1)*MID($K20,8,1))</f>
        <v>01100100011001000000000001100000</v>
      </c>
      <c r="CV21" s="30" t="str">
        <f t="shared" si="60"/>
        <v>01100100</v>
      </c>
      <c r="CW21" s="30" t="str">
        <f t="shared" si="61"/>
        <v>01100100</v>
      </c>
      <c r="CX21" s="30" t="str">
        <f t="shared" si="62"/>
        <v>00000000</v>
      </c>
      <c r="CY21" s="30" t="str">
        <f t="shared" si="63"/>
        <v>01100000</v>
      </c>
      <c r="CZ21" s="78"/>
      <c r="DA21" s="78"/>
      <c r="DB21" s="78"/>
      <c r="DC21" s="78"/>
      <c r="DD21" s="31" t="str">
        <f t="shared" si="64"/>
        <v>1110</v>
      </c>
      <c r="DE21" s="31" t="str">
        <f t="shared" si="65"/>
        <v>1111</v>
      </c>
      <c r="DF21" s="31" t="str">
        <f t="shared" si="66"/>
        <v>1111</v>
      </c>
      <c r="DG21" s="31" t="str">
        <f t="shared" si="67"/>
        <v>1110</v>
      </c>
      <c r="DH21" s="31" t="str">
        <f t="shared" si="68"/>
        <v>0001</v>
      </c>
      <c r="DI21" s="31" t="str">
        <f t="shared" si="69"/>
        <v>1000</v>
      </c>
      <c r="DJ21" s="31" t="str">
        <f t="shared" si="70"/>
        <v>1110</v>
      </c>
      <c r="DK21" s="31" t="str">
        <f t="shared" si="71"/>
        <v>0010</v>
      </c>
      <c r="DL21" s="78"/>
      <c r="DM21" s="78"/>
      <c r="DN21" s="78"/>
      <c r="DO21" s="78"/>
      <c r="DP21" s="78"/>
      <c r="DQ21" s="78"/>
      <c r="DR21" s="78"/>
      <c r="DS21" s="78"/>
      <c r="DT21" s="30" t="str">
        <f t="shared" si="10"/>
        <v>0110010001100100</v>
      </c>
      <c r="DU21" s="30" t="str">
        <f t="shared" si="11"/>
        <v>0000000001100000</v>
      </c>
      <c r="DV21" s="78"/>
      <c r="DW21" s="78"/>
      <c r="DX21" s="23"/>
      <c r="DY21" s="48" t="str">
        <f>H21</f>
        <v>11101111111111100001100011100010</v>
      </c>
      <c r="DZ21" s="30" t="str">
        <f t="shared" si="122"/>
        <v>11101111</v>
      </c>
      <c r="EA21" s="30" t="str">
        <f t="shared" si="72"/>
        <v>11111110</v>
      </c>
      <c r="EB21" s="30" t="str">
        <f t="shared" si="73"/>
        <v>00011000</v>
      </c>
      <c r="EC21" s="30" t="str">
        <f t="shared" si="74"/>
        <v>11100010</v>
      </c>
      <c r="ED21" s="78"/>
      <c r="EE21" s="78"/>
      <c r="EF21" s="78"/>
      <c r="EG21" s="78"/>
      <c r="EH21" s="31" t="str">
        <f t="shared" si="75"/>
        <v>1110</v>
      </c>
      <c r="EI21" s="31" t="str">
        <f t="shared" si="76"/>
        <v>1111</v>
      </c>
      <c r="EJ21" s="31" t="str">
        <f t="shared" si="77"/>
        <v>1111</v>
      </c>
      <c r="EK21" s="31" t="str">
        <f t="shared" si="78"/>
        <v>1110</v>
      </c>
      <c r="EL21" s="31" t="str">
        <f t="shared" si="79"/>
        <v>0001</v>
      </c>
      <c r="EM21" s="31" t="str">
        <f t="shared" si="80"/>
        <v>1000</v>
      </c>
      <c r="EN21" s="31" t="str">
        <f t="shared" si="81"/>
        <v>1110</v>
      </c>
      <c r="EO21" s="31" t="str">
        <f t="shared" si="82"/>
        <v>0010</v>
      </c>
      <c r="EP21" s="78"/>
      <c r="EQ21" s="78"/>
      <c r="ER21" s="78"/>
      <c r="ES21" s="78"/>
      <c r="ET21" s="78"/>
      <c r="EU21" s="78"/>
      <c r="EV21" s="78"/>
      <c r="EW21" s="78"/>
      <c r="EX21" s="30" t="str">
        <f t="shared" si="13"/>
        <v>1110111111111110</v>
      </c>
      <c r="EY21" s="30" t="str">
        <f t="shared" si="14"/>
        <v>0001100011100010</v>
      </c>
      <c r="EZ21" s="78"/>
      <c r="FA21" s="78"/>
      <c r="FB21" s="48" t="str">
        <f>H21</f>
        <v>11101111111111100001100011100010</v>
      </c>
      <c r="FC21" s="30" t="str">
        <f t="shared" si="124"/>
        <v>11101111</v>
      </c>
      <c r="FD21" s="30" t="str">
        <f t="shared" si="83"/>
        <v>11111110</v>
      </c>
      <c r="FE21" s="30" t="str">
        <f t="shared" si="84"/>
        <v>00011000</v>
      </c>
      <c r="FF21" s="30" t="str">
        <f t="shared" si="85"/>
        <v>11100010</v>
      </c>
      <c r="FG21" s="78"/>
      <c r="FH21" s="78"/>
      <c r="FI21" s="78"/>
      <c r="FJ21" s="78"/>
      <c r="FK21" s="31" t="str">
        <f t="shared" si="86"/>
        <v>1110</v>
      </c>
      <c r="FL21" s="31" t="str">
        <f t="shared" si="87"/>
        <v>1111</v>
      </c>
      <c r="FM21" s="31" t="str">
        <f t="shared" si="88"/>
        <v>1111</v>
      </c>
      <c r="FN21" s="31" t="str">
        <f t="shared" si="89"/>
        <v>1110</v>
      </c>
      <c r="FO21" s="31" t="str">
        <f t="shared" si="90"/>
        <v>0001</v>
      </c>
      <c r="FP21" s="31" t="str">
        <f t="shared" si="91"/>
        <v>1000</v>
      </c>
      <c r="FQ21" s="31" t="str">
        <f t="shared" si="92"/>
        <v>1110</v>
      </c>
      <c r="FR21" s="31" t="str">
        <f t="shared" si="93"/>
        <v>0010</v>
      </c>
      <c r="FS21" s="78"/>
      <c r="FT21" s="78"/>
      <c r="FU21" s="78"/>
      <c r="FV21" s="78"/>
      <c r="FW21" s="78"/>
      <c r="FX21" s="78"/>
      <c r="FY21" s="78"/>
      <c r="FZ21" s="78"/>
      <c r="GA21" s="30" t="str">
        <f t="shared" si="16"/>
        <v>1110111111111110</v>
      </c>
      <c r="GB21" s="30" t="str">
        <f t="shared" si="17"/>
        <v>0001100011100010</v>
      </c>
      <c r="GC21" s="78"/>
      <c r="GD21" s="78"/>
      <c r="GE21" s="48" t="str">
        <f>BR21</f>
        <v>01100100011001000000000001100000</v>
      </c>
      <c r="GF21" s="30" t="str">
        <f t="shared" si="126"/>
        <v>01100100</v>
      </c>
      <c r="GG21" s="30" t="str">
        <f t="shared" si="94"/>
        <v>01100100</v>
      </c>
      <c r="GH21" s="30" t="str">
        <f t="shared" si="95"/>
        <v>00000000</v>
      </c>
      <c r="GI21" s="30" t="str">
        <f t="shared" si="96"/>
        <v>01100000</v>
      </c>
      <c r="GJ21" s="78"/>
      <c r="GK21" s="78"/>
      <c r="GL21" s="78"/>
      <c r="GM21" s="78"/>
      <c r="GN21" s="31" t="str">
        <f t="shared" si="97"/>
        <v>1110</v>
      </c>
      <c r="GO21" s="31" t="str">
        <f t="shared" si="98"/>
        <v>1111</v>
      </c>
      <c r="GP21" s="31" t="str">
        <f t="shared" si="99"/>
        <v>1111</v>
      </c>
      <c r="GQ21" s="31" t="str">
        <f t="shared" si="100"/>
        <v>1110</v>
      </c>
      <c r="GR21" s="31" t="str">
        <f t="shared" si="101"/>
        <v>0001</v>
      </c>
      <c r="GS21" s="31" t="str">
        <f t="shared" si="102"/>
        <v>1000</v>
      </c>
      <c r="GT21" s="31" t="str">
        <f t="shared" si="103"/>
        <v>1110</v>
      </c>
      <c r="GU21" s="31" t="str">
        <f t="shared" si="104"/>
        <v>0010</v>
      </c>
      <c r="GV21" s="78"/>
      <c r="GW21" s="78"/>
      <c r="GX21" s="78"/>
      <c r="GY21" s="78"/>
      <c r="GZ21" s="78"/>
      <c r="HA21" s="78"/>
      <c r="HB21" s="78"/>
      <c r="HC21" s="78"/>
      <c r="HD21" s="30" t="str">
        <f t="shared" si="19"/>
        <v>0110010001100100</v>
      </c>
      <c r="HE21" s="30" t="str">
        <f t="shared" si="20"/>
        <v>0000000001100000</v>
      </c>
      <c r="HF21" s="78"/>
      <c r="HG21" s="78"/>
      <c r="HH21" s="48" t="str">
        <f>GE21</f>
        <v>01100100011001000000000001100000</v>
      </c>
      <c r="HI21" s="30" t="str">
        <f t="shared" si="128"/>
        <v>01100100</v>
      </c>
      <c r="HJ21" s="30" t="str">
        <f t="shared" si="105"/>
        <v>01100100</v>
      </c>
      <c r="HK21" s="30" t="str">
        <f t="shared" si="106"/>
        <v>00000000</v>
      </c>
      <c r="HL21" s="30" t="str">
        <f t="shared" si="107"/>
        <v>01100000</v>
      </c>
      <c r="HM21" s="78"/>
      <c r="HN21" s="78"/>
      <c r="HO21" s="78"/>
      <c r="HP21" s="78"/>
      <c r="HQ21" s="31" t="str">
        <f t="shared" si="108"/>
        <v>1110</v>
      </c>
      <c r="HR21" s="31" t="str">
        <f t="shared" si="109"/>
        <v>1111</v>
      </c>
      <c r="HS21" s="31" t="str">
        <f t="shared" si="110"/>
        <v>1111</v>
      </c>
      <c r="HT21" s="31" t="str">
        <f t="shared" si="111"/>
        <v>1110</v>
      </c>
      <c r="HU21" s="31" t="str">
        <f t="shared" si="112"/>
        <v>0001</v>
      </c>
      <c r="HV21" s="31" t="str">
        <f t="shared" si="113"/>
        <v>1000</v>
      </c>
      <c r="HW21" s="31" t="str">
        <f t="shared" si="114"/>
        <v>1110</v>
      </c>
      <c r="HX21" s="31" t="str">
        <f t="shared" si="115"/>
        <v>0010</v>
      </c>
      <c r="HY21" s="78"/>
      <c r="HZ21" s="78"/>
      <c r="IA21" s="78"/>
      <c r="IB21" s="78"/>
      <c r="IC21" s="78"/>
      <c r="ID21" s="78"/>
      <c r="IE21" s="78"/>
      <c r="IF21" s="78"/>
      <c r="IG21" s="30" t="str">
        <f t="shared" si="22"/>
        <v>0110010001100100</v>
      </c>
      <c r="IH21" s="30" t="str">
        <f t="shared" si="23"/>
        <v>0000000001100000</v>
      </c>
      <c r="II21" s="78"/>
      <c r="IJ21" s="78"/>
      <c r="IL21" s="30"/>
      <c r="IM21" s="30"/>
      <c r="IN21" s="30"/>
      <c r="IO21" s="30"/>
      <c r="IP21" s="23"/>
      <c r="IQ21" s="23"/>
      <c r="IR21" s="23"/>
      <c r="IS21" s="23"/>
      <c r="JB21" s="23"/>
      <c r="JC21" s="23"/>
      <c r="JD21" s="23"/>
      <c r="JE21" s="23"/>
      <c r="JF21" s="23"/>
      <c r="JG21" s="23"/>
      <c r="JH21" s="23"/>
      <c r="JI21" s="23"/>
      <c r="JJ21" s="30"/>
      <c r="JK21" s="30"/>
      <c r="JL21" s="23"/>
      <c r="JM21" s="23"/>
    </row>
    <row r="22" spans="1:273" s="35" customFormat="1" x14ac:dyDescent="0.35">
      <c r="A22" s="32"/>
      <c r="B22" s="33"/>
      <c r="C22" s="50" t="s">
        <v>0</v>
      </c>
      <c r="D22" s="50" t="s">
        <v>103</v>
      </c>
      <c r="E22" s="50">
        <v>87</v>
      </c>
      <c r="F22" s="50" t="s">
        <v>118</v>
      </c>
      <c r="G22" s="50" t="s">
        <v>113</v>
      </c>
      <c r="H22" s="50" t="str">
        <f t="shared" ref="H22:H41" si="198">CONCATENATE(HEX2BIN(D22,8),HEX2BIN(E22,8),HEX2BIN(F22,8),HEX2BIN(G22,8))</f>
        <v>10101111100001110000110000011011</v>
      </c>
      <c r="I22" s="50">
        <f t="shared" ref="I22:I41" si="199">MID(H22,1,1)+MID(H22,2,1)+MID(H22,3,1)+MID(H22,4,1)+MID(H22,5,1)+MID(H22,6,1)+MID(H22,7,1)+MID(H22,8,1)+MID(H22,9,1)+MID(H22,10,1)+MID(H22,11,1)+MID(H22,12,1)+MID(H22,13,1)+MID(H22,14,1)+MID(H22,15,1)+MID(H22,16,1)+MID(H22,17,1)+MID(H22,18,1)+MID(H22,19,1)+MID(H22,20,1)+MID(H22,21,1)+MID(H22,22,1)+MID(H22,23,1)+MID(H22,24,1)+MID(H22,25,1)+MID(H22,26,1)+MID(H22,27,1)+MID(H22,28,1)+MID(H22,29,1)+MID(H22,30,1)+MID(H22,31,1)+MID(H22,32,1)</f>
        <v>16</v>
      </c>
      <c r="J22" s="50">
        <v>63</v>
      </c>
      <c r="K22" s="50" t="str">
        <f>HEX2BIN(J22,8)</f>
        <v>01100011</v>
      </c>
      <c r="L22" s="34" t="str">
        <f>CONCATENATE(MID(H22,30,3),MID(H22,17,5),MID(H22,6,3),MID(H22,25,5),MID(H22,14,3),MID(H22,1,5),MID(H22,22,3),MID(H22,9,5))</f>
        <v>01100001111000111111010110010000</v>
      </c>
      <c r="M22" s="34" t="str">
        <f t="shared" si="24"/>
        <v>01100001</v>
      </c>
      <c r="N22" s="34" t="str">
        <f t="shared" si="25"/>
        <v>11100011</v>
      </c>
      <c r="O22" s="34" t="str">
        <f t="shared" si="26"/>
        <v>11110101</v>
      </c>
      <c r="P22" s="34" t="str">
        <f t="shared" si="27"/>
        <v>10010000</v>
      </c>
      <c r="Q22" s="87">
        <f>BIN2DEC(M22)-BIN2DEC(M23)</f>
        <v>-121</v>
      </c>
      <c r="R22" s="87">
        <f>BIN2DEC(N22)-BIN2DEC(N23)</f>
        <v>116</v>
      </c>
      <c r="S22" s="87">
        <f>BIN2DEC(O22)-BIN2DEC(O23)</f>
        <v>174</v>
      </c>
      <c r="T22" s="87">
        <f>BIN2DEC(P22)-BIN2DEC(P23)</f>
        <v>26</v>
      </c>
      <c r="U22" s="35" t="str">
        <f t="shared" si="28"/>
        <v>0110</v>
      </c>
      <c r="V22" s="35" t="str">
        <f t="shared" si="29"/>
        <v>0001</v>
      </c>
      <c r="W22" s="35" t="str">
        <f t="shared" si="30"/>
        <v>1110</v>
      </c>
      <c r="X22" s="35" t="str">
        <f t="shared" si="31"/>
        <v>0011</v>
      </c>
      <c r="Y22" s="35" t="str">
        <f t="shared" si="32"/>
        <v>1111</v>
      </c>
      <c r="Z22" s="35" t="str">
        <f t="shared" si="33"/>
        <v>0101</v>
      </c>
      <c r="AA22" s="35" t="str">
        <f t="shared" si="34"/>
        <v>1001</v>
      </c>
      <c r="AB22" s="35" t="str">
        <f t="shared" si="35"/>
        <v>0000</v>
      </c>
      <c r="AC22" s="87">
        <f t="shared" ref="AC22:AJ22" si="200">BIN2DEC(U22)-BIN2DEC(U23)</f>
        <v>-7</v>
      </c>
      <c r="AD22" s="87">
        <f t="shared" si="200"/>
        <v>-9</v>
      </c>
      <c r="AE22" s="87">
        <f t="shared" si="200"/>
        <v>8</v>
      </c>
      <c r="AF22" s="87">
        <f t="shared" si="200"/>
        <v>-12</v>
      </c>
      <c r="AG22" s="87">
        <f t="shared" si="200"/>
        <v>11</v>
      </c>
      <c r="AH22" s="87">
        <f t="shared" si="200"/>
        <v>-2</v>
      </c>
      <c r="AI22" s="87">
        <f t="shared" si="200"/>
        <v>2</v>
      </c>
      <c r="AJ22" s="87">
        <f t="shared" si="200"/>
        <v>-6</v>
      </c>
      <c r="AK22" s="34" t="str">
        <f t="shared" si="1"/>
        <v>0110000111100011</v>
      </c>
      <c r="AL22" s="34" t="str">
        <f t="shared" si="2"/>
        <v>1111010110010000</v>
      </c>
      <c r="AM22" s="87">
        <f>MID(AK22,16,1)*POWER(2,0)+MID(AK22,15,1)*POWER(2,1)+MID(AK22,14,1)*POWER(2,2)+MID(AK22,13,1)*POWER(2,3)+MID(AK22,12,1)*POWER(2,4)+MID(AK22,11,1)*POWER(2,5)+MID(AK22,10,1)*POWER(2,6)+MID(AK22,9,1)*POWER(2,7)+MID(AK22,8,1)*POWER(2,8)+MID(AK22,7,1)*POWER(2,9)+MID(AK22,6,1)*POWER(2,10)+MID(AK22,5,1)*POWER(2,11)+MID(AK22,4,1)*POWER(2,12)+MID(AK22,3,1)*POWER(2,13)+MID(AK22,2,1)*POWER(2,14)+MID(AK22,1,1)*POWER(2,15)-(MID(AK23,16,1)*POWER(2,0)+MID(AK23,15,1)*POWER(2,1)+MID(AK23,14,1)*POWER(2,2)+MID(AK23,13,1)*POWER(2,3)+MID(AK23,12,1)*POWER(2,4)+MID(AK23,11,1)*POWER(2,5)+MID(AK23,10,1)*POWER(2,6)+MID(AK23,9,1)*POWER(2,7)+MID(AK23,8,1)*POWER(2,8)+MID(AK23,7,1)*POWER(2,9)+MID(AK23,6,1)*POWER(2,10)+MID(AK23,5,1)*POWER(2,11)+MID(AK23,4,1)*POWER(2,12)+MID(AK23,3,1)*POWER(2,13)+MID(AK23,2,1)*POWER(2,14)+MID(AK23,1,1)*POWER(2,15))</f>
        <v>-30860</v>
      </c>
      <c r="AN22" s="87">
        <f>MID(AL22,16,1)*POWER(2,0)+MID(AL22,15,1)*POWER(2,1)+MID(AL22,14,1)*POWER(2,2)+MID(AL22,13,1)*POWER(2,3)+MID(AL22,12,1)*POWER(2,4)+MID(AL22,11,1)*POWER(2,5)+MID(AL22,10,1)*POWER(2,6)+MID(AL22,9,1)*POWER(2,7)+MID(AL22,8,1)*POWER(2,8)+MID(AL22,7,1)*POWER(2,9)+MID(AL22,6,1)*POWER(2,10)+MID(AL22,5,1)*POWER(2,11)+MID(AL22,4,1)*POWER(2,12)+MID(AL22,3,1)*POWER(2,13)+MID(AL22,2,1)*POWER(2,14)+MID(AL22,1,1)*POWER(2,15)-(MID(AL23,16,1)*POWER(2,0)+MID(AL23,15,1)*POWER(2,1)+MID(AL23,14,1)*POWER(2,2)+MID(AL23,13,1)*POWER(2,3)+MID(AL23,12,1)*POWER(2,4)+MID(AL23,11,1)*POWER(2,5)+MID(AL23,10,1)*POWER(2,6)+MID(AL23,9,1)*POWER(2,7)+MID(AL23,8,1)*POWER(2,8)+MID(AL23,7,1)*POWER(2,9)+MID(AL23,6,1)*POWER(2,10)+MID(AL23,5,1)*POWER(2,11)+MID(AL23,4,1)*POWER(2,12)+MID(AL23,3,1)*POWER(2,13)+MID(AL23,2,1)*POWER(2,14)+MID(AL23,1,1)*POWER(2,15))</f>
        <v>44570</v>
      </c>
      <c r="AO22" s="33" t="str">
        <f>CONCATENATE(MID(L22,1,1)*MID(K22,1,1),MID(L22,2,1)*MID(K22,2,1),MID(L22,3,1)*MID(K22,3,1),MID(L22,4,1)*MID(K22,4,1),MID(L22,5,1)*MID(K22,5,1),MID(L22,6,1)*MID(K22,6,1),MID(L22,7,1)*MID(K22,7,1),MID(L22,8,1)*MID(K22,8,1),MID(L22,9,1)*MID(K22,1,1),MID(L22,10,1)*MID(K22,2,1),MID(L22,11,1)*MID(K22,3,1),MID(L22,12,1)*MID(K22,4,1),MID(L22,13,1)*MID(K22,5,1),MID(L22,14,1)*MID(K22,6,1),MID(L22,15,1)*MID(K22,7,1),MID(L22,16,1)*MID(K22,8,1),MID(L22,17,1)*MID(K22,1,1),MID(L22,18,1)*MID(K22,2,1),MID(L22,19,1)*MID(K22,3,1),MID(L22,20,1)*MID(K22,4,1),MID(L22,21,1)*MID(K22,5,1),MID(L22,22,1)*MID(K22,6,1),MID(L22,23,1)*MID(K22,7,1),MID(L22,24,1)*MID(K22,8,1),MID(L22,25,1)*MID(K22,1,1),MID(L22,26,1)*MID(K22,2,1),MID(L22,27,1)*MID(K22,3,1),MID(L22,28,1)*MID(K22,4,1),MID(L22,29,1)*MID(K22,5,1),MID(L22,30,1)*MID(K22,6,1),MID(L22,31,1)*MID(K22,7,1),MID(L22,32,1)*MID(K22,8,1))</f>
        <v>01100001011000110110000100000000</v>
      </c>
      <c r="AP22" s="34" t="str">
        <f t="shared" si="36"/>
        <v>01100001</v>
      </c>
      <c r="AQ22" s="34" t="str">
        <f t="shared" si="37"/>
        <v>01100011</v>
      </c>
      <c r="AR22" s="34" t="str">
        <f t="shared" si="38"/>
        <v>01100001</v>
      </c>
      <c r="AS22" s="34" t="str">
        <f t="shared" si="39"/>
        <v>00000000</v>
      </c>
      <c r="AT22" s="87">
        <f>BIN2DEC(AP22)-BIN2DEC(AP23)</f>
        <v>-121</v>
      </c>
      <c r="AU22" s="87">
        <f>BIN2DEC(AQ22)-BIN2DEC(AQ23)</f>
        <v>-12</v>
      </c>
      <c r="AV22" s="87">
        <f>BIN2DEC(AR22)-BIN2DEC(AR23)</f>
        <v>26</v>
      </c>
      <c r="AW22" s="87">
        <f>BIN2DEC(AS22)-BIN2DEC(AS23)</f>
        <v>-118</v>
      </c>
      <c r="AX22" s="35" t="str">
        <f t="shared" si="40"/>
        <v>0110</v>
      </c>
      <c r="AY22" s="35" t="str">
        <f t="shared" si="41"/>
        <v>0001</v>
      </c>
      <c r="AZ22" s="35" t="str">
        <f t="shared" si="42"/>
        <v>1110</v>
      </c>
      <c r="BA22" s="35" t="str">
        <f t="shared" si="43"/>
        <v>0011</v>
      </c>
      <c r="BB22" s="35" t="str">
        <f t="shared" si="44"/>
        <v>1111</v>
      </c>
      <c r="BC22" s="35" t="str">
        <f t="shared" si="45"/>
        <v>0101</v>
      </c>
      <c r="BD22" s="35" t="str">
        <f t="shared" si="46"/>
        <v>1001</v>
      </c>
      <c r="BE22" s="35" t="str">
        <f t="shared" si="47"/>
        <v>0000</v>
      </c>
      <c r="BF22" s="87">
        <f t="shared" ref="BF22:BM22" si="201">BIN2DEC(AX22)-BIN2DEC(AX23)</f>
        <v>-7</v>
      </c>
      <c r="BG22" s="87">
        <f t="shared" si="201"/>
        <v>-9</v>
      </c>
      <c r="BH22" s="87">
        <f t="shared" si="201"/>
        <v>8</v>
      </c>
      <c r="BI22" s="87">
        <f t="shared" si="201"/>
        <v>-12</v>
      </c>
      <c r="BJ22" s="87">
        <f t="shared" si="201"/>
        <v>11</v>
      </c>
      <c r="BK22" s="87">
        <f t="shared" si="201"/>
        <v>-2</v>
      </c>
      <c r="BL22" s="87">
        <f t="shared" si="201"/>
        <v>2</v>
      </c>
      <c r="BM22" s="87">
        <f t="shared" si="201"/>
        <v>-6</v>
      </c>
      <c r="BN22" s="34" t="str">
        <f t="shared" si="4"/>
        <v>0110000101100011</v>
      </c>
      <c r="BO22" s="34" t="str">
        <f t="shared" si="5"/>
        <v>0110000100000000</v>
      </c>
      <c r="BP22" s="87">
        <f>MID(BN22,16,1)*POWER(2,0)+MID(BN22,15,1)*POWER(2,1)+MID(BN22,14,1)*POWER(2,2)+MID(BN22,13,1)*POWER(2,3)+MID(BN22,12,1)*POWER(2,4)+MID(BN22,11,1)*POWER(2,5)+MID(BN22,10,1)*POWER(2,6)+MID(BN22,9,1)*POWER(2,7)+MID(BN22,8,1)*POWER(2,8)+MID(BN22,7,1)*POWER(2,9)+MID(BN22,6,1)*POWER(2,10)+MID(BN22,5,1)*POWER(2,11)+MID(BN22,4,1)*POWER(2,12)+MID(BN22,3,1)*POWER(2,13)+MID(BN22,2,1)*POWER(2,14)+MID(BN22,1,1)*POWER(2,15)-(MID(BN23,16,1)*POWER(2,0)+MID(BN23,15,1)*POWER(2,1)+MID(BN23,14,1)*POWER(2,2)+MID(BN23,13,1)*POWER(2,3)+MID(BN23,12,1)*POWER(2,4)+MID(BN23,11,1)*POWER(2,5)+MID(BN23,10,1)*POWER(2,6)+MID(BN23,9,1)*POWER(2,7)+MID(BN23,8,1)*POWER(2,8)+MID(BN23,7,1)*POWER(2,9)+MID(BN23,6,1)*POWER(2,10)+MID(BN23,5,1)*POWER(2,11)+MID(BN23,4,1)*POWER(2,12)+MID(BN23,3,1)*POWER(2,13)+MID(BN23,2,1)*POWER(2,14)+MID(BN23,1,1)*POWER(2,15))</f>
        <v>-30988</v>
      </c>
      <c r="BQ22" s="87">
        <f>MID(BO22,16,1)*POWER(2,0)+MID(BO22,15,1)*POWER(2,1)+MID(BO22,14,1)*POWER(2,2)+MID(BO22,13,1)*POWER(2,3)+MID(BO22,12,1)*POWER(2,4)+MID(BO22,11,1)*POWER(2,5)+MID(BO22,10,1)*POWER(2,6)+MID(BO22,9,1)*POWER(2,7)+MID(BO22,8,1)*POWER(2,8)+MID(BO22,7,1)*POWER(2,9)+MID(BO22,6,1)*POWER(2,10)+MID(BO22,5,1)*POWER(2,11)+MID(BO22,4,1)*POWER(2,12)+MID(BO22,3,1)*POWER(2,13)+MID(BO22,2,1)*POWER(2,14)+MID(BO22,1,1)*POWER(2,15)-(MID(BO23,16,1)*POWER(2,0)+MID(BO23,15,1)*POWER(2,1)+MID(BO23,14,1)*POWER(2,2)+MID(BO23,13,1)*POWER(2,3)+MID(BO23,12,1)*POWER(2,4)+MID(BO23,11,1)*POWER(2,5)+MID(BO23,10,1)*POWER(2,6)+MID(BO23,9,1)*POWER(2,7)+MID(BO23,8,1)*POWER(2,8)+MID(BO23,7,1)*POWER(2,9)+MID(BO23,6,1)*POWER(2,10)+MID(BO23,5,1)*POWER(2,11)+MID(BO23,4,1)*POWER(2,12)+MID(BO23,3,1)*POWER(2,13)+MID(BO23,2,1)*POWER(2,14)+MID(BO23,1,1)*POWER(2,15))</f>
        <v>6538</v>
      </c>
      <c r="BR22" s="35" t="str">
        <f>L22</f>
        <v>01100001111000111111010110010000</v>
      </c>
      <c r="BS22" s="34" t="str">
        <f t="shared" si="48"/>
        <v>01100001</v>
      </c>
      <c r="BT22" s="34" t="str">
        <f t="shared" si="49"/>
        <v>11100011</v>
      </c>
      <c r="BU22" s="34" t="str">
        <f t="shared" si="50"/>
        <v>11110101</v>
      </c>
      <c r="BV22" s="34" t="str">
        <f t="shared" si="51"/>
        <v>10010000</v>
      </c>
      <c r="BW22" s="87">
        <f>BIN2DEC(BS22)-BIN2DEC(BS23)</f>
        <v>31</v>
      </c>
      <c r="BX22" s="87">
        <f>BIN2DEC(BT22)-BIN2DEC(BT23)</f>
        <v>128</v>
      </c>
      <c r="BY22" s="87">
        <f>BIN2DEC(BU22)-BIN2DEC(BU23)</f>
        <v>178</v>
      </c>
      <c r="BZ22" s="87">
        <f>BIN2DEC(BV22)-BIN2DEC(BV23)</f>
        <v>46</v>
      </c>
      <c r="CA22" s="35" t="str">
        <f t="shared" si="52"/>
        <v>0110</v>
      </c>
      <c r="CB22" s="35" t="str">
        <f t="shared" si="53"/>
        <v>0001</v>
      </c>
      <c r="CC22" s="35" t="str">
        <f t="shared" si="54"/>
        <v>1110</v>
      </c>
      <c r="CD22" s="35" t="str">
        <f t="shared" si="55"/>
        <v>0011</v>
      </c>
      <c r="CE22" s="35" t="str">
        <f t="shared" si="56"/>
        <v>1111</v>
      </c>
      <c r="CF22" s="35" t="str">
        <f t="shared" si="57"/>
        <v>0101</v>
      </c>
      <c r="CG22" s="35" t="str">
        <f t="shared" si="58"/>
        <v>1001</v>
      </c>
      <c r="CH22" s="35" t="str">
        <f t="shared" si="59"/>
        <v>0000</v>
      </c>
      <c r="CI22" s="87">
        <f t="shared" ref="CI22:CP22" si="202">BIN2DEC(CA22)-BIN2DEC(CA23)</f>
        <v>-7</v>
      </c>
      <c r="CJ22" s="87">
        <f t="shared" si="202"/>
        <v>-9</v>
      </c>
      <c r="CK22" s="87">
        <f t="shared" si="202"/>
        <v>8</v>
      </c>
      <c r="CL22" s="87">
        <f t="shared" si="202"/>
        <v>-12</v>
      </c>
      <c r="CM22" s="87">
        <f t="shared" si="202"/>
        <v>11</v>
      </c>
      <c r="CN22" s="87">
        <f t="shared" si="202"/>
        <v>-2</v>
      </c>
      <c r="CO22" s="87">
        <f t="shared" si="202"/>
        <v>2</v>
      </c>
      <c r="CP22" s="87">
        <f t="shared" si="202"/>
        <v>-6</v>
      </c>
      <c r="CQ22" s="34" t="str">
        <f t="shared" si="7"/>
        <v>0110000111100011</v>
      </c>
      <c r="CR22" s="34" t="str">
        <f t="shared" si="8"/>
        <v>1111010110010000</v>
      </c>
      <c r="CS22" s="87">
        <f>MID(CQ22,16,1)*POWER(2,0)+MID(CQ22,15,1)*POWER(2,1)+MID(CQ22,14,1)*POWER(2,2)+MID(CQ22,13,1)*POWER(2,3)+MID(CQ22,12,1)*POWER(2,4)+MID(CQ22,11,1)*POWER(2,5)+MID(CQ22,10,1)*POWER(2,6)+MID(CQ22,9,1)*POWER(2,7)+MID(CQ22,8,1)*POWER(2,8)+MID(CQ22,7,1)*POWER(2,9)+MID(CQ22,6,1)*POWER(2,10)+MID(CQ22,5,1)*POWER(2,11)+MID(CQ22,4,1)*POWER(2,12)+MID(CQ22,3,1)*POWER(2,13)+MID(CQ22,2,1)*POWER(2,14)+MID(CQ22,1,1)*POWER(2,15)-(MID(CQ23,16,1)*POWER(2,0)+MID(CQ23,15,1)*POWER(2,1)+MID(CQ23,14,1)*POWER(2,2)+MID(CQ23,13,1)*POWER(2,3)+MID(CQ23,12,1)*POWER(2,4)+MID(CQ23,11,1)*POWER(2,5)+MID(CQ23,10,1)*POWER(2,6)+MID(CQ23,9,1)*POWER(2,7)+MID(CQ23,8,1)*POWER(2,8)+MID(CQ23,7,1)*POWER(2,9)+MID(CQ23,6,1)*POWER(2,10)+MID(CQ23,5,1)*POWER(2,11)+MID(CQ23,4,1)*POWER(2,12)+MID(CQ23,3,1)*POWER(2,13)+MID(CQ23,2,1)*POWER(2,14)+MID(CQ23,1,1)*POWER(2,15))</f>
        <v>8064</v>
      </c>
      <c r="CT22" s="87">
        <f>MID(CR22,16,1)*POWER(2,0)+MID(CR22,15,1)*POWER(2,1)+MID(CR22,14,1)*POWER(2,2)+MID(CR22,13,1)*POWER(2,3)+MID(CR22,12,1)*POWER(2,4)+MID(CR22,11,1)*POWER(2,5)+MID(CR22,10,1)*POWER(2,6)+MID(CR22,9,1)*POWER(2,7)+MID(CR22,8,1)*POWER(2,8)+MID(CR22,7,1)*POWER(2,9)+MID(CR22,6,1)*POWER(2,10)+MID(CR22,5,1)*POWER(2,11)+MID(CR22,4,1)*POWER(2,12)+MID(CR22,3,1)*POWER(2,13)+MID(CR22,2,1)*POWER(2,14)+MID(CR22,1,1)*POWER(2,15)-(MID(CR23,16,1)*POWER(2,0)+MID(CR23,15,1)*POWER(2,1)+MID(CR23,14,1)*POWER(2,2)+MID(CR23,13,1)*POWER(2,3)+MID(CR23,12,1)*POWER(2,4)+MID(CR23,11,1)*POWER(2,5)+MID(CR23,10,1)*POWER(2,6)+MID(CR23,9,1)*POWER(2,7)+MID(CR23,8,1)*POWER(2,8)+MID(CR23,7,1)*POWER(2,9)+MID(CR23,6,1)*POWER(2,10)+MID(CR23,5,1)*POWER(2,11)+MID(CR23,4,1)*POWER(2,12)+MID(CR23,3,1)*POWER(2,13)+MID(CR23,2,1)*POWER(2,14)+MID(CR23,1,1)*POWER(2,15))</f>
        <v>45614</v>
      </c>
      <c r="CU22" s="33" t="str">
        <f>CONCATENATE(MID($L22,1,1)*MID($K22,1,1),MID($L22,2,1)*MID($K22,2,1),MID($L22,3,1)*MID($K22,3,1),MID($L22,4,1)*MID($K22,4,1),MID($L22,5,1)*MID($K22,5,1),MID($L22,6,1)*MID($K22,6,1),MID($L22,7,1)*MID($K22,7,1),MID($L22,8,1)*MID($K22,8,1),MID($L22,9,1)*MID($K22,1,1),MID($L22,10,1)*MID($K22,2,1),MID($L22,11,1)*MID($K22,3,1),MID($L22,12,1)*MID($K22,4,1),MID($L22,13,1)*MID($K22,5,1),MID($L22,14,1)*MID($K22,6,1),MID($L22,15,1)*MID($K22,7,1),MID($L22,16,1)*MID($K22,8,1),MID($L22,17,1)*MID($K22,1,1),MID($L22,18,1)*MID($K22,2,1),MID($L22,19,1)*MID($K22,3,1),MID($L22,20,1)*MID($K22,4,1),MID($L22,21,1)*MID($K22,5,1),MID($L22,22,1)*MID($K22,6,1),MID($L22,23,1)*MID($K22,7,1),MID($L22,24,1)*MID($K22,8,1),MID($L22,25,1)*MID($K22,1,1),MID($L22,26,1)*MID($K22,2,1),MID($L22,27,1)*MID($K22,3,1),MID($L22,28,1)*MID($K22,4,1),MID($L22,29,1)*MID($K22,5,1),MID($L22,30,1)*MID($K22,6,1),MID($L22,31,1)*MID($K22,7,1),MID($L22,32,1)*MID($K22,8,1))</f>
        <v>01100001011000110110000100000000</v>
      </c>
      <c r="CV22" s="34" t="str">
        <f t="shared" si="60"/>
        <v>01100001</v>
      </c>
      <c r="CW22" s="34" t="str">
        <f t="shared" si="61"/>
        <v>01100011</v>
      </c>
      <c r="CX22" s="34" t="str">
        <f t="shared" si="62"/>
        <v>01100001</v>
      </c>
      <c r="CY22" s="34" t="str">
        <f t="shared" si="63"/>
        <v>00000000</v>
      </c>
      <c r="CZ22" s="87">
        <f>BIN2DEC(CV22)-BIN2DEC(CV23)</f>
        <v>31</v>
      </c>
      <c r="DA22" s="87">
        <f>BIN2DEC(CW22)-BIN2DEC(CW23)</f>
        <v>0</v>
      </c>
      <c r="DB22" s="87">
        <f>BIN2DEC(CX22)-BIN2DEC(CX23)</f>
        <v>30</v>
      </c>
      <c r="DC22" s="87">
        <f>BIN2DEC(CY22)-BIN2DEC(CY23)</f>
        <v>-98</v>
      </c>
      <c r="DD22" s="35" t="str">
        <f t="shared" si="64"/>
        <v>0110</v>
      </c>
      <c r="DE22" s="35" t="str">
        <f t="shared" si="65"/>
        <v>0001</v>
      </c>
      <c r="DF22" s="35" t="str">
        <f t="shared" si="66"/>
        <v>1110</v>
      </c>
      <c r="DG22" s="35" t="str">
        <f t="shared" si="67"/>
        <v>0011</v>
      </c>
      <c r="DH22" s="35" t="str">
        <f t="shared" si="68"/>
        <v>1111</v>
      </c>
      <c r="DI22" s="35" t="str">
        <f t="shared" si="69"/>
        <v>0101</v>
      </c>
      <c r="DJ22" s="35" t="str">
        <f t="shared" si="70"/>
        <v>1001</v>
      </c>
      <c r="DK22" s="35" t="str">
        <f t="shared" si="71"/>
        <v>0000</v>
      </c>
      <c r="DL22" s="87">
        <f t="shared" ref="DL22:DS22" si="203">BIN2DEC(DD22)-BIN2DEC(DD23)</f>
        <v>-7</v>
      </c>
      <c r="DM22" s="87">
        <f t="shared" si="203"/>
        <v>-9</v>
      </c>
      <c r="DN22" s="87">
        <f t="shared" si="203"/>
        <v>8</v>
      </c>
      <c r="DO22" s="87">
        <f t="shared" si="203"/>
        <v>-12</v>
      </c>
      <c r="DP22" s="87">
        <f t="shared" si="203"/>
        <v>11</v>
      </c>
      <c r="DQ22" s="87">
        <f t="shared" si="203"/>
        <v>-2</v>
      </c>
      <c r="DR22" s="87">
        <f t="shared" si="203"/>
        <v>2</v>
      </c>
      <c r="DS22" s="87">
        <f t="shared" si="203"/>
        <v>-6</v>
      </c>
      <c r="DT22" s="34" t="str">
        <f t="shared" si="10"/>
        <v>0110000101100011</v>
      </c>
      <c r="DU22" s="34" t="str">
        <f t="shared" si="11"/>
        <v>0110000100000000</v>
      </c>
      <c r="DV22" s="87">
        <f>MID(DT22,16,1)*POWER(2,0)+MID(DT22,15,1)*POWER(2,1)+MID(DT22,14,1)*POWER(2,2)+MID(DT22,13,1)*POWER(2,3)+MID(DT22,12,1)*POWER(2,4)+MID(DT22,11,1)*POWER(2,5)+MID(DT22,10,1)*POWER(2,6)+MID(DT22,9,1)*POWER(2,7)+MID(DT22,8,1)*POWER(2,8)+MID(DT22,7,1)*POWER(2,9)+MID(DT22,6,1)*POWER(2,10)+MID(DT22,5,1)*POWER(2,11)+MID(DT22,4,1)*POWER(2,12)+MID(DT22,3,1)*POWER(2,13)+MID(DT22,2,1)*POWER(2,14)+MID(DT22,1,1)*POWER(2,15)-(MID(DT23,16,1)*POWER(2,0)+MID(DT23,15,1)*POWER(2,1)+MID(DT23,14,1)*POWER(2,2)+MID(DT23,13,1)*POWER(2,3)+MID(DT23,12,1)*POWER(2,4)+MID(DT23,11,1)*POWER(2,5)+MID(DT23,10,1)*POWER(2,6)+MID(DT23,9,1)*POWER(2,7)+MID(DT23,8,1)*POWER(2,8)+MID(DT23,7,1)*POWER(2,9)+MID(DT23,6,1)*POWER(2,10)+MID(DT23,5,1)*POWER(2,11)+MID(DT23,4,1)*POWER(2,12)+MID(DT23,3,1)*POWER(2,13)+MID(DT23,2,1)*POWER(2,14)+MID(DT23,1,1)*POWER(2,15))</f>
        <v>7936</v>
      </c>
      <c r="DW22" s="87">
        <f>MID(DU22,16,1)*POWER(2,0)+MID(DU22,15,1)*POWER(2,1)+MID(DU22,14,1)*POWER(2,2)+MID(DU22,13,1)*POWER(2,3)+MID(DU22,12,1)*POWER(2,4)+MID(DU22,11,1)*POWER(2,5)+MID(DU22,10,1)*POWER(2,6)+MID(DU22,9,1)*POWER(2,7)+MID(DU22,8,1)*POWER(2,8)+MID(DU22,7,1)*POWER(2,9)+MID(DU22,6,1)*POWER(2,10)+MID(DU22,5,1)*POWER(2,11)+MID(DU22,4,1)*POWER(2,12)+MID(DU22,3,1)*POWER(2,13)+MID(DU22,2,1)*POWER(2,14)+MID(DU22,1,1)*POWER(2,15)-(MID(DU23,16,1)*POWER(2,0)+MID(DU23,15,1)*POWER(2,1)+MID(DU23,14,1)*POWER(2,2)+MID(DU23,13,1)*POWER(2,3)+MID(DU23,12,1)*POWER(2,4)+MID(DU23,11,1)*POWER(2,5)+MID(DU23,10,1)*POWER(2,6)+MID(DU23,9,1)*POWER(2,7)+MID(DU23,8,1)*POWER(2,8)+MID(DU23,7,1)*POWER(2,9)+MID(DU23,6,1)*POWER(2,10)+MID(DU23,5,1)*POWER(2,11)+MID(DU23,4,1)*POWER(2,12)+MID(DU23,3,1)*POWER(2,13)+MID(DU23,2,1)*POWER(2,14)+MID(DU23,1,1)*POWER(2,15))</f>
        <v>7582</v>
      </c>
      <c r="DX22" s="33" t="str">
        <f>CONCATENATE(MID($H22,1,1)*MID($K22,1,1),MID($H22,2,1)*MID($K22,2,1),MID($H22,3,1)*MID($K22,3,1),MID($H22,4,1)*MID($K22,4,1),MID($H22,5,1)*MID($K22,5,1),MID($H22,6,1)*MID($K22,6,1),MID($H22,7,1)*MID($K22,7,1),MID($H22,8,1)*MID($K22,8,1),MID($H22,9,1)*MID($K22,1,1),MID($H22,10,1)*MID($K22,2,1),MID($H22,11,1)*MID($K22,3,1),MID($H22,12,1)*MID($K22,4,1),MID($H22,13,1)*MID($K22,5,1),MID($H22,14,1)*MID($K22,6,1),MID($H22,15,1)*MID($K22,7,1),MID($H22,16,1)*MID($K22,8,1),MID($H22,17,1)*MID($K22,1,1),MID($H22,18,1)*MID($K22,2,1),MID($H22,19,1)*MID($K22,3,1),MID($H22,20,1)*MID($K22,4,1),MID($H22,21,1)*MID($K22,5,1),MID($H22,22,1)*MID($K22,6,1),MID($H22,23,1)*MID($K22,7,1),MID($H22,24,1)*MID($K22,8,1),MID($H22,25,1)*MID($K22,1,1),MID($H22,26,1)*MID($K22,2,1),MID($H22,27,1)*MID($K22,3,1),MID($H22,28,1)*MID($K22,4,1),MID($H22,29,1)*MID($K22,5,1),MID($H22,30,1)*MID($K22,6,1),MID($H22,31,1)*MID($K22,7,1),MID($H22,32,1)*MID($K22,8,1))</f>
        <v>00100011000000110000000000000011</v>
      </c>
      <c r="DY22" s="34" t="str">
        <f>CONCATENATE(MID(DX22,30,3),MID(DX22,17,5),MID(DX22,6,3),MID(DX22,25,5),MID(DX22,14,3),MID(DX22,1,5),MID(DX22,22,3),MID(DX22,9,5))</f>
        <v>01100000011000000110010000000000</v>
      </c>
      <c r="DZ22" s="34" t="str">
        <f t="shared" si="122"/>
        <v>01100000</v>
      </c>
      <c r="EA22" s="34" t="str">
        <f t="shared" si="72"/>
        <v>01100000</v>
      </c>
      <c r="EB22" s="34" t="str">
        <f t="shared" si="73"/>
        <v>01100100</v>
      </c>
      <c r="EC22" s="34" t="str">
        <f t="shared" si="74"/>
        <v>00000000</v>
      </c>
      <c r="ED22" s="87">
        <f>BIN2DEC(DZ22)-BIN2DEC(DZ23)</f>
        <v>-122</v>
      </c>
      <c r="EE22" s="87">
        <f>BIN2DEC(EA22)-BIN2DEC(EA23)</f>
        <v>-15</v>
      </c>
      <c r="EF22" s="87">
        <f>BIN2DEC(EB22)-BIN2DEC(EB23)</f>
        <v>29</v>
      </c>
      <c r="EG22" s="87">
        <f>BIN2DEC(EC22)-BIN2DEC(EC23)</f>
        <v>-118</v>
      </c>
      <c r="EH22" s="35" t="str">
        <f t="shared" si="75"/>
        <v>0110</v>
      </c>
      <c r="EI22" s="35" t="str">
        <f t="shared" si="76"/>
        <v>0001</v>
      </c>
      <c r="EJ22" s="35" t="str">
        <f t="shared" si="77"/>
        <v>1110</v>
      </c>
      <c r="EK22" s="35" t="str">
        <f t="shared" si="78"/>
        <v>0011</v>
      </c>
      <c r="EL22" s="35" t="str">
        <f t="shared" si="79"/>
        <v>1111</v>
      </c>
      <c r="EM22" s="35" t="str">
        <f t="shared" si="80"/>
        <v>0101</v>
      </c>
      <c r="EN22" s="35" t="str">
        <f t="shared" si="81"/>
        <v>1001</v>
      </c>
      <c r="EO22" s="35" t="str">
        <f t="shared" si="82"/>
        <v>0000</v>
      </c>
      <c r="EP22" s="87">
        <f t="shared" ref="EP22:EW22" si="204">BIN2DEC(EH22)-BIN2DEC(EH23)</f>
        <v>-7</v>
      </c>
      <c r="EQ22" s="87">
        <f t="shared" si="204"/>
        <v>-9</v>
      </c>
      <c r="ER22" s="87">
        <f t="shared" si="204"/>
        <v>8</v>
      </c>
      <c r="ES22" s="87">
        <f t="shared" si="204"/>
        <v>-12</v>
      </c>
      <c r="ET22" s="87">
        <f t="shared" si="204"/>
        <v>11</v>
      </c>
      <c r="EU22" s="87">
        <f t="shared" si="204"/>
        <v>-2</v>
      </c>
      <c r="EV22" s="87">
        <f t="shared" si="204"/>
        <v>2</v>
      </c>
      <c r="EW22" s="87">
        <f t="shared" si="204"/>
        <v>-6</v>
      </c>
      <c r="EX22" s="34" t="str">
        <f t="shared" si="13"/>
        <v>0110000001100000</v>
      </c>
      <c r="EY22" s="34" t="str">
        <f t="shared" si="14"/>
        <v>0110010000000000</v>
      </c>
      <c r="EZ22" s="87">
        <f>MID(EX22,16,1)*POWER(2,0)+MID(EX22,15,1)*POWER(2,1)+MID(EX22,14,1)*POWER(2,2)+MID(EX22,13,1)*POWER(2,3)+MID(EX22,12,1)*POWER(2,4)+MID(EX22,11,1)*POWER(2,5)+MID(EX22,10,1)*POWER(2,6)+MID(EX22,9,1)*POWER(2,7)+MID(EX22,8,1)*POWER(2,8)+MID(EX22,7,1)*POWER(2,9)+MID(EX22,6,1)*POWER(2,10)+MID(EX22,5,1)*POWER(2,11)+MID(EX22,4,1)*POWER(2,12)+MID(EX22,3,1)*POWER(2,13)+MID(EX22,2,1)*POWER(2,14)+MID(EX22,1,1)*POWER(2,15)-(MID(EX23,16,1)*POWER(2,0)+MID(EX23,15,1)*POWER(2,1)+MID(EX23,14,1)*POWER(2,2)+MID(EX23,13,1)*POWER(2,3)+MID(EX23,12,1)*POWER(2,4)+MID(EX23,11,1)*POWER(2,5)+MID(EX23,10,1)*POWER(2,6)+MID(EX23,9,1)*POWER(2,7)+MID(EX23,8,1)*POWER(2,8)+MID(EX23,7,1)*POWER(2,9)+MID(EX23,6,1)*POWER(2,10)+MID(EX23,5,1)*POWER(2,11)+MID(EX23,4,1)*POWER(2,12)+MID(EX23,3,1)*POWER(2,13)+MID(EX23,2,1)*POWER(2,14)+MID(EX23,1,1)*POWER(2,15))</f>
        <v>-31247</v>
      </c>
      <c r="FA22" s="87">
        <f>MID(EY22,16,1)*POWER(2,0)+MID(EY22,15,1)*POWER(2,1)+MID(EY22,14,1)*POWER(2,2)+MID(EY22,13,1)*POWER(2,3)+MID(EY22,12,1)*POWER(2,4)+MID(EY22,11,1)*POWER(2,5)+MID(EY22,10,1)*POWER(2,6)+MID(EY22,9,1)*POWER(2,7)+MID(EY22,8,1)*POWER(2,8)+MID(EY22,7,1)*POWER(2,9)+MID(EY22,6,1)*POWER(2,10)+MID(EY22,5,1)*POWER(2,11)+MID(EY22,4,1)*POWER(2,12)+MID(EY22,3,1)*POWER(2,13)+MID(EY22,2,1)*POWER(2,14)+MID(EY22,1,1)*POWER(2,15)-(MID(EY23,16,1)*POWER(2,0)+MID(EY23,15,1)*POWER(2,1)+MID(EY23,14,1)*POWER(2,2)+MID(EY23,13,1)*POWER(2,3)+MID(EY23,12,1)*POWER(2,4)+MID(EY23,11,1)*POWER(2,5)+MID(EY23,10,1)*POWER(2,6)+MID(EY23,9,1)*POWER(2,7)+MID(EY23,8,1)*POWER(2,8)+MID(EY23,7,1)*POWER(2,9)+MID(EY23,6,1)*POWER(2,10)+MID(EY23,5,1)*POWER(2,11)+MID(EY23,4,1)*POWER(2,12)+MID(EY23,3,1)*POWER(2,13)+MID(EY23,2,1)*POWER(2,14)+MID(EY23,1,1)*POWER(2,15))</f>
        <v>7306</v>
      </c>
      <c r="FB22" s="33" t="str">
        <f>CONCATENATE(MID(DY22,1,1)*MID($K22,1,1),MID(DY22,2,1)*MID($K22,2,1),MID(DY22,3,1)*MID($K22,3,1),MID(DY22,4,1)*MID($K22,4,1),MID(DY22,5,1)*MID($K22,5,1),MID(DY22,6,1)*MID($K22,6,1),MID(DY22,7,1)*MID($K22,7,1),MID(DY22,8,1)*MID($K22,8,1),MID(DY22,9,1)*MID($K22,1,1),MID(DY22,10,1)*MID($K22,2,1),MID(DY22,11,1)*MID($K22,3,1),MID(DY22,12,1)*MID($K22,4,1),MID(DY22,13,1)*MID($K22,5,1),MID(DY22,14,1)*MID($K22,6,1),MID(DY22,15,1)*MID($K22,7,1),MID(DY22,16,1)*MID($K22,8,1),MID(DY22,17,1)*MID($K22,1,1),MID(DY22,18,1)*MID($K22,2,1),MID(DY22,19,1)*MID($K22,3,1),MID(DY22,20,1)*MID($K22,4,1),MID(DY22,21,1)*MID($K22,5,1),MID(DY22,22,1)*MID($K22,6,1),MID(DY22,23,1)*MID($K22,7,1),MID(DY22,24,1)*MID($K22,8,1),MID(DY22,25,1)*MID($K22,1,1),MID(DY22,26,1)*MID($K22,2,1),MID(DY22,27,1)*MID($K22,3,1),MID(DY22,28,1)*MID($K22,4,1),MID(DY22,29,1)*MID($K22,5,1),MID(DY22,30,1)*MID($K22,6,1),MID(DY22,31,1)*MID($K22,7,1),MID(DY22,32,1)*MID($K22,8,1))</f>
        <v>01100000011000000110000000000000</v>
      </c>
      <c r="FC22" s="34" t="str">
        <f t="shared" si="124"/>
        <v>01100000</v>
      </c>
      <c r="FD22" s="34" t="str">
        <f t="shared" si="83"/>
        <v>01100000</v>
      </c>
      <c r="FE22" s="34" t="str">
        <f t="shared" si="84"/>
        <v>01100000</v>
      </c>
      <c r="FF22" s="34" t="str">
        <f t="shared" si="85"/>
        <v>00000000</v>
      </c>
      <c r="FG22" s="87">
        <f>BIN2DEC(FC22)-BIN2DEC(FC23)</f>
        <v>-122</v>
      </c>
      <c r="FH22" s="87">
        <f>BIN2DEC(FD22)-BIN2DEC(FD23)</f>
        <v>-15</v>
      </c>
      <c r="FI22" s="87">
        <f>BIN2DEC(FE22)-BIN2DEC(FE23)</f>
        <v>25</v>
      </c>
      <c r="FJ22" s="87">
        <f>BIN2DEC(FF22)-BIN2DEC(FF23)</f>
        <v>-118</v>
      </c>
      <c r="FK22" s="35" t="str">
        <f t="shared" si="86"/>
        <v>0110</v>
      </c>
      <c r="FL22" s="35" t="str">
        <f t="shared" si="87"/>
        <v>0001</v>
      </c>
      <c r="FM22" s="35" t="str">
        <f t="shared" si="88"/>
        <v>1110</v>
      </c>
      <c r="FN22" s="35" t="str">
        <f t="shared" si="89"/>
        <v>0011</v>
      </c>
      <c r="FO22" s="35" t="str">
        <f t="shared" si="90"/>
        <v>1111</v>
      </c>
      <c r="FP22" s="35" t="str">
        <f t="shared" si="91"/>
        <v>0101</v>
      </c>
      <c r="FQ22" s="35" t="str">
        <f t="shared" si="92"/>
        <v>1001</v>
      </c>
      <c r="FR22" s="35" t="str">
        <f t="shared" si="93"/>
        <v>0000</v>
      </c>
      <c r="FS22" s="87">
        <f t="shared" ref="FS22:FZ22" si="205">BIN2DEC(FK22)-BIN2DEC(FK23)</f>
        <v>-7</v>
      </c>
      <c r="FT22" s="87">
        <f t="shared" si="205"/>
        <v>-9</v>
      </c>
      <c r="FU22" s="87">
        <f t="shared" si="205"/>
        <v>8</v>
      </c>
      <c r="FV22" s="87">
        <f t="shared" si="205"/>
        <v>-12</v>
      </c>
      <c r="FW22" s="87">
        <f t="shared" si="205"/>
        <v>11</v>
      </c>
      <c r="FX22" s="87">
        <f t="shared" si="205"/>
        <v>-2</v>
      </c>
      <c r="FY22" s="87">
        <f t="shared" si="205"/>
        <v>2</v>
      </c>
      <c r="FZ22" s="87">
        <f t="shared" si="205"/>
        <v>-6</v>
      </c>
      <c r="GA22" s="34" t="str">
        <f t="shared" si="16"/>
        <v>0110000001100000</v>
      </c>
      <c r="GB22" s="34" t="str">
        <f t="shared" si="17"/>
        <v>0110000000000000</v>
      </c>
      <c r="GC22" s="87">
        <f>MID(GA22,16,1)*POWER(2,0)+MID(GA22,15,1)*POWER(2,1)+MID(GA22,14,1)*POWER(2,2)+MID(GA22,13,1)*POWER(2,3)+MID(GA22,12,1)*POWER(2,4)+MID(GA22,11,1)*POWER(2,5)+MID(GA22,10,1)*POWER(2,6)+MID(GA22,9,1)*POWER(2,7)+MID(GA22,8,1)*POWER(2,8)+MID(GA22,7,1)*POWER(2,9)+MID(GA22,6,1)*POWER(2,10)+MID(GA22,5,1)*POWER(2,11)+MID(GA22,4,1)*POWER(2,12)+MID(GA22,3,1)*POWER(2,13)+MID(GA22,2,1)*POWER(2,14)+MID(GA22,1,1)*POWER(2,15)-(MID(GA23,16,1)*POWER(2,0)+MID(GA23,15,1)*POWER(2,1)+MID(GA23,14,1)*POWER(2,2)+MID(GA23,13,1)*POWER(2,3)+MID(GA23,12,1)*POWER(2,4)+MID(GA23,11,1)*POWER(2,5)+MID(GA23,10,1)*POWER(2,6)+MID(GA23,9,1)*POWER(2,7)+MID(GA23,8,1)*POWER(2,8)+MID(GA23,7,1)*POWER(2,9)+MID(GA23,6,1)*POWER(2,10)+MID(GA23,5,1)*POWER(2,11)+MID(GA23,4,1)*POWER(2,12)+MID(GA23,3,1)*POWER(2,13)+MID(GA23,2,1)*POWER(2,14)+MID(GA23,1,1)*POWER(2,15))</f>
        <v>-31247</v>
      </c>
      <c r="GD22" s="87">
        <f>MID(GB22,16,1)*POWER(2,0)+MID(GB22,15,1)*POWER(2,1)+MID(GB22,14,1)*POWER(2,2)+MID(GB22,13,1)*POWER(2,3)+MID(GB22,12,1)*POWER(2,4)+MID(GB22,11,1)*POWER(2,5)+MID(GB22,10,1)*POWER(2,6)+MID(GB22,9,1)*POWER(2,7)+MID(GB22,8,1)*POWER(2,8)+MID(GB22,7,1)*POWER(2,9)+MID(GB22,6,1)*POWER(2,10)+MID(GB22,5,1)*POWER(2,11)+MID(GB22,4,1)*POWER(2,12)+MID(GB22,3,1)*POWER(2,13)+MID(GB22,2,1)*POWER(2,14)+MID(GB22,1,1)*POWER(2,15)-(MID(GB23,16,1)*POWER(2,0)+MID(GB23,15,1)*POWER(2,1)+MID(GB23,14,1)*POWER(2,2)+MID(GB23,13,1)*POWER(2,3)+MID(GB23,12,1)*POWER(2,4)+MID(GB23,11,1)*POWER(2,5)+MID(GB23,10,1)*POWER(2,6)+MID(GB23,9,1)*POWER(2,7)+MID(GB23,8,1)*POWER(2,8)+MID(GB23,7,1)*POWER(2,9)+MID(GB23,6,1)*POWER(2,10)+MID(GB23,5,1)*POWER(2,11)+MID(GB23,4,1)*POWER(2,12)+MID(GB23,3,1)*POWER(2,13)+MID(GB23,2,1)*POWER(2,14)+MID(GB23,1,1)*POWER(2,15))</f>
        <v>6282</v>
      </c>
      <c r="GE22" s="35" t="str">
        <f>DY22</f>
        <v>01100000011000000110010000000000</v>
      </c>
      <c r="GF22" s="34" t="str">
        <f t="shared" si="126"/>
        <v>01100000</v>
      </c>
      <c r="GG22" s="34" t="str">
        <f t="shared" si="94"/>
        <v>01100000</v>
      </c>
      <c r="GH22" s="34" t="str">
        <f t="shared" si="95"/>
        <v>01100100</v>
      </c>
      <c r="GI22" s="34" t="str">
        <f t="shared" si="96"/>
        <v>00000000</v>
      </c>
      <c r="GJ22" s="87">
        <f>BIN2DEC(GF22)-BIN2DEC(GF23)</f>
        <v>30</v>
      </c>
      <c r="GK22" s="87">
        <f>BIN2DEC(GG22)-BIN2DEC(GG23)</f>
        <v>-3</v>
      </c>
      <c r="GL22" s="87">
        <f>BIN2DEC(GH22)-BIN2DEC(GH23)</f>
        <v>33</v>
      </c>
      <c r="GM22" s="87">
        <f>BIN2DEC(GI22)-BIN2DEC(GI23)</f>
        <v>-98</v>
      </c>
      <c r="GN22" s="35" t="str">
        <f t="shared" si="97"/>
        <v>0110</v>
      </c>
      <c r="GO22" s="35" t="str">
        <f t="shared" si="98"/>
        <v>0001</v>
      </c>
      <c r="GP22" s="35" t="str">
        <f t="shared" si="99"/>
        <v>1110</v>
      </c>
      <c r="GQ22" s="35" t="str">
        <f t="shared" si="100"/>
        <v>0011</v>
      </c>
      <c r="GR22" s="35" t="str">
        <f t="shared" si="101"/>
        <v>1111</v>
      </c>
      <c r="GS22" s="35" t="str">
        <f t="shared" si="102"/>
        <v>0101</v>
      </c>
      <c r="GT22" s="35" t="str">
        <f t="shared" si="103"/>
        <v>1001</v>
      </c>
      <c r="GU22" s="35" t="str">
        <f t="shared" si="104"/>
        <v>0000</v>
      </c>
      <c r="GV22" s="87">
        <f t="shared" ref="GV22:HC22" si="206">BIN2DEC(GN22)-BIN2DEC(GN23)</f>
        <v>-7</v>
      </c>
      <c r="GW22" s="87">
        <f t="shared" si="206"/>
        <v>-9</v>
      </c>
      <c r="GX22" s="87">
        <f t="shared" si="206"/>
        <v>8</v>
      </c>
      <c r="GY22" s="87">
        <f t="shared" si="206"/>
        <v>-12</v>
      </c>
      <c r="GZ22" s="87">
        <f t="shared" si="206"/>
        <v>11</v>
      </c>
      <c r="HA22" s="87">
        <f t="shared" si="206"/>
        <v>-2</v>
      </c>
      <c r="HB22" s="87">
        <f t="shared" si="206"/>
        <v>2</v>
      </c>
      <c r="HC22" s="87">
        <f t="shared" si="206"/>
        <v>-6</v>
      </c>
      <c r="HD22" s="34" t="str">
        <f t="shared" si="19"/>
        <v>0110000001100000</v>
      </c>
      <c r="HE22" s="34" t="str">
        <f t="shared" si="20"/>
        <v>0110010000000000</v>
      </c>
      <c r="HF22" s="87">
        <f>MID(HD22,16,1)*POWER(2,0)+MID(HD22,15,1)*POWER(2,1)+MID(HD22,14,1)*POWER(2,2)+MID(HD22,13,1)*POWER(2,3)+MID(HD22,12,1)*POWER(2,4)+MID(HD22,11,1)*POWER(2,5)+MID(HD22,10,1)*POWER(2,6)+MID(HD22,9,1)*POWER(2,7)+MID(HD22,8,1)*POWER(2,8)+MID(HD22,7,1)*POWER(2,9)+MID(HD22,6,1)*POWER(2,10)+MID(HD22,5,1)*POWER(2,11)+MID(HD22,4,1)*POWER(2,12)+MID(HD22,3,1)*POWER(2,13)+MID(HD22,2,1)*POWER(2,14)+MID(HD22,1,1)*POWER(2,15)-(MID(HD23,16,1)*POWER(2,0)+MID(HD23,15,1)*POWER(2,1)+MID(HD23,14,1)*POWER(2,2)+MID(HD23,13,1)*POWER(2,3)+MID(HD23,12,1)*POWER(2,4)+MID(HD23,11,1)*POWER(2,5)+MID(HD23,10,1)*POWER(2,6)+MID(HD23,9,1)*POWER(2,7)+MID(HD23,8,1)*POWER(2,8)+MID(HD23,7,1)*POWER(2,9)+MID(HD23,6,1)*POWER(2,10)+MID(HD23,5,1)*POWER(2,11)+MID(HD23,4,1)*POWER(2,12)+MID(HD23,3,1)*POWER(2,13)+MID(HD23,2,1)*POWER(2,14)+MID(HD23,1,1)*POWER(2,15))</f>
        <v>7677</v>
      </c>
      <c r="HG22" s="87">
        <f>MID(HE22,16,1)*POWER(2,0)+MID(HE22,15,1)*POWER(2,1)+MID(HE22,14,1)*POWER(2,2)+MID(HE22,13,1)*POWER(2,3)+MID(HE22,12,1)*POWER(2,4)+MID(HE22,11,1)*POWER(2,5)+MID(HE22,10,1)*POWER(2,6)+MID(HE22,9,1)*POWER(2,7)+MID(HE22,8,1)*POWER(2,8)+MID(HE22,7,1)*POWER(2,9)+MID(HE22,6,1)*POWER(2,10)+MID(HE22,5,1)*POWER(2,11)+MID(HE22,4,1)*POWER(2,12)+MID(HE22,3,1)*POWER(2,13)+MID(HE22,2,1)*POWER(2,14)+MID(HE22,1,1)*POWER(2,15)-(MID(HE23,16,1)*POWER(2,0)+MID(HE23,15,1)*POWER(2,1)+MID(HE23,14,1)*POWER(2,2)+MID(HE23,13,1)*POWER(2,3)+MID(HE23,12,1)*POWER(2,4)+MID(HE23,11,1)*POWER(2,5)+MID(HE23,10,1)*POWER(2,6)+MID(HE23,9,1)*POWER(2,7)+MID(HE23,8,1)*POWER(2,8)+MID(HE23,7,1)*POWER(2,9)+MID(HE23,6,1)*POWER(2,10)+MID(HE23,5,1)*POWER(2,11)+MID(HE23,4,1)*POWER(2,12)+MID(HE23,3,1)*POWER(2,13)+MID(HE23,2,1)*POWER(2,14)+MID(HE23,1,1)*POWER(2,15))</f>
        <v>8350</v>
      </c>
      <c r="HH22" s="33" t="str">
        <f>CONCATENATE(MID(GE22,1,1)*MID($K22,1,1),MID(GE22,2,1)*MID($K22,2,1),MID(GE22,3,1)*MID($K22,3,1),MID(GE22,4,1)*MID($K22,4,1),MID(GE22,5,1)*MID($K22,5,1),MID(GE22,6,1)*MID($K22,6,1),MID(GE22,7,1)*MID($K22,7,1),MID(GE22,8,1)*MID($K22,8,1),MID(GE22,9,1)*MID($K22,1,1),MID(GE22,10,1)*MID($K22,2,1),MID(GE22,11,1)*MID($K22,3,1),MID(GE22,12,1)*MID($K22,4,1),MID(GE22,13,1)*MID($K22,5,1),MID(GE22,14,1)*MID($K22,6,1),MID(GE22,15,1)*MID($K22,7,1),MID(GE22,16,1)*MID($K22,8,1),MID(GE22,17,1)*MID($K22,1,1),MID(GE22,18,1)*MID($K22,2,1),MID(GE22,19,1)*MID($K22,3,1),MID(GE22,20,1)*MID($K22,4,1),MID(GE22,21,1)*MID($K22,5,1),MID(GE22,22,1)*MID($K22,6,1),MID(GE22,23,1)*MID($K22,7,1),MID(GE22,24,1)*MID($K22,8,1),MID(GE22,25,1)*MID($K22,1,1),MID(GE22,26,1)*MID($K22,2,1),MID(GE22,27,1)*MID($K22,3,1),MID(GE22,28,1)*MID($K22,4,1),MID(GE22,29,1)*MID($K22,5,1),MID(GE22,30,1)*MID($K22,6,1),MID(GE22,31,1)*MID($K22,7,1),MID(GE22,32,1)*MID($K22,8,1))</f>
        <v>01100000011000000110000000000000</v>
      </c>
      <c r="HI22" s="34" t="str">
        <f t="shared" si="128"/>
        <v>01100000</v>
      </c>
      <c r="HJ22" s="34" t="str">
        <f t="shared" si="105"/>
        <v>01100000</v>
      </c>
      <c r="HK22" s="34" t="str">
        <f t="shared" si="106"/>
        <v>01100000</v>
      </c>
      <c r="HL22" s="34" t="str">
        <f t="shared" si="107"/>
        <v>00000000</v>
      </c>
      <c r="HM22" s="87">
        <f>BIN2DEC(HI22)-BIN2DEC(HI23)</f>
        <v>30</v>
      </c>
      <c r="HN22" s="87">
        <f>BIN2DEC(HJ22)-BIN2DEC(HJ23)</f>
        <v>-3</v>
      </c>
      <c r="HO22" s="87">
        <f>BIN2DEC(HK22)-BIN2DEC(HK23)</f>
        <v>29</v>
      </c>
      <c r="HP22" s="87">
        <f>BIN2DEC(HL22)-BIN2DEC(HL23)</f>
        <v>-98</v>
      </c>
      <c r="HQ22" s="35" t="str">
        <f t="shared" si="108"/>
        <v>0110</v>
      </c>
      <c r="HR22" s="35" t="str">
        <f t="shared" si="109"/>
        <v>0001</v>
      </c>
      <c r="HS22" s="35" t="str">
        <f t="shared" si="110"/>
        <v>1110</v>
      </c>
      <c r="HT22" s="35" t="str">
        <f t="shared" si="111"/>
        <v>0011</v>
      </c>
      <c r="HU22" s="35" t="str">
        <f t="shared" si="112"/>
        <v>1111</v>
      </c>
      <c r="HV22" s="35" t="str">
        <f t="shared" si="113"/>
        <v>0101</v>
      </c>
      <c r="HW22" s="35" t="str">
        <f t="shared" si="114"/>
        <v>1001</v>
      </c>
      <c r="HX22" s="35" t="str">
        <f t="shared" si="115"/>
        <v>0000</v>
      </c>
      <c r="HY22" s="87">
        <f t="shared" ref="HY22:IF22" si="207">BIN2DEC(HQ22)-BIN2DEC(HQ23)</f>
        <v>-7</v>
      </c>
      <c r="HZ22" s="87">
        <f t="shared" si="207"/>
        <v>-9</v>
      </c>
      <c r="IA22" s="87">
        <f t="shared" si="207"/>
        <v>8</v>
      </c>
      <c r="IB22" s="87">
        <f t="shared" si="207"/>
        <v>-12</v>
      </c>
      <c r="IC22" s="87">
        <f t="shared" si="207"/>
        <v>11</v>
      </c>
      <c r="ID22" s="87">
        <f t="shared" si="207"/>
        <v>-2</v>
      </c>
      <c r="IE22" s="87">
        <f t="shared" si="207"/>
        <v>2</v>
      </c>
      <c r="IF22" s="87">
        <f t="shared" si="207"/>
        <v>-6</v>
      </c>
      <c r="IG22" s="34" t="str">
        <f t="shared" si="22"/>
        <v>0110000001100000</v>
      </c>
      <c r="IH22" s="34" t="str">
        <f t="shared" si="23"/>
        <v>0110000000000000</v>
      </c>
      <c r="II22" s="87">
        <f>MID(IG22,16,1)*POWER(2,0)+MID(IG22,15,1)*POWER(2,1)+MID(IG22,14,1)*POWER(2,2)+MID(IG22,13,1)*POWER(2,3)+MID(IG22,12,1)*POWER(2,4)+MID(IG22,11,1)*POWER(2,5)+MID(IG22,10,1)*POWER(2,6)+MID(IG22,9,1)*POWER(2,7)+MID(IG22,8,1)*POWER(2,8)+MID(IG22,7,1)*POWER(2,9)+MID(IG22,6,1)*POWER(2,10)+MID(IG22,5,1)*POWER(2,11)+MID(IG22,4,1)*POWER(2,12)+MID(IG22,3,1)*POWER(2,13)+MID(IG22,2,1)*POWER(2,14)+MID(IG22,1,1)*POWER(2,15)-(MID(IG23,16,1)*POWER(2,0)+MID(IG23,15,1)*POWER(2,1)+MID(IG23,14,1)*POWER(2,2)+MID(IG23,13,1)*POWER(2,3)+MID(IG23,12,1)*POWER(2,4)+MID(IG23,11,1)*POWER(2,5)+MID(IG23,10,1)*POWER(2,6)+MID(IG23,9,1)*POWER(2,7)+MID(IG23,8,1)*POWER(2,8)+MID(IG23,7,1)*POWER(2,9)+MID(IG23,6,1)*POWER(2,10)+MID(IG23,5,1)*POWER(2,11)+MID(IG23,4,1)*POWER(2,12)+MID(IG23,3,1)*POWER(2,13)+MID(IG23,2,1)*POWER(2,14)+MID(IG23,1,1)*POWER(2,15))</f>
        <v>7677</v>
      </c>
      <c r="IJ22" s="87">
        <f>MID(IH22,16,1)*POWER(2,0)+MID(IH22,15,1)*POWER(2,1)+MID(IH22,14,1)*POWER(2,2)+MID(IH22,13,1)*POWER(2,3)+MID(IH22,12,1)*POWER(2,4)+MID(IH22,11,1)*POWER(2,5)+MID(IH22,10,1)*POWER(2,6)+MID(IH22,9,1)*POWER(2,7)+MID(IH22,8,1)*POWER(2,8)+MID(IH22,7,1)*POWER(2,9)+MID(IH22,6,1)*POWER(2,10)+MID(IH22,5,1)*POWER(2,11)+MID(IH22,4,1)*POWER(2,12)+MID(IH22,3,1)*POWER(2,13)+MID(IH22,2,1)*POWER(2,14)+MID(IH22,1,1)*POWER(2,15)-(MID(IH23,16,1)*POWER(2,0)+MID(IH23,15,1)*POWER(2,1)+MID(IH23,14,1)*POWER(2,2)+MID(IH23,13,1)*POWER(2,3)+MID(IH23,12,1)*POWER(2,4)+MID(IH23,11,1)*POWER(2,5)+MID(IH23,10,1)*POWER(2,6)+MID(IH23,9,1)*POWER(2,7)+MID(IH23,8,1)*POWER(2,8)+MID(IH23,7,1)*POWER(2,9)+MID(IH23,6,1)*POWER(2,10)+MID(IH23,5,1)*POWER(2,11)+MID(IH23,4,1)*POWER(2,12)+MID(IH23,3,1)*POWER(2,13)+MID(IH23,2,1)*POWER(2,14)+MID(IH23,1,1)*POWER(2,15))</f>
        <v>7326</v>
      </c>
      <c r="IL22" s="34"/>
      <c r="IM22" s="34"/>
      <c r="IN22" s="34"/>
      <c r="IO22" s="34"/>
      <c r="IP22" s="33"/>
      <c r="IQ22" s="33"/>
      <c r="IR22" s="33"/>
      <c r="IS22" s="33"/>
      <c r="JB22" s="33"/>
      <c r="JC22" s="33"/>
      <c r="JD22" s="33"/>
      <c r="JE22" s="33"/>
      <c r="JF22" s="33"/>
      <c r="JG22" s="33"/>
      <c r="JH22" s="33"/>
      <c r="JI22" s="33"/>
      <c r="JJ22" s="34"/>
      <c r="JK22" s="34"/>
      <c r="JL22" s="33"/>
      <c r="JM22" s="33"/>
    </row>
    <row r="23" spans="1:273" s="39" customFormat="1" ht="18.600000000000001" thickBot="1" x14ac:dyDescent="0.4">
      <c r="A23" s="36"/>
      <c r="B23" s="37"/>
      <c r="C23" s="51" t="s">
        <v>6</v>
      </c>
      <c r="D23" s="51" t="s">
        <v>111</v>
      </c>
      <c r="E23" s="51" t="s">
        <v>85</v>
      </c>
      <c r="F23" s="51">
        <v>47</v>
      </c>
      <c r="G23" s="51">
        <v>76</v>
      </c>
      <c r="H23" s="51" t="str">
        <f t="shared" si="198"/>
        <v>11011010011011110100011101110110</v>
      </c>
      <c r="I23" s="51">
        <f t="shared" si="199"/>
        <v>20</v>
      </c>
      <c r="J23" s="51"/>
      <c r="K23" s="51"/>
      <c r="L23" s="38" t="str">
        <f>H23</f>
        <v>11011010011011110100011101110110</v>
      </c>
      <c r="M23" s="38" t="str">
        <f t="shared" si="24"/>
        <v>11011010</v>
      </c>
      <c r="N23" s="38" t="str">
        <f t="shared" si="25"/>
        <v>01101111</v>
      </c>
      <c r="O23" s="38" t="str">
        <f t="shared" si="26"/>
        <v>01000111</v>
      </c>
      <c r="P23" s="38" t="str">
        <f t="shared" si="27"/>
        <v>01110110</v>
      </c>
      <c r="Q23" s="88"/>
      <c r="R23" s="88"/>
      <c r="S23" s="88"/>
      <c r="T23" s="88"/>
      <c r="U23" s="39" t="str">
        <f t="shared" si="28"/>
        <v>1101</v>
      </c>
      <c r="V23" s="39" t="str">
        <f t="shared" si="29"/>
        <v>1010</v>
      </c>
      <c r="W23" s="39" t="str">
        <f t="shared" si="30"/>
        <v>0110</v>
      </c>
      <c r="X23" s="39" t="str">
        <f t="shared" si="31"/>
        <v>1111</v>
      </c>
      <c r="Y23" s="39" t="str">
        <f t="shared" si="32"/>
        <v>0100</v>
      </c>
      <c r="Z23" s="39" t="str">
        <f t="shared" si="33"/>
        <v>0111</v>
      </c>
      <c r="AA23" s="39" t="str">
        <f t="shared" si="34"/>
        <v>0111</v>
      </c>
      <c r="AB23" s="39" t="str">
        <f t="shared" si="35"/>
        <v>0110</v>
      </c>
      <c r="AC23" s="88"/>
      <c r="AD23" s="88"/>
      <c r="AE23" s="88"/>
      <c r="AF23" s="88"/>
      <c r="AG23" s="88"/>
      <c r="AH23" s="88"/>
      <c r="AI23" s="88"/>
      <c r="AJ23" s="88"/>
      <c r="AK23" s="38" t="str">
        <f t="shared" si="1"/>
        <v>1101101001101111</v>
      </c>
      <c r="AL23" s="38" t="str">
        <f t="shared" si="2"/>
        <v>0100011101110110</v>
      </c>
      <c r="AM23" s="88"/>
      <c r="AN23" s="88"/>
      <c r="AO23" s="37" t="str">
        <f>L23</f>
        <v>11011010011011110100011101110110</v>
      </c>
      <c r="AP23" s="38" t="str">
        <f t="shared" si="36"/>
        <v>11011010</v>
      </c>
      <c r="AQ23" s="38" t="str">
        <f t="shared" si="37"/>
        <v>01101111</v>
      </c>
      <c r="AR23" s="38" t="str">
        <f t="shared" si="38"/>
        <v>01000111</v>
      </c>
      <c r="AS23" s="38" t="str">
        <f t="shared" si="39"/>
        <v>01110110</v>
      </c>
      <c r="AT23" s="88"/>
      <c r="AU23" s="88"/>
      <c r="AV23" s="88"/>
      <c r="AW23" s="88"/>
      <c r="AX23" s="39" t="str">
        <f t="shared" si="40"/>
        <v>1101</v>
      </c>
      <c r="AY23" s="39" t="str">
        <f t="shared" si="41"/>
        <v>1010</v>
      </c>
      <c r="AZ23" s="39" t="str">
        <f t="shared" si="42"/>
        <v>0110</v>
      </c>
      <c r="BA23" s="39" t="str">
        <f t="shared" si="43"/>
        <v>1111</v>
      </c>
      <c r="BB23" s="39" t="str">
        <f t="shared" si="44"/>
        <v>0100</v>
      </c>
      <c r="BC23" s="39" t="str">
        <f t="shared" si="45"/>
        <v>0111</v>
      </c>
      <c r="BD23" s="39" t="str">
        <f t="shared" si="46"/>
        <v>0111</v>
      </c>
      <c r="BE23" s="39" t="str">
        <f t="shared" si="47"/>
        <v>0110</v>
      </c>
      <c r="BF23" s="88"/>
      <c r="BG23" s="88"/>
      <c r="BH23" s="88"/>
      <c r="BI23" s="88"/>
      <c r="BJ23" s="88"/>
      <c r="BK23" s="88"/>
      <c r="BL23" s="88"/>
      <c r="BM23" s="88"/>
      <c r="BN23" s="38" t="str">
        <f t="shared" si="4"/>
        <v>1101101001101111</v>
      </c>
      <c r="BO23" s="38" t="str">
        <f t="shared" si="5"/>
        <v>0100011101110110</v>
      </c>
      <c r="BP23" s="88"/>
      <c r="BQ23" s="88"/>
      <c r="BR23" s="37" t="str">
        <f>CONCATENATE(MID(L23,1,1)*MID(K22,1,1),MID(L23,2,1)*MID(K22,2,1),MID(L23,3,1)*MID(K22,3,1),MID(L23,4,1)*MID(K22,4,1),MID(L23,5,1)*MID(K22,5,1),MID(L23,6,1)*MID(K22,6,1),MID(L23,7,1)*MID(K22,7,1),MID(L23,8,1)*MID(K22,8,1),MID(L23,9,1)*MID(K22,1,1),MID(L23,10,1)*MID(K22,2,1),MID(L23,11,1)*MID(K22,3,1),MID(L23,12,1)*MID(K22,4,1),MID(L23,13,1)*MID(K22,5,1),MID(L23,14,1)*MID(K22,6,1),MID(L23,15,1)*MID(K22,7,1),MID(L23,16,1)*MID(K22,8,1),MID(L23,17,1)*MID(K22,1,1),MID(L23,18,1)*MID(K22,2,1),MID(L23,19,1)*MID(K22,3,1),MID(L23,20,1)*MID(K22,4,1),MID(L23,21,1)*MID(K22,5,1),MID(L23,22,1)*MID(K22,6,1),MID(L23,23,1)*MID(K22,7,1),MID(L23,24,1)*MID(K22,8,1),MID(L23,25,1)*MID(K22,1,1),MID(L23,26,1)*MID(K22,2,1),MID(L23,27,1)*MID(K22,3,1),MID(L23,28,1)*MID(K22,4,1),MID(L23,29,1)*MID(K22,5,1),MID(L23,30,1)*MID(K22,6,1),MID(L23,31,1)*MID(K22,7,1),MID(L23,32,1)*MID(K22,8,1))</f>
        <v>01000010011000110100001101100010</v>
      </c>
      <c r="BS23" s="38" t="str">
        <f t="shared" si="48"/>
        <v>01000010</v>
      </c>
      <c r="BT23" s="38" t="str">
        <f t="shared" si="49"/>
        <v>01100011</v>
      </c>
      <c r="BU23" s="38" t="str">
        <f t="shared" si="50"/>
        <v>01000011</v>
      </c>
      <c r="BV23" s="38" t="str">
        <f t="shared" si="51"/>
        <v>01100010</v>
      </c>
      <c r="BW23" s="88"/>
      <c r="BX23" s="88"/>
      <c r="BY23" s="88"/>
      <c r="BZ23" s="88"/>
      <c r="CA23" s="39" t="str">
        <f t="shared" si="52"/>
        <v>1101</v>
      </c>
      <c r="CB23" s="39" t="str">
        <f t="shared" si="53"/>
        <v>1010</v>
      </c>
      <c r="CC23" s="39" t="str">
        <f t="shared" si="54"/>
        <v>0110</v>
      </c>
      <c r="CD23" s="39" t="str">
        <f t="shared" si="55"/>
        <v>1111</v>
      </c>
      <c r="CE23" s="39" t="str">
        <f t="shared" si="56"/>
        <v>0100</v>
      </c>
      <c r="CF23" s="39" t="str">
        <f t="shared" si="57"/>
        <v>0111</v>
      </c>
      <c r="CG23" s="39" t="str">
        <f t="shared" si="58"/>
        <v>0111</v>
      </c>
      <c r="CH23" s="39" t="str">
        <f t="shared" si="59"/>
        <v>0110</v>
      </c>
      <c r="CI23" s="88"/>
      <c r="CJ23" s="88"/>
      <c r="CK23" s="88"/>
      <c r="CL23" s="88"/>
      <c r="CM23" s="88"/>
      <c r="CN23" s="88"/>
      <c r="CO23" s="88"/>
      <c r="CP23" s="88"/>
      <c r="CQ23" s="38" t="str">
        <f t="shared" si="7"/>
        <v>0100001001100011</v>
      </c>
      <c r="CR23" s="38" t="str">
        <f t="shared" si="8"/>
        <v>0100001101100010</v>
      </c>
      <c r="CS23" s="88"/>
      <c r="CT23" s="88"/>
      <c r="CU23" s="37" t="str">
        <f>CONCATENATE(MID($L23,1,1)*MID($K22,1,1),MID($L23,2,1)*MID($K22,2,1),MID($L23,3,1)*MID($K22,3,1),MID($L23,4,1)*MID($K22,4,1),MID($L23,5,1)*MID($K22,5,1),MID($L23,6,1)*MID($K22,6,1),MID($L23,7,1)*MID($K22,7,1),MID($L23,8,1)*MID($K22,8,1),MID($L23,9,1)*MID($K22,1,1),MID($L23,10,1)*MID($K22,2,1),MID($L23,11,1)*MID($K22,3,1),MID($L23,12,1)*MID($K22,4,1),MID($L23,13,1)*MID($K22,5,1),MID($L23,14,1)*MID($K22,6,1),MID($L23,15,1)*MID($K22,7,1),MID($L23,16,1)*MID($K22,8,1),MID($L23,17,1)*MID($K22,1,1),MID($L23,18,1)*MID($K22,2,1),MID($L23,19,1)*MID($K22,3,1),MID($L23,20,1)*MID($K22,4,1),MID($L23,21,1)*MID($K22,5,1),MID($L23,22,1)*MID($K22,6,1),MID($L23,23,1)*MID($K22,7,1),MID($L23,24,1)*MID($K22,8,1),MID($L23,25,1)*MID($K22,1,1),MID($L23,26,1)*MID($K22,2,1),MID($L23,27,1)*MID($K22,3,1),MID($L23,28,1)*MID($K22,4,1),MID($L23,29,1)*MID($K22,5,1),MID($L23,30,1)*MID($K22,6,1),MID($L23,31,1)*MID($K22,7,1),MID($L23,32,1)*MID($K22,8,1))</f>
        <v>01000010011000110100001101100010</v>
      </c>
      <c r="CV23" s="38" t="str">
        <f t="shared" si="60"/>
        <v>01000010</v>
      </c>
      <c r="CW23" s="38" t="str">
        <f t="shared" si="61"/>
        <v>01100011</v>
      </c>
      <c r="CX23" s="38" t="str">
        <f t="shared" si="62"/>
        <v>01000011</v>
      </c>
      <c r="CY23" s="38" t="str">
        <f t="shared" si="63"/>
        <v>01100010</v>
      </c>
      <c r="CZ23" s="88"/>
      <c r="DA23" s="88"/>
      <c r="DB23" s="88"/>
      <c r="DC23" s="88"/>
      <c r="DD23" s="39" t="str">
        <f t="shared" si="64"/>
        <v>1101</v>
      </c>
      <c r="DE23" s="39" t="str">
        <f t="shared" si="65"/>
        <v>1010</v>
      </c>
      <c r="DF23" s="39" t="str">
        <f t="shared" si="66"/>
        <v>0110</v>
      </c>
      <c r="DG23" s="39" t="str">
        <f t="shared" si="67"/>
        <v>1111</v>
      </c>
      <c r="DH23" s="39" t="str">
        <f t="shared" si="68"/>
        <v>0100</v>
      </c>
      <c r="DI23" s="39" t="str">
        <f t="shared" si="69"/>
        <v>0111</v>
      </c>
      <c r="DJ23" s="39" t="str">
        <f t="shared" si="70"/>
        <v>0111</v>
      </c>
      <c r="DK23" s="39" t="str">
        <f t="shared" si="71"/>
        <v>0110</v>
      </c>
      <c r="DL23" s="88"/>
      <c r="DM23" s="88"/>
      <c r="DN23" s="88"/>
      <c r="DO23" s="88"/>
      <c r="DP23" s="88"/>
      <c r="DQ23" s="88"/>
      <c r="DR23" s="88"/>
      <c r="DS23" s="88"/>
      <c r="DT23" s="38" t="str">
        <f t="shared" si="10"/>
        <v>0100001001100011</v>
      </c>
      <c r="DU23" s="38" t="str">
        <f t="shared" si="11"/>
        <v>0100001101100010</v>
      </c>
      <c r="DV23" s="88"/>
      <c r="DW23" s="88"/>
      <c r="DX23" s="37"/>
      <c r="DY23" s="39" t="str">
        <f>H23</f>
        <v>11011010011011110100011101110110</v>
      </c>
      <c r="DZ23" s="38" t="str">
        <f t="shared" si="122"/>
        <v>11011010</v>
      </c>
      <c r="EA23" s="38" t="str">
        <f t="shared" si="72"/>
        <v>01101111</v>
      </c>
      <c r="EB23" s="38" t="str">
        <f t="shared" si="73"/>
        <v>01000111</v>
      </c>
      <c r="EC23" s="38" t="str">
        <f t="shared" si="74"/>
        <v>01110110</v>
      </c>
      <c r="ED23" s="88"/>
      <c r="EE23" s="88"/>
      <c r="EF23" s="88"/>
      <c r="EG23" s="88"/>
      <c r="EH23" s="39" t="str">
        <f t="shared" si="75"/>
        <v>1101</v>
      </c>
      <c r="EI23" s="39" t="str">
        <f t="shared" si="76"/>
        <v>1010</v>
      </c>
      <c r="EJ23" s="39" t="str">
        <f t="shared" si="77"/>
        <v>0110</v>
      </c>
      <c r="EK23" s="39" t="str">
        <f t="shared" si="78"/>
        <v>1111</v>
      </c>
      <c r="EL23" s="39" t="str">
        <f t="shared" si="79"/>
        <v>0100</v>
      </c>
      <c r="EM23" s="39" t="str">
        <f t="shared" si="80"/>
        <v>0111</v>
      </c>
      <c r="EN23" s="39" t="str">
        <f t="shared" si="81"/>
        <v>0111</v>
      </c>
      <c r="EO23" s="39" t="str">
        <f t="shared" si="82"/>
        <v>0110</v>
      </c>
      <c r="EP23" s="88"/>
      <c r="EQ23" s="88"/>
      <c r="ER23" s="88"/>
      <c r="ES23" s="88"/>
      <c r="ET23" s="88"/>
      <c r="EU23" s="88"/>
      <c r="EV23" s="88"/>
      <c r="EW23" s="88"/>
      <c r="EX23" s="38" t="str">
        <f t="shared" si="13"/>
        <v>1101101001101111</v>
      </c>
      <c r="EY23" s="38" t="str">
        <f t="shared" si="14"/>
        <v>0100011101110110</v>
      </c>
      <c r="EZ23" s="88"/>
      <c r="FA23" s="88"/>
      <c r="FB23" s="39" t="str">
        <f>H23</f>
        <v>11011010011011110100011101110110</v>
      </c>
      <c r="FC23" s="38" t="str">
        <f t="shared" si="124"/>
        <v>11011010</v>
      </c>
      <c r="FD23" s="38" t="str">
        <f t="shared" si="83"/>
        <v>01101111</v>
      </c>
      <c r="FE23" s="38" t="str">
        <f t="shared" si="84"/>
        <v>01000111</v>
      </c>
      <c r="FF23" s="38" t="str">
        <f t="shared" si="85"/>
        <v>01110110</v>
      </c>
      <c r="FG23" s="88"/>
      <c r="FH23" s="88"/>
      <c r="FI23" s="88"/>
      <c r="FJ23" s="88"/>
      <c r="FK23" s="39" t="str">
        <f t="shared" si="86"/>
        <v>1101</v>
      </c>
      <c r="FL23" s="39" t="str">
        <f t="shared" si="87"/>
        <v>1010</v>
      </c>
      <c r="FM23" s="39" t="str">
        <f t="shared" si="88"/>
        <v>0110</v>
      </c>
      <c r="FN23" s="39" t="str">
        <f t="shared" si="89"/>
        <v>1111</v>
      </c>
      <c r="FO23" s="39" t="str">
        <f t="shared" si="90"/>
        <v>0100</v>
      </c>
      <c r="FP23" s="39" t="str">
        <f t="shared" si="91"/>
        <v>0111</v>
      </c>
      <c r="FQ23" s="39" t="str">
        <f t="shared" si="92"/>
        <v>0111</v>
      </c>
      <c r="FR23" s="39" t="str">
        <f t="shared" si="93"/>
        <v>0110</v>
      </c>
      <c r="FS23" s="88"/>
      <c r="FT23" s="88"/>
      <c r="FU23" s="88"/>
      <c r="FV23" s="88"/>
      <c r="FW23" s="88"/>
      <c r="FX23" s="88"/>
      <c r="FY23" s="88"/>
      <c r="FZ23" s="88"/>
      <c r="GA23" s="38" t="str">
        <f t="shared" si="16"/>
        <v>1101101001101111</v>
      </c>
      <c r="GB23" s="38" t="str">
        <f t="shared" si="17"/>
        <v>0100011101110110</v>
      </c>
      <c r="GC23" s="88"/>
      <c r="GD23" s="88"/>
      <c r="GE23" s="39" t="str">
        <f>BR23</f>
        <v>01000010011000110100001101100010</v>
      </c>
      <c r="GF23" s="38" t="str">
        <f t="shared" si="126"/>
        <v>01000010</v>
      </c>
      <c r="GG23" s="38" t="str">
        <f t="shared" si="94"/>
        <v>01100011</v>
      </c>
      <c r="GH23" s="38" t="str">
        <f t="shared" si="95"/>
        <v>01000011</v>
      </c>
      <c r="GI23" s="38" t="str">
        <f t="shared" si="96"/>
        <v>01100010</v>
      </c>
      <c r="GJ23" s="88"/>
      <c r="GK23" s="88"/>
      <c r="GL23" s="88"/>
      <c r="GM23" s="88"/>
      <c r="GN23" s="39" t="str">
        <f t="shared" si="97"/>
        <v>1101</v>
      </c>
      <c r="GO23" s="39" t="str">
        <f t="shared" si="98"/>
        <v>1010</v>
      </c>
      <c r="GP23" s="39" t="str">
        <f t="shared" si="99"/>
        <v>0110</v>
      </c>
      <c r="GQ23" s="39" t="str">
        <f t="shared" si="100"/>
        <v>1111</v>
      </c>
      <c r="GR23" s="39" t="str">
        <f t="shared" si="101"/>
        <v>0100</v>
      </c>
      <c r="GS23" s="39" t="str">
        <f t="shared" si="102"/>
        <v>0111</v>
      </c>
      <c r="GT23" s="39" t="str">
        <f t="shared" si="103"/>
        <v>0111</v>
      </c>
      <c r="GU23" s="39" t="str">
        <f t="shared" si="104"/>
        <v>0110</v>
      </c>
      <c r="GV23" s="88"/>
      <c r="GW23" s="88"/>
      <c r="GX23" s="88"/>
      <c r="GY23" s="88"/>
      <c r="GZ23" s="88"/>
      <c r="HA23" s="88"/>
      <c r="HB23" s="88"/>
      <c r="HC23" s="88"/>
      <c r="HD23" s="38" t="str">
        <f t="shared" si="19"/>
        <v>0100001001100011</v>
      </c>
      <c r="HE23" s="38" t="str">
        <f t="shared" si="20"/>
        <v>0100001101100010</v>
      </c>
      <c r="HF23" s="88"/>
      <c r="HG23" s="88"/>
      <c r="HH23" s="39" t="str">
        <f>GE23</f>
        <v>01000010011000110100001101100010</v>
      </c>
      <c r="HI23" s="38" t="str">
        <f t="shared" si="128"/>
        <v>01000010</v>
      </c>
      <c r="HJ23" s="38" t="str">
        <f t="shared" si="105"/>
        <v>01100011</v>
      </c>
      <c r="HK23" s="38" t="str">
        <f t="shared" si="106"/>
        <v>01000011</v>
      </c>
      <c r="HL23" s="38" t="str">
        <f t="shared" si="107"/>
        <v>01100010</v>
      </c>
      <c r="HM23" s="88"/>
      <c r="HN23" s="88"/>
      <c r="HO23" s="88"/>
      <c r="HP23" s="88"/>
      <c r="HQ23" s="39" t="str">
        <f t="shared" si="108"/>
        <v>1101</v>
      </c>
      <c r="HR23" s="39" t="str">
        <f t="shared" si="109"/>
        <v>1010</v>
      </c>
      <c r="HS23" s="39" t="str">
        <f t="shared" si="110"/>
        <v>0110</v>
      </c>
      <c r="HT23" s="39" t="str">
        <f t="shared" si="111"/>
        <v>1111</v>
      </c>
      <c r="HU23" s="39" t="str">
        <f t="shared" si="112"/>
        <v>0100</v>
      </c>
      <c r="HV23" s="39" t="str">
        <f t="shared" si="113"/>
        <v>0111</v>
      </c>
      <c r="HW23" s="39" t="str">
        <f t="shared" si="114"/>
        <v>0111</v>
      </c>
      <c r="HX23" s="39" t="str">
        <f t="shared" si="115"/>
        <v>0110</v>
      </c>
      <c r="HY23" s="88"/>
      <c r="HZ23" s="88"/>
      <c r="IA23" s="88"/>
      <c r="IB23" s="88"/>
      <c r="IC23" s="88"/>
      <c r="ID23" s="88"/>
      <c r="IE23" s="88"/>
      <c r="IF23" s="88"/>
      <c r="IG23" s="38" t="str">
        <f t="shared" si="22"/>
        <v>0100001001100011</v>
      </c>
      <c r="IH23" s="38" t="str">
        <f t="shared" si="23"/>
        <v>0100001101100010</v>
      </c>
      <c r="II23" s="88"/>
      <c r="IJ23" s="88"/>
      <c r="IL23" s="38"/>
      <c r="IM23" s="38"/>
      <c r="IN23" s="38"/>
      <c r="IO23" s="38"/>
      <c r="IP23" s="37"/>
      <c r="IQ23" s="37"/>
      <c r="IR23" s="37"/>
      <c r="IS23" s="37"/>
      <c r="JB23" s="37"/>
      <c r="JC23" s="37"/>
      <c r="JD23" s="37"/>
      <c r="JE23" s="37"/>
      <c r="JF23" s="37"/>
      <c r="JG23" s="37"/>
      <c r="JH23" s="37"/>
      <c r="JI23" s="37"/>
      <c r="JJ23" s="38"/>
      <c r="JK23" s="38"/>
      <c r="JL23" s="37"/>
      <c r="JM23" s="37"/>
    </row>
    <row r="24" spans="1:273" s="35" customFormat="1" x14ac:dyDescent="0.35">
      <c r="A24" s="32"/>
      <c r="B24" s="33"/>
      <c r="C24" s="50" t="s">
        <v>0</v>
      </c>
      <c r="D24" s="50">
        <v>15</v>
      </c>
      <c r="E24" s="50" t="s">
        <v>100</v>
      </c>
      <c r="F24" s="50">
        <v>73</v>
      </c>
      <c r="G24" s="50">
        <v>16</v>
      </c>
      <c r="H24" s="50" t="str">
        <f t="shared" si="198"/>
        <v>00010101111101010111001100010110</v>
      </c>
      <c r="I24" s="50">
        <f t="shared" si="199"/>
        <v>17</v>
      </c>
      <c r="J24" s="50">
        <v>63</v>
      </c>
      <c r="K24" s="50" t="str">
        <f>HEX2BIN(J24,8)</f>
        <v>01100011</v>
      </c>
      <c r="L24" s="34" t="str">
        <f>CONCATENATE(MID(H24,30,3),MID(H24,17,5),MID(H24,6,3),MID(H24,25,5),MID(H24,14,3),MID(H24,1,5),MID(H24,22,3),MID(H24,9,5))</f>
        <v>11001110101000101010001001111110</v>
      </c>
      <c r="M24" s="34" t="str">
        <f t="shared" si="24"/>
        <v>11001110</v>
      </c>
      <c r="N24" s="34" t="str">
        <f t="shared" si="25"/>
        <v>10100010</v>
      </c>
      <c r="O24" s="34" t="str">
        <f t="shared" si="26"/>
        <v>10100010</v>
      </c>
      <c r="P24" s="34" t="str">
        <f t="shared" si="27"/>
        <v>01111110</v>
      </c>
      <c r="Q24" s="87">
        <f>BIN2DEC(M24)-BIN2DEC(M25)</f>
        <v>135</v>
      </c>
      <c r="R24" s="87">
        <f>BIN2DEC(N24)-BIN2DEC(N25)</f>
        <v>115</v>
      </c>
      <c r="S24" s="87">
        <f>BIN2DEC(O24)-BIN2DEC(O25)</f>
        <v>-82</v>
      </c>
      <c r="T24" s="87">
        <f>BIN2DEC(P24)-BIN2DEC(P25)</f>
        <v>27</v>
      </c>
      <c r="U24" s="35" t="str">
        <f t="shared" si="28"/>
        <v>1100</v>
      </c>
      <c r="V24" s="35" t="str">
        <f t="shared" si="29"/>
        <v>1110</v>
      </c>
      <c r="W24" s="35" t="str">
        <f t="shared" si="30"/>
        <v>1010</v>
      </c>
      <c r="X24" s="35" t="str">
        <f t="shared" si="31"/>
        <v>0010</v>
      </c>
      <c r="Y24" s="35" t="str">
        <f t="shared" si="32"/>
        <v>1010</v>
      </c>
      <c r="Z24" s="35" t="str">
        <f t="shared" si="33"/>
        <v>0010</v>
      </c>
      <c r="AA24" s="35" t="str">
        <f t="shared" si="34"/>
        <v>0111</v>
      </c>
      <c r="AB24" s="35" t="str">
        <f t="shared" si="35"/>
        <v>1110</v>
      </c>
      <c r="AC24" s="87">
        <f t="shared" ref="AC24:AJ24" si="208">BIN2DEC(U24)-BIN2DEC(U25)</f>
        <v>8</v>
      </c>
      <c r="AD24" s="87">
        <f t="shared" si="208"/>
        <v>7</v>
      </c>
      <c r="AE24" s="87">
        <f t="shared" si="208"/>
        <v>8</v>
      </c>
      <c r="AF24" s="87">
        <f t="shared" si="208"/>
        <v>-13</v>
      </c>
      <c r="AG24" s="87">
        <f t="shared" si="208"/>
        <v>-5</v>
      </c>
      <c r="AH24" s="87">
        <f t="shared" si="208"/>
        <v>-2</v>
      </c>
      <c r="AI24" s="87">
        <f t="shared" si="208"/>
        <v>1</v>
      </c>
      <c r="AJ24" s="87">
        <f t="shared" si="208"/>
        <v>11</v>
      </c>
      <c r="AK24" s="34" t="str">
        <f t="shared" si="1"/>
        <v>1100111010100010</v>
      </c>
      <c r="AL24" s="34" t="str">
        <f t="shared" si="2"/>
        <v>1010001001111110</v>
      </c>
      <c r="AM24" s="87">
        <f>MID(AK24,16,1)*POWER(2,0)+MID(AK24,15,1)*POWER(2,1)+MID(AK24,14,1)*POWER(2,2)+MID(AK24,13,1)*POWER(2,3)+MID(AK24,12,1)*POWER(2,4)+MID(AK24,11,1)*POWER(2,5)+MID(AK24,10,1)*POWER(2,6)+MID(AK24,9,1)*POWER(2,7)+MID(AK24,8,1)*POWER(2,8)+MID(AK24,7,1)*POWER(2,9)+MID(AK24,6,1)*POWER(2,10)+MID(AK24,5,1)*POWER(2,11)+MID(AK24,4,1)*POWER(2,12)+MID(AK24,3,1)*POWER(2,13)+MID(AK24,2,1)*POWER(2,14)+MID(AK24,1,1)*POWER(2,15)-(MID(AK25,16,1)*POWER(2,0)+MID(AK25,15,1)*POWER(2,1)+MID(AK25,14,1)*POWER(2,2)+MID(AK25,13,1)*POWER(2,3)+MID(AK25,12,1)*POWER(2,4)+MID(AK25,11,1)*POWER(2,5)+MID(AK25,10,1)*POWER(2,6)+MID(AK25,9,1)*POWER(2,7)+MID(AK25,8,1)*POWER(2,8)+MID(AK25,7,1)*POWER(2,9)+MID(AK25,6,1)*POWER(2,10)+MID(AK25,5,1)*POWER(2,11)+MID(AK25,4,1)*POWER(2,12)+MID(AK25,3,1)*POWER(2,13)+MID(AK25,2,1)*POWER(2,14)+MID(AK25,1,1)*POWER(2,15))</f>
        <v>34675</v>
      </c>
      <c r="AN24" s="87">
        <f>MID(AL24,16,1)*POWER(2,0)+MID(AL24,15,1)*POWER(2,1)+MID(AL24,14,1)*POWER(2,2)+MID(AL24,13,1)*POWER(2,3)+MID(AL24,12,1)*POWER(2,4)+MID(AL24,11,1)*POWER(2,5)+MID(AL24,10,1)*POWER(2,6)+MID(AL24,9,1)*POWER(2,7)+MID(AL24,8,1)*POWER(2,8)+MID(AL24,7,1)*POWER(2,9)+MID(AL24,6,1)*POWER(2,10)+MID(AL24,5,1)*POWER(2,11)+MID(AL24,4,1)*POWER(2,12)+MID(AL24,3,1)*POWER(2,13)+MID(AL24,2,1)*POWER(2,14)+MID(AL24,1,1)*POWER(2,15)-(MID(AL25,16,1)*POWER(2,0)+MID(AL25,15,1)*POWER(2,1)+MID(AL25,14,1)*POWER(2,2)+MID(AL25,13,1)*POWER(2,3)+MID(AL25,12,1)*POWER(2,4)+MID(AL25,11,1)*POWER(2,5)+MID(AL25,10,1)*POWER(2,6)+MID(AL25,9,1)*POWER(2,7)+MID(AL25,8,1)*POWER(2,8)+MID(AL25,7,1)*POWER(2,9)+MID(AL25,6,1)*POWER(2,10)+MID(AL25,5,1)*POWER(2,11)+MID(AL25,4,1)*POWER(2,12)+MID(AL25,3,1)*POWER(2,13)+MID(AL25,2,1)*POWER(2,14)+MID(AL25,1,1)*POWER(2,15))</f>
        <v>-20965</v>
      </c>
      <c r="AO24" s="33" t="str">
        <f>CONCATENATE(MID(L24,1,1)*MID(K24,1,1),MID(L24,2,1)*MID(K24,2,1),MID(L24,3,1)*MID(K24,3,1),MID(L24,4,1)*MID(K24,4,1),MID(L24,5,1)*MID(K24,5,1),MID(L24,6,1)*MID(K24,6,1),MID(L24,7,1)*MID(K24,7,1),MID(L24,8,1)*MID(K24,8,1),MID(L24,9,1)*MID(K24,1,1),MID(L24,10,1)*MID(K24,2,1),MID(L24,11,1)*MID(K24,3,1),MID(L24,12,1)*MID(K24,4,1),MID(L24,13,1)*MID(K24,5,1),MID(L24,14,1)*MID(K24,6,1),MID(L24,15,1)*MID(K24,7,1),MID(L24,16,1)*MID(K24,8,1),MID(L24,17,1)*MID(K24,1,1),MID(L24,18,1)*MID(K24,2,1),MID(L24,19,1)*MID(K24,3,1),MID(L24,20,1)*MID(K24,4,1),MID(L24,21,1)*MID(K24,5,1),MID(L24,22,1)*MID(K24,6,1),MID(L24,23,1)*MID(K24,7,1),MID(L24,24,1)*MID(K24,8,1),MID(L24,25,1)*MID(K24,1,1),MID(L24,26,1)*MID(K24,2,1),MID(L24,27,1)*MID(K24,3,1),MID(L24,28,1)*MID(K24,4,1),MID(L24,29,1)*MID(K24,5,1),MID(L24,30,1)*MID(K24,6,1),MID(L24,31,1)*MID(K24,7,1),MID(L24,32,1)*MID(K24,8,1))</f>
        <v>01000010001000100010001001100010</v>
      </c>
      <c r="AP24" s="34" t="str">
        <f t="shared" si="36"/>
        <v>01000010</v>
      </c>
      <c r="AQ24" s="34" t="str">
        <f t="shared" si="37"/>
        <v>00100010</v>
      </c>
      <c r="AR24" s="34" t="str">
        <f t="shared" si="38"/>
        <v>00100010</v>
      </c>
      <c r="AS24" s="34" t="str">
        <f t="shared" si="39"/>
        <v>01100010</v>
      </c>
      <c r="AT24" s="87">
        <f>BIN2DEC(AP24)-BIN2DEC(AP25)</f>
        <v>-5</v>
      </c>
      <c r="AU24" s="87">
        <f>BIN2DEC(AQ24)-BIN2DEC(AQ25)</f>
        <v>-13</v>
      </c>
      <c r="AV24" s="87">
        <f>BIN2DEC(AR24)-BIN2DEC(AR25)</f>
        <v>-210</v>
      </c>
      <c r="AW24" s="87">
        <f>BIN2DEC(AS24)-BIN2DEC(AS25)</f>
        <v>-1</v>
      </c>
      <c r="AX24" s="35" t="str">
        <f t="shared" si="40"/>
        <v>1100</v>
      </c>
      <c r="AY24" s="35" t="str">
        <f t="shared" si="41"/>
        <v>1110</v>
      </c>
      <c r="AZ24" s="35" t="str">
        <f t="shared" si="42"/>
        <v>1010</v>
      </c>
      <c r="BA24" s="35" t="str">
        <f t="shared" si="43"/>
        <v>0010</v>
      </c>
      <c r="BB24" s="35" t="str">
        <f t="shared" si="44"/>
        <v>1010</v>
      </c>
      <c r="BC24" s="35" t="str">
        <f t="shared" si="45"/>
        <v>0010</v>
      </c>
      <c r="BD24" s="35" t="str">
        <f t="shared" si="46"/>
        <v>0111</v>
      </c>
      <c r="BE24" s="35" t="str">
        <f t="shared" si="47"/>
        <v>1110</v>
      </c>
      <c r="BF24" s="87">
        <f t="shared" ref="BF24:BM24" si="209">BIN2DEC(AX24)-BIN2DEC(AX25)</f>
        <v>8</v>
      </c>
      <c r="BG24" s="87">
        <f t="shared" si="209"/>
        <v>7</v>
      </c>
      <c r="BH24" s="87">
        <f t="shared" si="209"/>
        <v>8</v>
      </c>
      <c r="BI24" s="87">
        <f t="shared" si="209"/>
        <v>-13</v>
      </c>
      <c r="BJ24" s="87">
        <f t="shared" si="209"/>
        <v>-5</v>
      </c>
      <c r="BK24" s="87">
        <f t="shared" si="209"/>
        <v>-2</v>
      </c>
      <c r="BL24" s="87">
        <f t="shared" si="209"/>
        <v>1</v>
      </c>
      <c r="BM24" s="87">
        <f t="shared" si="209"/>
        <v>11</v>
      </c>
      <c r="BN24" s="34" t="str">
        <f t="shared" si="4"/>
        <v>0100001000100010</v>
      </c>
      <c r="BO24" s="34" t="str">
        <f t="shared" si="5"/>
        <v>0010001001100010</v>
      </c>
      <c r="BP24" s="87">
        <f>MID(BN24,16,1)*POWER(2,0)+MID(BN24,15,1)*POWER(2,1)+MID(BN24,14,1)*POWER(2,2)+MID(BN24,13,1)*POWER(2,3)+MID(BN24,12,1)*POWER(2,4)+MID(BN24,11,1)*POWER(2,5)+MID(BN24,10,1)*POWER(2,6)+MID(BN24,9,1)*POWER(2,7)+MID(BN24,8,1)*POWER(2,8)+MID(BN24,7,1)*POWER(2,9)+MID(BN24,6,1)*POWER(2,10)+MID(BN24,5,1)*POWER(2,11)+MID(BN24,4,1)*POWER(2,12)+MID(BN24,3,1)*POWER(2,13)+MID(BN24,2,1)*POWER(2,14)+MID(BN24,1,1)*POWER(2,15)-(MID(BN25,16,1)*POWER(2,0)+MID(BN25,15,1)*POWER(2,1)+MID(BN25,14,1)*POWER(2,2)+MID(BN25,13,1)*POWER(2,3)+MID(BN25,12,1)*POWER(2,4)+MID(BN25,11,1)*POWER(2,5)+MID(BN25,10,1)*POWER(2,6)+MID(BN25,9,1)*POWER(2,7)+MID(BN25,8,1)*POWER(2,8)+MID(BN25,7,1)*POWER(2,9)+MID(BN25,6,1)*POWER(2,10)+MID(BN25,5,1)*POWER(2,11)+MID(BN25,4,1)*POWER(2,12)+MID(BN25,3,1)*POWER(2,13)+MID(BN25,2,1)*POWER(2,14)+MID(BN25,1,1)*POWER(2,15))</f>
        <v>-1293</v>
      </c>
      <c r="BQ24" s="87">
        <f>MID(BO24,16,1)*POWER(2,0)+MID(BO24,15,1)*POWER(2,1)+MID(BO24,14,1)*POWER(2,2)+MID(BO24,13,1)*POWER(2,3)+MID(BO24,12,1)*POWER(2,4)+MID(BO24,11,1)*POWER(2,5)+MID(BO24,10,1)*POWER(2,6)+MID(BO24,9,1)*POWER(2,7)+MID(BO24,8,1)*POWER(2,8)+MID(BO24,7,1)*POWER(2,9)+MID(BO24,6,1)*POWER(2,10)+MID(BO24,5,1)*POWER(2,11)+MID(BO24,4,1)*POWER(2,12)+MID(BO24,3,1)*POWER(2,13)+MID(BO24,2,1)*POWER(2,14)+MID(BO24,1,1)*POWER(2,15)-(MID(BO25,16,1)*POWER(2,0)+MID(BO25,15,1)*POWER(2,1)+MID(BO25,14,1)*POWER(2,2)+MID(BO25,13,1)*POWER(2,3)+MID(BO25,12,1)*POWER(2,4)+MID(BO25,11,1)*POWER(2,5)+MID(BO25,10,1)*POWER(2,6)+MID(BO25,9,1)*POWER(2,7)+MID(BO25,8,1)*POWER(2,8)+MID(BO25,7,1)*POWER(2,9)+MID(BO25,6,1)*POWER(2,10)+MID(BO25,5,1)*POWER(2,11)+MID(BO25,4,1)*POWER(2,12)+MID(BO25,3,1)*POWER(2,13)+MID(BO25,2,1)*POWER(2,14)+MID(BO25,1,1)*POWER(2,15))</f>
        <v>-53761</v>
      </c>
      <c r="BR24" s="35" t="str">
        <f>L24</f>
        <v>11001110101000101010001001111110</v>
      </c>
      <c r="BS24" s="34" t="str">
        <f t="shared" si="48"/>
        <v>11001110</v>
      </c>
      <c r="BT24" s="34" t="str">
        <f t="shared" si="49"/>
        <v>10100010</v>
      </c>
      <c r="BU24" s="34" t="str">
        <f t="shared" si="50"/>
        <v>10100010</v>
      </c>
      <c r="BV24" s="34" t="str">
        <f t="shared" si="51"/>
        <v>01111110</v>
      </c>
      <c r="BW24" s="87">
        <f>BIN2DEC(BS24)-BIN2DEC(BS25)</f>
        <v>139</v>
      </c>
      <c r="BX24" s="87">
        <f>BIN2DEC(BT24)-BIN2DEC(BT25)</f>
        <v>127</v>
      </c>
      <c r="BY24" s="87">
        <f>BIN2DEC(BU24)-BIN2DEC(BU25)</f>
        <v>66</v>
      </c>
      <c r="BZ24" s="87">
        <f>BIN2DEC(BV24)-BIN2DEC(BV25)</f>
        <v>27</v>
      </c>
      <c r="CA24" s="35" t="str">
        <f t="shared" si="52"/>
        <v>1100</v>
      </c>
      <c r="CB24" s="35" t="str">
        <f t="shared" si="53"/>
        <v>1110</v>
      </c>
      <c r="CC24" s="35" t="str">
        <f t="shared" si="54"/>
        <v>1010</v>
      </c>
      <c r="CD24" s="35" t="str">
        <f t="shared" si="55"/>
        <v>0010</v>
      </c>
      <c r="CE24" s="35" t="str">
        <f t="shared" si="56"/>
        <v>1010</v>
      </c>
      <c r="CF24" s="35" t="str">
        <f t="shared" si="57"/>
        <v>0010</v>
      </c>
      <c r="CG24" s="35" t="str">
        <f t="shared" si="58"/>
        <v>0111</v>
      </c>
      <c r="CH24" s="35" t="str">
        <f t="shared" si="59"/>
        <v>1110</v>
      </c>
      <c r="CI24" s="87">
        <f t="shared" ref="CI24:CP24" si="210">BIN2DEC(CA24)-BIN2DEC(CA25)</f>
        <v>8</v>
      </c>
      <c r="CJ24" s="87">
        <f t="shared" si="210"/>
        <v>7</v>
      </c>
      <c r="CK24" s="87">
        <f t="shared" si="210"/>
        <v>8</v>
      </c>
      <c r="CL24" s="87">
        <f t="shared" si="210"/>
        <v>-13</v>
      </c>
      <c r="CM24" s="87">
        <f t="shared" si="210"/>
        <v>-5</v>
      </c>
      <c r="CN24" s="87">
        <f t="shared" si="210"/>
        <v>-2</v>
      </c>
      <c r="CO24" s="87">
        <f t="shared" si="210"/>
        <v>1</v>
      </c>
      <c r="CP24" s="87">
        <f t="shared" si="210"/>
        <v>11</v>
      </c>
      <c r="CQ24" s="34" t="str">
        <f t="shared" si="7"/>
        <v>1100111010100010</v>
      </c>
      <c r="CR24" s="34" t="str">
        <f t="shared" si="8"/>
        <v>1010001001111110</v>
      </c>
      <c r="CS24" s="87">
        <f>MID(CQ24,16,1)*POWER(2,0)+MID(CQ24,15,1)*POWER(2,1)+MID(CQ24,14,1)*POWER(2,2)+MID(CQ24,13,1)*POWER(2,3)+MID(CQ24,12,1)*POWER(2,4)+MID(CQ24,11,1)*POWER(2,5)+MID(CQ24,10,1)*POWER(2,6)+MID(CQ24,9,1)*POWER(2,7)+MID(CQ24,8,1)*POWER(2,8)+MID(CQ24,7,1)*POWER(2,9)+MID(CQ24,6,1)*POWER(2,10)+MID(CQ24,5,1)*POWER(2,11)+MID(CQ24,4,1)*POWER(2,12)+MID(CQ24,3,1)*POWER(2,13)+MID(CQ24,2,1)*POWER(2,14)+MID(CQ24,1,1)*POWER(2,15)-(MID(CQ25,16,1)*POWER(2,0)+MID(CQ25,15,1)*POWER(2,1)+MID(CQ25,14,1)*POWER(2,2)+MID(CQ25,13,1)*POWER(2,3)+MID(CQ25,12,1)*POWER(2,4)+MID(CQ25,11,1)*POWER(2,5)+MID(CQ25,10,1)*POWER(2,6)+MID(CQ25,9,1)*POWER(2,7)+MID(CQ25,8,1)*POWER(2,8)+MID(CQ25,7,1)*POWER(2,9)+MID(CQ25,6,1)*POWER(2,10)+MID(CQ25,5,1)*POWER(2,11)+MID(CQ25,4,1)*POWER(2,12)+MID(CQ25,3,1)*POWER(2,13)+MID(CQ25,2,1)*POWER(2,14)+MID(CQ25,1,1)*POWER(2,15))</f>
        <v>35711</v>
      </c>
      <c r="CT24" s="87">
        <f>MID(CR24,16,1)*POWER(2,0)+MID(CR24,15,1)*POWER(2,1)+MID(CR24,14,1)*POWER(2,2)+MID(CR24,13,1)*POWER(2,3)+MID(CR24,12,1)*POWER(2,4)+MID(CR24,11,1)*POWER(2,5)+MID(CR24,10,1)*POWER(2,6)+MID(CR24,9,1)*POWER(2,7)+MID(CR24,8,1)*POWER(2,8)+MID(CR24,7,1)*POWER(2,9)+MID(CR24,6,1)*POWER(2,10)+MID(CR24,5,1)*POWER(2,11)+MID(CR24,4,1)*POWER(2,12)+MID(CR24,3,1)*POWER(2,13)+MID(CR24,2,1)*POWER(2,14)+MID(CR24,1,1)*POWER(2,15)-(MID(CR25,16,1)*POWER(2,0)+MID(CR25,15,1)*POWER(2,1)+MID(CR25,14,1)*POWER(2,2)+MID(CR25,13,1)*POWER(2,3)+MID(CR25,12,1)*POWER(2,4)+MID(CR25,11,1)*POWER(2,5)+MID(CR25,10,1)*POWER(2,6)+MID(CR25,9,1)*POWER(2,7)+MID(CR25,8,1)*POWER(2,8)+MID(CR25,7,1)*POWER(2,9)+MID(CR25,6,1)*POWER(2,10)+MID(CR25,5,1)*POWER(2,11)+MID(CR25,4,1)*POWER(2,12)+MID(CR25,3,1)*POWER(2,13)+MID(CR25,2,1)*POWER(2,14)+MID(CR25,1,1)*POWER(2,15))</f>
        <v>16923</v>
      </c>
      <c r="CU24" s="33" t="str">
        <f>CONCATENATE(MID($L24,1,1)*MID($K24,1,1),MID($L24,2,1)*MID($K24,2,1),MID($L24,3,1)*MID($K24,3,1),MID($L24,4,1)*MID($K24,4,1),MID($L24,5,1)*MID($K24,5,1),MID($L24,6,1)*MID($K24,6,1),MID($L24,7,1)*MID($K24,7,1),MID($L24,8,1)*MID($K24,8,1),MID($L24,9,1)*MID($K24,1,1),MID($L24,10,1)*MID($K24,2,1),MID($L24,11,1)*MID($K24,3,1),MID($L24,12,1)*MID($K24,4,1),MID($L24,13,1)*MID($K24,5,1),MID($L24,14,1)*MID($K24,6,1),MID($L24,15,1)*MID($K24,7,1),MID($L24,16,1)*MID($K24,8,1),MID($L24,17,1)*MID($K24,1,1),MID($L24,18,1)*MID($K24,2,1),MID($L24,19,1)*MID($K24,3,1),MID($L24,20,1)*MID($K24,4,1),MID($L24,21,1)*MID($K24,5,1),MID($L24,22,1)*MID($K24,6,1),MID($L24,23,1)*MID($K24,7,1),MID($L24,24,1)*MID($K24,8,1),MID($L24,25,1)*MID($K24,1,1),MID($L24,26,1)*MID($K24,2,1),MID($L24,27,1)*MID($K24,3,1),MID($L24,28,1)*MID($K24,4,1),MID($L24,29,1)*MID($K24,5,1),MID($L24,30,1)*MID($K24,6,1),MID($L24,31,1)*MID($K24,7,1),MID($L24,32,1)*MID($K24,8,1))</f>
        <v>01000010001000100010001001100010</v>
      </c>
      <c r="CV24" s="34" t="str">
        <f t="shared" si="60"/>
        <v>01000010</v>
      </c>
      <c r="CW24" s="34" t="str">
        <f t="shared" si="61"/>
        <v>00100010</v>
      </c>
      <c r="CX24" s="34" t="str">
        <f t="shared" si="62"/>
        <v>00100010</v>
      </c>
      <c r="CY24" s="34" t="str">
        <f t="shared" si="63"/>
        <v>01100010</v>
      </c>
      <c r="CZ24" s="87">
        <f>BIN2DEC(CV24)-BIN2DEC(CV25)</f>
        <v>-1</v>
      </c>
      <c r="DA24" s="87">
        <f>BIN2DEC(CW24)-BIN2DEC(CW25)</f>
        <v>-1</v>
      </c>
      <c r="DB24" s="87">
        <f>BIN2DEC(CX24)-BIN2DEC(CX25)</f>
        <v>-62</v>
      </c>
      <c r="DC24" s="87">
        <f>BIN2DEC(CY24)-BIN2DEC(CY25)</f>
        <v>-1</v>
      </c>
      <c r="DD24" s="35" t="str">
        <f t="shared" si="64"/>
        <v>1100</v>
      </c>
      <c r="DE24" s="35" t="str">
        <f t="shared" si="65"/>
        <v>1110</v>
      </c>
      <c r="DF24" s="35" t="str">
        <f t="shared" si="66"/>
        <v>1010</v>
      </c>
      <c r="DG24" s="35" t="str">
        <f t="shared" si="67"/>
        <v>0010</v>
      </c>
      <c r="DH24" s="35" t="str">
        <f t="shared" si="68"/>
        <v>1010</v>
      </c>
      <c r="DI24" s="35" t="str">
        <f t="shared" si="69"/>
        <v>0010</v>
      </c>
      <c r="DJ24" s="35" t="str">
        <f t="shared" si="70"/>
        <v>0111</v>
      </c>
      <c r="DK24" s="35" t="str">
        <f t="shared" si="71"/>
        <v>1110</v>
      </c>
      <c r="DL24" s="87">
        <f t="shared" ref="DL24:DS24" si="211">BIN2DEC(DD24)-BIN2DEC(DD25)</f>
        <v>8</v>
      </c>
      <c r="DM24" s="87">
        <f t="shared" si="211"/>
        <v>7</v>
      </c>
      <c r="DN24" s="87">
        <f t="shared" si="211"/>
        <v>8</v>
      </c>
      <c r="DO24" s="87">
        <f t="shared" si="211"/>
        <v>-13</v>
      </c>
      <c r="DP24" s="87">
        <f t="shared" si="211"/>
        <v>-5</v>
      </c>
      <c r="DQ24" s="87">
        <f t="shared" si="211"/>
        <v>-2</v>
      </c>
      <c r="DR24" s="87">
        <f t="shared" si="211"/>
        <v>1</v>
      </c>
      <c r="DS24" s="87">
        <f t="shared" si="211"/>
        <v>11</v>
      </c>
      <c r="DT24" s="34" t="str">
        <f t="shared" si="10"/>
        <v>0100001000100010</v>
      </c>
      <c r="DU24" s="34" t="str">
        <f t="shared" si="11"/>
        <v>0010001001100010</v>
      </c>
      <c r="DV24" s="87">
        <f>MID(DT24,16,1)*POWER(2,0)+MID(DT24,15,1)*POWER(2,1)+MID(DT24,14,1)*POWER(2,2)+MID(DT24,13,1)*POWER(2,3)+MID(DT24,12,1)*POWER(2,4)+MID(DT24,11,1)*POWER(2,5)+MID(DT24,10,1)*POWER(2,6)+MID(DT24,9,1)*POWER(2,7)+MID(DT24,8,1)*POWER(2,8)+MID(DT24,7,1)*POWER(2,9)+MID(DT24,6,1)*POWER(2,10)+MID(DT24,5,1)*POWER(2,11)+MID(DT24,4,1)*POWER(2,12)+MID(DT24,3,1)*POWER(2,13)+MID(DT24,2,1)*POWER(2,14)+MID(DT24,1,1)*POWER(2,15)-(MID(DT25,16,1)*POWER(2,0)+MID(DT25,15,1)*POWER(2,1)+MID(DT25,14,1)*POWER(2,2)+MID(DT25,13,1)*POWER(2,3)+MID(DT25,12,1)*POWER(2,4)+MID(DT25,11,1)*POWER(2,5)+MID(DT25,10,1)*POWER(2,6)+MID(DT25,9,1)*POWER(2,7)+MID(DT25,8,1)*POWER(2,8)+MID(DT25,7,1)*POWER(2,9)+MID(DT25,6,1)*POWER(2,10)+MID(DT25,5,1)*POWER(2,11)+MID(DT25,4,1)*POWER(2,12)+MID(DT25,3,1)*POWER(2,13)+MID(DT25,2,1)*POWER(2,14)+MID(DT25,1,1)*POWER(2,15))</f>
        <v>-257</v>
      </c>
      <c r="DW24" s="87">
        <f>MID(DU24,16,1)*POWER(2,0)+MID(DU24,15,1)*POWER(2,1)+MID(DU24,14,1)*POWER(2,2)+MID(DU24,13,1)*POWER(2,3)+MID(DU24,12,1)*POWER(2,4)+MID(DU24,11,1)*POWER(2,5)+MID(DU24,10,1)*POWER(2,6)+MID(DU24,9,1)*POWER(2,7)+MID(DU24,8,1)*POWER(2,8)+MID(DU24,7,1)*POWER(2,9)+MID(DU24,6,1)*POWER(2,10)+MID(DU24,5,1)*POWER(2,11)+MID(DU24,4,1)*POWER(2,12)+MID(DU24,3,1)*POWER(2,13)+MID(DU24,2,1)*POWER(2,14)+MID(DU24,1,1)*POWER(2,15)-(MID(DU25,16,1)*POWER(2,0)+MID(DU25,15,1)*POWER(2,1)+MID(DU25,14,1)*POWER(2,2)+MID(DU25,13,1)*POWER(2,3)+MID(DU25,12,1)*POWER(2,4)+MID(DU25,11,1)*POWER(2,5)+MID(DU25,10,1)*POWER(2,6)+MID(DU25,9,1)*POWER(2,7)+MID(DU25,8,1)*POWER(2,8)+MID(DU25,7,1)*POWER(2,9)+MID(DU25,6,1)*POWER(2,10)+MID(DU25,5,1)*POWER(2,11)+MID(DU25,4,1)*POWER(2,12)+MID(DU25,3,1)*POWER(2,13)+MID(DU25,2,1)*POWER(2,14)+MID(DU25,1,1)*POWER(2,15))</f>
        <v>-15873</v>
      </c>
      <c r="DX24" s="33" t="str">
        <f>CONCATENATE(MID($H24,1,1)*MID($K24,1,1),MID($H24,2,1)*MID($K24,2,1),MID($H24,3,1)*MID($K24,3,1),MID($H24,4,1)*MID($K24,4,1),MID($H24,5,1)*MID($K24,5,1),MID($H24,6,1)*MID($K24,6,1),MID($H24,7,1)*MID($K24,7,1),MID($H24,8,1)*MID($K24,8,1),MID($H24,9,1)*MID($K24,1,1),MID($H24,10,1)*MID($K24,2,1),MID($H24,11,1)*MID($K24,3,1),MID($H24,12,1)*MID($K24,4,1),MID($H24,13,1)*MID($K24,5,1),MID($H24,14,1)*MID($K24,6,1),MID($H24,15,1)*MID($K24,7,1),MID($H24,16,1)*MID($K24,8,1),MID($H24,17,1)*MID($K24,1,1),MID($H24,18,1)*MID($K24,2,1),MID($H24,19,1)*MID($K24,3,1),MID($H24,20,1)*MID($K24,4,1),MID($H24,21,1)*MID($K24,5,1),MID($H24,22,1)*MID($K24,6,1),MID($H24,23,1)*MID($K24,7,1),MID($H24,24,1)*MID($K24,8,1),MID($H24,25,1)*MID($K24,1,1),MID($H24,26,1)*MID($K24,2,1),MID($H24,27,1)*MID($K24,3,1),MID($H24,28,1)*MID($K24,4,1),MID($H24,29,1)*MID($K24,5,1),MID($H24,30,1)*MID($K24,6,1),MID($H24,31,1)*MID($K24,7,1),MID($H24,32,1)*MID($K24,8,1))</f>
        <v>00000001011000010110001100000010</v>
      </c>
      <c r="DY24" s="34" t="str">
        <f>CONCATENATE(MID(DX24,30,3),MID(DX24,17,5),MID(DX24,6,3),MID(DX24,25,5),MID(DX24,14,3),MID(DX24,1,5),MID(DX24,22,3),MID(DX24,9,5))</f>
        <v>01001100001000000010000001101100</v>
      </c>
      <c r="DZ24" s="34" t="str">
        <f t="shared" si="122"/>
        <v>01001100</v>
      </c>
      <c r="EA24" s="34" t="str">
        <f t="shared" si="72"/>
        <v>00100000</v>
      </c>
      <c r="EB24" s="34" t="str">
        <f t="shared" si="73"/>
        <v>00100000</v>
      </c>
      <c r="EC24" s="34" t="str">
        <f t="shared" si="74"/>
        <v>01101100</v>
      </c>
      <c r="ED24" s="87">
        <f>BIN2DEC(DZ24)-BIN2DEC(DZ25)</f>
        <v>5</v>
      </c>
      <c r="EE24" s="87">
        <f>BIN2DEC(EA24)-BIN2DEC(EA25)</f>
        <v>-15</v>
      </c>
      <c r="EF24" s="87">
        <f>BIN2DEC(EB24)-BIN2DEC(EB25)</f>
        <v>-212</v>
      </c>
      <c r="EG24" s="87">
        <f>BIN2DEC(EC24)-BIN2DEC(EC25)</f>
        <v>9</v>
      </c>
      <c r="EH24" s="35" t="str">
        <f t="shared" si="75"/>
        <v>1100</v>
      </c>
      <c r="EI24" s="35" t="str">
        <f t="shared" si="76"/>
        <v>1110</v>
      </c>
      <c r="EJ24" s="35" t="str">
        <f t="shared" si="77"/>
        <v>1010</v>
      </c>
      <c r="EK24" s="35" t="str">
        <f t="shared" si="78"/>
        <v>0010</v>
      </c>
      <c r="EL24" s="35" t="str">
        <f t="shared" si="79"/>
        <v>1010</v>
      </c>
      <c r="EM24" s="35" t="str">
        <f t="shared" si="80"/>
        <v>0010</v>
      </c>
      <c r="EN24" s="35" t="str">
        <f t="shared" si="81"/>
        <v>0111</v>
      </c>
      <c r="EO24" s="35" t="str">
        <f t="shared" si="82"/>
        <v>1110</v>
      </c>
      <c r="EP24" s="87">
        <f t="shared" ref="EP24:EW24" si="212">BIN2DEC(EH24)-BIN2DEC(EH25)</f>
        <v>8</v>
      </c>
      <c r="EQ24" s="87">
        <f t="shared" si="212"/>
        <v>7</v>
      </c>
      <c r="ER24" s="87">
        <f t="shared" si="212"/>
        <v>8</v>
      </c>
      <c r="ES24" s="87">
        <f t="shared" si="212"/>
        <v>-13</v>
      </c>
      <c r="ET24" s="87">
        <f t="shared" si="212"/>
        <v>-5</v>
      </c>
      <c r="EU24" s="87">
        <f t="shared" si="212"/>
        <v>-2</v>
      </c>
      <c r="EV24" s="87">
        <f t="shared" si="212"/>
        <v>1</v>
      </c>
      <c r="EW24" s="87">
        <f t="shared" si="212"/>
        <v>11</v>
      </c>
      <c r="EX24" s="34" t="str">
        <f t="shared" si="13"/>
        <v>0100110000100000</v>
      </c>
      <c r="EY24" s="34" t="str">
        <f t="shared" si="14"/>
        <v>0010000001101100</v>
      </c>
      <c r="EZ24" s="87">
        <f>MID(EX24,16,1)*POWER(2,0)+MID(EX24,15,1)*POWER(2,1)+MID(EX24,14,1)*POWER(2,2)+MID(EX24,13,1)*POWER(2,3)+MID(EX24,12,1)*POWER(2,4)+MID(EX24,11,1)*POWER(2,5)+MID(EX24,10,1)*POWER(2,6)+MID(EX24,9,1)*POWER(2,7)+MID(EX24,8,1)*POWER(2,8)+MID(EX24,7,1)*POWER(2,9)+MID(EX24,6,1)*POWER(2,10)+MID(EX24,5,1)*POWER(2,11)+MID(EX24,4,1)*POWER(2,12)+MID(EX24,3,1)*POWER(2,13)+MID(EX24,2,1)*POWER(2,14)+MID(EX24,1,1)*POWER(2,15)-(MID(EX25,16,1)*POWER(2,0)+MID(EX25,15,1)*POWER(2,1)+MID(EX25,14,1)*POWER(2,2)+MID(EX25,13,1)*POWER(2,3)+MID(EX25,12,1)*POWER(2,4)+MID(EX25,11,1)*POWER(2,5)+MID(EX25,10,1)*POWER(2,6)+MID(EX25,9,1)*POWER(2,7)+MID(EX25,8,1)*POWER(2,8)+MID(EX25,7,1)*POWER(2,9)+MID(EX25,6,1)*POWER(2,10)+MID(EX25,5,1)*POWER(2,11)+MID(EX25,4,1)*POWER(2,12)+MID(EX25,3,1)*POWER(2,13)+MID(EX25,2,1)*POWER(2,14)+MID(EX25,1,1)*POWER(2,15))</f>
        <v>1265</v>
      </c>
      <c r="FA24" s="87">
        <f>MID(EY24,16,1)*POWER(2,0)+MID(EY24,15,1)*POWER(2,1)+MID(EY24,14,1)*POWER(2,2)+MID(EY24,13,1)*POWER(2,3)+MID(EY24,12,1)*POWER(2,4)+MID(EY24,11,1)*POWER(2,5)+MID(EY24,10,1)*POWER(2,6)+MID(EY24,9,1)*POWER(2,7)+MID(EY24,8,1)*POWER(2,8)+MID(EY24,7,1)*POWER(2,9)+MID(EY24,6,1)*POWER(2,10)+MID(EY24,5,1)*POWER(2,11)+MID(EY24,4,1)*POWER(2,12)+MID(EY24,3,1)*POWER(2,13)+MID(EY24,2,1)*POWER(2,14)+MID(EY24,1,1)*POWER(2,15)-(MID(EY25,16,1)*POWER(2,0)+MID(EY25,15,1)*POWER(2,1)+MID(EY25,14,1)*POWER(2,2)+MID(EY25,13,1)*POWER(2,3)+MID(EY25,12,1)*POWER(2,4)+MID(EY25,11,1)*POWER(2,5)+MID(EY25,10,1)*POWER(2,6)+MID(EY25,9,1)*POWER(2,7)+MID(EY25,8,1)*POWER(2,8)+MID(EY25,7,1)*POWER(2,9)+MID(EY25,6,1)*POWER(2,10)+MID(EY25,5,1)*POWER(2,11)+MID(EY25,4,1)*POWER(2,12)+MID(EY25,3,1)*POWER(2,13)+MID(EY25,2,1)*POWER(2,14)+MID(EY25,1,1)*POWER(2,15))</f>
        <v>-54263</v>
      </c>
      <c r="FB24" s="33" t="str">
        <f>CONCATENATE(MID(DY24,1,1)*MID($K24,1,1),MID(DY24,2,1)*MID($K24,2,1),MID(DY24,3,1)*MID($K24,3,1),MID(DY24,4,1)*MID($K24,4,1),MID(DY24,5,1)*MID($K24,5,1),MID(DY24,6,1)*MID($K24,6,1),MID(DY24,7,1)*MID($K24,7,1),MID(DY24,8,1)*MID($K24,8,1),MID(DY24,9,1)*MID($K24,1,1),MID(DY24,10,1)*MID($K24,2,1),MID(DY24,11,1)*MID($K24,3,1),MID(DY24,12,1)*MID($K24,4,1),MID(DY24,13,1)*MID($K24,5,1),MID(DY24,14,1)*MID($K24,6,1),MID(DY24,15,1)*MID($K24,7,1),MID(DY24,16,1)*MID($K24,8,1),MID(DY24,17,1)*MID($K24,1,1),MID(DY24,18,1)*MID($K24,2,1),MID(DY24,19,1)*MID($K24,3,1),MID(DY24,20,1)*MID($K24,4,1),MID(DY24,21,1)*MID($K24,5,1),MID(DY24,22,1)*MID($K24,6,1),MID(DY24,23,1)*MID($K24,7,1),MID(DY24,24,1)*MID($K24,8,1),MID(DY24,25,1)*MID($K24,1,1),MID(DY24,26,1)*MID($K24,2,1),MID(DY24,27,1)*MID($K24,3,1),MID(DY24,28,1)*MID($K24,4,1),MID(DY24,29,1)*MID($K24,5,1),MID(DY24,30,1)*MID($K24,6,1),MID(DY24,31,1)*MID($K24,7,1),MID(DY24,32,1)*MID($K24,8,1))</f>
        <v>01000000001000000010000001100000</v>
      </c>
      <c r="FC24" s="34" t="str">
        <f t="shared" si="124"/>
        <v>01000000</v>
      </c>
      <c r="FD24" s="34" t="str">
        <f t="shared" si="83"/>
        <v>00100000</v>
      </c>
      <c r="FE24" s="34" t="str">
        <f t="shared" si="84"/>
        <v>00100000</v>
      </c>
      <c r="FF24" s="34" t="str">
        <f t="shared" si="85"/>
        <v>01100000</v>
      </c>
      <c r="FG24" s="87">
        <f>BIN2DEC(FC24)-BIN2DEC(FC25)</f>
        <v>-7</v>
      </c>
      <c r="FH24" s="87">
        <f>BIN2DEC(FD24)-BIN2DEC(FD25)</f>
        <v>-15</v>
      </c>
      <c r="FI24" s="87">
        <f>BIN2DEC(FE24)-BIN2DEC(FE25)</f>
        <v>-212</v>
      </c>
      <c r="FJ24" s="87">
        <f>BIN2DEC(FF24)-BIN2DEC(FF25)</f>
        <v>-3</v>
      </c>
      <c r="FK24" s="35" t="str">
        <f t="shared" si="86"/>
        <v>1100</v>
      </c>
      <c r="FL24" s="35" t="str">
        <f t="shared" si="87"/>
        <v>1110</v>
      </c>
      <c r="FM24" s="35" t="str">
        <f t="shared" si="88"/>
        <v>1010</v>
      </c>
      <c r="FN24" s="35" t="str">
        <f t="shared" si="89"/>
        <v>0010</v>
      </c>
      <c r="FO24" s="35" t="str">
        <f t="shared" si="90"/>
        <v>1010</v>
      </c>
      <c r="FP24" s="35" t="str">
        <f t="shared" si="91"/>
        <v>0010</v>
      </c>
      <c r="FQ24" s="35" t="str">
        <f t="shared" si="92"/>
        <v>0111</v>
      </c>
      <c r="FR24" s="35" t="str">
        <f t="shared" si="93"/>
        <v>1110</v>
      </c>
      <c r="FS24" s="87">
        <f t="shared" ref="FS24:FZ24" si="213">BIN2DEC(FK24)-BIN2DEC(FK25)</f>
        <v>8</v>
      </c>
      <c r="FT24" s="87">
        <f t="shared" si="213"/>
        <v>7</v>
      </c>
      <c r="FU24" s="87">
        <f t="shared" si="213"/>
        <v>8</v>
      </c>
      <c r="FV24" s="87">
        <f t="shared" si="213"/>
        <v>-13</v>
      </c>
      <c r="FW24" s="87">
        <f t="shared" si="213"/>
        <v>-5</v>
      </c>
      <c r="FX24" s="87">
        <f t="shared" si="213"/>
        <v>-2</v>
      </c>
      <c r="FY24" s="87">
        <f t="shared" si="213"/>
        <v>1</v>
      </c>
      <c r="FZ24" s="87">
        <f t="shared" si="213"/>
        <v>11</v>
      </c>
      <c r="GA24" s="34" t="str">
        <f t="shared" si="16"/>
        <v>0100000000100000</v>
      </c>
      <c r="GB24" s="34" t="str">
        <f t="shared" si="17"/>
        <v>0010000001100000</v>
      </c>
      <c r="GC24" s="87">
        <f>MID(GA24,16,1)*POWER(2,0)+MID(GA24,15,1)*POWER(2,1)+MID(GA24,14,1)*POWER(2,2)+MID(GA24,13,1)*POWER(2,3)+MID(GA24,12,1)*POWER(2,4)+MID(GA24,11,1)*POWER(2,5)+MID(GA24,10,1)*POWER(2,6)+MID(GA24,9,1)*POWER(2,7)+MID(GA24,8,1)*POWER(2,8)+MID(GA24,7,1)*POWER(2,9)+MID(GA24,6,1)*POWER(2,10)+MID(GA24,5,1)*POWER(2,11)+MID(GA24,4,1)*POWER(2,12)+MID(GA24,3,1)*POWER(2,13)+MID(GA24,2,1)*POWER(2,14)+MID(GA24,1,1)*POWER(2,15)-(MID(GA25,16,1)*POWER(2,0)+MID(GA25,15,1)*POWER(2,1)+MID(GA25,14,1)*POWER(2,2)+MID(GA25,13,1)*POWER(2,3)+MID(GA25,12,1)*POWER(2,4)+MID(GA25,11,1)*POWER(2,5)+MID(GA25,10,1)*POWER(2,6)+MID(GA25,9,1)*POWER(2,7)+MID(GA25,8,1)*POWER(2,8)+MID(GA25,7,1)*POWER(2,9)+MID(GA25,6,1)*POWER(2,10)+MID(GA25,5,1)*POWER(2,11)+MID(GA25,4,1)*POWER(2,12)+MID(GA25,3,1)*POWER(2,13)+MID(GA25,2,1)*POWER(2,14)+MID(GA25,1,1)*POWER(2,15))</f>
        <v>-1807</v>
      </c>
      <c r="GD24" s="87">
        <f>MID(GB24,16,1)*POWER(2,0)+MID(GB24,15,1)*POWER(2,1)+MID(GB24,14,1)*POWER(2,2)+MID(GB24,13,1)*POWER(2,3)+MID(GB24,12,1)*POWER(2,4)+MID(GB24,11,1)*POWER(2,5)+MID(GB24,10,1)*POWER(2,6)+MID(GB24,9,1)*POWER(2,7)+MID(GB24,8,1)*POWER(2,8)+MID(GB24,7,1)*POWER(2,9)+MID(GB24,6,1)*POWER(2,10)+MID(GB24,5,1)*POWER(2,11)+MID(GB24,4,1)*POWER(2,12)+MID(GB24,3,1)*POWER(2,13)+MID(GB24,2,1)*POWER(2,14)+MID(GB24,1,1)*POWER(2,15)-(MID(GB25,16,1)*POWER(2,0)+MID(GB25,15,1)*POWER(2,1)+MID(GB25,14,1)*POWER(2,2)+MID(GB25,13,1)*POWER(2,3)+MID(GB25,12,1)*POWER(2,4)+MID(GB25,11,1)*POWER(2,5)+MID(GB25,10,1)*POWER(2,6)+MID(GB25,9,1)*POWER(2,7)+MID(GB25,8,1)*POWER(2,8)+MID(GB25,7,1)*POWER(2,9)+MID(GB25,6,1)*POWER(2,10)+MID(GB25,5,1)*POWER(2,11)+MID(GB25,4,1)*POWER(2,12)+MID(GB25,3,1)*POWER(2,13)+MID(GB25,2,1)*POWER(2,14)+MID(GB25,1,1)*POWER(2,15))</f>
        <v>-54275</v>
      </c>
      <c r="GE24" s="35" t="str">
        <f>DY24</f>
        <v>01001100001000000010000001101100</v>
      </c>
      <c r="GF24" s="34" t="str">
        <f t="shared" si="126"/>
        <v>01001100</v>
      </c>
      <c r="GG24" s="34" t="str">
        <f t="shared" si="94"/>
        <v>00100000</v>
      </c>
      <c r="GH24" s="34" t="str">
        <f t="shared" si="95"/>
        <v>00100000</v>
      </c>
      <c r="GI24" s="34" t="str">
        <f t="shared" si="96"/>
        <v>01101100</v>
      </c>
      <c r="GJ24" s="87">
        <f>BIN2DEC(GF24)-BIN2DEC(GF25)</f>
        <v>9</v>
      </c>
      <c r="GK24" s="87">
        <f>BIN2DEC(GG24)-BIN2DEC(GG25)</f>
        <v>-3</v>
      </c>
      <c r="GL24" s="87">
        <f>BIN2DEC(GH24)-BIN2DEC(GH25)</f>
        <v>-64</v>
      </c>
      <c r="GM24" s="87">
        <f>BIN2DEC(GI24)-BIN2DEC(GI25)</f>
        <v>9</v>
      </c>
      <c r="GN24" s="35" t="str">
        <f t="shared" si="97"/>
        <v>1100</v>
      </c>
      <c r="GO24" s="35" t="str">
        <f t="shared" si="98"/>
        <v>1110</v>
      </c>
      <c r="GP24" s="35" t="str">
        <f t="shared" si="99"/>
        <v>1010</v>
      </c>
      <c r="GQ24" s="35" t="str">
        <f t="shared" si="100"/>
        <v>0010</v>
      </c>
      <c r="GR24" s="35" t="str">
        <f t="shared" si="101"/>
        <v>1010</v>
      </c>
      <c r="GS24" s="35" t="str">
        <f t="shared" si="102"/>
        <v>0010</v>
      </c>
      <c r="GT24" s="35" t="str">
        <f t="shared" si="103"/>
        <v>0111</v>
      </c>
      <c r="GU24" s="35" t="str">
        <f t="shared" si="104"/>
        <v>1110</v>
      </c>
      <c r="GV24" s="87">
        <f t="shared" ref="GV24:HC24" si="214">BIN2DEC(GN24)-BIN2DEC(GN25)</f>
        <v>8</v>
      </c>
      <c r="GW24" s="87">
        <f t="shared" si="214"/>
        <v>7</v>
      </c>
      <c r="GX24" s="87">
        <f t="shared" si="214"/>
        <v>8</v>
      </c>
      <c r="GY24" s="87">
        <f t="shared" si="214"/>
        <v>-13</v>
      </c>
      <c r="GZ24" s="87">
        <f t="shared" si="214"/>
        <v>-5</v>
      </c>
      <c r="HA24" s="87">
        <f t="shared" si="214"/>
        <v>-2</v>
      </c>
      <c r="HB24" s="87">
        <f t="shared" si="214"/>
        <v>1</v>
      </c>
      <c r="HC24" s="87">
        <f t="shared" si="214"/>
        <v>11</v>
      </c>
      <c r="HD24" s="34" t="str">
        <f t="shared" si="19"/>
        <v>0100110000100000</v>
      </c>
      <c r="HE24" s="34" t="str">
        <f t="shared" si="20"/>
        <v>0010000001101100</v>
      </c>
      <c r="HF24" s="87">
        <f>MID(HD24,16,1)*POWER(2,0)+MID(HD24,15,1)*POWER(2,1)+MID(HD24,14,1)*POWER(2,2)+MID(HD24,13,1)*POWER(2,3)+MID(HD24,12,1)*POWER(2,4)+MID(HD24,11,1)*POWER(2,5)+MID(HD24,10,1)*POWER(2,6)+MID(HD24,9,1)*POWER(2,7)+MID(HD24,8,1)*POWER(2,8)+MID(HD24,7,1)*POWER(2,9)+MID(HD24,6,1)*POWER(2,10)+MID(HD24,5,1)*POWER(2,11)+MID(HD24,4,1)*POWER(2,12)+MID(HD24,3,1)*POWER(2,13)+MID(HD24,2,1)*POWER(2,14)+MID(HD24,1,1)*POWER(2,15)-(MID(HD25,16,1)*POWER(2,0)+MID(HD25,15,1)*POWER(2,1)+MID(HD25,14,1)*POWER(2,2)+MID(HD25,13,1)*POWER(2,3)+MID(HD25,12,1)*POWER(2,4)+MID(HD25,11,1)*POWER(2,5)+MID(HD25,10,1)*POWER(2,6)+MID(HD25,9,1)*POWER(2,7)+MID(HD25,8,1)*POWER(2,8)+MID(HD25,7,1)*POWER(2,9)+MID(HD25,6,1)*POWER(2,10)+MID(HD25,5,1)*POWER(2,11)+MID(HD25,4,1)*POWER(2,12)+MID(HD25,3,1)*POWER(2,13)+MID(HD25,2,1)*POWER(2,14)+MID(HD25,1,1)*POWER(2,15))</f>
        <v>2301</v>
      </c>
      <c r="HG24" s="87">
        <f>MID(HE24,16,1)*POWER(2,0)+MID(HE24,15,1)*POWER(2,1)+MID(HE24,14,1)*POWER(2,2)+MID(HE24,13,1)*POWER(2,3)+MID(HE24,12,1)*POWER(2,4)+MID(HE24,11,1)*POWER(2,5)+MID(HE24,10,1)*POWER(2,6)+MID(HE24,9,1)*POWER(2,7)+MID(HE24,8,1)*POWER(2,8)+MID(HE24,7,1)*POWER(2,9)+MID(HE24,6,1)*POWER(2,10)+MID(HE24,5,1)*POWER(2,11)+MID(HE24,4,1)*POWER(2,12)+MID(HE24,3,1)*POWER(2,13)+MID(HE24,2,1)*POWER(2,14)+MID(HE24,1,1)*POWER(2,15)-(MID(HE25,16,1)*POWER(2,0)+MID(HE25,15,1)*POWER(2,1)+MID(HE25,14,1)*POWER(2,2)+MID(HE25,13,1)*POWER(2,3)+MID(HE25,12,1)*POWER(2,4)+MID(HE25,11,1)*POWER(2,5)+MID(HE25,10,1)*POWER(2,6)+MID(HE25,9,1)*POWER(2,7)+MID(HE25,8,1)*POWER(2,8)+MID(HE25,7,1)*POWER(2,9)+MID(HE25,6,1)*POWER(2,10)+MID(HE25,5,1)*POWER(2,11)+MID(HE25,4,1)*POWER(2,12)+MID(HE25,3,1)*POWER(2,13)+MID(HE25,2,1)*POWER(2,14)+MID(HE25,1,1)*POWER(2,15))</f>
        <v>-16375</v>
      </c>
      <c r="HH24" s="33" t="str">
        <f>CONCATENATE(MID(GE24,1,1)*MID($K24,1,1),MID(GE24,2,1)*MID($K24,2,1),MID(GE24,3,1)*MID($K24,3,1),MID(GE24,4,1)*MID($K24,4,1),MID(GE24,5,1)*MID($K24,5,1),MID(GE24,6,1)*MID($K24,6,1),MID(GE24,7,1)*MID($K24,7,1),MID(GE24,8,1)*MID($K24,8,1),MID(GE24,9,1)*MID($K24,1,1),MID(GE24,10,1)*MID($K24,2,1),MID(GE24,11,1)*MID($K24,3,1),MID(GE24,12,1)*MID($K24,4,1),MID(GE24,13,1)*MID($K24,5,1),MID(GE24,14,1)*MID($K24,6,1),MID(GE24,15,1)*MID($K24,7,1),MID(GE24,16,1)*MID($K24,8,1),MID(GE24,17,1)*MID($K24,1,1),MID(GE24,18,1)*MID($K24,2,1),MID(GE24,19,1)*MID($K24,3,1),MID(GE24,20,1)*MID($K24,4,1),MID(GE24,21,1)*MID($K24,5,1),MID(GE24,22,1)*MID($K24,6,1),MID(GE24,23,1)*MID($K24,7,1),MID(GE24,24,1)*MID($K24,8,1),MID(GE24,25,1)*MID($K24,1,1),MID(GE24,26,1)*MID($K24,2,1),MID(GE24,27,1)*MID($K24,3,1),MID(GE24,28,1)*MID($K24,4,1),MID(GE24,29,1)*MID($K24,5,1),MID(GE24,30,1)*MID($K24,6,1),MID(GE24,31,1)*MID($K24,7,1),MID(GE24,32,1)*MID($K24,8,1))</f>
        <v>01000000001000000010000001100000</v>
      </c>
      <c r="HI24" s="34" t="str">
        <f t="shared" si="128"/>
        <v>01000000</v>
      </c>
      <c r="HJ24" s="34" t="str">
        <f t="shared" si="105"/>
        <v>00100000</v>
      </c>
      <c r="HK24" s="34" t="str">
        <f t="shared" si="106"/>
        <v>00100000</v>
      </c>
      <c r="HL24" s="34" t="str">
        <f t="shared" si="107"/>
        <v>01100000</v>
      </c>
      <c r="HM24" s="87">
        <f>BIN2DEC(HI24)-BIN2DEC(HI25)</f>
        <v>-3</v>
      </c>
      <c r="HN24" s="87">
        <f>BIN2DEC(HJ24)-BIN2DEC(HJ25)</f>
        <v>-3</v>
      </c>
      <c r="HO24" s="87">
        <f>BIN2DEC(HK24)-BIN2DEC(HK25)</f>
        <v>-64</v>
      </c>
      <c r="HP24" s="87">
        <f>BIN2DEC(HL24)-BIN2DEC(HL25)</f>
        <v>-3</v>
      </c>
      <c r="HQ24" s="35" t="str">
        <f t="shared" si="108"/>
        <v>1100</v>
      </c>
      <c r="HR24" s="35" t="str">
        <f t="shared" si="109"/>
        <v>1110</v>
      </c>
      <c r="HS24" s="35" t="str">
        <f t="shared" si="110"/>
        <v>1010</v>
      </c>
      <c r="HT24" s="35" t="str">
        <f t="shared" si="111"/>
        <v>0010</v>
      </c>
      <c r="HU24" s="35" t="str">
        <f t="shared" si="112"/>
        <v>1010</v>
      </c>
      <c r="HV24" s="35" t="str">
        <f t="shared" si="113"/>
        <v>0010</v>
      </c>
      <c r="HW24" s="35" t="str">
        <f t="shared" si="114"/>
        <v>0111</v>
      </c>
      <c r="HX24" s="35" t="str">
        <f t="shared" si="115"/>
        <v>1110</v>
      </c>
      <c r="HY24" s="87">
        <f t="shared" ref="HY24:IF24" si="215">BIN2DEC(HQ24)-BIN2DEC(HQ25)</f>
        <v>8</v>
      </c>
      <c r="HZ24" s="87">
        <f t="shared" si="215"/>
        <v>7</v>
      </c>
      <c r="IA24" s="87">
        <f t="shared" si="215"/>
        <v>8</v>
      </c>
      <c r="IB24" s="87">
        <f t="shared" si="215"/>
        <v>-13</v>
      </c>
      <c r="IC24" s="87">
        <f t="shared" si="215"/>
        <v>-5</v>
      </c>
      <c r="ID24" s="87">
        <f t="shared" si="215"/>
        <v>-2</v>
      </c>
      <c r="IE24" s="87">
        <f t="shared" si="215"/>
        <v>1</v>
      </c>
      <c r="IF24" s="87">
        <f t="shared" si="215"/>
        <v>11</v>
      </c>
      <c r="IG24" s="34" t="str">
        <f t="shared" si="22"/>
        <v>0100000000100000</v>
      </c>
      <c r="IH24" s="34" t="str">
        <f t="shared" si="23"/>
        <v>0010000001100000</v>
      </c>
      <c r="II24" s="87">
        <f>MID(IG24,16,1)*POWER(2,0)+MID(IG24,15,1)*POWER(2,1)+MID(IG24,14,1)*POWER(2,2)+MID(IG24,13,1)*POWER(2,3)+MID(IG24,12,1)*POWER(2,4)+MID(IG24,11,1)*POWER(2,5)+MID(IG24,10,1)*POWER(2,6)+MID(IG24,9,1)*POWER(2,7)+MID(IG24,8,1)*POWER(2,8)+MID(IG24,7,1)*POWER(2,9)+MID(IG24,6,1)*POWER(2,10)+MID(IG24,5,1)*POWER(2,11)+MID(IG24,4,1)*POWER(2,12)+MID(IG24,3,1)*POWER(2,13)+MID(IG24,2,1)*POWER(2,14)+MID(IG24,1,1)*POWER(2,15)-(MID(IG25,16,1)*POWER(2,0)+MID(IG25,15,1)*POWER(2,1)+MID(IG25,14,1)*POWER(2,2)+MID(IG25,13,1)*POWER(2,3)+MID(IG25,12,1)*POWER(2,4)+MID(IG25,11,1)*POWER(2,5)+MID(IG25,10,1)*POWER(2,6)+MID(IG25,9,1)*POWER(2,7)+MID(IG25,8,1)*POWER(2,8)+MID(IG25,7,1)*POWER(2,9)+MID(IG25,6,1)*POWER(2,10)+MID(IG25,5,1)*POWER(2,11)+MID(IG25,4,1)*POWER(2,12)+MID(IG25,3,1)*POWER(2,13)+MID(IG25,2,1)*POWER(2,14)+MID(IG25,1,1)*POWER(2,15))</f>
        <v>-771</v>
      </c>
      <c r="IJ24" s="87">
        <f>MID(IH24,16,1)*POWER(2,0)+MID(IH24,15,1)*POWER(2,1)+MID(IH24,14,1)*POWER(2,2)+MID(IH24,13,1)*POWER(2,3)+MID(IH24,12,1)*POWER(2,4)+MID(IH24,11,1)*POWER(2,5)+MID(IH24,10,1)*POWER(2,6)+MID(IH24,9,1)*POWER(2,7)+MID(IH24,8,1)*POWER(2,8)+MID(IH24,7,1)*POWER(2,9)+MID(IH24,6,1)*POWER(2,10)+MID(IH24,5,1)*POWER(2,11)+MID(IH24,4,1)*POWER(2,12)+MID(IH24,3,1)*POWER(2,13)+MID(IH24,2,1)*POWER(2,14)+MID(IH24,1,1)*POWER(2,15)-(MID(IH25,16,1)*POWER(2,0)+MID(IH25,15,1)*POWER(2,1)+MID(IH25,14,1)*POWER(2,2)+MID(IH25,13,1)*POWER(2,3)+MID(IH25,12,1)*POWER(2,4)+MID(IH25,11,1)*POWER(2,5)+MID(IH25,10,1)*POWER(2,6)+MID(IH25,9,1)*POWER(2,7)+MID(IH25,8,1)*POWER(2,8)+MID(IH25,7,1)*POWER(2,9)+MID(IH25,6,1)*POWER(2,10)+MID(IH25,5,1)*POWER(2,11)+MID(IH25,4,1)*POWER(2,12)+MID(IH25,3,1)*POWER(2,13)+MID(IH25,2,1)*POWER(2,14)+MID(IH25,1,1)*POWER(2,15))</f>
        <v>-16387</v>
      </c>
      <c r="IL24" s="34"/>
      <c r="IM24" s="34"/>
      <c r="IN24" s="34"/>
      <c r="IO24" s="34"/>
      <c r="IP24" s="33"/>
      <c r="IQ24" s="33"/>
      <c r="IR24" s="33"/>
      <c r="IS24" s="33"/>
      <c r="JB24" s="33"/>
      <c r="JC24" s="33"/>
      <c r="JD24" s="33"/>
      <c r="JE24" s="33"/>
      <c r="JF24" s="33"/>
      <c r="JG24" s="33"/>
      <c r="JH24" s="33"/>
      <c r="JI24" s="33"/>
      <c r="JJ24" s="34"/>
      <c r="JK24" s="34"/>
      <c r="JL24" s="33"/>
      <c r="JM24" s="33"/>
    </row>
    <row r="25" spans="1:273" s="39" customFormat="1" ht="18.600000000000001" thickBot="1" x14ac:dyDescent="0.4">
      <c r="A25" s="36"/>
      <c r="B25" s="37"/>
      <c r="C25" s="51" t="s">
        <v>6</v>
      </c>
      <c r="D25" s="51">
        <v>47</v>
      </c>
      <c r="E25" s="51" t="s">
        <v>74</v>
      </c>
      <c r="F25" s="51" t="s">
        <v>81</v>
      </c>
      <c r="G25" s="51">
        <v>63</v>
      </c>
      <c r="H25" s="51" t="str">
        <f t="shared" si="198"/>
        <v>01000111001011111111010001100011</v>
      </c>
      <c r="I25" s="51">
        <f t="shared" si="199"/>
        <v>18</v>
      </c>
      <c r="J25" s="51"/>
      <c r="K25" s="51"/>
      <c r="L25" s="38" t="str">
        <f>H25</f>
        <v>01000111001011111111010001100011</v>
      </c>
      <c r="M25" s="38" t="str">
        <f t="shared" si="24"/>
        <v>01000111</v>
      </c>
      <c r="N25" s="38" t="str">
        <f t="shared" si="25"/>
        <v>00101111</v>
      </c>
      <c r="O25" s="38" t="str">
        <f t="shared" si="26"/>
        <v>11110100</v>
      </c>
      <c r="P25" s="38" t="str">
        <f t="shared" si="27"/>
        <v>01100011</v>
      </c>
      <c r="Q25" s="88"/>
      <c r="R25" s="88"/>
      <c r="S25" s="88"/>
      <c r="T25" s="88"/>
      <c r="U25" s="39" t="str">
        <f t="shared" si="28"/>
        <v>0100</v>
      </c>
      <c r="V25" s="39" t="str">
        <f t="shared" si="29"/>
        <v>0111</v>
      </c>
      <c r="W25" s="39" t="str">
        <f t="shared" si="30"/>
        <v>0010</v>
      </c>
      <c r="X25" s="39" t="str">
        <f t="shared" si="31"/>
        <v>1111</v>
      </c>
      <c r="Y25" s="39" t="str">
        <f t="shared" si="32"/>
        <v>1111</v>
      </c>
      <c r="Z25" s="39" t="str">
        <f t="shared" si="33"/>
        <v>0100</v>
      </c>
      <c r="AA25" s="39" t="str">
        <f t="shared" si="34"/>
        <v>0110</v>
      </c>
      <c r="AB25" s="39" t="str">
        <f t="shared" si="35"/>
        <v>0011</v>
      </c>
      <c r="AC25" s="88"/>
      <c r="AD25" s="88"/>
      <c r="AE25" s="88"/>
      <c r="AF25" s="88"/>
      <c r="AG25" s="88"/>
      <c r="AH25" s="88"/>
      <c r="AI25" s="88"/>
      <c r="AJ25" s="88"/>
      <c r="AK25" s="38" t="str">
        <f t="shared" si="1"/>
        <v>0100011100101111</v>
      </c>
      <c r="AL25" s="38" t="str">
        <f t="shared" si="2"/>
        <v>1111010001100011</v>
      </c>
      <c r="AM25" s="88"/>
      <c r="AN25" s="88"/>
      <c r="AO25" s="37" t="str">
        <f>L25</f>
        <v>01000111001011111111010001100011</v>
      </c>
      <c r="AP25" s="38" t="str">
        <f t="shared" si="36"/>
        <v>01000111</v>
      </c>
      <c r="AQ25" s="38" t="str">
        <f t="shared" si="37"/>
        <v>00101111</v>
      </c>
      <c r="AR25" s="38" t="str">
        <f t="shared" si="38"/>
        <v>11110100</v>
      </c>
      <c r="AS25" s="38" t="str">
        <f t="shared" si="39"/>
        <v>01100011</v>
      </c>
      <c r="AT25" s="88"/>
      <c r="AU25" s="88"/>
      <c r="AV25" s="88"/>
      <c r="AW25" s="88"/>
      <c r="AX25" s="39" t="str">
        <f t="shared" si="40"/>
        <v>0100</v>
      </c>
      <c r="AY25" s="39" t="str">
        <f t="shared" si="41"/>
        <v>0111</v>
      </c>
      <c r="AZ25" s="39" t="str">
        <f t="shared" si="42"/>
        <v>0010</v>
      </c>
      <c r="BA25" s="39" t="str">
        <f t="shared" si="43"/>
        <v>1111</v>
      </c>
      <c r="BB25" s="39" t="str">
        <f t="shared" si="44"/>
        <v>1111</v>
      </c>
      <c r="BC25" s="39" t="str">
        <f t="shared" si="45"/>
        <v>0100</v>
      </c>
      <c r="BD25" s="39" t="str">
        <f t="shared" si="46"/>
        <v>0110</v>
      </c>
      <c r="BE25" s="39" t="str">
        <f t="shared" si="47"/>
        <v>0011</v>
      </c>
      <c r="BF25" s="88"/>
      <c r="BG25" s="88"/>
      <c r="BH25" s="88"/>
      <c r="BI25" s="88"/>
      <c r="BJ25" s="88"/>
      <c r="BK25" s="88"/>
      <c r="BL25" s="88"/>
      <c r="BM25" s="88"/>
      <c r="BN25" s="38" t="str">
        <f t="shared" si="4"/>
        <v>0100011100101111</v>
      </c>
      <c r="BO25" s="38" t="str">
        <f t="shared" si="5"/>
        <v>1111010001100011</v>
      </c>
      <c r="BP25" s="88"/>
      <c r="BQ25" s="88"/>
      <c r="BR25" s="37" t="str">
        <f>CONCATENATE(MID(L25,1,1)*MID(K24,1,1),MID(L25,2,1)*MID(K24,2,1),MID(L25,3,1)*MID(K24,3,1),MID(L25,4,1)*MID(K24,4,1),MID(L25,5,1)*MID(K24,5,1),MID(L25,6,1)*MID(K24,6,1),MID(L25,7,1)*MID(K24,7,1),MID(L25,8,1)*MID(K24,8,1),MID(L25,9,1)*MID(K24,1,1),MID(L25,10,1)*MID(K24,2,1),MID(L25,11,1)*MID(K24,3,1),MID(L25,12,1)*MID(K24,4,1),MID(L25,13,1)*MID(K24,5,1),MID(L25,14,1)*MID(K24,6,1),MID(L25,15,1)*MID(K24,7,1),MID(L25,16,1)*MID(K24,8,1),MID(L25,17,1)*MID(K24,1,1),MID(L25,18,1)*MID(K24,2,1),MID(L25,19,1)*MID(K24,3,1),MID(L25,20,1)*MID(K24,4,1),MID(L25,21,1)*MID(K24,5,1),MID(L25,22,1)*MID(K24,6,1),MID(L25,23,1)*MID(K24,7,1),MID(L25,24,1)*MID(K24,8,1),MID(L25,25,1)*MID(K24,1,1),MID(L25,26,1)*MID(K24,2,1),MID(L25,27,1)*MID(K24,3,1),MID(L25,28,1)*MID(K24,4,1),MID(L25,29,1)*MID(K24,5,1),MID(L25,30,1)*MID(K24,6,1),MID(L25,31,1)*MID(K24,7,1),MID(L25,32,1)*MID(K24,8,1))</f>
        <v>01000011001000110110000001100011</v>
      </c>
      <c r="BS25" s="38" t="str">
        <f t="shared" si="48"/>
        <v>01000011</v>
      </c>
      <c r="BT25" s="38" t="str">
        <f t="shared" si="49"/>
        <v>00100011</v>
      </c>
      <c r="BU25" s="38" t="str">
        <f t="shared" si="50"/>
        <v>01100000</v>
      </c>
      <c r="BV25" s="38" t="str">
        <f t="shared" si="51"/>
        <v>01100011</v>
      </c>
      <c r="BW25" s="88"/>
      <c r="BX25" s="88"/>
      <c r="BY25" s="88"/>
      <c r="BZ25" s="88"/>
      <c r="CA25" s="39" t="str">
        <f t="shared" si="52"/>
        <v>0100</v>
      </c>
      <c r="CB25" s="39" t="str">
        <f t="shared" si="53"/>
        <v>0111</v>
      </c>
      <c r="CC25" s="39" t="str">
        <f t="shared" si="54"/>
        <v>0010</v>
      </c>
      <c r="CD25" s="39" t="str">
        <f t="shared" si="55"/>
        <v>1111</v>
      </c>
      <c r="CE25" s="39" t="str">
        <f t="shared" si="56"/>
        <v>1111</v>
      </c>
      <c r="CF25" s="39" t="str">
        <f t="shared" si="57"/>
        <v>0100</v>
      </c>
      <c r="CG25" s="39" t="str">
        <f t="shared" si="58"/>
        <v>0110</v>
      </c>
      <c r="CH25" s="39" t="str">
        <f t="shared" si="59"/>
        <v>0011</v>
      </c>
      <c r="CI25" s="88"/>
      <c r="CJ25" s="88"/>
      <c r="CK25" s="88"/>
      <c r="CL25" s="88"/>
      <c r="CM25" s="88"/>
      <c r="CN25" s="88"/>
      <c r="CO25" s="88"/>
      <c r="CP25" s="88"/>
      <c r="CQ25" s="38" t="str">
        <f t="shared" si="7"/>
        <v>0100001100100011</v>
      </c>
      <c r="CR25" s="38" t="str">
        <f t="shared" si="8"/>
        <v>0110000001100011</v>
      </c>
      <c r="CS25" s="88"/>
      <c r="CT25" s="88"/>
      <c r="CU25" s="37" t="str">
        <f>CONCATENATE(MID($L25,1,1)*MID($K24,1,1),MID($L25,2,1)*MID($K24,2,1),MID($L25,3,1)*MID($K24,3,1),MID($L25,4,1)*MID($K24,4,1),MID($L25,5,1)*MID($K24,5,1),MID($L25,6,1)*MID($K24,6,1),MID($L25,7,1)*MID($K24,7,1),MID($L25,8,1)*MID($K24,8,1),MID($L25,9,1)*MID($K24,1,1),MID($L25,10,1)*MID($K24,2,1),MID($L25,11,1)*MID($K24,3,1),MID($L25,12,1)*MID($K24,4,1),MID($L25,13,1)*MID($K24,5,1),MID($L25,14,1)*MID($K24,6,1),MID($L25,15,1)*MID($K24,7,1),MID($L25,16,1)*MID($K24,8,1),MID($L25,17,1)*MID($K24,1,1),MID($L25,18,1)*MID($K24,2,1),MID($L25,19,1)*MID($K24,3,1),MID($L25,20,1)*MID($K24,4,1),MID($L25,21,1)*MID($K24,5,1),MID($L25,22,1)*MID($K24,6,1),MID($L25,23,1)*MID($K24,7,1),MID($L25,24,1)*MID($K24,8,1),MID($L25,25,1)*MID($K24,1,1),MID($L25,26,1)*MID($K24,2,1),MID($L25,27,1)*MID($K24,3,1),MID($L25,28,1)*MID($K24,4,1),MID($L25,29,1)*MID($K24,5,1),MID($L25,30,1)*MID($K24,6,1),MID($L25,31,1)*MID($K24,7,1),MID($L25,32,1)*MID($K24,8,1))</f>
        <v>01000011001000110110000001100011</v>
      </c>
      <c r="CV25" s="38" t="str">
        <f t="shared" si="60"/>
        <v>01000011</v>
      </c>
      <c r="CW25" s="38" t="str">
        <f t="shared" si="61"/>
        <v>00100011</v>
      </c>
      <c r="CX25" s="38" t="str">
        <f t="shared" si="62"/>
        <v>01100000</v>
      </c>
      <c r="CY25" s="38" t="str">
        <f t="shared" si="63"/>
        <v>01100011</v>
      </c>
      <c r="CZ25" s="88"/>
      <c r="DA25" s="88"/>
      <c r="DB25" s="88"/>
      <c r="DC25" s="88"/>
      <c r="DD25" s="39" t="str">
        <f t="shared" si="64"/>
        <v>0100</v>
      </c>
      <c r="DE25" s="39" t="str">
        <f t="shared" si="65"/>
        <v>0111</v>
      </c>
      <c r="DF25" s="39" t="str">
        <f t="shared" si="66"/>
        <v>0010</v>
      </c>
      <c r="DG25" s="39" t="str">
        <f t="shared" si="67"/>
        <v>1111</v>
      </c>
      <c r="DH25" s="39" t="str">
        <f t="shared" si="68"/>
        <v>1111</v>
      </c>
      <c r="DI25" s="39" t="str">
        <f t="shared" si="69"/>
        <v>0100</v>
      </c>
      <c r="DJ25" s="39" t="str">
        <f t="shared" si="70"/>
        <v>0110</v>
      </c>
      <c r="DK25" s="39" t="str">
        <f t="shared" si="71"/>
        <v>0011</v>
      </c>
      <c r="DL25" s="88"/>
      <c r="DM25" s="88"/>
      <c r="DN25" s="88"/>
      <c r="DO25" s="88"/>
      <c r="DP25" s="88"/>
      <c r="DQ25" s="88"/>
      <c r="DR25" s="88"/>
      <c r="DS25" s="88"/>
      <c r="DT25" s="38" t="str">
        <f t="shared" si="10"/>
        <v>0100001100100011</v>
      </c>
      <c r="DU25" s="38" t="str">
        <f t="shared" si="11"/>
        <v>0110000001100011</v>
      </c>
      <c r="DV25" s="88"/>
      <c r="DW25" s="88"/>
      <c r="DX25" s="37"/>
      <c r="DY25" s="39" t="str">
        <f>H25</f>
        <v>01000111001011111111010001100011</v>
      </c>
      <c r="DZ25" s="38" t="str">
        <f t="shared" si="122"/>
        <v>01000111</v>
      </c>
      <c r="EA25" s="38" t="str">
        <f t="shared" si="72"/>
        <v>00101111</v>
      </c>
      <c r="EB25" s="38" t="str">
        <f t="shared" si="73"/>
        <v>11110100</v>
      </c>
      <c r="EC25" s="38" t="str">
        <f t="shared" si="74"/>
        <v>01100011</v>
      </c>
      <c r="ED25" s="88"/>
      <c r="EE25" s="88"/>
      <c r="EF25" s="88"/>
      <c r="EG25" s="88"/>
      <c r="EH25" s="39" t="str">
        <f t="shared" si="75"/>
        <v>0100</v>
      </c>
      <c r="EI25" s="39" t="str">
        <f t="shared" si="76"/>
        <v>0111</v>
      </c>
      <c r="EJ25" s="39" t="str">
        <f t="shared" si="77"/>
        <v>0010</v>
      </c>
      <c r="EK25" s="39" t="str">
        <f t="shared" si="78"/>
        <v>1111</v>
      </c>
      <c r="EL25" s="39" t="str">
        <f t="shared" si="79"/>
        <v>1111</v>
      </c>
      <c r="EM25" s="39" t="str">
        <f t="shared" si="80"/>
        <v>0100</v>
      </c>
      <c r="EN25" s="39" t="str">
        <f t="shared" si="81"/>
        <v>0110</v>
      </c>
      <c r="EO25" s="39" t="str">
        <f t="shared" si="82"/>
        <v>0011</v>
      </c>
      <c r="EP25" s="88"/>
      <c r="EQ25" s="88"/>
      <c r="ER25" s="88"/>
      <c r="ES25" s="88"/>
      <c r="ET25" s="88"/>
      <c r="EU25" s="88"/>
      <c r="EV25" s="88"/>
      <c r="EW25" s="88"/>
      <c r="EX25" s="38" t="str">
        <f t="shared" si="13"/>
        <v>0100011100101111</v>
      </c>
      <c r="EY25" s="38" t="str">
        <f t="shared" si="14"/>
        <v>1111010001100011</v>
      </c>
      <c r="EZ25" s="88"/>
      <c r="FA25" s="88"/>
      <c r="FB25" s="39" t="str">
        <f>H25</f>
        <v>01000111001011111111010001100011</v>
      </c>
      <c r="FC25" s="38" t="str">
        <f t="shared" si="124"/>
        <v>01000111</v>
      </c>
      <c r="FD25" s="38" t="str">
        <f t="shared" si="83"/>
        <v>00101111</v>
      </c>
      <c r="FE25" s="38" t="str">
        <f t="shared" si="84"/>
        <v>11110100</v>
      </c>
      <c r="FF25" s="38" t="str">
        <f t="shared" si="85"/>
        <v>01100011</v>
      </c>
      <c r="FG25" s="88"/>
      <c r="FH25" s="88"/>
      <c r="FI25" s="88"/>
      <c r="FJ25" s="88"/>
      <c r="FK25" s="39" t="str">
        <f t="shared" si="86"/>
        <v>0100</v>
      </c>
      <c r="FL25" s="39" t="str">
        <f t="shared" si="87"/>
        <v>0111</v>
      </c>
      <c r="FM25" s="39" t="str">
        <f t="shared" si="88"/>
        <v>0010</v>
      </c>
      <c r="FN25" s="39" t="str">
        <f t="shared" si="89"/>
        <v>1111</v>
      </c>
      <c r="FO25" s="39" t="str">
        <f t="shared" si="90"/>
        <v>1111</v>
      </c>
      <c r="FP25" s="39" t="str">
        <f t="shared" si="91"/>
        <v>0100</v>
      </c>
      <c r="FQ25" s="39" t="str">
        <f t="shared" si="92"/>
        <v>0110</v>
      </c>
      <c r="FR25" s="39" t="str">
        <f t="shared" si="93"/>
        <v>0011</v>
      </c>
      <c r="FS25" s="88"/>
      <c r="FT25" s="88"/>
      <c r="FU25" s="88"/>
      <c r="FV25" s="88"/>
      <c r="FW25" s="88"/>
      <c r="FX25" s="88"/>
      <c r="FY25" s="88"/>
      <c r="FZ25" s="88"/>
      <c r="GA25" s="38" t="str">
        <f t="shared" si="16"/>
        <v>0100011100101111</v>
      </c>
      <c r="GB25" s="38" t="str">
        <f t="shared" si="17"/>
        <v>1111010001100011</v>
      </c>
      <c r="GC25" s="88"/>
      <c r="GD25" s="88"/>
      <c r="GE25" s="39" t="str">
        <f>BR25</f>
        <v>01000011001000110110000001100011</v>
      </c>
      <c r="GF25" s="38" t="str">
        <f t="shared" si="126"/>
        <v>01000011</v>
      </c>
      <c r="GG25" s="38" t="str">
        <f t="shared" si="94"/>
        <v>00100011</v>
      </c>
      <c r="GH25" s="38" t="str">
        <f t="shared" si="95"/>
        <v>01100000</v>
      </c>
      <c r="GI25" s="38" t="str">
        <f t="shared" si="96"/>
        <v>01100011</v>
      </c>
      <c r="GJ25" s="88"/>
      <c r="GK25" s="88"/>
      <c r="GL25" s="88"/>
      <c r="GM25" s="88"/>
      <c r="GN25" s="39" t="str">
        <f t="shared" si="97"/>
        <v>0100</v>
      </c>
      <c r="GO25" s="39" t="str">
        <f t="shared" si="98"/>
        <v>0111</v>
      </c>
      <c r="GP25" s="39" t="str">
        <f t="shared" si="99"/>
        <v>0010</v>
      </c>
      <c r="GQ25" s="39" t="str">
        <f t="shared" si="100"/>
        <v>1111</v>
      </c>
      <c r="GR25" s="39" t="str">
        <f t="shared" si="101"/>
        <v>1111</v>
      </c>
      <c r="GS25" s="39" t="str">
        <f t="shared" si="102"/>
        <v>0100</v>
      </c>
      <c r="GT25" s="39" t="str">
        <f t="shared" si="103"/>
        <v>0110</v>
      </c>
      <c r="GU25" s="39" t="str">
        <f t="shared" si="104"/>
        <v>0011</v>
      </c>
      <c r="GV25" s="88"/>
      <c r="GW25" s="88"/>
      <c r="GX25" s="88"/>
      <c r="GY25" s="88"/>
      <c r="GZ25" s="88"/>
      <c r="HA25" s="88"/>
      <c r="HB25" s="88"/>
      <c r="HC25" s="88"/>
      <c r="HD25" s="38" t="str">
        <f t="shared" si="19"/>
        <v>0100001100100011</v>
      </c>
      <c r="HE25" s="38" t="str">
        <f t="shared" si="20"/>
        <v>0110000001100011</v>
      </c>
      <c r="HF25" s="88"/>
      <c r="HG25" s="88"/>
      <c r="HH25" s="39" t="str">
        <f>GE25</f>
        <v>01000011001000110110000001100011</v>
      </c>
      <c r="HI25" s="38" t="str">
        <f t="shared" si="128"/>
        <v>01000011</v>
      </c>
      <c r="HJ25" s="38" t="str">
        <f t="shared" si="105"/>
        <v>00100011</v>
      </c>
      <c r="HK25" s="38" t="str">
        <f t="shared" si="106"/>
        <v>01100000</v>
      </c>
      <c r="HL25" s="38" t="str">
        <f t="shared" si="107"/>
        <v>01100011</v>
      </c>
      <c r="HM25" s="88"/>
      <c r="HN25" s="88"/>
      <c r="HO25" s="88"/>
      <c r="HP25" s="88"/>
      <c r="HQ25" s="39" t="str">
        <f t="shared" si="108"/>
        <v>0100</v>
      </c>
      <c r="HR25" s="39" t="str">
        <f t="shared" si="109"/>
        <v>0111</v>
      </c>
      <c r="HS25" s="39" t="str">
        <f t="shared" si="110"/>
        <v>0010</v>
      </c>
      <c r="HT25" s="39" t="str">
        <f t="shared" si="111"/>
        <v>1111</v>
      </c>
      <c r="HU25" s="39" t="str">
        <f t="shared" si="112"/>
        <v>1111</v>
      </c>
      <c r="HV25" s="39" t="str">
        <f t="shared" si="113"/>
        <v>0100</v>
      </c>
      <c r="HW25" s="39" t="str">
        <f t="shared" si="114"/>
        <v>0110</v>
      </c>
      <c r="HX25" s="39" t="str">
        <f t="shared" si="115"/>
        <v>0011</v>
      </c>
      <c r="HY25" s="88"/>
      <c r="HZ25" s="88"/>
      <c r="IA25" s="88"/>
      <c r="IB25" s="88"/>
      <c r="IC25" s="88"/>
      <c r="ID25" s="88"/>
      <c r="IE25" s="88"/>
      <c r="IF25" s="88"/>
      <c r="IG25" s="38" t="str">
        <f t="shared" si="22"/>
        <v>0100001100100011</v>
      </c>
      <c r="IH25" s="38" t="str">
        <f t="shared" si="23"/>
        <v>0110000001100011</v>
      </c>
      <c r="II25" s="88"/>
      <c r="IJ25" s="88"/>
      <c r="IL25" s="38"/>
      <c r="IM25" s="38"/>
      <c r="IN25" s="38"/>
      <c r="IO25" s="38"/>
      <c r="IP25" s="37"/>
      <c r="IQ25" s="37"/>
      <c r="IR25" s="37"/>
      <c r="IS25" s="37"/>
      <c r="JB25" s="37"/>
      <c r="JC25" s="37"/>
      <c r="JD25" s="37"/>
      <c r="JE25" s="37"/>
      <c r="JF25" s="37"/>
      <c r="JG25" s="37"/>
      <c r="JH25" s="37"/>
      <c r="JI25" s="37"/>
      <c r="JJ25" s="38"/>
      <c r="JK25" s="38"/>
      <c r="JL25" s="37"/>
      <c r="JM25" s="37"/>
    </row>
    <row r="26" spans="1:273" s="35" customFormat="1" x14ac:dyDescent="0.35">
      <c r="A26" s="32"/>
      <c r="B26" s="33"/>
      <c r="C26" s="50" t="s">
        <v>0</v>
      </c>
      <c r="D26" s="50">
        <v>10</v>
      </c>
      <c r="E26" s="50" t="s">
        <v>87</v>
      </c>
      <c r="F26" s="50" t="s">
        <v>107</v>
      </c>
      <c r="G26" s="50" t="s">
        <v>135</v>
      </c>
      <c r="H26" s="50" t="str">
        <f t="shared" si="198"/>
        <v>00010000101100111100110010111010</v>
      </c>
      <c r="I26" s="50">
        <f t="shared" si="199"/>
        <v>15</v>
      </c>
      <c r="J26" s="50">
        <v>63</v>
      </c>
      <c r="K26" s="50" t="str">
        <f>HEX2BIN(J26,8)</f>
        <v>01100011</v>
      </c>
      <c r="L26" s="34" t="str">
        <f>CONCATENATE(MID(H26,30,3),MID(H26,17,5),MID(H26,6,3),MID(H26,25,5),MID(H26,14,3),MID(H26,1,5),MID(H26,22,3),MID(H26,9,5))</f>
        <v>01011001000101110110001010010110</v>
      </c>
      <c r="M26" s="34" t="str">
        <f t="shared" si="24"/>
        <v>01011001</v>
      </c>
      <c r="N26" s="34" t="str">
        <f t="shared" si="25"/>
        <v>00010111</v>
      </c>
      <c r="O26" s="34" t="str">
        <f t="shared" si="26"/>
        <v>01100010</v>
      </c>
      <c r="P26" s="34" t="str">
        <f t="shared" si="27"/>
        <v>10010110</v>
      </c>
      <c r="Q26" s="87">
        <f>BIN2DEC(M26)-BIN2DEC(M27)</f>
        <v>-121</v>
      </c>
      <c r="R26" s="87">
        <f>BIN2DEC(N26)-BIN2DEC(N27)</f>
        <v>-108</v>
      </c>
      <c r="S26" s="87">
        <f>BIN2DEC(O26)-BIN2DEC(O27)</f>
        <v>-81</v>
      </c>
      <c r="T26" s="87">
        <f>BIN2DEC(P26)-BIN2DEC(P27)</f>
        <v>27</v>
      </c>
      <c r="U26" s="35" t="str">
        <f t="shared" si="28"/>
        <v>0101</v>
      </c>
      <c r="V26" s="35" t="str">
        <f t="shared" si="29"/>
        <v>1001</v>
      </c>
      <c r="W26" s="35" t="str">
        <f t="shared" si="30"/>
        <v>0001</v>
      </c>
      <c r="X26" s="35" t="str">
        <f t="shared" si="31"/>
        <v>0111</v>
      </c>
      <c r="Y26" s="35" t="str">
        <f t="shared" si="32"/>
        <v>0110</v>
      </c>
      <c r="Z26" s="35" t="str">
        <f t="shared" si="33"/>
        <v>0010</v>
      </c>
      <c r="AA26" s="35" t="str">
        <f t="shared" si="34"/>
        <v>1001</v>
      </c>
      <c r="AB26" s="35" t="str">
        <f t="shared" si="35"/>
        <v>0110</v>
      </c>
      <c r="AC26" s="87">
        <f t="shared" ref="AC26:AJ26" si="216">BIN2DEC(U26)-BIN2DEC(U27)</f>
        <v>-8</v>
      </c>
      <c r="AD26" s="87">
        <f t="shared" si="216"/>
        <v>7</v>
      </c>
      <c r="AE26" s="87">
        <f t="shared" si="216"/>
        <v>-7</v>
      </c>
      <c r="AF26" s="87">
        <f t="shared" si="216"/>
        <v>4</v>
      </c>
      <c r="AG26" s="87">
        <f t="shared" si="216"/>
        <v>-5</v>
      </c>
      <c r="AH26" s="87">
        <f t="shared" si="216"/>
        <v>-1</v>
      </c>
      <c r="AI26" s="87">
        <f t="shared" si="216"/>
        <v>2</v>
      </c>
      <c r="AJ26" s="87">
        <f t="shared" si="216"/>
        <v>-5</v>
      </c>
      <c r="AK26" s="34" t="str">
        <f t="shared" si="1"/>
        <v>0101100100010111</v>
      </c>
      <c r="AL26" s="34" t="str">
        <f t="shared" si="2"/>
        <v>0110001010010110</v>
      </c>
      <c r="AM26" s="87">
        <f>MID(AK26,16,1)*POWER(2,0)+MID(AK26,15,1)*POWER(2,1)+MID(AK26,14,1)*POWER(2,2)+MID(AK26,13,1)*POWER(2,3)+MID(AK26,12,1)*POWER(2,4)+MID(AK26,11,1)*POWER(2,5)+MID(AK26,10,1)*POWER(2,6)+MID(AK26,9,1)*POWER(2,7)+MID(AK26,8,1)*POWER(2,8)+MID(AK26,7,1)*POWER(2,9)+MID(AK26,6,1)*POWER(2,10)+MID(AK26,5,1)*POWER(2,11)+MID(AK26,4,1)*POWER(2,12)+MID(AK26,3,1)*POWER(2,13)+MID(AK26,2,1)*POWER(2,14)+MID(AK26,1,1)*POWER(2,15)-(MID(AK27,16,1)*POWER(2,0)+MID(AK27,15,1)*POWER(2,1)+MID(AK27,14,1)*POWER(2,2)+MID(AK27,13,1)*POWER(2,3)+MID(AK27,12,1)*POWER(2,4)+MID(AK27,11,1)*POWER(2,5)+MID(AK27,10,1)*POWER(2,6)+MID(AK27,9,1)*POWER(2,7)+MID(AK27,8,1)*POWER(2,8)+MID(AK27,7,1)*POWER(2,9)+MID(AK27,6,1)*POWER(2,10)+MID(AK27,5,1)*POWER(2,11)+MID(AK27,4,1)*POWER(2,12)+MID(AK27,3,1)*POWER(2,13)+MID(AK27,2,1)*POWER(2,14)+MID(AK27,1,1)*POWER(2,15))</f>
        <v>-31084</v>
      </c>
      <c r="AN26" s="87">
        <f>MID(AL26,16,1)*POWER(2,0)+MID(AL26,15,1)*POWER(2,1)+MID(AL26,14,1)*POWER(2,2)+MID(AL26,13,1)*POWER(2,3)+MID(AL26,12,1)*POWER(2,4)+MID(AL26,11,1)*POWER(2,5)+MID(AL26,10,1)*POWER(2,6)+MID(AL26,9,1)*POWER(2,7)+MID(AL26,8,1)*POWER(2,8)+MID(AL26,7,1)*POWER(2,9)+MID(AL26,6,1)*POWER(2,10)+MID(AL26,5,1)*POWER(2,11)+MID(AL26,4,1)*POWER(2,12)+MID(AL26,3,1)*POWER(2,13)+MID(AL26,2,1)*POWER(2,14)+MID(AL26,1,1)*POWER(2,15)-(MID(AL27,16,1)*POWER(2,0)+MID(AL27,15,1)*POWER(2,1)+MID(AL27,14,1)*POWER(2,2)+MID(AL27,13,1)*POWER(2,3)+MID(AL27,12,1)*POWER(2,4)+MID(AL27,11,1)*POWER(2,5)+MID(AL27,10,1)*POWER(2,6)+MID(AL27,9,1)*POWER(2,7)+MID(AL27,8,1)*POWER(2,8)+MID(AL27,7,1)*POWER(2,9)+MID(AL27,6,1)*POWER(2,10)+MID(AL27,5,1)*POWER(2,11)+MID(AL27,4,1)*POWER(2,12)+MID(AL27,3,1)*POWER(2,13)+MID(AL27,2,1)*POWER(2,14)+MID(AL27,1,1)*POWER(2,15))</f>
        <v>-20709</v>
      </c>
      <c r="AO26" s="33" t="str">
        <f>CONCATENATE(MID(L26,1,1)*MID(K26,1,1),MID(L26,2,1)*MID(K26,2,1),MID(L26,3,1)*MID(K26,3,1),MID(L26,4,1)*MID(K26,4,1),MID(L26,5,1)*MID(K26,5,1),MID(L26,6,1)*MID(K26,6,1),MID(L26,7,1)*MID(K26,7,1),MID(L26,8,1)*MID(K26,8,1),MID(L26,9,1)*MID(K26,1,1),MID(L26,10,1)*MID(K26,2,1),MID(L26,11,1)*MID(K26,3,1),MID(L26,12,1)*MID(K26,4,1),MID(L26,13,1)*MID(K26,5,1),MID(L26,14,1)*MID(K26,6,1),MID(L26,15,1)*MID(K26,7,1),MID(L26,16,1)*MID(K26,8,1),MID(L26,17,1)*MID(K26,1,1),MID(L26,18,1)*MID(K26,2,1),MID(L26,19,1)*MID(K26,3,1),MID(L26,20,1)*MID(K26,4,1),MID(L26,21,1)*MID(K26,5,1),MID(L26,22,1)*MID(K26,6,1),MID(L26,23,1)*MID(K26,7,1),MID(L26,24,1)*MID(K26,8,1),MID(L26,25,1)*MID(K26,1,1),MID(L26,26,1)*MID(K26,2,1),MID(L26,27,1)*MID(K26,3,1),MID(L26,28,1)*MID(K26,4,1),MID(L26,29,1)*MID(K26,5,1),MID(L26,30,1)*MID(K26,6,1),MID(L26,31,1)*MID(K26,7,1),MID(L26,32,1)*MID(K26,8,1))</f>
        <v>01000001000000110110001000000010</v>
      </c>
      <c r="AP26" s="34" t="str">
        <f t="shared" si="36"/>
        <v>01000001</v>
      </c>
      <c r="AQ26" s="34" t="str">
        <f t="shared" si="37"/>
        <v>00000011</v>
      </c>
      <c r="AR26" s="34" t="str">
        <f t="shared" si="38"/>
        <v>01100010</v>
      </c>
      <c r="AS26" s="34" t="str">
        <f t="shared" si="39"/>
        <v>00000010</v>
      </c>
      <c r="AT26" s="87">
        <f>BIN2DEC(AP26)-BIN2DEC(AP27)</f>
        <v>-145</v>
      </c>
      <c r="AU26" s="87">
        <f>BIN2DEC(AQ26)-BIN2DEC(AQ27)</f>
        <v>-128</v>
      </c>
      <c r="AV26" s="87">
        <f>BIN2DEC(AR26)-BIN2DEC(AR27)</f>
        <v>-81</v>
      </c>
      <c r="AW26" s="87">
        <f>BIN2DEC(AS26)-BIN2DEC(AS27)</f>
        <v>-121</v>
      </c>
      <c r="AX26" s="35" t="str">
        <f t="shared" si="40"/>
        <v>0101</v>
      </c>
      <c r="AY26" s="35" t="str">
        <f t="shared" si="41"/>
        <v>1001</v>
      </c>
      <c r="AZ26" s="35" t="str">
        <f t="shared" si="42"/>
        <v>0001</v>
      </c>
      <c r="BA26" s="35" t="str">
        <f t="shared" si="43"/>
        <v>0111</v>
      </c>
      <c r="BB26" s="35" t="str">
        <f t="shared" si="44"/>
        <v>0110</v>
      </c>
      <c r="BC26" s="35" t="str">
        <f t="shared" si="45"/>
        <v>0010</v>
      </c>
      <c r="BD26" s="35" t="str">
        <f t="shared" si="46"/>
        <v>1001</v>
      </c>
      <c r="BE26" s="35" t="str">
        <f t="shared" si="47"/>
        <v>0110</v>
      </c>
      <c r="BF26" s="87">
        <f t="shared" ref="BF26:BM26" si="217">BIN2DEC(AX26)-BIN2DEC(AX27)</f>
        <v>-8</v>
      </c>
      <c r="BG26" s="87">
        <f t="shared" si="217"/>
        <v>7</v>
      </c>
      <c r="BH26" s="87">
        <f t="shared" si="217"/>
        <v>-7</v>
      </c>
      <c r="BI26" s="87">
        <f t="shared" si="217"/>
        <v>4</v>
      </c>
      <c r="BJ26" s="87">
        <f t="shared" si="217"/>
        <v>-5</v>
      </c>
      <c r="BK26" s="87">
        <f t="shared" si="217"/>
        <v>-1</v>
      </c>
      <c r="BL26" s="87">
        <f t="shared" si="217"/>
        <v>2</v>
      </c>
      <c r="BM26" s="87">
        <f t="shared" si="217"/>
        <v>-5</v>
      </c>
      <c r="BN26" s="34" t="str">
        <f t="shared" si="4"/>
        <v>0100000100000011</v>
      </c>
      <c r="BO26" s="34" t="str">
        <f t="shared" si="5"/>
        <v>0110001000000010</v>
      </c>
      <c r="BP26" s="87">
        <f>MID(BN26,16,1)*POWER(2,0)+MID(BN26,15,1)*POWER(2,1)+MID(BN26,14,1)*POWER(2,2)+MID(BN26,13,1)*POWER(2,3)+MID(BN26,12,1)*POWER(2,4)+MID(BN26,11,1)*POWER(2,5)+MID(BN26,10,1)*POWER(2,6)+MID(BN26,9,1)*POWER(2,7)+MID(BN26,8,1)*POWER(2,8)+MID(BN26,7,1)*POWER(2,9)+MID(BN26,6,1)*POWER(2,10)+MID(BN26,5,1)*POWER(2,11)+MID(BN26,4,1)*POWER(2,12)+MID(BN26,3,1)*POWER(2,13)+MID(BN26,2,1)*POWER(2,14)+MID(BN26,1,1)*POWER(2,15)-(MID(BN27,16,1)*POWER(2,0)+MID(BN27,15,1)*POWER(2,1)+MID(BN27,14,1)*POWER(2,2)+MID(BN27,13,1)*POWER(2,3)+MID(BN27,12,1)*POWER(2,4)+MID(BN27,11,1)*POWER(2,5)+MID(BN27,10,1)*POWER(2,6)+MID(BN27,9,1)*POWER(2,7)+MID(BN27,8,1)*POWER(2,8)+MID(BN27,7,1)*POWER(2,9)+MID(BN27,6,1)*POWER(2,10)+MID(BN27,5,1)*POWER(2,11)+MID(BN27,4,1)*POWER(2,12)+MID(BN27,3,1)*POWER(2,13)+MID(BN27,2,1)*POWER(2,14)+MID(BN27,1,1)*POWER(2,15))</f>
        <v>-37248</v>
      </c>
      <c r="BQ26" s="87">
        <f>MID(BO26,16,1)*POWER(2,0)+MID(BO26,15,1)*POWER(2,1)+MID(BO26,14,1)*POWER(2,2)+MID(BO26,13,1)*POWER(2,3)+MID(BO26,12,1)*POWER(2,4)+MID(BO26,11,1)*POWER(2,5)+MID(BO26,10,1)*POWER(2,6)+MID(BO26,9,1)*POWER(2,7)+MID(BO26,8,1)*POWER(2,8)+MID(BO26,7,1)*POWER(2,9)+MID(BO26,6,1)*POWER(2,10)+MID(BO26,5,1)*POWER(2,11)+MID(BO26,4,1)*POWER(2,12)+MID(BO26,3,1)*POWER(2,13)+MID(BO26,2,1)*POWER(2,14)+MID(BO26,1,1)*POWER(2,15)-(MID(BO27,16,1)*POWER(2,0)+MID(BO27,15,1)*POWER(2,1)+MID(BO27,14,1)*POWER(2,2)+MID(BO27,13,1)*POWER(2,3)+MID(BO27,12,1)*POWER(2,4)+MID(BO27,11,1)*POWER(2,5)+MID(BO27,10,1)*POWER(2,6)+MID(BO27,9,1)*POWER(2,7)+MID(BO27,8,1)*POWER(2,8)+MID(BO27,7,1)*POWER(2,9)+MID(BO27,6,1)*POWER(2,10)+MID(BO27,5,1)*POWER(2,11)+MID(BO27,4,1)*POWER(2,12)+MID(BO27,3,1)*POWER(2,13)+MID(BO27,2,1)*POWER(2,14)+MID(BO27,1,1)*POWER(2,15))</f>
        <v>-20857</v>
      </c>
      <c r="BR26" s="35" t="str">
        <f>L26</f>
        <v>01011001000101110110001010010110</v>
      </c>
      <c r="BS26" s="34" t="str">
        <f t="shared" si="48"/>
        <v>01011001</v>
      </c>
      <c r="BT26" s="34" t="str">
        <f t="shared" si="49"/>
        <v>00010111</v>
      </c>
      <c r="BU26" s="34" t="str">
        <f t="shared" si="50"/>
        <v>01100010</v>
      </c>
      <c r="BV26" s="34" t="str">
        <f t="shared" si="51"/>
        <v>10010110</v>
      </c>
      <c r="BW26" s="87">
        <f>BIN2DEC(BS26)-BIN2DEC(BS27)</f>
        <v>23</v>
      </c>
      <c r="BX26" s="87">
        <f>BIN2DEC(BT26)-BIN2DEC(BT27)</f>
        <v>20</v>
      </c>
      <c r="BY26" s="87">
        <f>BIN2DEC(BU26)-BIN2DEC(BU27)</f>
        <v>63</v>
      </c>
      <c r="BZ26" s="87">
        <f>BIN2DEC(BV26)-BIN2DEC(BV27)</f>
        <v>51</v>
      </c>
      <c r="CA26" s="35" t="str">
        <f t="shared" si="52"/>
        <v>0101</v>
      </c>
      <c r="CB26" s="35" t="str">
        <f t="shared" si="53"/>
        <v>1001</v>
      </c>
      <c r="CC26" s="35" t="str">
        <f t="shared" si="54"/>
        <v>0001</v>
      </c>
      <c r="CD26" s="35" t="str">
        <f t="shared" si="55"/>
        <v>0111</v>
      </c>
      <c r="CE26" s="35" t="str">
        <f t="shared" si="56"/>
        <v>0110</v>
      </c>
      <c r="CF26" s="35" t="str">
        <f t="shared" si="57"/>
        <v>0010</v>
      </c>
      <c r="CG26" s="35" t="str">
        <f t="shared" si="58"/>
        <v>1001</v>
      </c>
      <c r="CH26" s="35" t="str">
        <f t="shared" si="59"/>
        <v>0110</v>
      </c>
      <c r="CI26" s="87">
        <f t="shared" ref="CI26:CP26" si="218">BIN2DEC(CA26)-BIN2DEC(CA27)</f>
        <v>-8</v>
      </c>
      <c r="CJ26" s="87">
        <f t="shared" si="218"/>
        <v>7</v>
      </c>
      <c r="CK26" s="87">
        <f t="shared" si="218"/>
        <v>-7</v>
      </c>
      <c r="CL26" s="87">
        <f t="shared" si="218"/>
        <v>4</v>
      </c>
      <c r="CM26" s="87">
        <f t="shared" si="218"/>
        <v>-5</v>
      </c>
      <c r="CN26" s="87">
        <f t="shared" si="218"/>
        <v>-1</v>
      </c>
      <c r="CO26" s="87">
        <f t="shared" si="218"/>
        <v>2</v>
      </c>
      <c r="CP26" s="87">
        <f t="shared" si="218"/>
        <v>-5</v>
      </c>
      <c r="CQ26" s="34" t="str">
        <f t="shared" si="7"/>
        <v>0101100100010111</v>
      </c>
      <c r="CR26" s="34" t="str">
        <f t="shared" si="8"/>
        <v>0110001010010110</v>
      </c>
      <c r="CS26" s="87">
        <f>MID(CQ26,16,1)*POWER(2,0)+MID(CQ26,15,1)*POWER(2,1)+MID(CQ26,14,1)*POWER(2,2)+MID(CQ26,13,1)*POWER(2,3)+MID(CQ26,12,1)*POWER(2,4)+MID(CQ26,11,1)*POWER(2,5)+MID(CQ26,10,1)*POWER(2,6)+MID(CQ26,9,1)*POWER(2,7)+MID(CQ26,8,1)*POWER(2,8)+MID(CQ26,7,1)*POWER(2,9)+MID(CQ26,6,1)*POWER(2,10)+MID(CQ26,5,1)*POWER(2,11)+MID(CQ26,4,1)*POWER(2,12)+MID(CQ26,3,1)*POWER(2,13)+MID(CQ26,2,1)*POWER(2,14)+MID(CQ26,1,1)*POWER(2,15)-(MID(CQ27,16,1)*POWER(2,0)+MID(CQ27,15,1)*POWER(2,1)+MID(CQ27,14,1)*POWER(2,2)+MID(CQ27,13,1)*POWER(2,3)+MID(CQ27,12,1)*POWER(2,4)+MID(CQ27,11,1)*POWER(2,5)+MID(CQ27,10,1)*POWER(2,6)+MID(CQ27,9,1)*POWER(2,7)+MID(CQ27,8,1)*POWER(2,8)+MID(CQ27,7,1)*POWER(2,9)+MID(CQ27,6,1)*POWER(2,10)+MID(CQ27,5,1)*POWER(2,11)+MID(CQ27,4,1)*POWER(2,12)+MID(CQ27,3,1)*POWER(2,13)+MID(CQ27,2,1)*POWER(2,14)+MID(CQ27,1,1)*POWER(2,15))</f>
        <v>5908</v>
      </c>
      <c r="CT26" s="87">
        <f>MID(CR26,16,1)*POWER(2,0)+MID(CR26,15,1)*POWER(2,1)+MID(CR26,14,1)*POWER(2,2)+MID(CR26,13,1)*POWER(2,3)+MID(CR26,12,1)*POWER(2,4)+MID(CR26,11,1)*POWER(2,5)+MID(CR26,10,1)*POWER(2,6)+MID(CR26,9,1)*POWER(2,7)+MID(CR26,8,1)*POWER(2,8)+MID(CR26,7,1)*POWER(2,9)+MID(CR26,6,1)*POWER(2,10)+MID(CR26,5,1)*POWER(2,11)+MID(CR26,4,1)*POWER(2,12)+MID(CR26,3,1)*POWER(2,13)+MID(CR26,2,1)*POWER(2,14)+MID(CR26,1,1)*POWER(2,15)-(MID(CR27,16,1)*POWER(2,0)+MID(CR27,15,1)*POWER(2,1)+MID(CR27,14,1)*POWER(2,2)+MID(CR27,13,1)*POWER(2,3)+MID(CR27,12,1)*POWER(2,4)+MID(CR27,11,1)*POWER(2,5)+MID(CR27,10,1)*POWER(2,6)+MID(CR27,9,1)*POWER(2,7)+MID(CR27,8,1)*POWER(2,8)+MID(CR27,7,1)*POWER(2,9)+MID(CR27,6,1)*POWER(2,10)+MID(CR27,5,1)*POWER(2,11)+MID(CR27,4,1)*POWER(2,12)+MID(CR27,3,1)*POWER(2,13)+MID(CR27,2,1)*POWER(2,14)+MID(CR27,1,1)*POWER(2,15))</f>
        <v>16179</v>
      </c>
      <c r="CU26" s="33" t="str">
        <f>CONCATENATE(MID($L26,1,1)*MID($K26,1,1),MID($L26,2,1)*MID($K26,2,1),MID($L26,3,1)*MID($K26,3,1),MID($L26,4,1)*MID($K26,4,1),MID($L26,5,1)*MID($K26,5,1),MID($L26,6,1)*MID($K26,6,1),MID($L26,7,1)*MID($K26,7,1),MID($L26,8,1)*MID($K26,8,1),MID($L26,9,1)*MID($K26,1,1),MID($L26,10,1)*MID($K26,2,1),MID($L26,11,1)*MID($K26,3,1),MID($L26,12,1)*MID($K26,4,1),MID($L26,13,1)*MID($K26,5,1),MID($L26,14,1)*MID($K26,6,1),MID($L26,15,1)*MID($K26,7,1),MID($L26,16,1)*MID($K26,8,1),MID($L26,17,1)*MID($K26,1,1),MID($L26,18,1)*MID($K26,2,1),MID($L26,19,1)*MID($K26,3,1),MID($L26,20,1)*MID($K26,4,1),MID($L26,21,1)*MID($K26,5,1),MID($L26,22,1)*MID($K26,6,1),MID($L26,23,1)*MID($K26,7,1),MID($L26,24,1)*MID($K26,8,1),MID($L26,25,1)*MID($K26,1,1),MID($L26,26,1)*MID($K26,2,1),MID($L26,27,1)*MID($K26,3,1),MID($L26,28,1)*MID($K26,4,1),MID($L26,29,1)*MID($K26,5,1),MID($L26,30,1)*MID($K26,6,1),MID($L26,31,1)*MID($K26,7,1),MID($L26,32,1)*MID($K26,8,1))</f>
        <v>01000001000000110110001000000010</v>
      </c>
      <c r="CV26" s="34" t="str">
        <f t="shared" si="60"/>
        <v>01000001</v>
      </c>
      <c r="CW26" s="34" t="str">
        <f t="shared" si="61"/>
        <v>00000011</v>
      </c>
      <c r="CX26" s="34" t="str">
        <f t="shared" si="62"/>
        <v>01100010</v>
      </c>
      <c r="CY26" s="34" t="str">
        <f t="shared" si="63"/>
        <v>00000010</v>
      </c>
      <c r="CZ26" s="87">
        <f>BIN2DEC(CV26)-BIN2DEC(CV27)</f>
        <v>-1</v>
      </c>
      <c r="DA26" s="87">
        <f>BIN2DEC(CW26)-BIN2DEC(CW27)</f>
        <v>0</v>
      </c>
      <c r="DB26" s="87">
        <f>BIN2DEC(CX26)-BIN2DEC(CX27)</f>
        <v>63</v>
      </c>
      <c r="DC26" s="87">
        <f>BIN2DEC(CY26)-BIN2DEC(CY27)</f>
        <v>-97</v>
      </c>
      <c r="DD26" s="35" t="str">
        <f t="shared" si="64"/>
        <v>0101</v>
      </c>
      <c r="DE26" s="35" t="str">
        <f t="shared" si="65"/>
        <v>1001</v>
      </c>
      <c r="DF26" s="35" t="str">
        <f t="shared" si="66"/>
        <v>0001</v>
      </c>
      <c r="DG26" s="35" t="str">
        <f t="shared" si="67"/>
        <v>0111</v>
      </c>
      <c r="DH26" s="35" t="str">
        <f t="shared" si="68"/>
        <v>0110</v>
      </c>
      <c r="DI26" s="35" t="str">
        <f t="shared" si="69"/>
        <v>0010</v>
      </c>
      <c r="DJ26" s="35" t="str">
        <f t="shared" si="70"/>
        <v>1001</v>
      </c>
      <c r="DK26" s="35" t="str">
        <f t="shared" si="71"/>
        <v>0110</v>
      </c>
      <c r="DL26" s="87">
        <f t="shared" ref="DL26:DS26" si="219">BIN2DEC(DD26)-BIN2DEC(DD27)</f>
        <v>-8</v>
      </c>
      <c r="DM26" s="87">
        <f t="shared" si="219"/>
        <v>7</v>
      </c>
      <c r="DN26" s="87">
        <f t="shared" si="219"/>
        <v>-7</v>
      </c>
      <c r="DO26" s="87">
        <f t="shared" si="219"/>
        <v>4</v>
      </c>
      <c r="DP26" s="87">
        <f t="shared" si="219"/>
        <v>-5</v>
      </c>
      <c r="DQ26" s="87">
        <f t="shared" si="219"/>
        <v>-1</v>
      </c>
      <c r="DR26" s="87">
        <f t="shared" si="219"/>
        <v>2</v>
      </c>
      <c r="DS26" s="87">
        <f t="shared" si="219"/>
        <v>-5</v>
      </c>
      <c r="DT26" s="34" t="str">
        <f t="shared" si="10"/>
        <v>0100000100000011</v>
      </c>
      <c r="DU26" s="34" t="str">
        <f t="shared" si="11"/>
        <v>0110001000000010</v>
      </c>
      <c r="DV26" s="87">
        <f>MID(DT26,16,1)*POWER(2,0)+MID(DT26,15,1)*POWER(2,1)+MID(DT26,14,1)*POWER(2,2)+MID(DT26,13,1)*POWER(2,3)+MID(DT26,12,1)*POWER(2,4)+MID(DT26,11,1)*POWER(2,5)+MID(DT26,10,1)*POWER(2,6)+MID(DT26,9,1)*POWER(2,7)+MID(DT26,8,1)*POWER(2,8)+MID(DT26,7,1)*POWER(2,9)+MID(DT26,6,1)*POWER(2,10)+MID(DT26,5,1)*POWER(2,11)+MID(DT26,4,1)*POWER(2,12)+MID(DT26,3,1)*POWER(2,13)+MID(DT26,2,1)*POWER(2,14)+MID(DT26,1,1)*POWER(2,15)-(MID(DT27,16,1)*POWER(2,0)+MID(DT27,15,1)*POWER(2,1)+MID(DT27,14,1)*POWER(2,2)+MID(DT27,13,1)*POWER(2,3)+MID(DT27,12,1)*POWER(2,4)+MID(DT27,11,1)*POWER(2,5)+MID(DT27,10,1)*POWER(2,6)+MID(DT27,9,1)*POWER(2,7)+MID(DT27,8,1)*POWER(2,8)+MID(DT27,7,1)*POWER(2,9)+MID(DT27,6,1)*POWER(2,10)+MID(DT27,5,1)*POWER(2,11)+MID(DT27,4,1)*POWER(2,12)+MID(DT27,3,1)*POWER(2,13)+MID(DT27,2,1)*POWER(2,14)+MID(DT27,1,1)*POWER(2,15))</f>
        <v>-256</v>
      </c>
      <c r="DW26" s="87">
        <f>MID(DU26,16,1)*POWER(2,0)+MID(DU26,15,1)*POWER(2,1)+MID(DU26,14,1)*POWER(2,2)+MID(DU26,13,1)*POWER(2,3)+MID(DU26,12,1)*POWER(2,4)+MID(DU26,11,1)*POWER(2,5)+MID(DU26,10,1)*POWER(2,6)+MID(DU26,9,1)*POWER(2,7)+MID(DU26,8,1)*POWER(2,8)+MID(DU26,7,1)*POWER(2,9)+MID(DU26,6,1)*POWER(2,10)+MID(DU26,5,1)*POWER(2,11)+MID(DU26,4,1)*POWER(2,12)+MID(DU26,3,1)*POWER(2,13)+MID(DU26,2,1)*POWER(2,14)+MID(DU26,1,1)*POWER(2,15)-(MID(DU27,16,1)*POWER(2,0)+MID(DU27,15,1)*POWER(2,1)+MID(DU27,14,1)*POWER(2,2)+MID(DU27,13,1)*POWER(2,3)+MID(DU27,12,1)*POWER(2,4)+MID(DU27,11,1)*POWER(2,5)+MID(DU27,10,1)*POWER(2,6)+MID(DU27,9,1)*POWER(2,7)+MID(DU27,8,1)*POWER(2,8)+MID(DU27,7,1)*POWER(2,9)+MID(DU27,6,1)*POWER(2,10)+MID(DU27,5,1)*POWER(2,11)+MID(DU27,4,1)*POWER(2,12)+MID(DU27,3,1)*POWER(2,13)+MID(DU27,2,1)*POWER(2,14)+MID(DU27,1,1)*POWER(2,15))</f>
        <v>16031</v>
      </c>
      <c r="DX26" s="33" t="str">
        <f>CONCATENATE(MID($H26,1,1)*MID($K26,1,1),MID($H26,2,1)*MID($K26,2,1),MID($H26,3,1)*MID($K26,3,1),MID($H26,4,1)*MID($K26,4,1),MID($H26,5,1)*MID($K26,5,1),MID($H26,6,1)*MID($K26,6,1),MID($H26,7,1)*MID($K26,7,1),MID($H26,8,1)*MID($K26,8,1),MID($H26,9,1)*MID($K26,1,1),MID($H26,10,1)*MID($K26,2,1),MID($H26,11,1)*MID($K26,3,1),MID($H26,12,1)*MID($K26,4,1),MID($H26,13,1)*MID($K26,5,1),MID($H26,14,1)*MID($K26,6,1),MID($H26,15,1)*MID($K26,7,1),MID($H26,16,1)*MID($K26,8,1),MID($H26,17,1)*MID($K26,1,1),MID($H26,18,1)*MID($K26,2,1),MID($H26,19,1)*MID($K26,3,1),MID($H26,20,1)*MID($K26,4,1),MID($H26,21,1)*MID($K26,5,1),MID($H26,22,1)*MID($K26,6,1),MID($H26,23,1)*MID($K26,7,1),MID($H26,24,1)*MID($K26,8,1),MID($H26,25,1)*MID($K26,1,1),MID($H26,26,1)*MID($K26,2,1),MID($H26,27,1)*MID($K26,3,1),MID($H26,28,1)*MID($K26,4,1),MID($H26,29,1)*MID($K26,5,1),MID($H26,30,1)*MID($K26,6,1),MID($H26,31,1)*MID($K26,7,1),MID($H26,32,1)*MID($K26,8,1))</f>
        <v>00000000001000110100000000100010</v>
      </c>
      <c r="DY26" s="34" t="str">
        <f>CONCATENATE(MID(DX26,30,3),MID(DX26,17,5),MID(DX26,6,3),MID(DX26,25,5),MID(DX26,14,3),MID(DX26,1,5),MID(DX26,22,3),MID(DX26,9,5))</f>
        <v>01001000000001000110000000000100</v>
      </c>
      <c r="DZ26" s="34" t="str">
        <f t="shared" si="122"/>
        <v>01001000</v>
      </c>
      <c r="EA26" s="34" t="str">
        <f t="shared" si="72"/>
        <v>00000100</v>
      </c>
      <c r="EB26" s="34" t="str">
        <f t="shared" si="73"/>
        <v>01100000</v>
      </c>
      <c r="EC26" s="34" t="str">
        <f t="shared" si="74"/>
        <v>00000100</v>
      </c>
      <c r="ED26" s="87">
        <f>BIN2DEC(DZ26)-BIN2DEC(DZ27)</f>
        <v>-138</v>
      </c>
      <c r="EE26" s="87">
        <f>BIN2DEC(EA26)-BIN2DEC(EA27)</f>
        <v>-127</v>
      </c>
      <c r="EF26" s="87">
        <f>BIN2DEC(EB26)-BIN2DEC(EB27)</f>
        <v>-83</v>
      </c>
      <c r="EG26" s="87">
        <f>BIN2DEC(EC26)-BIN2DEC(EC27)</f>
        <v>-119</v>
      </c>
      <c r="EH26" s="35" t="str">
        <f t="shared" si="75"/>
        <v>0101</v>
      </c>
      <c r="EI26" s="35" t="str">
        <f t="shared" si="76"/>
        <v>1001</v>
      </c>
      <c r="EJ26" s="35" t="str">
        <f t="shared" si="77"/>
        <v>0001</v>
      </c>
      <c r="EK26" s="35" t="str">
        <f t="shared" si="78"/>
        <v>0111</v>
      </c>
      <c r="EL26" s="35" t="str">
        <f t="shared" si="79"/>
        <v>0110</v>
      </c>
      <c r="EM26" s="35" t="str">
        <f t="shared" si="80"/>
        <v>0010</v>
      </c>
      <c r="EN26" s="35" t="str">
        <f t="shared" si="81"/>
        <v>1001</v>
      </c>
      <c r="EO26" s="35" t="str">
        <f t="shared" si="82"/>
        <v>0110</v>
      </c>
      <c r="EP26" s="87">
        <f t="shared" ref="EP26:EW26" si="220">BIN2DEC(EH26)-BIN2DEC(EH27)</f>
        <v>-8</v>
      </c>
      <c r="EQ26" s="87">
        <f t="shared" si="220"/>
        <v>7</v>
      </c>
      <c r="ER26" s="87">
        <f t="shared" si="220"/>
        <v>-7</v>
      </c>
      <c r="ES26" s="87">
        <f t="shared" si="220"/>
        <v>4</v>
      </c>
      <c r="ET26" s="87">
        <f t="shared" si="220"/>
        <v>-5</v>
      </c>
      <c r="EU26" s="87">
        <f t="shared" si="220"/>
        <v>-1</v>
      </c>
      <c r="EV26" s="87">
        <f t="shared" si="220"/>
        <v>2</v>
      </c>
      <c r="EW26" s="87">
        <f t="shared" si="220"/>
        <v>-5</v>
      </c>
      <c r="EX26" s="34" t="str">
        <f t="shared" si="13"/>
        <v>0100100000000100</v>
      </c>
      <c r="EY26" s="34" t="str">
        <f t="shared" si="14"/>
        <v>0110000000000100</v>
      </c>
      <c r="EZ26" s="87">
        <f>MID(EX26,16,1)*POWER(2,0)+MID(EX26,15,1)*POWER(2,1)+MID(EX26,14,1)*POWER(2,2)+MID(EX26,13,1)*POWER(2,3)+MID(EX26,12,1)*POWER(2,4)+MID(EX26,11,1)*POWER(2,5)+MID(EX26,10,1)*POWER(2,6)+MID(EX26,9,1)*POWER(2,7)+MID(EX26,8,1)*POWER(2,8)+MID(EX26,7,1)*POWER(2,9)+MID(EX26,6,1)*POWER(2,10)+MID(EX26,5,1)*POWER(2,11)+MID(EX26,4,1)*POWER(2,12)+MID(EX26,3,1)*POWER(2,13)+MID(EX26,2,1)*POWER(2,14)+MID(EX26,1,1)*POWER(2,15)-(MID(EX27,16,1)*POWER(2,0)+MID(EX27,15,1)*POWER(2,1)+MID(EX27,14,1)*POWER(2,2)+MID(EX27,13,1)*POWER(2,3)+MID(EX27,12,1)*POWER(2,4)+MID(EX27,11,1)*POWER(2,5)+MID(EX27,10,1)*POWER(2,6)+MID(EX27,9,1)*POWER(2,7)+MID(EX27,8,1)*POWER(2,8)+MID(EX27,7,1)*POWER(2,9)+MID(EX27,6,1)*POWER(2,10)+MID(EX27,5,1)*POWER(2,11)+MID(EX27,4,1)*POWER(2,12)+MID(EX27,3,1)*POWER(2,13)+MID(EX27,2,1)*POWER(2,14)+MID(EX27,1,1)*POWER(2,15))</f>
        <v>-35455</v>
      </c>
      <c r="FA26" s="87">
        <f>MID(EY26,16,1)*POWER(2,0)+MID(EY26,15,1)*POWER(2,1)+MID(EY26,14,1)*POWER(2,2)+MID(EY26,13,1)*POWER(2,3)+MID(EY26,12,1)*POWER(2,4)+MID(EY26,11,1)*POWER(2,5)+MID(EY26,10,1)*POWER(2,6)+MID(EY26,9,1)*POWER(2,7)+MID(EY26,8,1)*POWER(2,8)+MID(EY26,7,1)*POWER(2,9)+MID(EY26,6,1)*POWER(2,10)+MID(EY26,5,1)*POWER(2,11)+MID(EY26,4,1)*POWER(2,12)+MID(EY26,3,1)*POWER(2,13)+MID(EY26,2,1)*POWER(2,14)+MID(EY26,1,1)*POWER(2,15)-(MID(EY27,16,1)*POWER(2,0)+MID(EY27,15,1)*POWER(2,1)+MID(EY27,14,1)*POWER(2,2)+MID(EY27,13,1)*POWER(2,3)+MID(EY27,12,1)*POWER(2,4)+MID(EY27,11,1)*POWER(2,5)+MID(EY27,10,1)*POWER(2,6)+MID(EY27,9,1)*POWER(2,7)+MID(EY27,8,1)*POWER(2,8)+MID(EY27,7,1)*POWER(2,9)+MID(EY27,6,1)*POWER(2,10)+MID(EY27,5,1)*POWER(2,11)+MID(EY27,4,1)*POWER(2,12)+MID(EY27,3,1)*POWER(2,13)+MID(EY27,2,1)*POWER(2,14)+MID(EY27,1,1)*POWER(2,15))</f>
        <v>-21367</v>
      </c>
      <c r="FB26" s="33" t="str">
        <f>CONCATENATE(MID(DY26,1,1)*MID($K26,1,1),MID(DY26,2,1)*MID($K26,2,1),MID(DY26,3,1)*MID($K26,3,1),MID(DY26,4,1)*MID($K26,4,1),MID(DY26,5,1)*MID($K26,5,1),MID(DY26,6,1)*MID($K26,6,1),MID(DY26,7,1)*MID($K26,7,1),MID(DY26,8,1)*MID($K26,8,1),MID(DY26,9,1)*MID($K26,1,1),MID(DY26,10,1)*MID($K26,2,1),MID(DY26,11,1)*MID($K26,3,1),MID(DY26,12,1)*MID($K26,4,1),MID(DY26,13,1)*MID($K26,5,1),MID(DY26,14,1)*MID($K26,6,1),MID(DY26,15,1)*MID($K26,7,1),MID(DY26,16,1)*MID($K26,8,1),MID(DY26,17,1)*MID($K26,1,1),MID(DY26,18,1)*MID($K26,2,1),MID(DY26,19,1)*MID($K26,3,1),MID(DY26,20,1)*MID($K26,4,1),MID(DY26,21,1)*MID($K26,5,1),MID(DY26,22,1)*MID($K26,6,1),MID(DY26,23,1)*MID($K26,7,1),MID(DY26,24,1)*MID($K26,8,1),MID(DY26,25,1)*MID($K26,1,1),MID(DY26,26,1)*MID($K26,2,1),MID(DY26,27,1)*MID($K26,3,1),MID(DY26,28,1)*MID($K26,4,1),MID(DY26,29,1)*MID($K26,5,1),MID(DY26,30,1)*MID($K26,6,1),MID(DY26,31,1)*MID($K26,7,1),MID(DY26,32,1)*MID($K26,8,1))</f>
        <v>01000000000000000110000000000000</v>
      </c>
      <c r="FC26" s="34" t="str">
        <f t="shared" si="124"/>
        <v>01000000</v>
      </c>
      <c r="FD26" s="34" t="str">
        <f t="shared" si="83"/>
        <v>00000000</v>
      </c>
      <c r="FE26" s="34" t="str">
        <f t="shared" si="84"/>
        <v>01100000</v>
      </c>
      <c r="FF26" s="34" t="str">
        <f t="shared" si="85"/>
        <v>00000000</v>
      </c>
      <c r="FG26" s="87">
        <f>BIN2DEC(FC26)-BIN2DEC(FC27)</f>
        <v>-146</v>
      </c>
      <c r="FH26" s="87">
        <f>BIN2DEC(FD26)-BIN2DEC(FD27)</f>
        <v>-131</v>
      </c>
      <c r="FI26" s="87">
        <f>BIN2DEC(FE26)-BIN2DEC(FE27)</f>
        <v>-83</v>
      </c>
      <c r="FJ26" s="87">
        <f>BIN2DEC(FF26)-BIN2DEC(FF27)</f>
        <v>-123</v>
      </c>
      <c r="FK26" s="35" t="str">
        <f t="shared" si="86"/>
        <v>0101</v>
      </c>
      <c r="FL26" s="35" t="str">
        <f t="shared" si="87"/>
        <v>1001</v>
      </c>
      <c r="FM26" s="35" t="str">
        <f t="shared" si="88"/>
        <v>0001</v>
      </c>
      <c r="FN26" s="35" t="str">
        <f t="shared" si="89"/>
        <v>0111</v>
      </c>
      <c r="FO26" s="35" t="str">
        <f t="shared" si="90"/>
        <v>0110</v>
      </c>
      <c r="FP26" s="35" t="str">
        <f t="shared" si="91"/>
        <v>0010</v>
      </c>
      <c r="FQ26" s="35" t="str">
        <f t="shared" si="92"/>
        <v>1001</v>
      </c>
      <c r="FR26" s="35" t="str">
        <f t="shared" si="93"/>
        <v>0110</v>
      </c>
      <c r="FS26" s="87">
        <f t="shared" ref="FS26:FZ26" si="221">BIN2DEC(FK26)-BIN2DEC(FK27)</f>
        <v>-8</v>
      </c>
      <c r="FT26" s="87">
        <f t="shared" si="221"/>
        <v>7</v>
      </c>
      <c r="FU26" s="87">
        <f t="shared" si="221"/>
        <v>-7</v>
      </c>
      <c r="FV26" s="87">
        <f t="shared" si="221"/>
        <v>4</v>
      </c>
      <c r="FW26" s="87">
        <f t="shared" si="221"/>
        <v>-5</v>
      </c>
      <c r="FX26" s="87">
        <f t="shared" si="221"/>
        <v>-1</v>
      </c>
      <c r="FY26" s="87">
        <f t="shared" si="221"/>
        <v>2</v>
      </c>
      <c r="FZ26" s="87">
        <f t="shared" si="221"/>
        <v>-5</v>
      </c>
      <c r="GA26" s="34" t="str">
        <f t="shared" si="16"/>
        <v>0100000000000000</v>
      </c>
      <c r="GB26" s="34" t="str">
        <f t="shared" si="17"/>
        <v>0110000000000000</v>
      </c>
      <c r="GC26" s="87">
        <f>MID(GA26,16,1)*POWER(2,0)+MID(GA26,15,1)*POWER(2,1)+MID(GA26,14,1)*POWER(2,2)+MID(GA26,13,1)*POWER(2,3)+MID(GA26,12,1)*POWER(2,4)+MID(GA26,11,1)*POWER(2,5)+MID(GA26,10,1)*POWER(2,6)+MID(GA26,9,1)*POWER(2,7)+MID(GA26,8,1)*POWER(2,8)+MID(GA26,7,1)*POWER(2,9)+MID(GA26,6,1)*POWER(2,10)+MID(GA26,5,1)*POWER(2,11)+MID(GA26,4,1)*POWER(2,12)+MID(GA26,3,1)*POWER(2,13)+MID(GA26,2,1)*POWER(2,14)+MID(GA26,1,1)*POWER(2,15)-(MID(GA27,16,1)*POWER(2,0)+MID(GA27,15,1)*POWER(2,1)+MID(GA27,14,1)*POWER(2,2)+MID(GA27,13,1)*POWER(2,3)+MID(GA27,12,1)*POWER(2,4)+MID(GA27,11,1)*POWER(2,5)+MID(GA27,10,1)*POWER(2,6)+MID(GA27,9,1)*POWER(2,7)+MID(GA27,8,1)*POWER(2,8)+MID(GA27,7,1)*POWER(2,9)+MID(GA27,6,1)*POWER(2,10)+MID(GA27,5,1)*POWER(2,11)+MID(GA27,4,1)*POWER(2,12)+MID(GA27,3,1)*POWER(2,13)+MID(GA27,2,1)*POWER(2,14)+MID(GA27,1,1)*POWER(2,15))</f>
        <v>-37507</v>
      </c>
      <c r="GD26" s="87">
        <f>MID(GB26,16,1)*POWER(2,0)+MID(GB26,15,1)*POWER(2,1)+MID(GB26,14,1)*POWER(2,2)+MID(GB26,13,1)*POWER(2,3)+MID(GB26,12,1)*POWER(2,4)+MID(GB26,11,1)*POWER(2,5)+MID(GB26,10,1)*POWER(2,6)+MID(GB26,9,1)*POWER(2,7)+MID(GB26,8,1)*POWER(2,8)+MID(GB26,7,1)*POWER(2,9)+MID(GB26,6,1)*POWER(2,10)+MID(GB26,5,1)*POWER(2,11)+MID(GB26,4,1)*POWER(2,12)+MID(GB26,3,1)*POWER(2,13)+MID(GB26,2,1)*POWER(2,14)+MID(GB26,1,1)*POWER(2,15)-(MID(GB27,16,1)*POWER(2,0)+MID(GB27,15,1)*POWER(2,1)+MID(GB27,14,1)*POWER(2,2)+MID(GB27,13,1)*POWER(2,3)+MID(GB27,12,1)*POWER(2,4)+MID(GB27,11,1)*POWER(2,5)+MID(GB27,10,1)*POWER(2,6)+MID(GB27,9,1)*POWER(2,7)+MID(GB27,8,1)*POWER(2,8)+MID(GB27,7,1)*POWER(2,9)+MID(GB27,6,1)*POWER(2,10)+MID(GB27,5,1)*POWER(2,11)+MID(GB27,4,1)*POWER(2,12)+MID(GB27,3,1)*POWER(2,13)+MID(GB27,2,1)*POWER(2,14)+MID(GB27,1,1)*POWER(2,15))</f>
        <v>-21371</v>
      </c>
      <c r="GE26" s="35" t="str">
        <f>DY26</f>
        <v>01001000000001000110000000000100</v>
      </c>
      <c r="GF26" s="34" t="str">
        <f t="shared" si="126"/>
        <v>01001000</v>
      </c>
      <c r="GG26" s="34" t="str">
        <f t="shared" si="94"/>
        <v>00000100</v>
      </c>
      <c r="GH26" s="34" t="str">
        <f t="shared" si="95"/>
        <v>01100000</v>
      </c>
      <c r="GI26" s="34" t="str">
        <f t="shared" si="96"/>
        <v>00000100</v>
      </c>
      <c r="GJ26" s="87">
        <f>BIN2DEC(GF26)-BIN2DEC(GF27)</f>
        <v>6</v>
      </c>
      <c r="GK26" s="87">
        <f>BIN2DEC(GG26)-BIN2DEC(GG27)</f>
        <v>1</v>
      </c>
      <c r="GL26" s="87">
        <f>BIN2DEC(GH26)-BIN2DEC(GH27)</f>
        <v>61</v>
      </c>
      <c r="GM26" s="87">
        <f>BIN2DEC(GI26)-BIN2DEC(GI27)</f>
        <v>-95</v>
      </c>
      <c r="GN26" s="35" t="str">
        <f t="shared" si="97"/>
        <v>0101</v>
      </c>
      <c r="GO26" s="35" t="str">
        <f t="shared" si="98"/>
        <v>1001</v>
      </c>
      <c r="GP26" s="35" t="str">
        <f t="shared" si="99"/>
        <v>0001</v>
      </c>
      <c r="GQ26" s="35" t="str">
        <f t="shared" si="100"/>
        <v>0111</v>
      </c>
      <c r="GR26" s="35" t="str">
        <f t="shared" si="101"/>
        <v>0110</v>
      </c>
      <c r="GS26" s="35" t="str">
        <f t="shared" si="102"/>
        <v>0010</v>
      </c>
      <c r="GT26" s="35" t="str">
        <f t="shared" si="103"/>
        <v>1001</v>
      </c>
      <c r="GU26" s="35" t="str">
        <f t="shared" si="104"/>
        <v>0110</v>
      </c>
      <c r="GV26" s="87">
        <f t="shared" ref="GV26:HC26" si="222">BIN2DEC(GN26)-BIN2DEC(GN27)</f>
        <v>-8</v>
      </c>
      <c r="GW26" s="87">
        <f t="shared" si="222"/>
        <v>7</v>
      </c>
      <c r="GX26" s="87">
        <f t="shared" si="222"/>
        <v>-7</v>
      </c>
      <c r="GY26" s="87">
        <f t="shared" si="222"/>
        <v>4</v>
      </c>
      <c r="GZ26" s="87">
        <f t="shared" si="222"/>
        <v>-5</v>
      </c>
      <c r="HA26" s="87">
        <f t="shared" si="222"/>
        <v>-1</v>
      </c>
      <c r="HB26" s="87">
        <f t="shared" si="222"/>
        <v>2</v>
      </c>
      <c r="HC26" s="87">
        <f t="shared" si="222"/>
        <v>-5</v>
      </c>
      <c r="HD26" s="34" t="str">
        <f t="shared" si="19"/>
        <v>0100100000000100</v>
      </c>
      <c r="HE26" s="34" t="str">
        <f t="shared" si="20"/>
        <v>0110000000000100</v>
      </c>
      <c r="HF26" s="87">
        <f>MID(HD26,16,1)*POWER(2,0)+MID(HD26,15,1)*POWER(2,1)+MID(HD26,14,1)*POWER(2,2)+MID(HD26,13,1)*POWER(2,3)+MID(HD26,12,1)*POWER(2,4)+MID(HD26,11,1)*POWER(2,5)+MID(HD26,10,1)*POWER(2,6)+MID(HD26,9,1)*POWER(2,7)+MID(HD26,8,1)*POWER(2,8)+MID(HD26,7,1)*POWER(2,9)+MID(HD26,6,1)*POWER(2,10)+MID(HD26,5,1)*POWER(2,11)+MID(HD26,4,1)*POWER(2,12)+MID(HD26,3,1)*POWER(2,13)+MID(HD26,2,1)*POWER(2,14)+MID(HD26,1,1)*POWER(2,15)-(MID(HD27,16,1)*POWER(2,0)+MID(HD27,15,1)*POWER(2,1)+MID(HD27,14,1)*POWER(2,2)+MID(HD27,13,1)*POWER(2,3)+MID(HD27,12,1)*POWER(2,4)+MID(HD27,11,1)*POWER(2,5)+MID(HD27,10,1)*POWER(2,6)+MID(HD27,9,1)*POWER(2,7)+MID(HD27,8,1)*POWER(2,8)+MID(HD27,7,1)*POWER(2,9)+MID(HD27,6,1)*POWER(2,10)+MID(HD27,5,1)*POWER(2,11)+MID(HD27,4,1)*POWER(2,12)+MID(HD27,3,1)*POWER(2,13)+MID(HD27,2,1)*POWER(2,14)+MID(HD27,1,1)*POWER(2,15))</f>
        <v>1537</v>
      </c>
      <c r="HG26" s="87">
        <f>MID(HE26,16,1)*POWER(2,0)+MID(HE26,15,1)*POWER(2,1)+MID(HE26,14,1)*POWER(2,2)+MID(HE26,13,1)*POWER(2,3)+MID(HE26,12,1)*POWER(2,4)+MID(HE26,11,1)*POWER(2,5)+MID(HE26,10,1)*POWER(2,6)+MID(HE26,9,1)*POWER(2,7)+MID(HE26,8,1)*POWER(2,8)+MID(HE26,7,1)*POWER(2,9)+MID(HE26,6,1)*POWER(2,10)+MID(HE26,5,1)*POWER(2,11)+MID(HE26,4,1)*POWER(2,12)+MID(HE26,3,1)*POWER(2,13)+MID(HE26,2,1)*POWER(2,14)+MID(HE26,1,1)*POWER(2,15)-(MID(HE27,16,1)*POWER(2,0)+MID(HE27,15,1)*POWER(2,1)+MID(HE27,14,1)*POWER(2,2)+MID(HE27,13,1)*POWER(2,3)+MID(HE27,12,1)*POWER(2,4)+MID(HE27,11,1)*POWER(2,5)+MID(HE27,10,1)*POWER(2,6)+MID(HE27,9,1)*POWER(2,7)+MID(HE27,8,1)*POWER(2,8)+MID(HE27,7,1)*POWER(2,9)+MID(HE27,6,1)*POWER(2,10)+MID(HE27,5,1)*POWER(2,11)+MID(HE27,4,1)*POWER(2,12)+MID(HE27,3,1)*POWER(2,13)+MID(HE27,2,1)*POWER(2,14)+MID(HE27,1,1)*POWER(2,15))</f>
        <v>15521</v>
      </c>
      <c r="HH26" s="33" t="str">
        <f>CONCATENATE(MID(GE26,1,1)*MID($K26,1,1),MID(GE26,2,1)*MID($K26,2,1),MID(GE26,3,1)*MID($K26,3,1),MID(GE26,4,1)*MID($K26,4,1),MID(GE26,5,1)*MID($K26,5,1),MID(GE26,6,1)*MID($K26,6,1),MID(GE26,7,1)*MID($K26,7,1),MID(GE26,8,1)*MID($K26,8,1),MID(GE26,9,1)*MID($K26,1,1),MID(GE26,10,1)*MID($K26,2,1),MID(GE26,11,1)*MID($K26,3,1),MID(GE26,12,1)*MID($K26,4,1),MID(GE26,13,1)*MID($K26,5,1),MID(GE26,14,1)*MID($K26,6,1),MID(GE26,15,1)*MID($K26,7,1),MID(GE26,16,1)*MID($K26,8,1),MID(GE26,17,1)*MID($K26,1,1),MID(GE26,18,1)*MID($K26,2,1),MID(GE26,19,1)*MID($K26,3,1),MID(GE26,20,1)*MID($K26,4,1),MID(GE26,21,1)*MID($K26,5,1),MID(GE26,22,1)*MID($K26,6,1),MID(GE26,23,1)*MID($K26,7,1),MID(GE26,24,1)*MID($K26,8,1),MID(GE26,25,1)*MID($K26,1,1),MID(GE26,26,1)*MID($K26,2,1),MID(GE26,27,1)*MID($K26,3,1),MID(GE26,28,1)*MID($K26,4,1),MID(GE26,29,1)*MID($K26,5,1),MID(GE26,30,1)*MID($K26,6,1),MID(GE26,31,1)*MID($K26,7,1),MID(GE26,32,1)*MID($K26,8,1))</f>
        <v>01000000000000000110000000000000</v>
      </c>
      <c r="HI26" s="34" t="str">
        <f t="shared" si="128"/>
        <v>01000000</v>
      </c>
      <c r="HJ26" s="34" t="str">
        <f t="shared" si="105"/>
        <v>00000000</v>
      </c>
      <c r="HK26" s="34" t="str">
        <f t="shared" si="106"/>
        <v>01100000</v>
      </c>
      <c r="HL26" s="34" t="str">
        <f t="shared" si="107"/>
        <v>00000000</v>
      </c>
      <c r="HM26" s="87">
        <f>BIN2DEC(HI26)-BIN2DEC(HI27)</f>
        <v>-2</v>
      </c>
      <c r="HN26" s="87">
        <f>BIN2DEC(HJ26)-BIN2DEC(HJ27)</f>
        <v>-3</v>
      </c>
      <c r="HO26" s="87">
        <f>BIN2DEC(HK26)-BIN2DEC(HK27)</f>
        <v>61</v>
      </c>
      <c r="HP26" s="87">
        <f>BIN2DEC(HL26)-BIN2DEC(HL27)</f>
        <v>-99</v>
      </c>
      <c r="HQ26" s="35" t="str">
        <f t="shared" si="108"/>
        <v>0101</v>
      </c>
      <c r="HR26" s="35" t="str">
        <f t="shared" si="109"/>
        <v>1001</v>
      </c>
      <c r="HS26" s="35" t="str">
        <f t="shared" si="110"/>
        <v>0001</v>
      </c>
      <c r="HT26" s="35" t="str">
        <f t="shared" si="111"/>
        <v>0111</v>
      </c>
      <c r="HU26" s="35" t="str">
        <f t="shared" si="112"/>
        <v>0110</v>
      </c>
      <c r="HV26" s="35" t="str">
        <f t="shared" si="113"/>
        <v>0010</v>
      </c>
      <c r="HW26" s="35" t="str">
        <f t="shared" si="114"/>
        <v>1001</v>
      </c>
      <c r="HX26" s="35" t="str">
        <f t="shared" si="115"/>
        <v>0110</v>
      </c>
      <c r="HY26" s="87">
        <f t="shared" ref="HY26:IF26" si="223">BIN2DEC(HQ26)-BIN2DEC(HQ27)</f>
        <v>-8</v>
      </c>
      <c r="HZ26" s="87">
        <f t="shared" si="223"/>
        <v>7</v>
      </c>
      <c r="IA26" s="87">
        <f t="shared" si="223"/>
        <v>-7</v>
      </c>
      <c r="IB26" s="87">
        <f t="shared" si="223"/>
        <v>4</v>
      </c>
      <c r="IC26" s="87">
        <f t="shared" si="223"/>
        <v>-5</v>
      </c>
      <c r="ID26" s="87">
        <f t="shared" si="223"/>
        <v>-1</v>
      </c>
      <c r="IE26" s="87">
        <f t="shared" si="223"/>
        <v>2</v>
      </c>
      <c r="IF26" s="87">
        <f t="shared" si="223"/>
        <v>-5</v>
      </c>
      <c r="IG26" s="34" t="str">
        <f t="shared" si="22"/>
        <v>0100000000000000</v>
      </c>
      <c r="IH26" s="34" t="str">
        <f t="shared" si="23"/>
        <v>0110000000000000</v>
      </c>
      <c r="II26" s="87">
        <f>MID(IG26,16,1)*POWER(2,0)+MID(IG26,15,1)*POWER(2,1)+MID(IG26,14,1)*POWER(2,2)+MID(IG26,13,1)*POWER(2,3)+MID(IG26,12,1)*POWER(2,4)+MID(IG26,11,1)*POWER(2,5)+MID(IG26,10,1)*POWER(2,6)+MID(IG26,9,1)*POWER(2,7)+MID(IG26,8,1)*POWER(2,8)+MID(IG26,7,1)*POWER(2,9)+MID(IG26,6,1)*POWER(2,10)+MID(IG26,5,1)*POWER(2,11)+MID(IG26,4,1)*POWER(2,12)+MID(IG26,3,1)*POWER(2,13)+MID(IG26,2,1)*POWER(2,14)+MID(IG26,1,1)*POWER(2,15)-(MID(IG27,16,1)*POWER(2,0)+MID(IG27,15,1)*POWER(2,1)+MID(IG27,14,1)*POWER(2,2)+MID(IG27,13,1)*POWER(2,3)+MID(IG27,12,1)*POWER(2,4)+MID(IG27,11,1)*POWER(2,5)+MID(IG27,10,1)*POWER(2,6)+MID(IG27,9,1)*POWER(2,7)+MID(IG27,8,1)*POWER(2,8)+MID(IG27,7,1)*POWER(2,9)+MID(IG27,6,1)*POWER(2,10)+MID(IG27,5,1)*POWER(2,11)+MID(IG27,4,1)*POWER(2,12)+MID(IG27,3,1)*POWER(2,13)+MID(IG27,2,1)*POWER(2,14)+MID(IG27,1,1)*POWER(2,15))</f>
        <v>-515</v>
      </c>
      <c r="IJ26" s="87">
        <f>MID(IH26,16,1)*POWER(2,0)+MID(IH26,15,1)*POWER(2,1)+MID(IH26,14,1)*POWER(2,2)+MID(IH26,13,1)*POWER(2,3)+MID(IH26,12,1)*POWER(2,4)+MID(IH26,11,1)*POWER(2,5)+MID(IH26,10,1)*POWER(2,6)+MID(IH26,9,1)*POWER(2,7)+MID(IH26,8,1)*POWER(2,8)+MID(IH26,7,1)*POWER(2,9)+MID(IH26,6,1)*POWER(2,10)+MID(IH26,5,1)*POWER(2,11)+MID(IH26,4,1)*POWER(2,12)+MID(IH26,3,1)*POWER(2,13)+MID(IH26,2,1)*POWER(2,14)+MID(IH26,1,1)*POWER(2,15)-(MID(IH27,16,1)*POWER(2,0)+MID(IH27,15,1)*POWER(2,1)+MID(IH27,14,1)*POWER(2,2)+MID(IH27,13,1)*POWER(2,3)+MID(IH27,12,1)*POWER(2,4)+MID(IH27,11,1)*POWER(2,5)+MID(IH27,10,1)*POWER(2,6)+MID(IH27,9,1)*POWER(2,7)+MID(IH27,8,1)*POWER(2,8)+MID(IH27,7,1)*POWER(2,9)+MID(IH27,6,1)*POWER(2,10)+MID(IH27,5,1)*POWER(2,11)+MID(IH27,4,1)*POWER(2,12)+MID(IH27,3,1)*POWER(2,13)+MID(IH27,2,1)*POWER(2,14)+MID(IH27,1,1)*POWER(2,15))</f>
        <v>15517</v>
      </c>
      <c r="IL26" s="34"/>
      <c r="IM26" s="34"/>
      <c r="IN26" s="34"/>
      <c r="IO26" s="34"/>
      <c r="IP26" s="33"/>
      <c r="IQ26" s="33"/>
      <c r="IR26" s="33"/>
      <c r="IS26" s="33"/>
      <c r="JB26" s="33"/>
      <c r="JC26" s="33"/>
      <c r="JD26" s="33"/>
      <c r="JE26" s="33"/>
      <c r="JF26" s="33"/>
      <c r="JG26" s="33"/>
      <c r="JH26" s="33"/>
      <c r="JI26" s="33"/>
      <c r="JJ26" s="34"/>
      <c r="JK26" s="34"/>
      <c r="JL26" s="33"/>
      <c r="JM26" s="33"/>
    </row>
    <row r="27" spans="1:273" s="39" customFormat="1" ht="18.600000000000001" thickBot="1" x14ac:dyDescent="0.4">
      <c r="A27" s="36"/>
      <c r="B27" s="37"/>
      <c r="C27" s="51" t="s">
        <v>6</v>
      </c>
      <c r="D27" s="51" t="s">
        <v>57</v>
      </c>
      <c r="E27" s="51">
        <v>83</v>
      </c>
      <c r="F27" s="51" t="s">
        <v>87</v>
      </c>
      <c r="G27" s="51" t="s">
        <v>41</v>
      </c>
      <c r="H27" s="51" t="str">
        <f t="shared" si="198"/>
        <v>11010010100000111011001101111011</v>
      </c>
      <c r="I27" s="51">
        <f t="shared" si="199"/>
        <v>18</v>
      </c>
      <c r="J27" s="51"/>
      <c r="K27" s="51"/>
      <c r="L27" s="38" t="str">
        <f>H27</f>
        <v>11010010100000111011001101111011</v>
      </c>
      <c r="M27" s="38" t="str">
        <f t="shared" si="24"/>
        <v>11010010</v>
      </c>
      <c r="N27" s="38" t="str">
        <f t="shared" si="25"/>
        <v>10000011</v>
      </c>
      <c r="O27" s="38" t="str">
        <f t="shared" si="26"/>
        <v>10110011</v>
      </c>
      <c r="P27" s="38" t="str">
        <f t="shared" si="27"/>
        <v>01111011</v>
      </c>
      <c r="Q27" s="88"/>
      <c r="R27" s="88"/>
      <c r="S27" s="88"/>
      <c r="T27" s="88"/>
      <c r="U27" s="39" t="str">
        <f t="shared" si="28"/>
        <v>1101</v>
      </c>
      <c r="V27" s="39" t="str">
        <f t="shared" si="29"/>
        <v>0010</v>
      </c>
      <c r="W27" s="39" t="str">
        <f t="shared" si="30"/>
        <v>1000</v>
      </c>
      <c r="X27" s="39" t="str">
        <f t="shared" si="31"/>
        <v>0011</v>
      </c>
      <c r="Y27" s="39" t="str">
        <f t="shared" si="32"/>
        <v>1011</v>
      </c>
      <c r="Z27" s="39" t="str">
        <f t="shared" si="33"/>
        <v>0011</v>
      </c>
      <c r="AA27" s="39" t="str">
        <f t="shared" si="34"/>
        <v>0111</v>
      </c>
      <c r="AB27" s="39" t="str">
        <f t="shared" si="35"/>
        <v>1011</v>
      </c>
      <c r="AC27" s="88"/>
      <c r="AD27" s="88"/>
      <c r="AE27" s="88"/>
      <c r="AF27" s="88"/>
      <c r="AG27" s="88"/>
      <c r="AH27" s="88"/>
      <c r="AI27" s="88"/>
      <c r="AJ27" s="88"/>
      <c r="AK27" s="38" t="str">
        <f t="shared" si="1"/>
        <v>1101001010000011</v>
      </c>
      <c r="AL27" s="38" t="str">
        <f t="shared" si="2"/>
        <v>1011001101111011</v>
      </c>
      <c r="AM27" s="88"/>
      <c r="AN27" s="88"/>
      <c r="AO27" s="37" t="str">
        <f>L27</f>
        <v>11010010100000111011001101111011</v>
      </c>
      <c r="AP27" s="38" t="str">
        <f t="shared" si="36"/>
        <v>11010010</v>
      </c>
      <c r="AQ27" s="38" t="str">
        <f t="shared" si="37"/>
        <v>10000011</v>
      </c>
      <c r="AR27" s="38" t="str">
        <f t="shared" si="38"/>
        <v>10110011</v>
      </c>
      <c r="AS27" s="38" t="str">
        <f t="shared" si="39"/>
        <v>01111011</v>
      </c>
      <c r="AT27" s="88"/>
      <c r="AU27" s="88"/>
      <c r="AV27" s="88"/>
      <c r="AW27" s="88"/>
      <c r="AX27" s="39" t="str">
        <f t="shared" si="40"/>
        <v>1101</v>
      </c>
      <c r="AY27" s="39" t="str">
        <f t="shared" si="41"/>
        <v>0010</v>
      </c>
      <c r="AZ27" s="39" t="str">
        <f t="shared" si="42"/>
        <v>1000</v>
      </c>
      <c r="BA27" s="39" t="str">
        <f t="shared" si="43"/>
        <v>0011</v>
      </c>
      <c r="BB27" s="39" t="str">
        <f t="shared" si="44"/>
        <v>1011</v>
      </c>
      <c r="BC27" s="39" t="str">
        <f t="shared" si="45"/>
        <v>0011</v>
      </c>
      <c r="BD27" s="39" t="str">
        <f t="shared" si="46"/>
        <v>0111</v>
      </c>
      <c r="BE27" s="39" t="str">
        <f t="shared" si="47"/>
        <v>1011</v>
      </c>
      <c r="BF27" s="88"/>
      <c r="BG27" s="88"/>
      <c r="BH27" s="88"/>
      <c r="BI27" s="88"/>
      <c r="BJ27" s="88"/>
      <c r="BK27" s="88"/>
      <c r="BL27" s="88"/>
      <c r="BM27" s="88"/>
      <c r="BN27" s="38" t="str">
        <f t="shared" si="4"/>
        <v>1101001010000011</v>
      </c>
      <c r="BO27" s="38" t="str">
        <f t="shared" si="5"/>
        <v>1011001101111011</v>
      </c>
      <c r="BP27" s="88"/>
      <c r="BQ27" s="88"/>
      <c r="BR27" s="37" t="str">
        <f>CONCATENATE(MID(L27,1,1)*MID(K26,1,1),MID(L27,2,1)*MID(K26,2,1),MID(L27,3,1)*MID(K26,3,1),MID(L27,4,1)*MID(K26,4,1),MID(L27,5,1)*MID(K26,5,1),MID(L27,6,1)*MID(K26,6,1),MID(L27,7,1)*MID(K26,7,1),MID(L27,8,1)*MID(K26,8,1),MID(L27,9,1)*MID(K26,1,1),MID(L27,10,1)*MID(K26,2,1),MID(L27,11,1)*MID(K26,3,1),MID(L27,12,1)*MID(K26,4,1),MID(L27,13,1)*MID(K26,5,1),MID(L27,14,1)*MID(K26,6,1),MID(L27,15,1)*MID(K26,7,1),MID(L27,16,1)*MID(K26,8,1),MID(L27,17,1)*MID(K26,1,1),MID(L27,18,1)*MID(K26,2,1),MID(L27,19,1)*MID(K26,3,1),MID(L27,20,1)*MID(K26,4,1),MID(L27,21,1)*MID(K26,5,1),MID(L27,22,1)*MID(K26,6,1),MID(L27,23,1)*MID(K26,7,1),MID(L27,24,1)*MID(K26,8,1),MID(L27,25,1)*MID(K26,1,1),MID(L27,26,1)*MID(K26,2,1),MID(L27,27,1)*MID(K26,3,1),MID(L27,28,1)*MID(K26,4,1),MID(L27,29,1)*MID(K26,5,1),MID(L27,30,1)*MID(K26,6,1),MID(L27,31,1)*MID(K26,7,1),MID(L27,32,1)*MID(K26,8,1))</f>
        <v>01000010000000110010001101100011</v>
      </c>
      <c r="BS27" s="38" t="str">
        <f t="shared" si="48"/>
        <v>01000010</v>
      </c>
      <c r="BT27" s="38" t="str">
        <f t="shared" si="49"/>
        <v>00000011</v>
      </c>
      <c r="BU27" s="38" t="str">
        <f t="shared" si="50"/>
        <v>00100011</v>
      </c>
      <c r="BV27" s="38" t="str">
        <f t="shared" si="51"/>
        <v>01100011</v>
      </c>
      <c r="BW27" s="88"/>
      <c r="BX27" s="88"/>
      <c r="BY27" s="88"/>
      <c r="BZ27" s="88"/>
      <c r="CA27" s="39" t="str">
        <f t="shared" si="52"/>
        <v>1101</v>
      </c>
      <c r="CB27" s="39" t="str">
        <f t="shared" si="53"/>
        <v>0010</v>
      </c>
      <c r="CC27" s="39" t="str">
        <f t="shared" si="54"/>
        <v>1000</v>
      </c>
      <c r="CD27" s="39" t="str">
        <f t="shared" si="55"/>
        <v>0011</v>
      </c>
      <c r="CE27" s="39" t="str">
        <f t="shared" si="56"/>
        <v>1011</v>
      </c>
      <c r="CF27" s="39" t="str">
        <f t="shared" si="57"/>
        <v>0011</v>
      </c>
      <c r="CG27" s="39" t="str">
        <f t="shared" si="58"/>
        <v>0111</v>
      </c>
      <c r="CH27" s="39" t="str">
        <f t="shared" si="59"/>
        <v>1011</v>
      </c>
      <c r="CI27" s="88"/>
      <c r="CJ27" s="88"/>
      <c r="CK27" s="88"/>
      <c r="CL27" s="88"/>
      <c r="CM27" s="88"/>
      <c r="CN27" s="88"/>
      <c r="CO27" s="88"/>
      <c r="CP27" s="88"/>
      <c r="CQ27" s="38" t="str">
        <f t="shared" si="7"/>
        <v>0100001000000011</v>
      </c>
      <c r="CR27" s="38" t="str">
        <f t="shared" si="8"/>
        <v>0010001101100011</v>
      </c>
      <c r="CS27" s="88"/>
      <c r="CT27" s="88"/>
      <c r="CU27" s="37" t="str">
        <f>CONCATENATE(MID($L27,1,1)*MID($K26,1,1),MID($L27,2,1)*MID($K26,2,1),MID($L27,3,1)*MID($K26,3,1),MID($L27,4,1)*MID($K26,4,1),MID($L27,5,1)*MID($K26,5,1),MID($L27,6,1)*MID($K26,6,1),MID($L27,7,1)*MID($K26,7,1),MID($L27,8,1)*MID($K26,8,1),MID($L27,9,1)*MID($K26,1,1),MID($L27,10,1)*MID($K26,2,1),MID($L27,11,1)*MID($K26,3,1),MID($L27,12,1)*MID($K26,4,1),MID($L27,13,1)*MID($K26,5,1),MID($L27,14,1)*MID($K26,6,1),MID($L27,15,1)*MID($K26,7,1),MID($L27,16,1)*MID($K26,8,1),MID($L27,17,1)*MID($K26,1,1),MID($L27,18,1)*MID($K26,2,1),MID($L27,19,1)*MID($K26,3,1),MID($L27,20,1)*MID($K26,4,1),MID($L27,21,1)*MID($K26,5,1),MID($L27,22,1)*MID($K26,6,1),MID($L27,23,1)*MID($K26,7,1),MID($L27,24,1)*MID($K26,8,1),MID($L27,25,1)*MID($K26,1,1),MID($L27,26,1)*MID($K26,2,1),MID($L27,27,1)*MID($K26,3,1),MID($L27,28,1)*MID($K26,4,1),MID($L27,29,1)*MID($K26,5,1),MID($L27,30,1)*MID($K26,6,1),MID($L27,31,1)*MID($K26,7,1),MID($L27,32,1)*MID($K26,8,1))</f>
        <v>01000010000000110010001101100011</v>
      </c>
      <c r="CV27" s="38" t="str">
        <f t="shared" si="60"/>
        <v>01000010</v>
      </c>
      <c r="CW27" s="38" t="str">
        <f t="shared" si="61"/>
        <v>00000011</v>
      </c>
      <c r="CX27" s="38" t="str">
        <f t="shared" si="62"/>
        <v>00100011</v>
      </c>
      <c r="CY27" s="38" t="str">
        <f t="shared" si="63"/>
        <v>01100011</v>
      </c>
      <c r="CZ27" s="88"/>
      <c r="DA27" s="88"/>
      <c r="DB27" s="88"/>
      <c r="DC27" s="88"/>
      <c r="DD27" s="39" t="str">
        <f t="shared" si="64"/>
        <v>1101</v>
      </c>
      <c r="DE27" s="39" t="str">
        <f t="shared" si="65"/>
        <v>0010</v>
      </c>
      <c r="DF27" s="39" t="str">
        <f t="shared" si="66"/>
        <v>1000</v>
      </c>
      <c r="DG27" s="39" t="str">
        <f t="shared" si="67"/>
        <v>0011</v>
      </c>
      <c r="DH27" s="39" t="str">
        <f t="shared" si="68"/>
        <v>1011</v>
      </c>
      <c r="DI27" s="39" t="str">
        <f t="shared" si="69"/>
        <v>0011</v>
      </c>
      <c r="DJ27" s="39" t="str">
        <f t="shared" si="70"/>
        <v>0111</v>
      </c>
      <c r="DK27" s="39" t="str">
        <f t="shared" si="71"/>
        <v>1011</v>
      </c>
      <c r="DL27" s="88"/>
      <c r="DM27" s="88"/>
      <c r="DN27" s="88"/>
      <c r="DO27" s="88"/>
      <c r="DP27" s="88"/>
      <c r="DQ27" s="88"/>
      <c r="DR27" s="88"/>
      <c r="DS27" s="88"/>
      <c r="DT27" s="38" t="str">
        <f t="shared" si="10"/>
        <v>0100001000000011</v>
      </c>
      <c r="DU27" s="38" t="str">
        <f t="shared" si="11"/>
        <v>0010001101100011</v>
      </c>
      <c r="DV27" s="88"/>
      <c r="DW27" s="88"/>
      <c r="DX27" s="37"/>
      <c r="DY27" s="39" t="str">
        <f>H27</f>
        <v>11010010100000111011001101111011</v>
      </c>
      <c r="DZ27" s="38" t="str">
        <f t="shared" si="122"/>
        <v>11010010</v>
      </c>
      <c r="EA27" s="38" t="str">
        <f t="shared" si="72"/>
        <v>10000011</v>
      </c>
      <c r="EB27" s="38" t="str">
        <f t="shared" si="73"/>
        <v>10110011</v>
      </c>
      <c r="EC27" s="38" t="str">
        <f t="shared" si="74"/>
        <v>01111011</v>
      </c>
      <c r="ED27" s="88"/>
      <c r="EE27" s="88"/>
      <c r="EF27" s="88"/>
      <c r="EG27" s="88"/>
      <c r="EH27" s="39" t="str">
        <f t="shared" si="75"/>
        <v>1101</v>
      </c>
      <c r="EI27" s="39" t="str">
        <f t="shared" si="76"/>
        <v>0010</v>
      </c>
      <c r="EJ27" s="39" t="str">
        <f t="shared" si="77"/>
        <v>1000</v>
      </c>
      <c r="EK27" s="39" t="str">
        <f t="shared" si="78"/>
        <v>0011</v>
      </c>
      <c r="EL27" s="39" t="str">
        <f t="shared" si="79"/>
        <v>1011</v>
      </c>
      <c r="EM27" s="39" t="str">
        <f t="shared" si="80"/>
        <v>0011</v>
      </c>
      <c r="EN27" s="39" t="str">
        <f t="shared" si="81"/>
        <v>0111</v>
      </c>
      <c r="EO27" s="39" t="str">
        <f t="shared" si="82"/>
        <v>1011</v>
      </c>
      <c r="EP27" s="88"/>
      <c r="EQ27" s="88"/>
      <c r="ER27" s="88"/>
      <c r="ES27" s="88"/>
      <c r="ET27" s="88"/>
      <c r="EU27" s="88"/>
      <c r="EV27" s="88"/>
      <c r="EW27" s="88"/>
      <c r="EX27" s="38" t="str">
        <f t="shared" si="13"/>
        <v>1101001010000011</v>
      </c>
      <c r="EY27" s="38" t="str">
        <f t="shared" si="14"/>
        <v>1011001101111011</v>
      </c>
      <c r="EZ27" s="88"/>
      <c r="FA27" s="88"/>
      <c r="FB27" s="39" t="str">
        <f>H27</f>
        <v>11010010100000111011001101111011</v>
      </c>
      <c r="FC27" s="38" t="str">
        <f t="shared" si="124"/>
        <v>11010010</v>
      </c>
      <c r="FD27" s="38" t="str">
        <f t="shared" si="83"/>
        <v>10000011</v>
      </c>
      <c r="FE27" s="38" t="str">
        <f t="shared" si="84"/>
        <v>10110011</v>
      </c>
      <c r="FF27" s="38" t="str">
        <f t="shared" si="85"/>
        <v>01111011</v>
      </c>
      <c r="FG27" s="88"/>
      <c r="FH27" s="88"/>
      <c r="FI27" s="88"/>
      <c r="FJ27" s="88"/>
      <c r="FK27" s="39" t="str">
        <f t="shared" si="86"/>
        <v>1101</v>
      </c>
      <c r="FL27" s="39" t="str">
        <f t="shared" si="87"/>
        <v>0010</v>
      </c>
      <c r="FM27" s="39" t="str">
        <f t="shared" si="88"/>
        <v>1000</v>
      </c>
      <c r="FN27" s="39" t="str">
        <f t="shared" si="89"/>
        <v>0011</v>
      </c>
      <c r="FO27" s="39" t="str">
        <f t="shared" si="90"/>
        <v>1011</v>
      </c>
      <c r="FP27" s="39" t="str">
        <f t="shared" si="91"/>
        <v>0011</v>
      </c>
      <c r="FQ27" s="39" t="str">
        <f t="shared" si="92"/>
        <v>0111</v>
      </c>
      <c r="FR27" s="39" t="str">
        <f t="shared" si="93"/>
        <v>1011</v>
      </c>
      <c r="FS27" s="88"/>
      <c r="FT27" s="88"/>
      <c r="FU27" s="88"/>
      <c r="FV27" s="88"/>
      <c r="FW27" s="88"/>
      <c r="FX27" s="88"/>
      <c r="FY27" s="88"/>
      <c r="FZ27" s="88"/>
      <c r="GA27" s="38" t="str">
        <f t="shared" si="16"/>
        <v>1101001010000011</v>
      </c>
      <c r="GB27" s="38" t="str">
        <f t="shared" si="17"/>
        <v>1011001101111011</v>
      </c>
      <c r="GC27" s="88"/>
      <c r="GD27" s="88"/>
      <c r="GE27" s="39" t="str">
        <f>BR27</f>
        <v>01000010000000110010001101100011</v>
      </c>
      <c r="GF27" s="38" t="str">
        <f t="shared" si="126"/>
        <v>01000010</v>
      </c>
      <c r="GG27" s="38" t="str">
        <f t="shared" si="94"/>
        <v>00000011</v>
      </c>
      <c r="GH27" s="38" t="str">
        <f t="shared" si="95"/>
        <v>00100011</v>
      </c>
      <c r="GI27" s="38" t="str">
        <f t="shared" si="96"/>
        <v>01100011</v>
      </c>
      <c r="GJ27" s="88"/>
      <c r="GK27" s="88"/>
      <c r="GL27" s="88"/>
      <c r="GM27" s="88"/>
      <c r="GN27" s="39" t="str">
        <f t="shared" si="97"/>
        <v>1101</v>
      </c>
      <c r="GO27" s="39" t="str">
        <f t="shared" si="98"/>
        <v>0010</v>
      </c>
      <c r="GP27" s="39" t="str">
        <f t="shared" si="99"/>
        <v>1000</v>
      </c>
      <c r="GQ27" s="39" t="str">
        <f t="shared" si="100"/>
        <v>0011</v>
      </c>
      <c r="GR27" s="39" t="str">
        <f t="shared" si="101"/>
        <v>1011</v>
      </c>
      <c r="GS27" s="39" t="str">
        <f t="shared" si="102"/>
        <v>0011</v>
      </c>
      <c r="GT27" s="39" t="str">
        <f t="shared" si="103"/>
        <v>0111</v>
      </c>
      <c r="GU27" s="39" t="str">
        <f t="shared" si="104"/>
        <v>1011</v>
      </c>
      <c r="GV27" s="88"/>
      <c r="GW27" s="88"/>
      <c r="GX27" s="88"/>
      <c r="GY27" s="88"/>
      <c r="GZ27" s="88"/>
      <c r="HA27" s="88"/>
      <c r="HB27" s="88"/>
      <c r="HC27" s="88"/>
      <c r="HD27" s="38" t="str">
        <f t="shared" si="19"/>
        <v>0100001000000011</v>
      </c>
      <c r="HE27" s="38" t="str">
        <f t="shared" si="20"/>
        <v>0010001101100011</v>
      </c>
      <c r="HF27" s="88"/>
      <c r="HG27" s="88"/>
      <c r="HH27" s="39" t="str">
        <f>GE27</f>
        <v>01000010000000110010001101100011</v>
      </c>
      <c r="HI27" s="38" t="str">
        <f t="shared" si="128"/>
        <v>01000010</v>
      </c>
      <c r="HJ27" s="38" t="str">
        <f t="shared" si="105"/>
        <v>00000011</v>
      </c>
      <c r="HK27" s="38" t="str">
        <f t="shared" si="106"/>
        <v>00100011</v>
      </c>
      <c r="HL27" s="38" t="str">
        <f t="shared" si="107"/>
        <v>01100011</v>
      </c>
      <c r="HM27" s="88"/>
      <c r="HN27" s="88"/>
      <c r="HO27" s="88"/>
      <c r="HP27" s="88"/>
      <c r="HQ27" s="39" t="str">
        <f t="shared" si="108"/>
        <v>1101</v>
      </c>
      <c r="HR27" s="39" t="str">
        <f t="shared" si="109"/>
        <v>0010</v>
      </c>
      <c r="HS27" s="39" t="str">
        <f t="shared" si="110"/>
        <v>1000</v>
      </c>
      <c r="HT27" s="39" t="str">
        <f t="shared" si="111"/>
        <v>0011</v>
      </c>
      <c r="HU27" s="39" t="str">
        <f t="shared" si="112"/>
        <v>1011</v>
      </c>
      <c r="HV27" s="39" t="str">
        <f t="shared" si="113"/>
        <v>0011</v>
      </c>
      <c r="HW27" s="39" t="str">
        <f t="shared" si="114"/>
        <v>0111</v>
      </c>
      <c r="HX27" s="39" t="str">
        <f t="shared" si="115"/>
        <v>1011</v>
      </c>
      <c r="HY27" s="88"/>
      <c r="HZ27" s="88"/>
      <c r="IA27" s="88"/>
      <c r="IB27" s="88"/>
      <c r="IC27" s="88"/>
      <c r="ID27" s="88"/>
      <c r="IE27" s="88"/>
      <c r="IF27" s="88"/>
      <c r="IG27" s="38" t="str">
        <f t="shared" si="22"/>
        <v>0100001000000011</v>
      </c>
      <c r="IH27" s="38" t="str">
        <f t="shared" si="23"/>
        <v>0010001101100011</v>
      </c>
      <c r="II27" s="88"/>
      <c r="IJ27" s="88"/>
      <c r="IL27" s="38"/>
      <c r="IM27" s="38"/>
      <c r="IN27" s="38"/>
      <c r="IO27" s="38"/>
      <c r="IP27" s="37"/>
      <c r="IQ27" s="37"/>
      <c r="IR27" s="37"/>
      <c r="IS27" s="37"/>
      <c r="JB27" s="37"/>
      <c r="JC27" s="37"/>
      <c r="JD27" s="37"/>
      <c r="JE27" s="37"/>
      <c r="JF27" s="37"/>
      <c r="JG27" s="37"/>
      <c r="JH27" s="37"/>
      <c r="JI27" s="37"/>
      <c r="JJ27" s="38"/>
      <c r="JK27" s="38"/>
      <c r="JL27" s="37"/>
      <c r="JM27" s="37"/>
    </row>
    <row r="28" spans="1:273" s="35" customFormat="1" x14ac:dyDescent="0.35">
      <c r="A28" s="32"/>
      <c r="B28" s="33"/>
      <c r="C28" s="50" t="s">
        <v>0</v>
      </c>
      <c r="D28" s="50" t="s">
        <v>158</v>
      </c>
      <c r="E28" s="50" t="s">
        <v>163</v>
      </c>
      <c r="F28" s="50" t="s">
        <v>55</v>
      </c>
      <c r="G28" s="50" t="s">
        <v>121</v>
      </c>
      <c r="H28" s="50" t="str">
        <f t="shared" si="198"/>
        <v>11100101110110011000101011100100</v>
      </c>
      <c r="I28" s="50">
        <f t="shared" si="199"/>
        <v>17</v>
      </c>
      <c r="J28" s="50">
        <v>63</v>
      </c>
      <c r="K28" s="50" t="str">
        <f>HEX2BIN(J28,8)</f>
        <v>01100011</v>
      </c>
      <c r="L28" s="34" t="str">
        <f>CONCATENATE(MID(H28,30,3),MID(H28,17,5),MID(H28,6,3),MID(H28,25,5),MID(H28,14,3),MID(H28,1,5),MID(H28,22,3),MID(H28,9,5))</f>
        <v>10010001101111000011110001011011</v>
      </c>
      <c r="M28" s="34" t="str">
        <f t="shared" si="24"/>
        <v>10010001</v>
      </c>
      <c r="N28" s="34" t="str">
        <f t="shared" si="25"/>
        <v>10111100</v>
      </c>
      <c r="O28" s="34" t="str">
        <f t="shared" si="26"/>
        <v>00111100</v>
      </c>
      <c r="P28" s="34" t="str">
        <f t="shared" si="27"/>
        <v>01011011</v>
      </c>
      <c r="Q28" s="87">
        <f>BIN2DEC(M28)-BIN2DEC(M29)</f>
        <v>135</v>
      </c>
      <c r="R28" s="87">
        <f>BIN2DEC(N28)-BIN2DEC(N29)</f>
        <v>147</v>
      </c>
      <c r="S28" s="87">
        <f>BIN2DEC(O28)-BIN2DEC(O29)</f>
        <v>-82</v>
      </c>
      <c r="T28" s="87">
        <f>BIN2DEC(P28)-BIN2DEC(P29)</f>
        <v>27</v>
      </c>
      <c r="U28" s="35" t="str">
        <f t="shared" si="28"/>
        <v>1001</v>
      </c>
      <c r="V28" s="35" t="str">
        <f t="shared" si="29"/>
        <v>0001</v>
      </c>
      <c r="W28" s="35" t="str">
        <f t="shared" si="30"/>
        <v>1011</v>
      </c>
      <c r="X28" s="35" t="str">
        <f t="shared" si="31"/>
        <v>1100</v>
      </c>
      <c r="Y28" s="35" t="str">
        <f t="shared" si="32"/>
        <v>0011</v>
      </c>
      <c r="Z28" s="35" t="str">
        <f t="shared" si="33"/>
        <v>1100</v>
      </c>
      <c r="AA28" s="35" t="str">
        <f>MID($L28,25,4)</f>
        <v>0101</v>
      </c>
      <c r="AB28" s="35" t="str">
        <f t="shared" si="35"/>
        <v>1011</v>
      </c>
      <c r="AC28" s="87">
        <f t="shared" ref="AC28:AJ28" si="224">BIN2DEC(U28)-BIN2DEC(U29)</f>
        <v>9</v>
      </c>
      <c r="AD28" s="87">
        <f t="shared" si="224"/>
        <v>-9</v>
      </c>
      <c r="AE28" s="87">
        <f t="shared" si="224"/>
        <v>9</v>
      </c>
      <c r="AF28" s="87">
        <f t="shared" si="224"/>
        <v>3</v>
      </c>
      <c r="AG28" s="87">
        <f t="shared" si="224"/>
        <v>-5</v>
      </c>
      <c r="AH28" s="87">
        <f t="shared" si="224"/>
        <v>-2</v>
      </c>
      <c r="AI28" s="87">
        <f t="shared" si="224"/>
        <v>1</v>
      </c>
      <c r="AJ28" s="87">
        <f t="shared" si="224"/>
        <v>11</v>
      </c>
      <c r="AK28" s="34" t="str">
        <f t="shared" si="1"/>
        <v>1001000110111100</v>
      </c>
      <c r="AL28" s="34" t="str">
        <f t="shared" si="2"/>
        <v>0011110001011011</v>
      </c>
      <c r="AM28" s="87">
        <f>MID(AK28,16,1)*POWER(2,0)+MID(AK28,15,1)*POWER(2,1)+MID(AK28,14,1)*POWER(2,2)+MID(AK28,13,1)*POWER(2,3)+MID(AK28,12,1)*POWER(2,4)+MID(AK28,11,1)*POWER(2,5)+MID(AK28,10,1)*POWER(2,6)+MID(AK28,9,1)*POWER(2,7)+MID(AK28,8,1)*POWER(2,8)+MID(AK28,7,1)*POWER(2,9)+MID(AK28,6,1)*POWER(2,10)+MID(AK28,5,1)*POWER(2,11)+MID(AK28,4,1)*POWER(2,12)+MID(AK28,3,1)*POWER(2,13)+MID(AK28,2,1)*POWER(2,14)+MID(AK28,1,1)*POWER(2,15)-(MID(AK29,16,1)*POWER(2,0)+MID(AK29,15,1)*POWER(2,1)+MID(AK29,14,1)*POWER(2,2)+MID(AK29,13,1)*POWER(2,3)+MID(AK29,12,1)*POWER(2,4)+MID(AK29,11,1)*POWER(2,5)+MID(AK29,10,1)*POWER(2,6)+MID(AK29,9,1)*POWER(2,7)+MID(AK29,8,1)*POWER(2,8)+MID(AK29,7,1)*POWER(2,9)+MID(AK29,6,1)*POWER(2,10)+MID(AK29,5,1)*POWER(2,11)+MID(AK29,4,1)*POWER(2,12)+MID(AK29,3,1)*POWER(2,13)+MID(AK29,2,1)*POWER(2,14)+MID(AK29,1,1)*POWER(2,15))</f>
        <v>34707</v>
      </c>
      <c r="AN28" s="87">
        <f>MID(AL28,16,1)*POWER(2,0)+MID(AL28,15,1)*POWER(2,1)+MID(AL28,14,1)*POWER(2,2)+MID(AL28,13,1)*POWER(2,3)+MID(AL28,12,1)*POWER(2,4)+MID(AL28,11,1)*POWER(2,5)+MID(AL28,10,1)*POWER(2,6)+MID(AL28,9,1)*POWER(2,7)+MID(AL28,8,1)*POWER(2,8)+MID(AL28,7,1)*POWER(2,9)+MID(AL28,6,1)*POWER(2,10)+MID(AL28,5,1)*POWER(2,11)+MID(AL28,4,1)*POWER(2,12)+MID(AL28,3,1)*POWER(2,13)+MID(AL28,2,1)*POWER(2,14)+MID(AL28,1,1)*POWER(2,15)-(MID(AL29,16,1)*POWER(2,0)+MID(AL29,15,1)*POWER(2,1)+MID(AL29,14,1)*POWER(2,2)+MID(AL29,13,1)*POWER(2,3)+MID(AL29,12,1)*POWER(2,4)+MID(AL29,11,1)*POWER(2,5)+MID(AL29,10,1)*POWER(2,6)+MID(AL29,9,1)*POWER(2,7)+MID(AL29,8,1)*POWER(2,8)+MID(AL29,7,1)*POWER(2,9)+MID(AL29,6,1)*POWER(2,10)+MID(AL29,5,1)*POWER(2,11)+MID(AL29,4,1)*POWER(2,12)+MID(AL29,3,1)*POWER(2,13)+MID(AL29,2,1)*POWER(2,14)+MID(AL29,1,1)*POWER(2,15))</f>
        <v>-20965</v>
      </c>
      <c r="AO28" s="33" t="str">
        <f>CONCATENATE(MID(L28,1,1)*MID(K28,1,1),MID(L28,2,1)*MID(K28,2,1),MID(L28,3,1)*MID(K28,3,1),MID(L28,4,1)*MID(K28,4,1),MID(L28,5,1)*MID(K28,5,1),MID(L28,6,1)*MID(K28,6,1),MID(L28,7,1)*MID(K28,7,1),MID(L28,8,1)*MID(K28,8,1),MID(L28,9,1)*MID(K28,1,1),MID(L28,10,1)*MID(K28,2,1),MID(L28,11,1)*MID(K28,3,1),MID(L28,12,1)*MID(K28,4,1),MID(L28,13,1)*MID(K28,5,1),MID(L28,14,1)*MID(K28,6,1),MID(L28,15,1)*MID(K28,7,1),MID(L28,16,1)*MID(K28,8,1),MID(L28,17,1)*MID(K28,1,1),MID(L28,18,1)*MID(K28,2,1),MID(L28,19,1)*MID(K28,3,1),MID(L28,20,1)*MID(K28,4,1),MID(L28,21,1)*MID(K28,5,1),MID(L28,22,1)*MID(K28,6,1),MID(L28,23,1)*MID(K28,7,1),MID(L28,24,1)*MID(K28,8,1),MID(L28,25,1)*MID(K28,1,1),MID(L28,26,1)*MID(K28,2,1),MID(L28,27,1)*MID(K28,3,1),MID(L28,28,1)*MID(K28,4,1),MID(L28,29,1)*MID(K28,5,1),MID(L28,30,1)*MID(K28,6,1),MID(L28,31,1)*MID(K28,7,1),MID(L28,32,1)*MID(K28,8,1))</f>
        <v>00000001001000000010000001000011</v>
      </c>
      <c r="AP28" s="34" t="str">
        <f t="shared" si="36"/>
        <v>00000001</v>
      </c>
      <c r="AQ28" s="34" t="str">
        <f t="shared" si="37"/>
        <v>00100000</v>
      </c>
      <c r="AR28" s="34" t="str">
        <f t="shared" si="38"/>
        <v>00100000</v>
      </c>
      <c r="AS28" s="34" t="str">
        <f t="shared" si="39"/>
        <v>01000011</v>
      </c>
      <c r="AT28" s="87">
        <f>BIN2DEC(AP28)-BIN2DEC(AP29)</f>
        <v>-9</v>
      </c>
      <c r="AU28" s="87">
        <f>BIN2DEC(AQ28)-BIN2DEC(AQ29)</f>
        <v>-9</v>
      </c>
      <c r="AV28" s="87">
        <f>BIN2DEC(AR28)-BIN2DEC(AR29)</f>
        <v>-110</v>
      </c>
      <c r="AW28" s="87">
        <f>BIN2DEC(AS28)-BIN2DEC(AS29)</f>
        <v>3</v>
      </c>
      <c r="AX28" s="35" t="str">
        <f t="shared" si="40"/>
        <v>1001</v>
      </c>
      <c r="AY28" s="35" t="str">
        <f t="shared" si="41"/>
        <v>0001</v>
      </c>
      <c r="AZ28" s="35" t="str">
        <f t="shared" si="42"/>
        <v>1011</v>
      </c>
      <c r="BA28" s="35" t="str">
        <f t="shared" si="43"/>
        <v>1100</v>
      </c>
      <c r="BB28" s="35" t="str">
        <f t="shared" si="44"/>
        <v>0011</v>
      </c>
      <c r="BC28" s="35" t="str">
        <f t="shared" si="45"/>
        <v>1100</v>
      </c>
      <c r="BD28" s="35" t="str">
        <f>MID($L28,25,4)</f>
        <v>0101</v>
      </c>
      <c r="BE28" s="35" t="str">
        <f t="shared" si="47"/>
        <v>1011</v>
      </c>
      <c r="BF28" s="87">
        <f t="shared" ref="BF28:BM28" si="225">BIN2DEC(AX28)-BIN2DEC(AX29)</f>
        <v>9</v>
      </c>
      <c r="BG28" s="87">
        <f t="shared" si="225"/>
        <v>-9</v>
      </c>
      <c r="BH28" s="87">
        <f t="shared" si="225"/>
        <v>9</v>
      </c>
      <c r="BI28" s="87">
        <f t="shared" si="225"/>
        <v>3</v>
      </c>
      <c r="BJ28" s="87">
        <f t="shared" si="225"/>
        <v>-5</v>
      </c>
      <c r="BK28" s="87">
        <f t="shared" si="225"/>
        <v>-2</v>
      </c>
      <c r="BL28" s="87">
        <f t="shared" si="225"/>
        <v>1</v>
      </c>
      <c r="BM28" s="87">
        <f t="shared" si="225"/>
        <v>11</v>
      </c>
      <c r="BN28" s="34" t="str">
        <f t="shared" si="4"/>
        <v>0000000100100000</v>
      </c>
      <c r="BO28" s="34" t="str">
        <f t="shared" si="5"/>
        <v>0010000001000011</v>
      </c>
      <c r="BP28" s="87">
        <f>MID(BN28,16,1)*POWER(2,0)+MID(BN28,15,1)*POWER(2,1)+MID(BN28,14,1)*POWER(2,2)+MID(BN28,13,1)*POWER(2,3)+MID(BN28,12,1)*POWER(2,4)+MID(BN28,11,1)*POWER(2,5)+MID(BN28,10,1)*POWER(2,6)+MID(BN28,9,1)*POWER(2,7)+MID(BN28,8,1)*POWER(2,8)+MID(BN28,7,1)*POWER(2,9)+MID(BN28,6,1)*POWER(2,10)+MID(BN28,5,1)*POWER(2,11)+MID(BN28,4,1)*POWER(2,12)+MID(BN28,3,1)*POWER(2,13)+MID(BN28,2,1)*POWER(2,14)+MID(BN28,1,1)*POWER(2,15)-(MID(BN29,16,1)*POWER(2,0)+MID(BN29,15,1)*POWER(2,1)+MID(BN29,14,1)*POWER(2,2)+MID(BN29,13,1)*POWER(2,3)+MID(BN29,12,1)*POWER(2,4)+MID(BN29,11,1)*POWER(2,5)+MID(BN29,10,1)*POWER(2,6)+MID(BN29,9,1)*POWER(2,7)+MID(BN29,8,1)*POWER(2,8)+MID(BN29,7,1)*POWER(2,9)+MID(BN29,6,1)*POWER(2,10)+MID(BN29,5,1)*POWER(2,11)+MID(BN29,4,1)*POWER(2,12)+MID(BN29,3,1)*POWER(2,13)+MID(BN29,2,1)*POWER(2,14)+MID(BN29,1,1)*POWER(2,15))</f>
        <v>-2313</v>
      </c>
      <c r="BQ28" s="87">
        <f>MID(BO28,16,1)*POWER(2,0)+MID(BO28,15,1)*POWER(2,1)+MID(BO28,14,1)*POWER(2,2)+MID(BO28,13,1)*POWER(2,3)+MID(BO28,12,1)*POWER(2,4)+MID(BO28,11,1)*POWER(2,5)+MID(BO28,10,1)*POWER(2,6)+MID(BO28,9,1)*POWER(2,7)+MID(BO28,8,1)*POWER(2,8)+MID(BO28,7,1)*POWER(2,9)+MID(BO28,6,1)*POWER(2,10)+MID(BO28,5,1)*POWER(2,11)+MID(BO28,4,1)*POWER(2,12)+MID(BO28,3,1)*POWER(2,13)+MID(BO28,2,1)*POWER(2,14)+MID(BO28,1,1)*POWER(2,15)-(MID(BO29,16,1)*POWER(2,0)+MID(BO29,15,1)*POWER(2,1)+MID(BO29,14,1)*POWER(2,2)+MID(BO29,13,1)*POWER(2,3)+MID(BO29,12,1)*POWER(2,4)+MID(BO29,11,1)*POWER(2,5)+MID(BO29,10,1)*POWER(2,6)+MID(BO29,9,1)*POWER(2,7)+MID(BO29,8,1)*POWER(2,8)+MID(BO29,7,1)*POWER(2,9)+MID(BO29,6,1)*POWER(2,10)+MID(BO29,5,1)*POWER(2,11)+MID(BO29,4,1)*POWER(2,12)+MID(BO29,3,1)*POWER(2,13)+MID(BO29,2,1)*POWER(2,14)+MID(BO29,1,1)*POWER(2,15))</f>
        <v>-28157</v>
      </c>
      <c r="BR28" s="35" t="str">
        <f>L28</f>
        <v>10010001101111000011110001011011</v>
      </c>
      <c r="BS28" s="34" t="str">
        <f t="shared" si="48"/>
        <v>10010001</v>
      </c>
      <c r="BT28" s="34" t="str">
        <f t="shared" si="49"/>
        <v>10111100</v>
      </c>
      <c r="BU28" s="34" t="str">
        <f t="shared" si="50"/>
        <v>00111100</v>
      </c>
      <c r="BV28" s="34" t="str">
        <f t="shared" si="51"/>
        <v>01011011</v>
      </c>
      <c r="BW28" s="87">
        <f>BIN2DEC(BS28)-BIN2DEC(BS29)</f>
        <v>143</v>
      </c>
      <c r="BX28" s="87">
        <f>BIN2DEC(BT28)-BIN2DEC(BT29)</f>
        <v>155</v>
      </c>
      <c r="BY28" s="87">
        <f>BIN2DEC(BU28)-BIN2DEC(BU29)</f>
        <v>58</v>
      </c>
      <c r="BZ28" s="87">
        <f>BIN2DEC(BV28)-BIN2DEC(BV29)</f>
        <v>27</v>
      </c>
      <c r="CA28" s="35" t="str">
        <f t="shared" si="52"/>
        <v>1001</v>
      </c>
      <c r="CB28" s="35" t="str">
        <f t="shared" si="53"/>
        <v>0001</v>
      </c>
      <c r="CC28" s="35" t="str">
        <f t="shared" si="54"/>
        <v>1011</v>
      </c>
      <c r="CD28" s="35" t="str">
        <f t="shared" si="55"/>
        <v>1100</v>
      </c>
      <c r="CE28" s="35" t="str">
        <f t="shared" si="56"/>
        <v>0011</v>
      </c>
      <c r="CF28" s="35" t="str">
        <f t="shared" si="57"/>
        <v>1100</v>
      </c>
      <c r="CG28" s="35" t="str">
        <f>MID($L28,25,4)</f>
        <v>0101</v>
      </c>
      <c r="CH28" s="35" t="str">
        <f t="shared" si="59"/>
        <v>1011</v>
      </c>
      <c r="CI28" s="87">
        <f t="shared" ref="CI28:CP28" si="226">BIN2DEC(CA28)-BIN2DEC(CA29)</f>
        <v>9</v>
      </c>
      <c r="CJ28" s="87">
        <f t="shared" si="226"/>
        <v>-9</v>
      </c>
      <c r="CK28" s="87">
        <f t="shared" si="226"/>
        <v>9</v>
      </c>
      <c r="CL28" s="87">
        <f t="shared" si="226"/>
        <v>3</v>
      </c>
      <c r="CM28" s="87">
        <f t="shared" si="226"/>
        <v>-5</v>
      </c>
      <c r="CN28" s="87">
        <f t="shared" si="226"/>
        <v>-2</v>
      </c>
      <c r="CO28" s="87">
        <f t="shared" si="226"/>
        <v>1</v>
      </c>
      <c r="CP28" s="87">
        <f t="shared" si="226"/>
        <v>11</v>
      </c>
      <c r="CQ28" s="34" t="str">
        <f t="shared" si="7"/>
        <v>1001000110111100</v>
      </c>
      <c r="CR28" s="34" t="str">
        <f t="shared" si="8"/>
        <v>0011110001011011</v>
      </c>
      <c r="CS28" s="87">
        <f>MID(CQ28,16,1)*POWER(2,0)+MID(CQ28,15,1)*POWER(2,1)+MID(CQ28,14,1)*POWER(2,2)+MID(CQ28,13,1)*POWER(2,3)+MID(CQ28,12,1)*POWER(2,4)+MID(CQ28,11,1)*POWER(2,5)+MID(CQ28,10,1)*POWER(2,6)+MID(CQ28,9,1)*POWER(2,7)+MID(CQ28,8,1)*POWER(2,8)+MID(CQ28,7,1)*POWER(2,9)+MID(CQ28,6,1)*POWER(2,10)+MID(CQ28,5,1)*POWER(2,11)+MID(CQ28,4,1)*POWER(2,12)+MID(CQ28,3,1)*POWER(2,13)+MID(CQ28,2,1)*POWER(2,14)+MID(CQ28,1,1)*POWER(2,15)-(MID(CQ29,16,1)*POWER(2,0)+MID(CQ29,15,1)*POWER(2,1)+MID(CQ29,14,1)*POWER(2,2)+MID(CQ29,13,1)*POWER(2,3)+MID(CQ29,12,1)*POWER(2,4)+MID(CQ29,11,1)*POWER(2,5)+MID(CQ29,10,1)*POWER(2,6)+MID(CQ29,9,1)*POWER(2,7)+MID(CQ29,8,1)*POWER(2,8)+MID(CQ29,7,1)*POWER(2,9)+MID(CQ29,6,1)*POWER(2,10)+MID(CQ29,5,1)*POWER(2,11)+MID(CQ29,4,1)*POWER(2,12)+MID(CQ29,3,1)*POWER(2,13)+MID(CQ29,2,1)*POWER(2,14)+MID(CQ29,1,1)*POWER(2,15))</f>
        <v>36763</v>
      </c>
      <c r="CT28" s="87">
        <f>MID(CR28,16,1)*POWER(2,0)+MID(CR28,15,1)*POWER(2,1)+MID(CR28,14,1)*POWER(2,2)+MID(CR28,13,1)*POWER(2,3)+MID(CR28,12,1)*POWER(2,4)+MID(CR28,11,1)*POWER(2,5)+MID(CR28,10,1)*POWER(2,6)+MID(CR28,9,1)*POWER(2,7)+MID(CR28,8,1)*POWER(2,8)+MID(CR28,7,1)*POWER(2,9)+MID(CR28,6,1)*POWER(2,10)+MID(CR28,5,1)*POWER(2,11)+MID(CR28,4,1)*POWER(2,12)+MID(CR28,3,1)*POWER(2,13)+MID(CR28,2,1)*POWER(2,14)+MID(CR28,1,1)*POWER(2,15)-(MID(CR29,16,1)*POWER(2,0)+MID(CR29,15,1)*POWER(2,1)+MID(CR29,14,1)*POWER(2,2)+MID(CR29,13,1)*POWER(2,3)+MID(CR29,12,1)*POWER(2,4)+MID(CR29,11,1)*POWER(2,5)+MID(CR29,10,1)*POWER(2,6)+MID(CR29,9,1)*POWER(2,7)+MID(CR29,8,1)*POWER(2,8)+MID(CR29,7,1)*POWER(2,9)+MID(CR29,6,1)*POWER(2,10)+MID(CR29,5,1)*POWER(2,11)+MID(CR29,4,1)*POWER(2,12)+MID(CR29,3,1)*POWER(2,13)+MID(CR29,2,1)*POWER(2,14)+MID(CR29,1,1)*POWER(2,15))</f>
        <v>14875</v>
      </c>
      <c r="CU28" s="33" t="str">
        <f>CONCATENATE(MID($L28,1,1)*MID($K28,1,1),MID($L28,2,1)*MID($K28,2,1),MID($L28,3,1)*MID($K28,3,1),MID($L28,4,1)*MID($K28,4,1),MID($L28,5,1)*MID($K28,5,1),MID($L28,6,1)*MID($K28,6,1),MID($L28,7,1)*MID($K28,7,1),MID($L28,8,1)*MID($K28,8,1),MID($L28,9,1)*MID($K28,1,1),MID($L28,10,1)*MID($K28,2,1),MID($L28,11,1)*MID($K28,3,1),MID($L28,12,1)*MID($K28,4,1),MID($L28,13,1)*MID($K28,5,1),MID($L28,14,1)*MID($K28,6,1),MID($L28,15,1)*MID($K28,7,1),MID($L28,16,1)*MID($K28,8,1),MID($L28,17,1)*MID($K28,1,1),MID($L28,18,1)*MID($K28,2,1),MID($L28,19,1)*MID($K28,3,1),MID($L28,20,1)*MID($K28,4,1),MID($L28,21,1)*MID($K28,5,1),MID($L28,22,1)*MID($K28,6,1),MID($L28,23,1)*MID($K28,7,1),MID($L28,24,1)*MID($K28,8,1),MID($L28,25,1)*MID($K28,1,1),MID($L28,26,1)*MID($K28,2,1),MID($L28,27,1)*MID($K28,3,1),MID($L28,28,1)*MID($K28,4,1),MID($L28,29,1)*MID($K28,5,1),MID($L28,30,1)*MID($K28,6,1),MID($L28,31,1)*MID($K28,7,1),MID($L28,32,1)*MID($K28,8,1))</f>
        <v>00000001001000000010000001000011</v>
      </c>
      <c r="CV28" s="34" t="str">
        <f t="shared" si="60"/>
        <v>00000001</v>
      </c>
      <c r="CW28" s="34" t="str">
        <f t="shared" si="61"/>
        <v>00100000</v>
      </c>
      <c r="CX28" s="34" t="str">
        <f t="shared" si="62"/>
        <v>00100000</v>
      </c>
      <c r="CY28" s="34" t="str">
        <f t="shared" si="63"/>
        <v>01000011</v>
      </c>
      <c r="CZ28" s="87">
        <f>BIN2DEC(CV28)-BIN2DEC(CV29)</f>
        <v>-1</v>
      </c>
      <c r="DA28" s="87">
        <f>BIN2DEC(CW28)-BIN2DEC(CW29)</f>
        <v>-1</v>
      </c>
      <c r="DB28" s="87">
        <f>BIN2DEC(CX28)-BIN2DEC(CX29)</f>
        <v>30</v>
      </c>
      <c r="DC28" s="87">
        <f>BIN2DEC(CY28)-BIN2DEC(CY29)</f>
        <v>3</v>
      </c>
      <c r="DD28" s="35" t="str">
        <f t="shared" si="64"/>
        <v>1001</v>
      </c>
      <c r="DE28" s="35" t="str">
        <f t="shared" si="65"/>
        <v>0001</v>
      </c>
      <c r="DF28" s="35" t="str">
        <f t="shared" si="66"/>
        <v>1011</v>
      </c>
      <c r="DG28" s="35" t="str">
        <f t="shared" si="67"/>
        <v>1100</v>
      </c>
      <c r="DH28" s="35" t="str">
        <f t="shared" si="68"/>
        <v>0011</v>
      </c>
      <c r="DI28" s="35" t="str">
        <f t="shared" si="69"/>
        <v>1100</v>
      </c>
      <c r="DJ28" s="35" t="str">
        <f>MID($L28,25,4)</f>
        <v>0101</v>
      </c>
      <c r="DK28" s="35" t="str">
        <f t="shared" si="71"/>
        <v>1011</v>
      </c>
      <c r="DL28" s="87">
        <f t="shared" ref="DL28:DS28" si="227">BIN2DEC(DD28)-BIN2DEC(DD29)</f>
        <v>9</v>
      </c>
      <c r="DM28" s="87">
        <f t="shared" si="227"/>
        <v>-9</v>
      </c>
      <c r="DN28" s="87">
        <f t="shared" si="227"/>
        <v>9</v>
      </c>
      <c r="DO28" s="87">
        <f t="shared" si="227"/>
        <v>3</v>
      </c>
      <c r="DP28" s="87">
        <f t="shared" si="227"/>
        <v>-5</v>
      </c>
      <c r="DQ28" s="87">
        <f t="shared" si="227"/>
        <v>-2</v>
      </c>
      <c r="DR28" s="87">
        <f t="shared" si="227"/>
        <v>1</v>
      </c>
      <c r="DS28" s="87">
        <f t="shared" si="227"/>
        <v>11</v>
      </c>
      <c r="DT28" s="34" t="str">
        <f t="shared" si="10"/>
        <v>0000000100100000</v>
      </c>
      <c r="DU28" s="34" t="str">
        <f t="shared" si="11"/>
        <v>0010000001000011</v>
      </c>
      <c r="DV28" s="87">
        <f>MID(DT28,16,1)*POWER(2,0)+MID(DT28,15,1)*POWER(2,1)+MID(DT28,14,1)*POWER(2,2)+MID(DT28,13,1)*POWER(2,3)+MID(DT28,12,1)*POWER(2,4)+MID(DT28,11,1)*POWER(2,5)+MID(DT28,10,1)*POWER(2,6)+MID(DT28,9,1)*POWER(2,7)+MID(DT28,8,1)*POWER(2,8)+MID(DT28,7,1)*POWER(2,9)+MID(DT28,6,1)*POWER(2,10)+MID(DT28,5,1)*POWER(2,11)+MID(DT28,4,1)*POWER(2,12)+MID(DT28,3,1)*POWER(2,13)+MID(DT28,2,1)*POWER(2,14)+MID(DT28,1,1)*POWER(2,15)-(MID(DT29,16,1)*POWER(2,0)+MID(DT29,15,1)*POWER(2,1)+MID(DT29,14,1)*POWER(2,2)+MID(DT29,13,1)*POWER(2,3)+MID(DT29,12,1)*POWER(2,4)+MID(DT29,11,1)*POWER(2,5)+MID(DT29,10,1)*POWER(2,6)+MID(DT29,9,1)*POWER(2,7)+MID(DT29,8,1)*POWER(2,8)+MID(DT29,7,1)*POWER(2,9)+MID(DT29,6,1)*POWER(2,10)+MID(DT29,5,1)*POWER(2,11)+MID(DT29,4,1)*POWER(2,12)+MID(DT29,3,1)*POWER(2,13)+MID(DT29,2,1)*POWER(2,14)+MID(DT29,1,1)*POWER(2,15))</f>
        <v>-257</v>
      </c>
      <c r="DW28" s="87">
        <f>MID(DU28,16,1)*POWER(2,0)+MID(DU28,15,1)*POWER(2,1)+MID(DU28,14,1)*POWER(2,2)+MID(DU28,13,1)*POWER(2,3)+MID(DU28,12,1)*POWER(2,4)+MID(DU28,11,1)*POWER(2,5)+MID(DU28,10,1)*POWER(2,6)+MID(DU28,9,1)*POWER(2,7)+MID(DU28,8,1)*POWER(2,8)+MID(DU28,7,1)*POWER(2,9)+MID(DU28,6,1)*POWER(2,10)+MID(DU28,5,1)*POWER(2,11)+MID(DU28,4,1)*POWER(2,12)+MID(DU28,3,1)*POWER(2,13)+MID(DU28,2,1)*POWER(2,14)+MID(DU28,1,1)*POWER(2,15)-(MID(DU29,16,1)*POWER(2,0)+MID(DU29,15,1)*POWER(2,1)+MID(DU29,14,1)*POWER(2,2)+MID(DU29,13,1)*POWER(2,3)+MID(DU29,12,1)*POWER(2,4)+MID(DU29,11,1)*POWER(2,5)+MID(DU29,10,1)*POWER(2,6)+MID(DU29,9,1)*POWER(2,7)+MID(DU29,8,1)*POWER(2,8)+MID(DU29,7,1)*POWER(2,9)+MID(DU29,6,1)*POWER(2,10)+MID(DU29,5,1)*POWER(2,11)+MID(DU29,4,1)*POWER(2,12)+MID(DU29,3,1)*POWER(2,13)+MID(DU29,2,1)*POWER(2,14)+MID(DU29,1,1)*POWER(2,15))</f>
        <v>7683</v>
      </c>
      <c r="DX28" s="33" t="str">
        <f>CONCATENATE(MID($H28,1,1)*MID($K28,1,1),MID($H28,2,1)*MID($K28,2,1),MID($H28,3,1)*MID($K28,3,1),MID($H28,4,1)*MID($K28,4,1),MID($H28,5,1)*MID($K28,5,1),MID($H28,6,1)*MID($K28,6,1),MID($H28,7,1)*MID($K28,7,1),MID($H28,8,1)*MID($K28,8,1),MID($H28,9,1)*MID($K28,1,1),MID($H28,10,1)*MID($K28,2,1),MID($H28,11,1)*MID($K28,3,1),MID($H28,12,1)*MID($K28,4,1),MID($H28,13,1)*MID($K28,5,1),MID($H28,14,1)*MID($K28,6,1),MID($H28,15,1)*MID($K28,7,1),MID($H28,16,1)*MID($K28,8,1),MID($H28,17,1)*MID($K28,1,1),MID($H28,18,1)*MID($K28,2,1),MID($H28,19,1)*MID($K28,3,1),MID($H28,20,1)*MID($K28,4,1),MID($H28,21,1)*MID($K28,5,1),MID($H28,22,1)*MID($K28,6,1),MID($H28,23,1)*MID($K28,7,1),MID($H28,24,1)*MID($K28,8,1),MID($H28,25,1)*MID($K28,1,1),MID($H28,26,1)*MID($K28,2,1),MID($H28,27,1)*MID($K28,3,1),MID($H28,28,1)*MID($K28,4,1),MID($H28,29,1)*MID($K28,5,1),MID($H28,30,1)*MID($K28,6,1),MID($H28,31,1)*MID($K28,7,1),MID($H28,32,1)*MID($K28,8,1))</f>
        <v>01100001010000010000001001100000</v>
      </c>
      <c r="DY28" s="34" t="str">
        <f>CONCATENATE(MID(DX28,30,3),MID(DX28,17,5),MID(DX28,6,3),MID(DX28,25,5),MID(DX28,14,3),MID(DX28,1,5),MID(DX28,22,3),MID(DX28,9,5))</f>
        <v>00000000001011000010110001001000</v>
      </c>
      <c r="DZ28" s="34" t="str">
        <f t="shared" si="122"/>
        <v>00000000</v>
      </c>
      <c r="EA28" s="34" t="str">
        <f t="shared" si="72"/>
        <v>00101100</v>
      </c>
      <c r="EB28" s="34" t="str">
        <f t="shared" si="73"/>
        <v>00101100</v>
      </c>
      <c r="EC28" s="34" t="str">
        <f t="shared" si="74"/>
        <v>01001000</v>
      </c>
      <c r="ED28" s="87">
        <f>BIN2DEC(DZ28)-BIN2DEC(DZ29)</f>
        <v>-10</v>
      </c>
      <c r="EE28" s="87">
        <f>BIN2DEC(EA28)-BIN2DEC(EA29)</f>
        <v>3</v>
      </c>
      <c r="EF28" s="87">
        <f>BIN2DEC(EB28)-BIN2DEC(EB29)</f>
        <v>-98</v>
      </c>
      <c r="EG28" s="87">
        <f>BIN2DEC(EC28)-BIN2DEC(EC29)</f>
        <v>8</v>
      </c>
      <c r="EH28" s="35" t="str">
        <f t="shared" si="75"/>
        <v>1001</v>
      </c>
      <c r="EI28" s="35" t="str">
        <f t="shared" si="76"/>
        <v>0001</v>
      </c>
      <c r="EJ28" s="35" t="str">
        <f t="shared" si="77"/>
        <v>1011</v>
      </c>
      <c r="EK28" s="35" t="str">
        <f t="shared" si="78"/>
        <v>1100</v>
      </c>
      <c r="EL28" s="35" t="str">
        <f t="shared" si="79"/>
        <v>0011</v>
      </c>
      <c r="EM28" s="35" t="str">
        <f t="shared" si="80"/>
        <v>1100</v>
      </c>
      <c r="EN28" s="35" t="str">
        <f>MID($L28,25,4)</f>
        <v>0101</v>
      </c>
      <c r="EO28" s="35" t="str">
        <f t="shared" si="82"/>
        <v>1011</v>
      </c>
      <c r="EP28" s="87">
        <f t="shared" ref="EP28:EW28" si="228">BIN2DEC(EH28)-BIN2DEC(EH29)</f>
        <v>9</v>
      </c>
      <c r="EQ28" s="87">
        <f t="shared" si="228"/>
        <v>-9</v>
      </c>
      <c r="ER28" s="87">
        <f t="shared" si="228"/>
        <v>9</v>
      </c>
      <c r="ES28" s="87">
        <f t="shared" si="228"/>
        <v>3</v>
      </c>
      <c r="ET28" s="87">
        <f t="shared" si="228"/>
        <v>-5</v>
      </c>
      <c r="EU28" s="87">
        <f t="shared" si="228"/>
        <v>-2</v>
      </c>
      <c r="EV28" s="87">
        <f t="shared" si="228"/>
        <v>1</v>
      </c>
      <c r="EW28" s="87">
        <f t="shared" si="228"/>
        <v>11</v>
      </c>
      <c r="EX28" s="34" t="str">
        <f t="shared" si="13"/>
        <v>0000000000101100</v>
      </c>
      <c r="EY28" s="34" t="str">
        <f t="shared" si="14"/>
        <v>0010110001001000</v>
      </c>
      <c r="EZ28" s="87">
        <f>MID(EX28,16,1)*POWER(2,0)+MID(EX28,15,1)*POWER(2,1)+MID(EX28,14,1)*POWER(2,2)+MID(EX28,13,1)*POWER(2,3)+MID(EX28,12,1)*POWER(2,4)+MID(EX28,11,1)*POWER(2,5)+MID(EX28,10,1)*POWER(2,6)+MID(EX28,9,1)*POWER(2,7)+MID(EX28,8,1)*POWER(2,8)+MID(EX28,7,1)*POWER(2,9)+MID(EX28,6,1)*POWER(2,10)+MID(EX28,5,1)*POWER(2,11)+MID(EX28,4,1)*POWER(2,12)+MID(EX28,3,1)*POWER(2,13)+MID(EX28,2,1)*POWER(2,14)+MID(EX28,1,1)*POWER(2,15)-(MID(EX29,16,1)*POWER(2,0)+MID(EX29,15,1)*POWER(2,1)+MID(EX29,14,1)*POWER(2,2)+MID(EX29,13,1)*POWER(2,3)+MID(EX29,12,1)*POWER(2,4)+MID(EX29,11,1)*POWER(2,5)+MID(EX29,10,1)*POWER(2,6)+MID(EX29,9,1)*POWER(2,7)+MID(EX29,8,1)*POWER(2,8)+MID(EX29,7,1)*POWER(2,9)+MID(EX29,6,1)*POWER(2,10)+MID(EX29,5,1)*POWER(2,11)+MID(EX29,4,1)*POWER(2,12)+MID(EX29,3,1)*POWER(2,13)+MID(EX29,2,1)*POWER(2,14)+MID(EX29,1,1)*POWER(2,15))</f>
        <v>-2557</v>
      </c>
      <c r="FA28" s="87">
        <f>MID(EY28,16,1)*POWER(2,0)+MID(EY28,15,1)*POWER(2,1)+MID(EY28,14,1)*POWER(2,2)+MID(EY28,13,1)*POWER(2,3)+MID(EY28,12,1)*POWER(2,4)+MID(EY28,11,1)*POWER(2,5)+MID(EY28,10,1)*POWER(2,6)+MID(EY28,9,1)*POWER(2,7)+MID(EY28,8,1)*POWER(2,8)+MID(EY28,7,1)*POWER(2,9)+MID(EY28,6,1)*POWER(2,10)+MID(EY28,5,1)*POWER(2,11)+MID(EY28,4,1)*POWER(2,12)+MID(EY28,3,1)*POWER(2,13)+MID(EY28,2,1)*POWER(2,14)+MID(EY28,1,1)*POWER(2,15)-(MID(EY29,16,1)*POWER(2,0)+MID(EY29,15,1)*POWER(2,1)+MID(EY29,14,1)*POWER(2,2)+MID(EY29,13,1)*POWER(2,3)+MID(EY29,12,1)*POWER(2,4)+MID(EY29,11,1)*POWER(2,5)+MID(EY29,10,1)*POWER(2,6)+MID(EY29,9,1)*POWER(2,7)+MID(EY29,8,1)*POWER(2,8)+MID(EY29,7,1)*POWER(2,9)+MID(EY29,6,1)*POWER(2,10)+MID(EY29,5,1)*POWER(2,11)+MID(EY29,4,1)*POWER(2,12)+MID(EY29,3,1)*POWER(2,13)+MID(EY29,2,1)*POWER(2,14)+MID(EY29,1,1)*POWER(2,15))</f>
        <v>-25080</v>
      </c>
      <c r="FB28" s="33" t="str">
        <f>CONCATENATE(MID(DY28,1,1)*MID($K28,1,1),MID(DY28,2,1)*MID($K28,2,1),MID(DY28,3,1)*MID($K28,3,1),MID(DY28,4,1)*MID($K28,4,1),MID(DY28,5,1)*MID($K28,5,1),MID(DY28,6,1)*MID($K28,6,1),MID(DY28,7,1)*MID($K28,7,1),MID(DY28,8,1)*MID($K28,8,1),MID(DY28,9,1)*MID($K28,1,1),MID(DY28,10,1)*MID($K28,2,1),MID(DY28,11,1)*MID($K28,3,1),MID(DY28,12,1)*MID($K28,4,1),MID(DY28,13,1)*MID($K28,5,1),MID(DY28,14,1)*MID($K28,6,1),MID(DY28,15,1)*MID($K28,7,1),MID(DY28,16,1)*MID($K28,8,1),MID(DY28,17,1)*MID($K28,1,1),MID(DY28,18,1)*MID($K28,2,1),MID(DY28,19,1)*MID($K28,3,1),MID(DY28,20,1)*MID($K28,4,1),MID(DY28,21,1)*MID($K28,5,1),MID(DY28,22,1)*MID($K28,6,1),MID(DY28,23,1)*MID($K28,7,1),MID(DY28,24,1)*MID($K28,8,1),MID(DY28,25,1)*MID($K28,1,1),MID(DY28,26,1)*MID($K28,2,1),MID(DY28,27,1)*MID($K28,3,1),MID(DY28,28,1)*MID($K28,4,1),MID(DY28,29,1)*MID($K28,5,1),MID(DY28,30,1)*MID($K28,6,1),MID(DY28,31,1)*MID($K28,7,1),MID(DY28,32,1)*MID($K28,8,1))</f>
        <v>00000000001000000010000001000000</v>
      </c>
      <c r="FC28" s="34" t="str">
        <f t="shared" si="124"/>
        <v>00000000</v>
      </c>
      <c r="FD28" s="34" t="str">
        <f t="shared" si="83"/>
        <v>00100000</v>
      </c>
      <c r="FE28" s="34" t="str">
        <f t="shared" si="84"/>
        <v>00100000</v>
      </c>
      <c r="FF28" s="34" t="str">
        <f t="shared" si="85"/>
        <v>01000000</v>
      </c>
      <c r="FG28" s="87">
        <f>BIN2DEC(FC28)-BIN2DEC(FC29)</f>
        <v>-10</v>
      </c>
      <c r="FH28" s="87">
        <f>BIN2DEC(FD28)-BIN2DEC(FD29)</f>
        <v>-9</v>
      </c>
      <c r="FI28" s="87">
        <f>BIN2DEC(FE28)-BIN2DEC(FE29)</f>
        <v>-110</v>
      </c>
      <c r="FJ28" s="87">
        <f>BIN2DEC(FF28)-BIN2DEC(FF29)</f>
        <v>0</v>
      </c>
      <c r="FK28" s="35" t="str">
        <f t="shared" si="86"/>
        <v>1001</v>
      </c>
      <c r="FL28" s="35" t="str">
        <f t="shared" si="87"/>
        <v>0001</v>
      </c>
      <c r="FM28" s="35" t="str">
        <f t="shared" si="88"/>
        <v>1011</v>
      </c>
      <c r="FN28" s="35" t="str">
        <f t="shared" si="89"/>
        <v>1100</v>
      </c>
      <c r="FO28" s="35" t="str">
        <f t="shared" si="90"/>
        <v>0011</v>
      </c>
      <c r="FP28" s="35" t="str">
        <f t="shared" si="91"/>
        <v>1100</v>
      </c>
      <c r="FQ28" s="35" t="str">
        <f>MID($L28,25,4)</f>
        <v>0101</v>
      </c>
      <c r="FR28" s="35" t="str">
        <f t="shared" si="93"/>
        <v>1011</v>
      </c>
      <c r="FS28" s="87">
        <f t="shared" ref="FS28:FZ28" si="229">BIN2DEC(FK28)-BIN2DEC(FK29)</f>
        <v>9</v>
      </c>
      <c r="FT28" s="87">
        <f t="shared" si="229"/>
        <v>-9</v>
      </c>
      <c r="FU28" s="87">
        <f t="shared" si="229"/>
        <v>9</v>
      </c>
      <c r="FV28" s="87">
        <f t="shared" si="229"/>
        <v>3</v>
      </c>
      <c r="FW28" s="87">
        <f t="shared" si="229"/>
        <v>-5</v>
      </c>
      <c r="FX28" s="87">
        <f t="shared" si="229"/>
        <v>-2</v>
      </c>
      <c r="FY28" s="87">
        <f t="shared" si="229"/>
        <v>1</v>
      </c>
      <c r="FZ28" s="87">
        <f t="shared" si="229"/>
        <v>11</v>
      </c>
      <c r="GA28" s="34" t="str">
        <f t="shared" si="16"/>
        <v>0000000000100000</v>
      </c>
      <c r="GB28" s="34" t="str">
        <f t="shared" si="17"/>
        <v>0010000001000000</v>
      </c>
      <c r="GC28" s="87">
        <f>MID(GA28,16,1)*POWER(2,0)+MID(GA28,15,1)*POWER(2,1)+MID(GA28,14,1)*POWER(2,2)+MID(GA28,13,1)*POWER(2,3)+MID(GA28,12,1)*POWER(2,4)+MID(GA28,11,1)*POWER(2,5)+MID(GA28,10,1)*POWER(2,6)+MID(GA28,9,1)*POWER(2,7)+MID(GA28,8,1)*POWER(2,8)+MID(GA28,7,1)*POWER(2,9)+MID(GA28,6,1)*POWER(2,10)+MID(GA28,5,1)*POWER(2,11)+MID(GA28,4,1)*POWER(2,12)+MID(GA28,3,1)*POWER(2,13)+MID(GA28,2,1)*POWER(2,14)+MID(GA28,1,1)*POWER(2,15)-(MID(GA29,16,1)*POWER(2,0)+MID(GA29,15,1)*POWER(2,1)+MID(GA29,14,1)*POWER(2,2)+MID(GA29,13,1)*POWER(2,3)+MID(GA29,12,1)*POWER(2,4)+MID(GA29,11,1)*POWER(2,5)+MID(GA29,10,1)*POWER(2,6)+MID(GA29,9,1)*POWER(2,7)+MID(GA29,8,1)*POWER(2,8)+MID(GA29,7,1)*POWER(2,9)+MID(GA29,6,1)*POWER(2,10)+MID(GA29,5,1)*POWER(2,11)+MID(GA29,4,1)*POWER(2,12)+MID(GA29,3,1)*POWER(2,13)+MID(GA29,2,1)*POWER(2,14)+MID(GA29,1,1)*POWER(2,15))</f>
        <v>-2569</v>
      </c>
      <c r="GD28" s="87">
        <f>MID(GB28,16,1)*POWER(2,0)+MID(GB28,15,1)*POWER(2,1)+MID(GB28,14,1)*POWER(2,2)+MID(GB28,13,1)*POWER(2,3)+MID(GB28,12,1)*POWER(2,4)+MID(GB28,11,1)*POWER(2,5)+MID(GB28,10,1)*POWER(2,6)+MID(GB28,9,1)*POWER(2,7)+MID(GB28,8,1)*POWER(2,8)+MID(GB28,7,1)*POWER(2,9)+MID(GB28,6,1)*POWER(2,10)+MID(GB28,5,1)*POWER(2,11)+MID(GB28,4,1)*POWER(2,12)+MID(GB28,3,1)*POWER(2,13)+MID(GB28,2,1)*POWER(2,14)+MID(GB28,1,1)*POWER(2,15)-(MID(GB29,16,1)*POWER(2,0)+MID(GB29,15,1)*POWER(2,1)+MID(GB29,14,1)*POWER(2,2)+MID(GB29,13,1)*POWER(2,3)+MID(GB29,12,1)*POWER(2,4)+MID(GB29,11,1)*POWER(2,5)+MID(GB29,10,1)*POWER(2,6)+MID(GB29,9,1)*POWER(2,7)+MID(GB29,8,1)*POWER(2,8)+MID(GB29,7,1)*POWER(2,9)+MID(GB29,6,1)*POWER(2,10)+MID(GB29,5,1)*POWER(2,11)+MID(GB29,4,1)*POWER(2,12)+MID(GB29,3,1)*POWER(2,13)+MID(GB29,2,1)*POWER(2,14)+MID(GB29,1,1)*POWER(2,15))</f>
        <v>-28160</v>
      </c>
      <c r="GE28" s="35" t="str">
        <f>DY28</f>
        <v>00000000001011000010110001001000</v>
      </c>
      <c r="GF28" s="34" t="str">
        <f t="shared" si="126"/>
        <v>00000000</v>
      </c>
      <c r="GG28" s="34" t="str">
        <f t="shared" si="94"/>
        <v>00101100</v>
      </c>
      <c r="GH28" s="34" t="str">
        <f t="shared" si="95"/>
        <v>00101100</v>
      </c>
      <c r="GI28" s="34" t="str">
        <f t="shared" si="96"/>
        <v>01001000</v>
      </c>
      <c r="GJ28" s="87">
        <f>BIN2DEC(GF28)-BIN2DEC(GF29)</f>
        <v>-2</v>
      </c>
      <c r="GK28" s="87">
        <f>BIN2DEC(GG28)-BIN2DEC(GG29)</f>
        <v>11</v>
      </c>
      <c r="GL28" s="87">
        <f>BIN2DEC(GH28)-BIN2DEC(GH29)</f>
        <v>42</v>
      </c>
      <c r="GM28" s="87">
        <f>BIN2DEC(GI28)-BIN2DEC(GI29)</f>
        <v>8</v>
      </c>
      <c r="GN28" s="35" t="str">
        <f t="shared" si="97"/>
        <v>1001</v>
      </c>
      <c r="GO28" s="35" t="str">
        <f t="shared" si="98"/>
        <v>0001</v>
      </c>
      <c r="GP28" s="35" t="str">
        <f t="shared" si="99"/>
        <v>1011</v>
      </c>
      <c r="GQ28" s="35" t="str">
        <f t="shared" si="100"/>
        <v>1100</v>
      </c>
      <c r="GR28" s="35" t="str">
        <f t="shared" si="101"/>
        <v>0011</v>
      </c>
      <c r="GS28" s="35" t="str">
        <f t="shared" si="102"/>
        <v>1100</v>
      </c>
      <c r="GT28" s="35" t="str">
        <f>MID($L28,25,4)</f>
        <v>0101</v>
      </c>
      <c r="GU28" s="35" t="str">
        <f t="shared" si="104"/>
        <v>1011</v>
      </c>
      <c r="GV28" s="87">
        <f t="shared" ref="GV28:HC28" si="230">BIN2DEC(GN28)-BIN2DEC(GN29)</f>
        <v>9</v>
      </c>
      <c r="GW28" s="87">
        <f t="shared" si="230"/>
        <v>-9</v>
      </c>
      <c r="GX28" s="87">
        <f t="shared" si="230"/>
        <v>9</v>
      </c>
      <c r="GY28" s="87">
        <f t="shared" si="230"/>
        <v>3</v>
      </c>
      <c r="GZ28" s="87">
        <f t="shared" si="230"/>
        <v>-5</v>
      </c>
      <c r="HA28" s="87">
        <f t="shared" si="230"/>
        <v>-2</v>
      </c>
      <c r="HB28" s="87">
        <f t="shared" si="230"/>
        <v>1</v>
      </c>
      <c r="HC28" s="87">
        <f t="shared" si="230"/>
        <v>11</v>
      </c>
      <c r="HD28" s="34" t="str">
        <f t="shared" si="19"/>
        <v>0000000000101100</v>
      </c>
      <c r="HE28" s="34" t="str">
        <f t="shared" si="20"/>
        <v>0010110001001000</v>
      </c>
      <c r="HF28" s="87">
        <f>MID(HD28,16,1)*POWER(2,0)+MID(HD28,15,1)*POWER(2,1)+MID(HD28,14,1)*POWER(2,2)+MID(HD28,13,1)*POWER(2,3)+MID(HD28,12,1)*POWER(2,4)+MID(HD28,11,1)*POWER(2,5)+MID(HD28,10,1)*POWER(2,6)+MID(HD28,9,1)*POWER(2,7)+MID(HD28,8,1)*POWER(2,8)+MID(HD28,7,1)*POWER(2,9)+MID(HD28,6,1)*POWER(2,10)+MID(HD28,5,1)*POWER(2,11)+MID(HD28,4,1)*POWER(2,12)+MID(HD28,3,1)*POWER(2,13)+MID(HD28,2,1)*POWER(2,14)+MID(HD28,1,1)*POWER(2,15)-(MID(HD29,16,1)*POWER(2,0)+MID(HD29,15,1)*POWER(2,1)+MID(HD29,14,1)*POWER(2,2)+MID(HD29,13,1)*POWER(2,3)+MID(HD29,12,1)*POWER(2,4)+MID(HD29,11,1)*POWER(2,5)+MID(HD29,10,1)*POWER(2,6)+MID(HD29,9,1)*POWER(2,7)+MID(HD29,8,1)*POWER(2,8)+MID(HD29,7,1)*POWER(2,9)+MID(HD29,6,1)*POWER(2,10)+MID(HD29,5,1)*POWER(2,11)+MID(HD29,4,1)*POWER(2,12)+MID(HD29,3,1)*POWER(2,13)+MID(HD29,2,1)*POWER(2,14)+MID(HD29,1,1)*POWER(2,15))</f>
        <v>-501</v>
      </c>
      <c r="HG28" s="87">
        <f>MID(HE28,16,1)*POWER(2,0)+MID(HE28,15,1)*POWER(2,1)+MID(HE28,14,1)*POWER(2,2)+MID(HE28,13,1)*POWER(2,3)+MID(HE28,12,1)*POWER(2,4)+MID(HE28,11,1)*POWER(2,5)+MID(HE28,10,1)*POWER(2,6)+MID(HE28,9,1)*POWER(2,7)+MID(HE28,8,1)*POWER(2,8)+MID(HE28,7,1)*POWER(2,9)+MID(HE28,6,1)*POWER(2,10)+MID(HE28,5,1)*POWER(2,11)+MID(HE28,4,1)*POWER(2,12)+MID(HE28,3,1)*POWER(2,13)+MID(HE28,2,1)*POWER(2,14)+MID(HE28,1,1)*POWER(2,15)-(MID(HE29,16,1)*POWER(2,0)+MID(HE29,15,1)*POWER(2,1)+MID(HE29,14,1)*POWER(2,2)+MID(HE29,13,1)*POWER(2,3)+MID(HE29,12,1)*POWER(2,4)+MID(HE29,11,1)*POWER(2,5)+MID(HE29,10,1)*POWER(2,6)+MID(HE29,9,1)*POWER(2,7)+MID(HE29,8,1)*POWER(2,8)+MID(HE29,7,1)*POWER(2,9)+MID(HE29,6,1)*POWER(2,10)+MID(HE29,5,1)*POWER(2,11)+MID(HE29,4,1)*POWER(2,12)+MID(HE29,3,1)*POWER(2,13)+MID(HE29,2,1)*POWER(2,14)+MID(HE29,1,1)*POWER(2,15))</f>
        <v>10760</v>
      </c>
      <c r="HH28" s="33" t="str">
        <f>CONCATENATE(MID(GE28,1,1)*MID($K28,1,1),MID(GE28,2,1)*MID($K28,2,1),MID(GE28,3,1)*MID($K28,3,1),MID(GE28,4,1)*MID($K28,4,1),MID(GE28,5,1)*MID($K28,5,1),MID(GE28,6,1)*MID($K28,6,1),MID(GE28,7,1)*MID($K28,7,1),MID(GE28,8,1)*MID($K28,8,1),MID(GE28,9,1)*MID($K28,1,1),MID(GE28,10,1)*MID($K28,2,1),MID(GE28,11,1)*MID($K28,3,1),MID(GE28,12,1)*MID($K28,4,1),MID(GE28,13,1)*MID($K28,5,1),MID(GE28,14,1)*MID($K28,6,1),MID(GE28,15,1)*MID($K28,7,1),MID(GE28,16,1)*MID($K28,8,1),MID(GE28,17,1)*MID($K28,1,1),MID(GE28,18,1)*MID($K28,2,1),MID(GE28,19,1)*MID($K28,3,1),MID(GE28,20,1)*MID($K28,4,1),MID(GE28,21,1)*MID($K28,5,1),MID(GE28,22,1)*MID($K28,6,1),MID(GE28,23,1)*MID($K28,7,1),MID(GE28,24,1)*MID($K28,8,1),MID(GE28,25,1)*MID($K28,1,1),MID(GE28,26,1)*MID($K28,2,1),MID(GE28,27,1)*MID($K28,3,1),MID(GE28,28,1)*MID($K28,4,1),MID(GE28,29,1)*MID($K28,5,1),MID(GE28,30,1)*MID($K28,6,1),MID(GE28,31,1)*MID($K28,7,1),MID(GE28,32,1)*MID($K28,8,1))</f>
        <v>00000000001000000010000001000000</v>
      </c>
      <c r="HI28" s="34" t="str">
        <f t="shared" si="128"/>
        <v>00000000</v>
      </c>
      <c r="HJ28" s="34" t="str">
        <f t="shared" si="105"/>
        <v>00100000</v>
      </c>
      <c r="HK28" s="34" t="str">
        <f t="shared" si="106"/>
        <v>00100000</v>
      </c>
      <c r="HL28" s="34" t="str">
        <f t="shared" si="107"/>
        <v>01000000</v>
      </c>
      <c r="HM28" s="87">
        <f>BIN2DEC(HI28)-BIN2DEC(HI29)</f>
        <v>-2</v>
      </c>
      <c r="HN28" s="87">
        <f>BIN2DEC(HJ28)-BIN2DEC(HJ29)</f>
        <v>-1</v>
      </c>
      <c r="HO28" s="87">
        <f>BIN2DEC(HK28)-BIN2DEC(HK29)</f>
        <v>30</v>
      </c>
      <c r="HP28" s="87">
        <f>BIN2DEC(HL28)-BIN2DEC(HL29)</f>
        <v>0</v>
      </c>
      <c r="HQ28" s="35" t="str">
        <f t="shared" si="108"/>
        <v>1001</v>
      </c>
      <c r="HR28" s="35" t="str">
        <f t="shared" si="109"/>
        <v>0001</v>
      </c>
      <c r="HS28" s="35" t="str">
        <f t="shared" si="110"/>
        <v>1011</v>
      </c>
      <c r="HT28" s="35" t="str">
        <f t="shared" si="111"/>
        <v>1100</v>
      </c>
      <c r="HU28" s="35" t="str">
        <f t="shared" si="112"/>
        <v>0011</v>
      </c>
      <c r="HV28" s="35" t="str">
        <f t="shared" si="113"/>
        <v>1100</v>
      </c>
      <c r="HW28" s="35" t="str">
        <f>MID($L28,25,4)</f>
        <v>0101</v>
      </c>
      <c r="HX28" s="35" t="str">
        <f t="shared" si="115"/>
        <v>1011</v>
      </c>
      <c r="HY28" s="87">
        <f t="shared" ref="HY28:IF28" si="231">BIN2DEC(HQ28)-BIN2DEC(HQ29)</f>
        <v>9</v>
      </c>
      <c r="HZ28" s="87">
        <f t="shared" si="231"/>
        <v>-9</v>
      </c>
      <c r="IA28" s="87">
        <f t="shared" si="231"/>
        <v>9</v>
      </c>
      <c r="IB28" s="87">
        <f t="shared" si="231"/>
        <v>3</v>
      </c>
      <c r="IC28" s="87">
        <f t="shared" si="231"/>
        <v>-5</v>
      </c>
      <c r="ID28" s="87">
        <f t="shared" si="231"/>
        <v>-2</v>
      </c>
      <c r="IE28" s="87">
        <f t="shared" si="231"/>
        <v>1</v>
      </c>
      <c r="IF28" s="87">
        <f t="shared" si="231"/>
        <v>11</v>
      </c>
      <c r="IG28" s="34" t="str">
        <f t="shared" si="22"/>
        <v>0000000000100000</v>
      </c>
      <c r="IH28" s="34" t="str">
        <f t="shared" si="23"/>
        <v>0010000001000000</v>
      </c>
      <c r="II28" s="87">
        <f>MID(IG28,16,1)*POWER(2,0)+MID(IG28,15,1)*POWER(2,1)+MID(IG28,14,1)*POWER(2,2)+MID(IG28,13,1)*POWER(2,3)+MID(IG28,12,1)*POWER(2,4)+MID(IG28,11,1)*POWER(2,5)+MID(IG28,10,1)*POWER(2,6)+MID(IG28,9,1)*POWER(2,7)+MID(IG28,8,1)*POWER(2,8)+MID(IG28,7,1)*POWER(2,9)+MID(IG28,6,1)*POWER(2,10)+MID(IG28,5,1)*POWER(2,11)+MID(IG28,4,1)*POWER(2,12)+MID(IG28,3,1)*POWER(2,13)+MID(IG28,2,1)*POWER(2,14)+MID(IG28,1,1)*POWER(2,15)-(MID(IG29,16,1)*POWER(2,0)+MID(IG29,15,1)*POWER(2,1)+MID(IG29,14,1)*POWER(2,2)+MID(IG29,13,1)*POWER(2,3)+MID(IG29,12,1)*POWER(2,4)+MID(IG29,11,1)*POWER(2,5)+MID(IG29,10,1)*POWER(2,6)+MID(IG29,9,1)*POWER(2,7)+MID(IG29,8,1)*POWER(2,8)+MID(IG29,7,1)*POWER(2,9)+MID(IG29,6,1)*POWER(2,10)+MID(IG29,5,1)*POWER(2,11)+MID(IG29,4,1)*POWER(2,12)+MID(IG29,3,1)*POWER(2,13)+MID(IG29,2,1)*POWER(2,14)+MID(IG29,1,1)*POWER(2,15))</f>
        <v>-513</v>
      </c>
      <c r="IJ28" s="87">
        <f>MID(IH28,16,1)*POWER(2,0)+MID(IH28,15,1)*POWER(2,1)+MID(IH28,14,1)*POWER(2,2)+MID(IH28,13,1)*POWER(2,3)+MID(IH28,12,1)*POWER(2,4)+MID(IH28,11,1)*POWER(2,5)+MID(IH28,10,1)*POWER(2,6)+MID(IH28,9,1)*POWER(2,7)+MID(IH28,8,1)*POWER(2,8)+MID(IH28,7,1)*POWER(2,9)+MID(IH28,6,1)*POWER(2,10)+MID(IH28,5,1)*POWER(2,11)+MID(IH28,4,1)*POWER(2,12)+MID(IH28,3,1)*POWER(2,13)+MID(IH28,2,1)*POWER(2,14)+MID(IH28,1,1)*POWER(2,15)-(MID(IH29,16,1)*POWER(2,0)+MID(IH29,15,1)*POWER(2,1)+MID(IH29,14,1)*POWER(2,2)+MID(IH29,13,1)*POWER(2,3)+MID(IH29,12,1)*POWER(2,4)+MID(IH29,11,1)*POWER(2,5)+MID(IH29,10,1)*POWER(2,6)+MID(IH29,9,1)*POWER(2,7)+MID(IH29,8,1)*POWER(2,8)+MID(IH29,7,1)*POWER(2,9)+MID(IH29,6,1)*POWER(2,10)+MID(IH29,5,1)*POWER(2,11)+MID(IH29,4,1)*POWER(2,12)+MID(IH29,3,1)*POWER(2,13)+MID(IH29,2,1)*POWER(2,14)+MID(IH29,1,1)*POWER(2,15))</f>
        <v>7680</v>
      </c>
      <c r="IL28" s="34"/>
      <c r="IM28" s="34"/>
      <c r="IN28" s="34"/>
      <c r="IO28" s="34"/>
      <c r="IP28" s="33"/>
      <c r="IQ28" s="33"/>
      <c r="IR28" s="33"/>
      <c r="IS28" s="33"/>
      <c r="JB28" s="33"/>
      <c r="JC28" s="33"/>
      <c r="JD28" s="33"/>
      <c r="JE28" s="33"/>
      <c r="JF28" s="33"/>
      <c r="JG28" s="33"/>
      <c r="JH28" s="33"/>
      <c r="JI28" s="33"/>
      <c r="JJ28" s="34"/>
      <c r="JK28" s="34"/>
      <c r="JL28" s="33"/>
      <c r="JM28" s="33"/>
    </row>
    <row r="29" spans="1:273" s="39" customFormat="1" ht="18.600000000000001" thickBot="1" x14ac:dyDescent="0.4">
      <c r="A29" s="36"/>
      <c r="B29" s="37"/>
      <c r="C29" s="51" t="s">
        <v>6</v>
      </c>
      <c r="D29" s="51" t="s">
        <v>20</v>
      </c>
      <c r="E29" s="51">
        <v>29</v>
      </c>
      <c r="F29" s="51" t="s">
        <v>39</v>
      </c>
      <c r="G29" s="51">
        <v>40</v>
      </c>
      <c r="H29" s="51" t="str">
        <f t="shared" si="198"/>
        <v>00001010001010011000111001000000</v>
      </c>
      <c r="I29" s="51">
        <f t="shared" si="199"/>
        <v>10</v>
      </c>
      <c r="J29" s="51"/>
      <c r="K29" s="51"/>
      <c r="L29" s="38" t="str">
        <f>H29</f>
        <v>00001010001010011000111001000000</v>
      </c>
      <c r="M29" s="38" t="str">
        <f t="shared" si="24"/>
        <v>00001010</v>
      </c>
      <c r="N29" s="38" t="str">
        <f t="shared" si="25"/>
        <v>00101001</v>
      </c>
      <c r="O29" s="38" t="str">
        <f t="shared" si="26"/>
        <v>10001110</v>
      </c>
      <c r="P29" s="38" t="str">
        <f t="shared" si="27"/>
        <v>01000000</v>
      </c>
      <c r="Q29" s="88"/>
      <c r="R29" s="88"/>
      <c r="S29" s="88"/>
      <c r="T29" s="88"/>
      <c r="U29" s="39" t="str">
        <f t="shared" si="28"/>
        <v>0000</v>
      </c>
      <c r="V29" s="39" t="str">
        <f t="shared" si="29"/>
        <v>1010</v>
      </c>
      <c r="W29" s="39" t="str">
        <f t="shared" si="30"/>
        <v>0010</v>
      </c>
      <c r="X29" s="39" t="str">
        <f t="shared" si="31"/>
        <v>1001</v>
      </c>
      <c r="Y29" s="39" t="str">
        <f t="shared" si="32"/>
        <v>1000</v>
      </c>
      <c r="Z29" s="39" t="str">
        <f t="shared" si="33"/>
        <v>1110</v>
      </c>
      <c r="AA29" s="39" t="str">
        <f t="shared" si="34"/>
        <v>0100</v>
      </c>
      <c r="AB29" s="39" t="str">
        <f t="shared" si="35"/>
        <v>0000</v>
      </c>
      <c r="AC29" s="88"/>
      <c r="AD29" s="88"/>
      <c r="AE29" s="88"/>
      <c r="AF29" s="88"/>
      <c r="AG29" s="88"/>
      <c r="AH29" s="88"/>
      <c r="AI29" s="88"/>
      <c r="AJ29" s="88"/>
      <c r="AK29" s="38" t="str">
        <f t="shared" si="1"/>
        <v>0000101000101001</v>
      </c>
      <c r="AL29" s="38" t="str">
        <f t="shared" si="2"/>
        <v>1000111001000000</v>
      </c>
      <c r="AM29" s="88"/>
      <c r="AN29" s="88"/>
      <c r="AO29" s="37" t="str">
        <f>L29</f>
        <v>00001010001010011000111001000000</v>
      </c>
      <c r="AP29" s="38" t="str">
        <f t="shared" si="36"/>
        <v>00001010</v>
      </c>
      <c r="AQ29" s="38" t="str">
        <f t="shared" si="37"/>
        <v>00101001</v>
      </c>
      <c r="AR29" s="38" t="str">
        <f t="shared" si="38"/>
        <v>10001110</v>
      </c>
      <c r="AS29" s="38" t="str">
        <f t="shared" si="39"/>
        <v>01000000</v>
      </c>
      <c r="AT29" s="88"/>
      <c r="AU29" s="88"/>
      <c r="AV29" s="88"/>
      <c r="AW29" s="88"/>
      <c r="AX29" s="39" t="str">
        <f t="shared" si="40"/>
        <v>0000</v>
      </c>
      <c r="AY29" s="39" t="str">
        <f t="shared" si="41"/>
        <v>1010</v>
      </c>
      <c r="AZ29" s="39" t="str">
        <f t="shared" si="42"/>
        <v>0010</v>
      </c>
      <c r="BA29" s="39" t="str">
        <f t="shared" si="43"/>
        <v>1001</v>
      </c>
      <c r="BB29" s="39" t="str">
        <f t="shared" si="44"/>
        <v>1000</v>
      </c>
      <c r="BC29" s="39" t="str">
        <f t="shared" si="45"/>
        <v>1110</v>
      </c>
      <c r="BD29" s="39" t="str">
        <f t="shared" si="46"/>
        <v>0100</v>
      </c>
      <c r="BE29" s="39" t="str">
        <f t="shared" si="47"/>
        <v>0000</v>
      </c>
      <c r="BF29" s="88"/>
      <c r="BG29" s="88"/>
      <c r="BH29" s="88"/>
      <c r="BI29" s="88"/>
      <c r="BJ29" s="88"/>
      <c r="BK29" s="88"/>
      <c r="BL29" s="88"/>
      <c r="BM29" s="88"/>
      <c r="BN29" s="38" t="str">
        <f t="shared" si="4"/>
        <v>0000101000101001</v>
      </c>
      <c r="BO29" s="38" t="str">
        <f t="shared" si="5"/>
        <v>1000111001000000</v>
      </c>
      <c r="BP29" s="88"/>
      <c r="BQ29" s="88"/>
      <c r="BR29" s="37" t="str">
        <f>CONCATENATE(MID(L29,1,1)*MID(K28,1,1),MID(L29,2,1)*MID(K28,2,1),MID(L29,3,1)*MID(K28,3,1),MID(L29,4,1)*MID(K28,4,1),MID(L29,5,1)*MID(K28,5,1),MID(L29,6,1)*MID(K28,6,1),MID(L29,7,1)*MID(K28,7,1),MID(L29,8,1)*MID(K28,8,1),MID(L29,9,1)*MID(K28,1,1),MID(L29,10,1)*MID(K28,2,1),MID(L29,11,1)*MID(K28,3,1),MID(L29,12,1)*MID(K28,4,1),MID(L29,13,1)*MID(K28,5,1),MID(L29,14,1)*MID(K28,6,1),MID(L29,15,1)*MID(K28,7,1),MID(L29,16,1)*MID(K28,8,1),MID(L29,17,1)*MID(K28,1,1),MID(L29,18,1)*MID(K28,2,1),MID(L29,19,1)*MID(K28,3,1),MID(L29,20,1)*MID(K28,4,1),MID(L29,21,1)*MID(K28,5,1),MID(L29,22,1)*MID(K28,6,1),MID(L29,23,1)*MID(K28,7,1),MID(L29,24,1)*MID(K28,8,1),MID(L29,25,1)*MID(K28,1,1),MID(L29,26,1)*MID(K28,2,1),MID(L29,27,1)*MID(K28,3,1),MID(L29,28,1)*MID(K28,4,1),MID(L29,29,1)*MID(K28,5,1),MID(L29,30,1)*MID(K28,6,1),MID(L29,31,1)*MID(K28,7,1),MID(L29,32,1)*MID(K28,8,1))</f>
        <v>00000010001000010000001001000000</v>
      </c>
      <c r="BS29" s="38" t="str">
        <f t="shared" si="48"/>
        <v>00000010</v>
      </c>
      <c r="BT29" s="38" t="str">
        <f t="shared" si="49"/>
        <v>00100001</v>
      </c>
      <c r="BU29" s="38" t="str">
        <f t="shared" si="50"/>
        <v>00000010</v>
      </c>
      <c r="BV29" s="38" t="str">
        <f t="shared" si="51"/>
        <v>01000000</v>
      </c>
      <c r="BW29" s="88"/>
      <c r="BX29" s="88"/>
      <c r="BY29" s="88"/>
      <c r="BZ29" s="88"/>
      <c r="CA29" s="39" t="str">
        <f t="shared" si="52"/>
        <v>0000</v>
      </c>
      <c r="CB29" s="39" t="str">
        <f t="shared" si="53"/>
        <v>1010</v>
      </c>
      <c r="CC29" s="39" t="str">
        <f t="shared" si="54"/>
        <v>0010</v>
      </c>
      <c r="CD29" s="39" t="str">
        <f t="shared" si="55"/>
        <v>1001</v>
      </c>
      <c r="CE29" s="39" t="str">
        <f t="shared" si="56"/>
        <v>1000</v>
      </c>
      <c r="CF29" s="39" t="str">
        <f t="shared" si="57"/>
        <v>1110</v>
      </c>
      <c r="CG29" s="39" t="str">
        <f t="shared" si="58"/>
        <v>0100</v>
      </c>
      <c r="CH29" s="39" t="str">
        <f t="shared" si="59"/>
        <v>0000</v>
      </c>
      <c r="CI29" s="88"/>
      <c r="CJ29" s="88"/>
      <c r="CK29" s="88"/>
      <c r="CL29" s="88"/>
      <c r="CM29" s="88"/>
      <c r="CN29" s="88"/>
      <c r="CO29" s="88"/>
      <c r="CP29" s="88"/>
      <c r="CQ29" s="38" t="str">
        <f t="shared" si="7"/>
        <v>0000001000100001</v>
      </c>
      <c r="CR29" s="38" t="str">
        <f t="shared" si="8"/>
        <v>0000001001000000</v>
      </c>
      <c r="CS29" s="88"/>
      <c r="CT29" s="88"/>
      <c r="CU29" s="37" t="str">
        <f>CONCATENATE(MID($L29,1,1)*MID($K28,1,1),MID($L29,2,1)*MID($K28,2,1),MID($L29,3,1)*MID($K28,3,1),MID($L29,4,1)*MID($K28,4,1),MID($L29,5,1)*MID($K28,5,1),MID($L29,6,1)*MID($K28,6,1),MID($L29,7,1)*MID($K28,7,1),MID($L29,8,1)*MID($K28,8,1),MID($L29,9,1)*MID($K28,1,1),MID($L29,10,1)*MID($K28,2,1),MID($L29,11,1)*MID($K28,3,1),MID($L29,12,1)*MID($K28,4,1),MID($L29,13,1)*MID($K28,5,1),MID($L29,14,1)*MID($K28,6,1),MID($L29,15,1)*MID($K28,7,1),MID($L29,16,1)*MID($K28,8,1),MID($L29,17,1)*MID($K28,1,1),MID($L29,18,1)*MID($K28,2,1),MID($L29,19,1)*MID($K28,3,1),MID($L29,20,1)*MID($K28,4,1),MID($L29,21,1)*MID($K28,5,1),MID($L29,22,1)*MID($K28,6,1),MID($L29,23,1)*MID($K28,7,1),MID($L29,24,1)*MID($K28,8,1),MID($L29,25,1)*MID($K28,1,1),MID($L29,26,1)*MID($K28,2,1),MID($L29,27,1)*MID($K28,3,1),MID($L29,28,1)*MID($K28,4,1),MID($L29,29,1)*MID($K28,5,1),MID($L29,30,1)*MID($K28,6,1),MID($L29,31,1)*MID($K28,7,1),MID($L29,32,1)*MID($K28,8,1))</f>
        <v>00000010001000010000001001000000</v>
      </c>
      <c r="CV29" s="38" t="str">
        <f t="shared" si="60"/>
        <v>00000010</v>
      </c>
      <c r="CW29" s="38" t="str">
        <f t="shared" si="61"/>
        <v>00100001</v>
      </c>
      <c r="CX29" s="38" t="str">
        <f t="shared" si="62"/>
        <v>00000010</v>
      </c>
      <c r="CY29" s="38" t="str">
        <f t="shared" si="63"/>
        <v>01000000</v>
      </c>
      <c r="CZ29" s="88"/>
      <c r="DA29" s="88"/>
      <c r="DB29" s="88"/>
      <c r="DC29" s="88"/>
      <c r="DD29" s="39" t="str">
        <f t="shared" si="64"/>
        <v>0000</v>
      </c>
      <c r="DE29" s="39" t="str">
        <f t="shared" si="65"/>
        <v>1010</v>
      </c>
      <c r="DF29" s="39" t="str">
        <f t="shared" si="66"/>
        <v>0010</v>
      </c>
      <c r="DG29" s="39" t="str">
        <f t="shared" si="67"/>
        <v>1001</v>
      </c>
      <c r="DH29" s="39" t="str">
        <f t="shared" si="68"/>
        <v>1000</v>
      </c>
      <c r="DI29" s="39" t="str">
        <f t="shared" si="69"/>
        <v>1110</v>
      </c>
      <c r="DJ29" s="39" t="str">
        <f t="shared" si="70"/>
        <v>0100</v>
      </c>
      <c r="DK29" s="39" t="str">
        <f t="shared" si="71"/>
        <v>0000</v>
      </c>
      <c r="DL29" s="88"/>
      <c r="DM29" s="88"/>
      <c r="DN29" s="88"/>
      <c r="DO29" s="88"/>
      <c r="DP29" s="88"/>
      <c r="DQ29" s="88"/>
      <c r="DR29" s="88"/>
      <c r="DS29" s="88"/>
      <c r="DT29" s="38" t="str">
        <f t="shared" si="10"/>
        <v>0000001000100001</v>
      </c>
      <c r="DU29" s="38" t="str">
        <f t="shared" si="11"/>
        <v>0000001001000000</v>
      </c>
      <c r="DV29" s="88"/>
      <c r="DW29" s="88"/>
      <c r="DX29" s="37"/>
      <c r="DY29" s="39" t="str">
        <f>H29</f>
        <v>00001010001010011000111001000000</v>
      </c>
      <c r="DZ29" s="38" t="str">
        <f t="shared" si="122"/>
        <v>00001010</v>
      </c>
      <c r="EA29" s="38" t="str">
        <f t="shared" si="72"/>
        <v>00101001</v>
      </c>
      <c r="EB29" s="38" t="str">
        <f t="shared" si="73"/>
        <v>10001110</v>
      </c>
      <c r="EC29" s="38" t="str">
        <f t="shared" si="74"/>
        <v>01000000</v>
      </c>
      <c r="ED29" s="88"/>
      <c r="EE29" s="88"/>
      <c r="EF29" s="88"/>
      <c r="EG29" s="88"/>
      <c r="EH29" s="39" t="str">
        <f t="shared" si="75"/>
        <v>0000</v>
      </c>
      <c r="EI29" s="39" t="str">
        <f t="shared" si="76"/>
        <v>1010</v>
      </c>
      <c r="EJ29" s="39" t="str">
        <f t="shared" si="77"/>
        <v>0010</v>
      </c>
      <c r="EK29" s="39" t="str">
        <f t="shared" si="78"/>
        <v>1001</v>
      </c>
      <c r="EL29" s="39" t="str">
        <f t="shared" si="79"/>
        <v>1000</v>
      </c>
      <c r="EM29" s="39" t="str">
        <f t="shared" si="80"/>
        <v>1110</v>
      </c>
      <c r="EN29" s="39" t="str">
        <f t="shared" si="81"/>
        <v>0100</v>
      </c>
      <c r="EO29" s="39" t="str">
        <f t="shared" si="82"/>
        <v>0000</v>
      </c>
      <c r="EP29" s="88"/>
      <c r="EQ29" s="88"/>
      <c r="ER29" s="88"/>
      <c r="ES29" s="88"/>
      <c r="ET29" s="88"/>
      <c r="EU29" s="88"/>
      <c r="EV29" s="88"/>
      <c r="EW29" s="88"/>
      <c r="EX29" s="38" t="str">
        <f t="shared" si="13"/>
        <v>0000101000101001</v>
      </c>
      <c r="EY29" s="38" t="str">
        <f t="shared" si="14"/>
        <v>1000111001000000</v>
      </c>
      <c r="EZ29" s="88"/>
      <c r="FA29" s="88"/>
      <c r="FB29" s="39" t="str">
        <f>H29</f>
        <v>00001010001010011000111001000000</v>
      </c>
      <c r="FC29" s="38" t="str">
        <f t="shared" si="124"/>
        <v>00001010</v>
      </c>
      <c r="FD29" s="38" t="str">
        <f t="shared" si="83"/>
        <v>00101001</v>
      </c>
      <c r="FE29" s="38" t="str">
        <f t="shared" si="84"/>
        <v>10001110</v>
      </c>
      <c r="FF29" s="38" t="str">
        <f t="shared" si="85"/>
        <v>01000000</v>
      </c>
      <c r="FG29" s="88"/>
      <c r="FH29" s="88"/>
      <c r="FI29" s="88"/>
      <c r="FJ29" s="88"/>
      <c r="FK29" s="39" t="str">
        <f t="shared" si="86"/>
        <v>0000</v>
      </c>
      <c r="FL29" s="39" t="str">
        <f t="shared" si="87"/>
        <v>1010</v>
      </c>
      <c r="FM29" s="39" t="str">
        <f t="shared" si="88"/>
        <v>0010</v>
      </c>
      <c r="FN29" s="39" t="str">
        <f t="shared" si="89"/>
        <v>1001</v>
      </c>
      <c r="FO29" s="39" t="str">
        <f t="shared" si="90"/>
        <v>1000</v>
      </c>
      <c r="FP29" s="39" t="str">
        <f t="shared" si="91"/>
        <v>1110</v>
      </c>
      <c r="FQ29" s="39" t="str">
        <f t="shared" si="92"/>
        <v>0100</v>
      </c>
      <c r="FR29" s="39" t="str">
        <f t="shared" si="93"/>
        <v>0000</v>
      </c>
      <c r="FS29" s="88"/>
      <c r="FT29" s="88"/>
      <c r="FU29" s="88"/>
      <c r="FV29" s="88"/>
      <c r="FW29" s="88"/>
      <c r="FX29" s="88"/>
      <c r="FY29" s="88"/>
      <c r="FZ29" s="88"/>
      <c r="GA29" s="38" t="str">
        <f t="shared" si="16"/>
        <v>0000101000101001</v>
      </c>
      <c r="GB29" s="38" t="str">
        <f t="shared" si="17"/>
        <v>1000111001000000</v>
      </c>
      <c r="GC29" s="88"/>
      <c r="GD29" s="88"/>
      <c r="GE29" s="39" t="str">
        <f>BR29</f>
        <v>00000010001000010000001001000000</v>
      </c>
      <c r="GF29" s="38" t="str">
        <f t="shared" si="126"/>
        <v>00000010</v>
      </c>
      <c r="GG29" s="38" t="str">
        <f t="shared" si="94"/>
        <v>00100001</v>
      </c>
      <c r="GH29" s="38" t="str">
        <f t="shared" si="95"/>
        <v>00000010</v>
      </c>
      <c r="GI29" s="38" t="str">
        <f t="shared" si="96"/>
        <v>01000000</v>
      </c>
      <c r="GJ29" s="88"/>
      <c r="GK29" s="88"/>
      <c r="GL29" s="88"/>
      <c r="GM29" s="88"/>
      <c r="GN29" s="39" t="str">
        <f t="shared" si="97"/>
        <v>0000</v>
      </c>
      <c r="GO29" s="39" t="str">
        <f t="shared" si="98"/>
        <v>1010</v>
      </c>
      <c r="GP29" s="39" t="str">
        <f t="shared" si="99"/>
        <v>0010</v>
      </c>
      <c r="GQ29" s="39" t="str">
        <f t="shared" si="100"/>
        <v>1001</v>
      </c>
      <c r="GR29" s="39" t="str">
        <f t="shared" si="101"/>
        <v>1000</v>
      </c>
      <c r="GS29" s="39" t="str">
        <f t="shared" si="102"/>
        <v>1110</v>
      </c>
      <c r="GT29" s="39" t="str">
        <f t="shared" si="103"/>
        <v>0100</v>
      </c>
      <c r="GU29" s="39" t="str">
        <f t="shared" si="104"/>
        <v>0000</v>
      </c>
      <c r="GV29" s="88"/>
      <c r="GW29" s="88"/>
      <c r="GX29" s="88"/>
      <c r="GY29" s="88"/>
      <c r="GZ29" s="88"/>
      <c r="HA29" s="88"/>
      <c r="HB29" s="88"/>
      <c r="HC29" s="88"/>
      <c r="HD29" s="38" t="str">
        <f t="shared" si="19"/>
        <v>0000001000100001</v>
      </c>
      <c r="HE29" s="38" t="str">
        <f t="shared" si="20"/>
        <v>0000001001000000</v>
      </c>
      <c r="HF29" s="88"/>
      <c r="HG29" s="88"/>
      <c r="HH29" s="39" t="str">
        <f>GE29</f>
        <v>00000010001000010000001001000000</v>
      </c>
      <c r="HI29" s="38" t="str">
        <f t="shared" si="128"/>
        <v>00000010</v>
      </c>
      <c r="HJ29" s="38" t="str">
        <f t="shared" si="105"/>
        <v>00100001</v>
      </c>
      <c r="HK29" s="38" t="str">
        <f t="shared" si="106"/>
        <v>00000010</v>
      </c>
      <c r="HL29" s="38" t="str">
        <f t="shared" si="107"/>
        <v>01000000</v>
      </c>
      <c r="HM29" s="88"/>
      <c r="HN29" s="88"/>
      <c r="HO29" s="88"/>
      <c r="HP29" s="88"/>
      <c r="HQ29" s="39" t="str">
        <f t="shared" si="108"/>
        <v>0000</v>
      </c>
      <c r="HR29" s="39" t="str">
        <f t="shared" si="109"/>
        <v>1010</v>
      </c>
      <c r="HS29" s="39" t="str">
        <f t="shared" si="110"/>
        <v>0010</v>
      </c>
      <c r="HT29" s="39" t="str">
        <f t="shared" si="111"/>
        <v>1001</v>
      </c>
      <c r="HU29" s="39" t="str">
        <f t="shared" si="112"/>
        <v>1000</v>
      </c>
      <c r="HV29" s="39" t="str">
        <f t="shared" si="113"/>
        <v>1110</v>
      </c>
      <c r="HW29" s="39" t="str">
        <f t="shared" si="114"/>
        <v>0100</v>
      </c>
      <c r="HX29" s="39" t="str">
        <f t="shared" si="115"/>
        <v>0000</v>
      </c>
      <c r="HY29" s="88"/>
      <c r="HZ29" s="88"/>
      <c r="IA29" s="88"/>
      <c r="IB29" s="88"/>
      <c r="IC29" s="88"/>
      <c r="ID29" s="88"/>
      <c r="IE29" s="88"/>
      <c r="IF29" s="88"/>
      <c r="IG29" s="38" t="str">
        <f t="shared" si="22"/>
        <v>0000001000100001</v>
      </c>
      <c r="IH29" s="38" t="str">
        <f t="shared" si="23"/>
        <v>0000001001000000</v>
      </c>
      <c r="II29" s="88"/>
      <c r="IJ29" s="88"/>
      <c r="IL29" s="38"/>
      <c r="IM29" s="38"/>
      <c r="IN29" s="38"/>
      <c r="IO29" s="38"/>
      <c r="IP29" s="37"/>
      <c r="IQ29" s="37"/>
      <c r="IR29" s="37"/>
      <c r="IS29" s="37"/>
      <c r="JB29" s="37"/>
      <c r="JC29" s="37"/>
      <c r="JD29" s="37"/>
      <c r="JE29" s="37"/>
      <c r="JF29" s="37"/>
      <c r="JG29" s="37"/>
      <c r="JH29" s="37"/>
      <c r="JI29" s="37"/>
      <c r="JJ29" s="38"/>
      <c r="JK29" s="38"/>
      <c r="JL29" s="37"/>
      <c r="JM29" s="37"/>
    </row>
    <row r="30" spans="1:273" s="35" customFormat="1" x14ac:dyDescent="0.35">
      <c r="A30" s="32"/>
      <c r="B30" s="33"/>
      <c r="C30" s="50" t="s">
        <v>0</v>
      </c>
      <c r="D30" s="50" t="s">
        <v>75</v>
      </c>
      <c r="E30" s="50">
        <v>86</v>
      </c>
      <c r="F30" s="50">
        <v>76</v>
      </c>
      <c r="G30" s="50" t="s">
        <v>90</v>
      </c>
      <c r="H30" s="50" t="str">
        <f t="shared" si="198"/>
        <v>11010011100001100111011000111011</v>
      </c>
      <c r="I30" s="50">
        <f t="shared" si="199"/>
        <v>18</v>
      </c>
      <c r="J30" s="50">
        <v>63</v>
      </c>
      <c r="K30" s="50" t="str">
        <f>HEX2BIN(J30,8)</f>
        <v>01100011</v>
      </c>
      <c r="L30" s="34" t="str">
        <f>CONCATENATE(MID(H30,30,3),MID(H30,17,5),MID(H30,6,3),MID(H30,25,5),MID(H30,14,3),MID(H30,1,5),MID(H30,22,3),MID(H30,9,5))</f>
        <v>01101110011001111101101011010000</v>
      </c>
      <c r="M30" s="34" t="str">
        <f t="shared" si="24"/>
        <v>01101110</v>
      </c>
      <c r="N30" s="34" t="str">
        <f t="shared" si="25"/>
        <v>01100111</v>
      </c>
      <c r="O30" s="34" t="str">
        <f t="shared" si="26"/>
        <v>11011010</v>
      </c>
      <c r="P30" s="34" t="str">
        <f t="shared" si="27"/>
        <v>11010000</v>
      </c>
      <c r="Q30" s="87">
        <f>BIN2DEC(M30)-BIN2DEC(M31)</f>
        <v>-121</v>
      </c>
      <c r="R30" s="87">
        <f>BIN2DEC(N30)-BIN2DEC(N31)</f>
        <v>-140</v>
      </c>
      <c r="S30" s="87">
        <f>BIN2DEC(O30)-BIN2DEC(O31)</f>
        <v>175</v>
      </c>
      <c r="T30" s="87">
        <f>BIN2DEC(P30)-BIN2DEC(P31)</f>
        <v>26</v>
      </c>
      <c r="U30" s="35" t="str">
        <f t="shared" si="28"/>
        <v>0110</v>
      </c>
      <c r="V30" s="35" t="str">
        <f t="shared" si="29"/>
        <v>1110</v>
      </c>
      <c r="W30" s="35" t="str">
        <f t="shared" si="30"/>
        <v>0110</v>
      </c>
      <c r="X30" s="35" t="str">
        <f t="shared" si="31"/>
        <v>0111</v>
      </c>
      <c r="Y30" s="35" t="str">
        <f t="shared" si="32"/>
        <v>1101</v>
      </c>
      <c r="Z30" s="35" t="str">
        <f t="shared" si="33"/>
        <v>1010</v>
      </c>
      <c r="AA30" s="35" t="str">
        <f t="shared" si="34"/>
        <v>1101</v>
      </c>
      <c r="AB30" s="35" t="str">
        <f t="shared" si="35"/>
        <v>0000</v>
      </c>
      <c r="AC30" s="87">
        <f t="shared" ref="AC30:AJ30" si="232">BIN2DEC(U30)-BIN2DEC(U31)</f>
        <v>-8</v>
      </c>
      <c r="AD30" s="87">
        <f t="shared" si="232"/>
        <v>7</v>
      </c>
      <c r="AE30" s="87">
        <f t="shared" si="232"/>
        <v>-9</v>
      </c>
      <c r="AF30" s="87">
        <f t="shared" si="232"/>
        <v>4</v>
      </c>
      <c r="AG30" s="87">
        <f t="shared" si="232"/>
        <v>11</v>
      </c>
      <c r="AH30" s="87">
        <f t="shared" si="232"/>
        <v>-1</v>
      </c>
      <c r="AI30" s="87">
        <f t="shared" si="232"/>
        <v>2</v>
      </c>
      <c r="AJ30" s="87">
        <f t="shared" si="232"/>
        <v>-6</v>
      </c>
      <c r="AK30" s="34" t="str">
        <f t="shared" si="1"/>
        <v>0110111001100111</v>
      </c>
      <c r="AL30" s="34" t="str">
        <f t="shared" si="2"/>
        <v>1101101011010000</v>
      </c>
      <c r="AM30" s="87">
        <f>MID(AK30,16,1)*POWER(2,0)+MID(AK30,15,1)*POWER(2,1)+MID(AK30,14,1)*POWER(2,2)+MID(AK30,13,1)*POWER(2,3)+MID(AK30,12,1)*POWER(2,4)+MID(AK30,11,1)*POWER(2,5)+MID(AK30,10,1)*POWER(2,6)+MID(AK30,9,1)*POWER(2,7)+MID(AK30,8,1)*POWER(2,8)+MID(AK30,7,1)*POWER(2,9)+MID(AK30,6,1)*POWER(2,10)+MID(AK30,5,1)*POWER(2,11)+MID(AK30,4,1)*POWER(2,12)+MID(AK30,3,1)*POWER(2,13)+MID(AK30,2,1)*POWER(2,14)+MID(AK30,1,1)*POWER(2,15)-(MID(AK31,16,1)*POWER(2,0)+MID(AK31,15,1)*POWER(2,1)+MID(AK31,14,1)*POWER(2,2)+MID(AK31,13,1)*POWER(2,3)+MID(AK31,12,1)*POWER(2,4)+MID(AK31,11,1)*POWER(2,5)+MID(AK31,10,1)*POWER(2,6)+MID(AK31,9,1)*POWER(2,7)+MID(AK31,8,1)*POWER(2,8)+MID(AK31,7,1)*POWER(2,9)+MID(AK31,6,1)*POWER(2,10)+MID(AK31,5,1)*POWER(2,11)+MID(AK31,4,1)*POWER(2,12)+MID(AK31,3,1)*POWER(2,13)+MID(AK31,2,1)*POWER(2,14)+MID(AK31,1,1)*POWER(2,15))</f>
        <v>-31116</v>
      </c>
      <c r="AN30" s="87">
        <f>MID(AL30,16,1)*POWER(2,0)+MID(AL30,15,1)*POWER(2,1)+MID(AL30,14,1)*POWER(2,2)+MID(AL30,13,1)*POWER(2,3)+MID(AL30,12,1)*POWER(2,4)+MID(AL30,11,1)*POWER(2,5)+MID(AL30,10,1)*POWER(2,6)+MID(AL30,9,1)*POWER(2,7)+MID(AL30,8,1)*POWER(2,8)+MID(AL30,7,1)*POWER(2,9)+MID(AL30,6,1)*POWER(2,10)+MID(AL30,5,1)*POWER(2,11)+MID(AL30,4,1)*POWER(2,12)+MID(AL30,3,1)*POWER(2,13)+MID(AL30,2,1)*POWER(2,14)+MID(AL30,1,1)*POWER(2,15)-(MID(AL31,16,1)*POWER(2,0)+MID(AL31,15,1)*POWER(2,1)+MID(AL31,14,1)*POWER(2,2)+MID(AL31,13,1)*POWER(2,3)+MID(AL31,12,1)*POWER(2,4)+MID(AL31,11,1)*POWER(2,5)+MID(AL31,10,1)*POWER(2,6)+MID(AL31,9,1)*POWER(2,7)+MID(AL31,8,1)*POWER(2,8)+MID(AL31,7,1)*POWER(2,9)+MID(AL31,6,1)*POWER(2,10)+MID(AL31,5,1)*POWER(2,11)+MID(AL31,4,1)*POWER(2,12)+MID(AL31,3,1)*POWER(2,13)+MID(AL31,2,1)*POWER(2,14)+MID(AL31,1,1)*POWER(2,15))</f>
        <v>44826</v>
      </c>
      <c r="AO30" s="33" t="str">
        <f>CONCATENATE(MID(L30,1,1)*MID(K30,1,1),MID(L30,2,1)*MID(K30,2,1),MID(L30,3,1)*MID(K30,3,1),MID(L30,4,1)*MID(K30,4,1),MID(L30,5,1)*MID(K30,5,1),MID(L30,6,1)*MID(K30,6,1),MID(L30,7,1)*MID(K30,7,1),MID(L30,8,1)*MID(K30,8,1),MID(L30,9,1)*MID(K30,1,1),MID(L30,10,1)*MID(K30,2,1),MID(L30,11,1)*MID(K30,3,1),MID(L30,12,1)*MID(K30,4,1),MID(L30,13,1)*MID(K30,5,1),MID(L30,14,1)*MID(K30,6,1),MID(L30,15,1)*MID(K30,7,1),MID(L30,16,1)*MID(K30,8,1),MID(L30,17,1)*MID(K30,1,1),MID(L30,18,1)*MID(K30,2,1),MID(L30,19,1)*MID(K30,3,1),MID(L30,20,1)*MID(K30,4,1),MID(L30,21,1)*MID(K30,5,1),MID(L30,22,1)*MID(K30,6,1),MID(L30,23,1)*MID(K30,7,1),MID(L30,24,1)*MID(K30,8,1),MID(L30,25,1)*MID(K30,1,1),MID(L30,26,1)*MID(K30,2,1),MID(L30,27,1)*MID(K30,3,1),MID(L30,28,1)*MID(K30,4,1),MID(L30,29,1)*MID(K30,5,1),MID(L30,30,1)*MID(K30,6,1),MID(L30,31,1)*MID(K30,7,1),MID(L30,32,1)*MID(K30,8,1))</f>
        <v>01100010011000110100001001000000</v>
      </c>
      <c r="AP30" s="34" t="str">
        <f t="shared" si="36"/>
        <v>01100010</v>
      </c>
      <c r="AQ30" s="34" t="str">
        <f t="shared" si="37"/>
        <v>01100011</v>
      </c>
      <c r="AR30" s="34" t="str">
        <f t="shared" si="38"/>
        <v>01000010</v>
      </c>
      <c r="AS30" s="34" t="str">
        <f t="shared" si="39"/>
        <v>01000000</v>
      </c>
      <c r="AT30" s="87">
        <f>BIN2DEC(AP30)-BIN2DEC(AP31)</f>
        <v>-133</v>
      </c>
      <c r="AU30" s="87">
        <f>BIN2DEC(AQ30)-BIN2DEC(AQ31)</f>
        <v>-144</v>
      </c>
      <c r="AV30" s="87">
        <f>BIN2DEC(AR30)-BIN2DEC(AR31)</f>
        <v>23</v>
      </c>
      <c r="AW30" s="87">
        <f>BIN2DEC(AS30)-BIN2DEC(AS31)</f>
        <v>-118</v>
      </c>
      <c r="AX30" s="35" t="str">
        <f t="shared" si="40"/>
        <v>0110</v>
      </c>
      <c r="AY30" s="35" t="str">
        <f t="shared" si="41"/>
        <v>1110</v>
      </c>
      <c r="AZ30" s="35" t="str">
        <f t="shared" si="42"/>
        <v>0110</v>
      </c>
      <c r="BA30" s="35" t="str">
        <f t="shared" si="43"/>
        <v>0111</v>
      </c>
      <c r="BB30" s="35" t="str">
        <f t="shared" si="44"/>
        <v>1101</v>
      </c>
      <c r="BC30" s="35" t="str">
        <f t="shared" si="45"/>
        <v>1010</v>
      </c>
      <c r="BD30" s="35" t="str">
        <f t="shared" si="46"/>
        <v>1101</v>
      </c>
      <c r="BE30" s="35" t="str">
        <f t="shared" si="47"/>
        <v>0000</v>
      </c>
      <c r="BF30" s="87">
        <f t="shared" ref="BF30:BM30" si="233">BIN2DEC(AX30)-BIN2DEC(AX31)</f>
        <v>-8</v>
      </c>
      <c r="BG30" s="87">
        <f t="shared" si="233"/>
        <v>7</v>
      </c>
      <c r="BH30" s="87">
        <f t="shared" si="233"/>
        <v>-9</v>
      </c>
      <c r="BI30" s="87">
        <f t="shared" si="233"/>
        <v>4</v>
      </c>
      <c r="BJ30" s="87">
        <f t="shared" si="233"/>
        <v>11</v>
      </c>
      <c r="BK30" s="87">
        <f t="shared" si="233"/>
        <v>-1</v>
      </c>
      <c r="BL30" s="87">
        <f t="shared" si="233"/>
        <v>2</v>
      </c>
      <c r="BM30" s="87">
        <f t="shared" si="233"/>
        <v>-6</v>
      </c>
      <c r="BN30" s="34" t="str">
        <f t="shared" si="4"/>
        <v>0110001001100011</v>
      </c>
      <c r="BO30" s="34" t="str">
        <f t="shared" si="5"/>
        <v>0100001001000000</v>
      </c>
      <c r="BP30" s="87">
        <f>MID(BN30,16,1)*POWER(2,0)+MID(BN30,15,1)*POWER(2,1)+MID(BN30,14,1)*POWER(2,2)+MID(BN30,13,1)*POWER(2,3)+MID(BN30,12,1)*POWER(2,4)+MID(BN30,11,1)*POWER(2,5)+MID(BN30,10,1)*POWER(2,6)+MID(BN30,9,1)*POWER(2,7)+MID(BN30,8,1)*POWER(2,8)+MID(BN30,7,1)*POWER(2,9)+MID(BN30,6,1)*POWER(2,10)+MID(BN30,5,1)*POWER(2,11)+MID(BN30,4,1)*POWER(2,12)+MID(BN30,3,1)*POWER(2,13)+MID(BN30,2,1)*POWER(2,14)+MID(BN30,1,1)*POWER(2,15)-(MID(BN31,16,1)*POWER(2,0)+MID(BN31,15,1)*POWER(2,1)+MID(BN31,14,1)*POWER(2,2)+MID(BN31,13,1)*POWER(2,3)+MID(BN31,12,1)*POWER(2,4)+MID(BN31,11,1)*POWER(2,5)+MID(BN31,10,1)*POWER(2,6)+MID(BN31,9,1)*POWER(2,7)+MID(BN31,8,1)*POWER(2,8)+MID(BN31,7,1)*POWER(2,9)+MID(BN31,6,1)*POWER(2,10)+MID(BN31,5,1)*POWER(2,11)+MID(BN31,4,1)*POWER(2,12)+MID(BN31,3,1)*POWER(2,13)+MID(BN31,2,1)*POWER(2,14)+MID(BN31,1,1)*POWER(2,15))</f>
        <v>-34192</v>
      </c>
      <c r="BQ30" s="87">
        <f>MID(BO30,16,1)*POWER(2,0)+MID(BO30,15,1)*POWER(2,1)+MID(BO30,14,1)*POWER(2,2)+MID(BO30,13,1)*POWER(2,3)+MID(BO30,12,1)*POWER(2,4)+MID(BO30,11,1)*POWER(2,5)+MID(BO30,10,1)*POWER(2,6)+MID(BO30,9,1)*POWER(2,7)+MID(BO30,8,1)*POWER(2,8)+MID(BO30,7,1)*POWER(2,9)+MID(BO30,6,1)*POWER(2,10)+MID(BO30,5,1)*POWER(2,11)+MID(BO30,4,1)*POWER(2,12)+MID(BO30,3,1)*POWER(2,13)+MID(BO30,2,1)*POWER(2,14)+MID(BO30,1,1)*POWER(2,15)-(MID(BO31,16,1)*POWER(2,0)+MID(BO31,15,1)*POWER(2,1)+MID(BO31,14,1)*POWER(2,2)+MID(BO31,13,1)*POWER(2,3)+MID(BO31,12,1)*POWER(2,4)+MID(BO31,11,1)*POWER(2,5)+MID(BO31,10,1)*POWER(2,6)+MID(BO31,9,1)*POWER(2,7)+MID(BO31,8,1)*POWER(2,8)+MID(BO31,7,1)*POWER(2,9)+MID(BO31,6,1)*POWER(2,10)+MID(BO31,5,1)*POWER(2,11)+MID(BO31,4,1)*POWER(2,12)+MID(BO31,3,1)*POWER(2,13)+MID(BO31,2,1)*POWER(2,14)+MID(BO31,1,1)*POWER(2,15))</f>
        <v>5770</v>
      </c>
      <c r="BR30" s="35" t="str">
        <f>L30</f>
        <v>01101110011001111101101011010000</v>
      </c>
      <c r="BS30" s="34" t="str">
        <f t="shared" si="48"/>
        <v>01101110</v>
      </c>
      <c r="BT30" s="34" t="str">
        <f t="shared" si="49"/>
        <v>01100111</v>
      </c>
      <c r="BU30" s="34" t="str">
        <f t="shared" si="50"/>
        <v>11011010</v>
      </c>
      <c r="BV30" s="34" t="str">
        <f t="shared" si="51"/>
        <v>11010000</v>
      </c>
      <c r="BW30" s="87">
        <f>BIN2DEC(BS30)-BIN2DEC(BS31)</f>
        <v>11</v>
      </c>
      <c r="BX30" s="87">
        <f>BIN2DEC(BT30)-BIN2DEC(BT31)</f>
        <v>4</v>
      </c>
      <c r="BY30" s="87">
        <f>BIN2DEC(BU30)-BIN2DEC(BU31)</f>
        <v>183</v>
      </c>
      <c r="BZ30" s="87">
        <f>BIN2DEC(BV30)-BIN2DEC(BV31)</f>
        <v>174</v>
      </c>
      <c r="CA30" s="35" t="str">
        <f t="shared" si="52"/>
        <v>0110</v>
      </c>
      <c r="CB30" s="35" t="str">
        <f t="shared" si="53"/>
        <v>1110</v>
      </c>
      <c r="CC30" s="35" t="str">
        <f t="shared" si="54"/>
        <v>0110</v>
      </c>
      <c r="CD30" s="35" t="str">
        <f t="shared" si="55"/>
        <v>0111</v>
      </c>
      <c r="CE30" s="35" t="str">
        <f t="shared" si="56"/>
        <v>1101</v>
      </c>
      <c r="CF30" s="35" t="str">
        <f t="shared" si="57"/>
        <v>1010</v>
      </c>
      <c r="CG30" s="35" t="str">
        <f t="shared" si="58"/>
        <v>1101</v>
      </c>
      <c r="CH30" s="35" t="str">
        <f t="shared" si="59"/>
        <v>0000</v>
      </c>
      <c r="CI30" s="87">
        <f t="shared" ref="CI30:CP30" si="234">BIN2DEC(CA30)-BIN2DEC(CA31)</f>
        <v>-8</v>
      </c>
      <c r="CJ30" s="87">
        <f t="shared" si="234"/>
        <v>7</v>
      </c>
      <c r="CK30" s="87">
        <f t="shared" si="234"/>
        <v>-9</v>
      </c>
      <c r="CL30" s="87">
        <f t="shared" si="234"/>
        <v>4</v>
      </c>
      <c r="CM30" s="87">
        <f t="shared" si="234"/>
        <v>11</v>
      </c>
      <c r="CN30" s="87">
        <f t="shared" si="234"/>
        <v>-1</v>
      </c>
      <c r="CO30" s="87">
        <f t="shared" si="234"/>
        <v>2</v>
      </c>
      <c r="CP30" s="87">
        <f t="shared" si="234"/>
        <v>-6</v>
      </c>
      <c r="CQ30" s="34" t="str">
        <f t="shared" si="7"/>
        <v>0110111001100111</v>
      </c>
      <c r="CR30" s="34" t="str">
        <f t="shared" si="8"/>
        <v>1101101011010000</v>
      </c>
      <c r="CS30" s="87">
        <f>MID(CQ30,16,1)*POWER(2,0)+MID(CQ30,15,1)*POWER(2,1)+MID(CQ30,14,1)*POWER(2,2)+MID(CQ30,13,1)*POWER(2,3)+MID(CQ30,12,1)*POWER(2,4)+MID(CQ30,11,1)*POWER(2,5)+MID(CQ30,10,1)*POWER(2,6)+MID(CQ30,9,1)*POWER(2,7)+MID(CQ30,8,1)*POWER(2,8)+MID(CQ30,7,1)*POWER(2,9)+MID(CQ30,6,1)*POWER(2,10)+MID(CQ30,5,1)*POWER(2,11)+MID(CQ30,4,1)*POWER(2,12)+MID(CQ30,3,1)*POWER(2,13)+MID(CQ30,2,1)*POWER(2,14)+MID(CQ30,1,1)*POWER(2,15)-(MID(CQ31,16,1)*POWER(2,0)+MID(CQ31,15,1)*POWER(2,1)+MID(CQ31,14,1)*POWER(2,2)+MID(CQ31,13,1)*POWER(2,3)+MID(CQ31,12,1)*POWER(2,4)+MID(CQ31,11,1)*POWER(2,5)+MID(CQ31,10,1)*POWER(2,6)+MID(CQ31,9,1)*POWER(2,7)+MID(CQ31,8,1)*POWER(2,8)+MID(CQ31,7,1)*POWER(2,9)+MID(CQ31,6,1)*POWER(2,10)+MID(CQ31,5,1)*POWER(2,11)+MID(CQ31,4,1)*POWER(2,12)+MID(CQ31,3,1)*POWER(2,13)+MID(CQ31,2,1)*POWER(2,14)+MID(CQ31,1,1)*POWER(2,15))</f>
        <v>2820</v>
      </c>
      <c r="CT30" s="87">
        <f>MID(CR30,16,1)*POWER(2,0)+MID(CR30,15,1)*POWER(2,1)+MID(CR30,14,1)*POWER(2,2)+MID(CR30,13,1)*POWER(2,3)+MID(CR30,12,1)*POWER(2,4)+MID(CR30,11,1)*POWER(2,5)+MID(CR30,10,1)*POWER(2,6)+MID(CR30,9,1)*POWER(2,7)+MID(CR30,8,1)*POWER(2,8)+MID(CR30,7,1)*POWER(2,9)+MID(CR30,6,1)*POWER(2,10)+MID(CR30,5,1)*POWER(2,11)+MID(CR30,4,1)*POWER(2,12)+MID(CR30,3,1)*POWER(2,13)+MID(CR30,2,1)*POWER(2,14)+MID(CR30,1,1)*POWER(2,15)-(MID(CR31,16,1)*POWER(2,0)+MID(CR31,15,1)*POWER(2,1)+MID(CR31,14,1)*POWER(2,2)+MID(CR31,13,1)*POWER(2,3)+MID(CR31,12,1)*POWER(2,4)+MID(CR31,11,1)*POWER(2,5)+MID(CR31,10,1)*POWER(2,6)+MID(CR31,9,1)*POWER(2,7)+MID(CR31,8,1)*POWER(2,8)+MID(CR31,7,1)*POWER(2,9)+MID(CR31,6,1)*POWER(2,10)+MID(CR31,5,1)*POWER(2,11)+MID(CR31,4,1)*POWER(2,12)+MID(CR31,3,1)*POWER(2,13)+MID(CR31,2,1)*POWER(2,14)+MID(CR31,1,1)*POWER(2,15))</f>
        <v>47022</v>
      </c>
      <c r="CU30" s="33" t="str">
        <f>CONCATENATE(MID($L30,1,1)*MID($K30,1,1),MID($L30,2,1)*MID($K30,2,1),MID($L30,3,1)*MID($K30,3,1),MID($L30,4,1)*MID($K30,4,1),MID($L30,5,1)*MID($K30,5,1),MID($L30,6,1)*MID($K30,6,1),MID($L30,7,1)*MID($K30,7,1),MID($L30,8,1)*MID($K30,8,1),MID($L30,9,1)*MID($K30,1,1),MID($L30,10,1)*MID($K30,2,1),MID($L30,11,1)*MID($K30,3,1),MID($L30,12,1)*MID($K30,4,1),MID($L30,13,1)*MID($K30,5,1),MID($L30,14,1)*MID($K30,6,1),MID($L30,15,1)*MID($K30,7,1),MID($L30,16,1)*MID($K30,8,1),MID($L30,17,1)*MID($K30,1,1),MID($L30,18,1)*MID($K30,2,1),MID($L30,19,1)*MID($K30,3,1),MID($L30,20,1)*MID($K30,4,1),MID($L30,21,1)*MID($K30,5,1),MID($L30,22,1)*MID($K30,6,1),MID($L30,23,1)*MID($K30,7,1),MID($L30,24,1)*MID($K30,8,1),MID($L30,25,1)*MID($K30,1,1),MID($L30,26,1)*MID($K30,2,1),MID($L30,27,1)*MID($K30,3,1),MID($L30,28,1)*MID($K30,4,1),MID($L30,29,1)*MID($K30,5,1),MID($L30,30,1)*MID($K30,6,1),MID($L30,31,1)*MID($K30,7,1),MID($L30,32,1)*MID($K30,8,1))</f>
        <v>01100010011000110100001001000000</v>
      </c>
      <c r="CV30" s="34" t="str">
        <f t="shared" si="60"/>
        <v>01100010</v>
      </c>
      <c r="CW30" s="34" t="str">
        <f t="shared" si="61"/>
        <v>01100011</v>
      </c>
      <c r="CX30" s="34" t="str">
        <f t="shared" si="62"/>
        <v>01000010</v>
      </c>
      <c r="CY30" s="34" t="str">
        <f t="shared" si="63"/>
        <v>01000000</v>
      </c>
      <c r="CZ30" s="87">
        <f>BIN2DEC(CV30)-BIN2DEC(CV31)</f>
        <v>-1</v>
      </c>
      <c r="DA30" s="87">
        <f>BIN2DEC(CW30)-BIN2DEC(CW31)</f>
        <v>0</v>
      </c>
      <c r="DB30" s="87">
        <f>BIN2DEC(CX30)-BIN2DEC(CX31)</f>
        <v>31</v>
      </c>
      <c r="DC30" s="87">
        <f>BIN2DEC(CY30)-BIN2DEC(CY31)</f>
        <v>30</v>
      </c>
      <c r="DD30" s="35" t="str">
        <f t="shared" si="64"/>
        <v>0110</v>
      </c>
      <c r="DE30" s="35" t="str">
        <f t="shared" si="65"/>
        <v>1110</v>
      </c>
      <c r="DF30" s="35" t="str">
        <f t="shared" si="66"/>
        <v>0110</v>
      </c>
      <c r="DG30" s="35" t="str">
        <f t="shared" si="67"/>
        <v>0111</v>
      </c>
      <c r="DH30" s="35" t="str">
        <f t="shared" si="68"/>
        <v>1101</v>
      </c>
      <c r="DI30" s="35" t="str">
        <f t="shared" si="69"/>
        <v>1010</v>
      </c>
      <c r="DJ30" s="35" t="str">
        <f t="shared" si="70"/>
        <v>1101</v>
      </c>
      <c r="DK30" s="35" t="str">
        <f t="shared" si="71"/>
        <v>0000</v>
      </c>
      <c r="DL30" s="87">
        <f t="shared" ref="DL30:DS30" si="235">BIN2DEC(DD30)-BIN2DEC(DD31)</f>
        <v>-8</v>
      </c>
      <c r="DM30" s="87">
        <f t="shared" si="235"/>
        <v>7</v>
      </c>
      <c r="DN30" s="87">
        <f t="shared" si="235"/>
        <v>-9</v>
      </c>
      <c r="DO30" s="87">
        <f t="shared" si="235"/>
        <v>4</v>
      </c>
      <c r="DP30" s="87">
        <f t="shared" si="235"/>
        <v>11</v>
      </c>
      <c r="DQ30" s="87">
        <f t="shared" si="235"/>
        <v>-1</v>
      </c>
      <c r="DR30" s="87">
        <f t="shared" si="235"/>
        <v>2</v>
      </c>
      <c r="DS30" s="87">
        <f t="shared" si="235"/>
        <v>-6</v>
      </c>
      <c r="DT30" s="34" t="str">
        <f t="shared" si="10"/>
        <v>0110001001100011</v>
      </c>
      <c r="DU30" s="34" t="str">
        <f t="shared" si="11"/>
        <v>0100001001000000</v>
      </c>
      <c r="DV30" s="87">
        <f>MID(DT30,16,1)*POWER(2,0)+MID(DT30,15,1)*POWER(2,1)+MID(DT30,14,1)*POWER(2,2)+MID(DT30,13,1)*POWER(2,3)+MID(DT30,12,1)*POWER(2,4)+MID(DT30,11,1)*POWER(2,5)+MID(DT30,10,1)*POWER(2,6)+MID(DT30,9,1)*POWER(2,7)+MID(DT30,8,1)*POWER(2,8)+MID(DT30,7,1)*POWER(2,9)+MID(DT30,6,1)*POWER(2,10)+MID(DT30,5,1)*POWER(2,11)+MID(DT30,4,1)*POWER(2,12)+MID(DT30,3,1)*POWER(2,13)+MID(DT30,2,1)*POWER(2,14)+MID(DT30,1,1)*POWER(2,15)-(MID(DT31,16,1)*POWER(2,0)+MID(DT31,15,1)*POWER(2,1)+MID(DT31,14,1)*POWER(2,2)+MID(DT31,13,1)*POWER(2,3)+MID(DT31,12,1)*POWER(2,4)+MID(DT31,11,1)*POWER(2,5)+MID(DT31,10,1)*POWER(2,6)+MID(DT31,9,1)*POWER(2,7)+MID(DT31,8,1)*POWER(2,8)+MID(DT31,7,1)*POWER(2,9)+MID(DT31,6,1)*POWER(2,10)+MID(DT31,5,1)*POWER(2,11)+MID(DT31,4,1)*POWER(2,12)+MID(DT31,3,1)*POWER(2,13)+MID(DT31,2,1)*POWER(2,14)+MID(DT31,1,1)*POWER(2,15))</f>
        <v>-256</v>
      </c>
      <c r="DW30" s="87">
        <f>MID(DU30,16,1)*POWER(2,0)+MID(DU30,15,1)*POWER(2,1)+MID(DU30,14,1)*POWER(2,2)+MID(DU30,13,1)*POWER(2,3)+MID(DU30,12,1)*POWER(2,4)+MID(DU30,11,1)*POWER(2,5)+MID(DU30,10,1)*POWER(2,6)+MID(DU30,9,1)*POWER(2,7)+MID(DU30,8,1)*POWER(2,8)+MID(DU30,7,1)*POWER(2,9)+MID(DU30,6,1)*POWER(2,10)+MID(DU30,5,1)*POWER(2,11)+MID(DU30,4,1)*POWER(2,12)+MID(DU30,3,1)*POWER(2,13)+MID(DU30,2,1)*POWER(2,14)+MID(DU30,1,1)*POWER(2,15)-(MID(DU31,16,1)*POWER(2,0)+MID(DU31,15,1)*POWER(2,1)+MID(DU31,14,1)*POWER(2,2)+MID(DU31,13,1)*POWER(2,3)+MID(DU31,12,1)*POWER(2,4)+MID(DU31,11,1)*POWER(2,5)+MID(DU31,10,1)*POWER(2,6)+MID(DU31,9,1)*POWER(2,7)+MID(DU31,8,1)*POWER(2,8)+MID(DU31,7,1)*POWER(2,9)+MID(DU31,6,1)*POWER(2,10)+MID(DU31,5,1)*POWER(2,11)+MID(DU31,4,1)*POWER(2,12)+MID(DU31,3,1)*POWER(2,13)+MID(DU31,2,1)*POWER(2,14)+MID(DU31,1,1)*POWER(2,15))</f>
        <v>7966</v>
      </c>
      <c r="DX30" s="33" t="str">
        <f>CONCATENATE(MID($H30,1,1)*MID($K30,1,1),MID($H30,2,1)*MID($K30,2,1),MID($H30,3,1)*MID($K30,3,1),MID($H30,4,1)*MID($K30,4,1),MID($H30,5,1)*MID($K30,5,1),MID($H30,6,1)*MID($K30,6,1),MID($H30,7,1)*MID($K30,7,1),MID($H30,8,1)*MID($K30,8,1),MID($H30,9,1)*MID($K30,1,1),MID($H30,10,1)*MID($K30,2,1),MID($H30,11,1)*MID($K30,3,1),MID($H30,12,1)*MID($K30,4,1),MID($H30,13,1)*MID($K30,5,1),MID($H30,14,1)*MID($K30,6,1),MID($H30,15,1)*MID($K30,7,1),MID($H30,16,1)*MID($K30,8,1),MID($H30,17,1)*MID($K30,1,1),MID($H30,18,1)*MID($K30,2,1),MID($H30,19,1)*MID($K30,3,1),MID($H30,20,1)*MID($K30,4,1),MID($H30,21,1)*MID($K30,5,1),MID($H30,22,1)*MID($K30,6,1),MID($H30,23,1)*MID($K30,7,1),MID($H30,24,1)*MID($K30,8,1),MID($H30,25,1)*MID($K30,1,1),MID($H30,26,1)*MID($K30,2,1),MID($H30,27,1)*MID($K30,3,1),MID($H30,28,1)*MID($K30,4,1),MID($H30,29,1)*MID($K30,5,1),MID($H30,30,1)*MID($K30,6,1),MID($H30,31,1)*MID($K30,7,1),MID($H30,32,1)*MID($K30,8,1))</f>
        <v>01000011000000100110001000100011</v>
      </c>
      <c r="DY30" s="34" t="str">
        <f>CONCATENATE(MID(DX30,30,3),MID(DX30,17,5),MID(DX30,6,3),MID(DX30,25,5),MID(DX30,14,3),MID(DX30,1,5),MID(DX30,22,3),MID(DX30,9,5))</f>
        <v>01101100011001000100100001000000</v>
      </c>
      <c r="DZ30" s="34" t="str">
        <f t="shared" si="122"/>
        <v>01101100</v>
      </c>
      <c r="EA30" s="34" t="str">
        <f t="shared" si="72"/>
        <v>01100100</v>
      </c>
      <c r="EB30" s="34" t="str">
        <f t="shared" si="73"/>
        <v>01001000</v>
      </c>
      <c r="EC30" s="34" t="str">
        <f t="shared" si="74"/>
        <v>01000000</v>
      </c>
      <c r="ED30" s="87">
        <f>BIN2DEC(DZ30)-BIN2DEC(DZ31)</f>
        <v>-123</v>
      </c>
      <c r="EE30" s="87">
        <f>BIN2DEC(EA30)-BIN2DEC(EA31)</f>
        <v>-143</v>
      </c>
      <c r="EF30" s="87">
        <f>BIN2DEC(EB30)-BIN2DEC(EB31)</f>
        <v>29</v>
      </c>
      <c r="EG30" s="87">
        <f>BIN2DEC(EC30)-BIN2DEC(EC31)</f>
        <v>-118</v>
      </c>
      <c r="EH30" s="35" t="str">
        <f t="shared" si="75"/>
        <v>0110</v>
      </c>
      <c r="EI30" s="35" t="str">
        <f t="shared" si="76"/>
        <v>1110</v>
      </c>
      <c r="EJ30" s="35" t="str">
        <f t="shared" si="77"/>
        <v>0110</v>
      </c>
      <c r="EK30" s="35" t="str">
        <f t="shared" si="78"/>
        <v>0111</v>
      </c>
      <c r="EL30" s="35" t="str">
        <f t="shared" si="79"/>
        <v>1101</v>
      </c>
      <c r="EM30" s="35" t="str">
        <f t="shared" si="80"/>
        <v>1010</v>
      </c>
      <c r="EN30" s="35" t="str">
        <f t="shared" si="81"/>
        <v>1101</v>
      </c>
      <c r="EO30" s="35" t="str">
        <f t="shared" si="82"/>
        <v>0000</v>
      </c>
      <c r="EP30" s="87">
        <f t="shared" ref="EP30:EW30" si="236">BIN2DEC(EH30)-BIN2DEC(EH31)</f>
        <v>-8</v>
      </c>
      <c r="EQ30" s="87">
        <f t="shared" si="236"/>
        <v>7</v>
      </c>
      <c r="ER30" s="87">
        <f t="shared" si="236"/>
        <v>-9</v>
      </c>
      <c r="ES30" s="87">
        <f t="shared" si="236"/>
        <v>4</v>
      </c>
      <c r="ET30" s="87">
        <f t="shared" si="236"/>
        <v>11</v>
      </c>
      <c r="EU30" s="87">
        <f t="shared" si="236"/>
        <v>-1</v>
      </c>
      <c r="EV30" s="87">
        <f t="shared" si="236"/>
        <v>2</v>
      </c>
      <c r="EW30" s="87">
        <f t="shared" si="236"/>
        <v>-6</v>
      </c>
      <c r="EX30" s="34" t="str">
        <f t="shared" si="13"/>
        <v>0110110001100100</v>
      </c>
      <c r="EY30" s="34" t="str">
        <f t="shared" si="14"/>
        <v>0100100001000000</v>
      </c>
      <c r="EZ30" s="87">
        <f>MID(EX30,16,1)*POWER(2,0)+MID(EX30,15,1)*POWER(2,1)+MID(EX30,14,1)*POWER(2,2)+MID(EX30,13,1)*POWER(2,3)+MID(EX30,12,1)*POWER(2,4)+MID(EX30,11,1)*POWER(2,5)+MID(EX30,10,1)*POWER(2,6)+MID(EX30,9,1)*POWER(2,7)+MID(EX30,8,1)*POWER(2,8)+MID(EX30,7,1)*POWER(2,9)+MID(EX30,6,1)*POWER(2,10)+MID(EX30,5,1)*POWER(2,11)+MID(EX30,4,1)*POWER(2,12)+MID(EX30,3,1)*POWER(2,13)+MID(EX30,2,1)*POWER(2,14)+MID(EX30,1,1)*POWER(2,15)-(MID(EX31,16,1)*POWER(2,0)+MID(EX31,15,1)*POWER(2,1)+MID(EX31,14,1)*POWER(2,2)+MID(EX31,13,1)*POWER(2,3)+MID(EX31,12,1)*POWER(2,4)+MID(EX31,11,1)*POWER(2,5)+MID(EX31,10,1)*POWER(2,6)+MID(EX31,9,1)*POWER(2,7)+MID(EX31,8,1)*POWER(2,8)+MID(EX31,7,1)*POWER(2,9)+MID(EX31,6,1)*POWER(2,10)+MID(EX31,5,1)*POWER(2,11)+MID(EX31,4,1)*POWER(2,12)+MID(EX31,3,1)*POWER(2,13)+MID(EX31,2,1)*POWER(2,14)+MID(EX31,1,1)*POWER(2,15))</f>
        <v>-31631</v>
      </c>
      <c r="FA30" s="87">
        <f>MID(EY30,16,1)*POWER(2,0)+MID(EY30,15,1)*POWER(2,1)+MID(EY30,14,1)*POWER(2,2)+MID(EY30,13,1)*POWER(2,3)+MID(EY30,12,1)*POWER(2,4)+MID(EY30,11,1)*POWER(2,5)+MID(EY30,10,1)*POWER(2,6)+MID(EY30,9,1)*POWER(2,7)+MID(EY30,8,1)*POWER(2,8)+MID(EY30,7,1)*POWER(2,9)+MID(EY30,6,1)*POWER(2,10)+MID(EY30,5,1)*POWER(2,11)+MID(EY30,4,1)*POWER(2,12)+MID(EY30,3,1)*POWER(2,13)+MID(EY30,2,1)*POWER(2,14)+MID(EY30,1,1)*POWER(2,15)-(MID(EY31,16,1)*POWER(2,0)+MID(EY31,15,1)*POWER(2,1)+MID(EY31,14,1)*POWER(2,2)+MID(EY31,13,1)*POWER(2,3)+MID(EY31,12,1)*POWER(2,4)+MID(EY31,11,1)*POWER(2,5)+MID(EY31,10,1)*POWER(2,6)+MID(EY31,9,1)*POWER(2,7)+MID(EY31,8,1)*POWER(2,8)+MID(EY31,7,1)*POWER(2,9)+MID(EY31,6,1)*POWER(2,10)+MID(EY31,5,1)*POWER(2,11)+MID(EY31,4,1)*POWER(2,12)+MID(EY31,3,1)*POWER(2,13)+MID(EY31,2,1)*POWER(2,14)+MID(EY31,1,1)*POWER(2,15))</f>
        <v>7306</v>
      </c>
      <c r="FB30" s="33" t="str">
        <f>CONCATENATE(MID(DY30,1,1)*MID($K30,1,1),MID(DY30,2,1)*MID($K30,2,1),MID(DY30,3,1)*MID($K30,3,1),MID(DY30,4,1)*MID($K30,4,1),MID(DY30,5,1)*MID($K30,5,1),MID(DY30,6,1)*MID($K30,6,1),MID(DY30,7,1)*MID($K30,7,1),MID(DY30,8,1)*MID($K30,8,1),MID(DY30,9,1)*MID($K30,1,1),MID(DY30,10,1)*MID($K30,2,1),MID(DY30,11,1)*MID($K30,3,1),MID(DY30,12,1)*MID($K30,4,1),MID(DY30,13,1)*MID($K30,5,1),MID(DY30,14,1)*MID($K30,6,1),MID(DY30,15,1)*MID($K30,7,1),MID(DY30,16,1)*MID($K30,8,1),MID(DY30,17,1)*MID($K30,1,1),MID(DY30,18,1)*MID($K30,2,1),MID(DY30,19,1)*MID($K30,3,1),MID(DY30,20,1)*MID($K30,4,1),MID(DY30,21,1)*MID($K30,5,1),MID(DY30,22,1)*MID($K30,6,1),MID(DY30,23,1)*MID($K30,7,1),MID(DY30,24,1)*MID($K30,8,1),MID(DY30,25,1)*MID($K30,1,1),MID(DY30,26,1)*MID($K30,2,1),MID(DY30,27,1)*MID($K30,3,1),MID(DY30,28,1)*MID($K30,4,1),MID(DY30,29,1)*MID($K30,5,1),MID(DY30,30,1)*MID($K30,6,1),MID(DY30,31,1)*MID($K30,7,1),MID(DY30,32,1)*MID($K30,8,1))</f>
        <v>01100000011000000100000001000000</v>
      </c>
      <c r="FC30" s="34" t="str">
        <f t="shared" si="124"/>
        <v>01100000</v>
      </c>
      <c r="FD30" s="34" t="str">
        <f t="shared" si="83"/>
        <v>01100000</v>
      </c>
      <c r="FE30" s="34" t="str">
        <f t="shared" si="84"/>
        <v>01000000</v>
      </c>
      <c r="FF30" s="34" t="str">
        <f t="shared" si="85"/>
        <v>01000000</v>
      </c>
      <c r="FG30" s="87">
        <f>BIN2DEC(FC30)-BIN2DEC(FC31)</f>
        <v>-135</v>
      </c>
      <c r="FH30" s="87">
        <f>BIN2DEC(FD30)-BIN2DEC(FD31)</f>
        <v>-147</v>
      </c>
      <c r="FI30" s="87">
        <f>BIN2DEC(FE30)-BIN2DEC(FE31)</f>
        <v>21</v>
      </c>
      <c r="FJ30" s="87">
        <f>BIN2DEC(FF30)-BIN2DEC(FF31)</f>
        <v>-118</v>
      </c>
      <c r="FK30" s="35" t="str">
        <f t="shared" si="86"/>
        <v>0110</v>
      </c>
      <c r="FL30" s="35" t="str">
        <f t="shared" si="87"/>
        <v>1110</v>
      </c>
      <c r="FM30" s="35" t="str">
        <f t="shared" si="88"/>
        <v>0110</v>
      </c>
      <c r="FN30" s="35" t="str">
        <f t="shared" si="89"/>
        <v>0111</v>
      </c>
      <c r="FO30" s="35" t="str">
        <f t="shared" si="90"/>
        <v>1101</v>
      </c>
      <c r="FP30" s="35" t="str">
        <f t="shared" si="91"/>
        <v>1010</v>
      </c>
      <c r="FQ30" s="35" t="str">
        <f t="shared" si="92"/>
        <v>1101</v>
      </c>
      <c r="FR30" s="35" t="str">
        <f t="shared" si="93"/>
        <v>0000</v>
      </c>
      <c r="FS30" s="87">
        <f t="shared" ref="FS30:FZ30" si="237">BIN2DEC(FK30)-BIN2DEC(FK31)</f>
        <v>-8</v>
      </c>
      <c r="FT30" s="87">
        <f t="shared" si="237"/>
        <v>7</v>
      </c>
      <c r="FU30" s="87">
        <f t="shared" si="237"/>
        <v>-9</v>
      </c>
      <c r="FV30" s="87">
        <f t="shared" si="237"/>
        <v>4</v>
      </c>
      <c r="FW30" s="87">
        <f t="shared" si="237"/>
        <v>11</v>
      </c>
      <c r="FX30" s="87">
        <f t="shared" si="237"/>
        <v>-1</v>
      </c>
      <c r="FY30" s="87">
        <f t="shared" si="237"/>
        <v>2</v>
      </c>
      <c r="FZ30" s="87">
        <f t="shared" si="237"/>
        <v>-6</v>
      </c>
      <c r="GA30" s="34" t="str">
        <f t="shared" si="16"/>
        <v>0110000001100000</v>
      </c>
      <c r="GB30" s="34" t="str">
        <f t="shared" si="17"/>
        <v>0100000001000000</v>
      </c>
      <c r="GC30" s="87">
        <f>MID(GA30,16,1)*POWER(2,0)+MID(GA30,15,1)*POWER(2,1)+MID(GA30,14,1)*POWER(2,2)+MID(GA30,13,1)*POWER(2,3)+MID(GA30,12,1)*POWER(2,4)+MID(GA30,11,1)*POWER(2,5)+MID(GA30,10,1)*POWER(2,6)+MID(GA30,9,1)*POWER(2,7)+MID(GA30,8,1)*POWER(2,8)+MID(GA30,7,1)*POWER(2,9)+MID(GA30,6,1)*POWER(2,10)+MID(GA30,5,1)*POWER(2,11)+MID(GA30,4,1)*POWER(2,12)+MID(GA30,3,1)*POWER(2,13)+MID(GA30,2,1)*POWER(2,14)+MID(GA30,1,1)*POWER(2,15)-(MID(GA31,16,1)*POWER(2,0)+MID(GA31,15,1)*POWER(2,1)+MID(GA31,14,1)*POWER(2,2)+MID(GA31,13,1)*POWER(2,3)+MID(GA31,12,1)*POWER(2,4)+MID(GA31,11,1)*POWER(2,5)+MID(GA31,10,1)*POWER(2,6)+MID(GA31,9,1)*POWER(2,7)+MID(GA31,8,1)*POWER(2,8)+MID(GA31,7,1)*POWER(2,9)+MID(GA31,6,1)*POWER(2,10)+MID(GA31,5,1)*POWER(2,11)+MID(GA31,4,1)*POWER(2,12)+MID(GA31,3,1)*POWER(2,13)+MID(GA31,2,1)*POWER(2,14)+MID(GA31,1,1)*POWER(2,15))</f>
        <v>-34707</v>
      </c>
      <c r="GD30" s="87">
        <f>MID(GB30,16,1)*POWER(2,0)+MID(GB30,15,1)*POWER(2,1)+MID(GB30,14,1)*POWER(2,2)+MID(GB30,13,1)*POWER(2,3)+MID(GB30,12,1)*POWER(2,4)+MID(GB30,11,1)*POWER(2,5)+MID(GB30,10,1)*POWER(2,6)+MID(GB30,9,1)*POWER(2,7)+MID(GB30,8,1)*POWER(2,8)+MID(GB30,7,1)*POWER(2,9)+MID(GB30,6,1)*POWER(2,10)+MID(GB30,5,1)*POWER(2,11)+MID(GB30,4,1)*POWER(2,12)+MID(GB30,3,1)*POWER(2,13)+MID(GB30,2,1)*POWER(2,14)+MID(GB30,1,1)*POWER(2,15)-(MID(GB31,16,1)*POWER(2,0)+MID(GB31,15,1)*POWER(2,1)+MID(GB31,14,1)*POWER(2,2)+MID(GB31,13,1)*POWER(2,3)+MID(GB31,12,1)*POWER(2,4)+MID(GB31,11,1)*POWER(2,5)+MID(GB31,10,1)*POWER(2,6)+MID(GB31,9,1)*POWER(2,7)+MID(GB31,8,1)*POWER(2,8)+MID(GB31,7,1)*POWER(2,9)+MID(GB31,6,1)*POWER(2,10)+MID(GB31,5,1)*POWER(2,11)+MID(GB31,4,1)*POWER(2,12)+MID(GB31,3,1)*POWER(2,13)+MID(GB31,2,1)*POWER(2,14)+MID(GB31,1,1)*POWER(2,15))</f>
        <v>5258</v>
      </c>
      <c r="GE30" s="35" t="str">
        <f>DY30</f>
        <v>01101100011001000100100001000000</v>
      </c>
      <c r="GF30" s="34" t="str">
        <f t="shared" si="126"/>
        <v>01101100</v>
      </c>
      <c r="GG30" s="34" t="str">
        <f t="shared" si="94"/>
        <v>01100100</v>
      </c>
      <c r="GH30" s="34" t="str">
        <f t="shared" si="95"/>
        <v>01001000</v>
      </c>
      <c r="GI30" s="34" t="str">
        <f t="shared" si="96"/>
        <v>01000000</v>
      </c>
      <c r="GJ30" s="87">
        <f>BIN2DEC(GF30)-BIN2DEC(GF31)</f>
        <v>9</v>
      </c>
      <c r="GK30" s="87">
        <f>BIN2DEC(GG30)-BIN2DEC(GG31)</f>
        <v>1</v>
      </c>
      <c r="GL30" s="87">
        <f>BIN2DEC(GH30)-BIN2DEC(GH31)</f>
        <v>37</v>
      </c>
      <c r="GM30" s="87">
        <f>BIN2DEC(GI30)-BIN2DEC(GI31)</f>
        <v>30</v>
      </c>
      <c r="GN30" s="35" t="str">
        <f t="shared" si="97"/>
        <v>0110</v>
      </c>
      <c r="GO30" s="35" t="str">
        <f t="shared" si="98"/>
        <v>1110</v>
      </c>
      <c r="GP30" s="35" t="str">
        <f t="shared" si="99"/>
        <v>0110</v>
      </c>
      <c r="GQ30" s="35" t="str">
        <f t="shared" si="100"/>
        <v>0111</v>
      </c>
      <c r="GR30" s="35" t="str">
        <f t="shared" si="101"/>
        <v>1101</v>
      </c>
      <c r="GS30" s="35" t="str">
        <f t="shared" si="102"/>
        <v>1010</v>
      </c>
      <c r="GT30" s="35" t="str">
        <f t="shared" si="103"/>
        <v>1101</v>
      </c>
      <c r="GU30" s="35" t="str">
        <f t="shared" si="104"/>
        <v>0000</v>
      </c>
      <c r="GV30" s="87">
        <f t="shared" ref="GV30:HC30" si="238">BIN2DEC(GN30)-BIN2DEC(GN31)</f>
        <v>-8</v>
      </c>
      <c r="GW30" s="87">
        <f t="shared" si="238"/>
        <v>7</v>
      </c>
      <c r="GX30" s="87">
        <f t="shared" si="238"/>
        <v>-9</v>
      </c>
      <c r="GY30" s="87">
        <f t="shared" si="238"/>
        <v>4</v>
      </c>
      <c r="GZ30" s="87">
        <f t="shared" si="238"/>
        <v>11</v>
      </c>
      <c r="HA30" s="87">
        <f t="shared" si="238"/>
        <v>-1</v>
      </c>
      <c r="HB30" s="87">
        <f t="shared" si="238"/>
        <v>2</v>
      </c>
      <c r="HC30" s="87">
        <f t="shared" si="238"/>
        <v>-6</v>
      </c>
      <c r="HD30" s="34" t="str">
        <f t="shared" si="19"/>
        <v>0110110001100100</v>
      </c>
      <c r="HE30" s="34" t="str">
        <f t="shared" si="20"/>
        <v>0100100001000000</v>
      </c>
      <c r="HF30" s="87">
        <f>MID(HD30,16,1)*POWER(2,0)+MID(HD30,15,1)*POWER(2,1)+MID(HD30,14,1)*POWER(2,2)+MID(HD30,13,1)*POWER(2,3)+MID(HD30,12,1)*POWER(2,4)+MID(HD30,11,1)*POWER(2,5)+MID(HD30,10,1)*POWER(2,6)+MID(HD30,9,1)*POWER(2,7)+MID(HD30,8,1)*POWER(2,8)+MID(HD30,7,1)*POWER(2,9)+MID(HD30,6,1)*POWER(2,10)+MID(HD30,5,1)*POWER(2,11)+MID(HD30,4,1)*POWER(2,12)+MID(HD30,3,1)*POWER(2,13)+MID(HD30,2,1)*POWER(2,14)+MID(HD30,1,1)*POWER(2,15)-(MID(HD31,16,1)*POWER(2,0)+MID(HD31,15,1)*POWER(2,1)+MID(HD31,14,1)*POWER(2,2)+MID(HD31,13,1)*POWER(2,3)+MID(HD31,12,1)*POWER(2,4)+MID(HD31,11,1)*POWER(2,5)+MID(HD31,10,1)*POWER(2,6)+MID(HD31,9,1)*POWER(2,7)+MID(HD31,8,1)*POWER(2,8)+MID(HD31,7,1)*POWER(2,9)+MID(HD31,6,1)*POWER(2,10)+MID(HD31,5,1)*POWER(2,11)+MID(HD31,4,1)*POWER(2,12)+MID(HD31,3,1)*POWER(2,13)+MID(HD31,2,1)*POWER(2,14)+MID(HD31,1,1)*POWER(2,15))</f>
        <v>2305</v>
      </c>
      <c r="HG30" s="87">
        <f>MID(HE30,16,1)*POWER(2,0)+MID(HE30,15,1)*POWER(2,1)+MID(HE30,14,1)*POWER(2,2)+MID(HE30,13,1)*POWER(2,3)+MID(HE30,12,1)*POWER(2,4)+MID(HE30,11,1)*POWER(2,5)+MID(HE30,10,1)*POWER(2,6)+MID(HE30,9,1)*POWER(2,7)+MID(HE30,8,1)*POWER(2,8)+MID(HE30,7,1)*POWER(2,9)+MID(HE30,6,1)*POWER(2,10)+MID(HE30,5,1)*POWER(2,11)+MID(HE30,4,1)*POWER(2,12)+MID(HE30,3,1)*POWER(2,13)+MID(HE30,2,1)*POWER(2,14)+MID(HE30,1,1)*POWER(2,15)-(MID(HE31,16,1)*POWER(2,0)+MID(HE31,15,1)*POWER(2,1)+MID(HE31,14,1)*POWER(2,2)+MID(HE31,13,1)*POWER(2,3)+MID(HE31,12,1)*POWER(2,4)+MID(HE31,11,1)*POWER(2,5)+MID(HE31,10,1)*POWER(2,6)+MID(HE31,9,1)*POWER(2,7)+MID(HE31,8,1)*POWER(2,8)+MID(HE31,7,1)*POWER(2,9)+MID(HE31,6,1)*POWER(2,10)+MID(HE31,5,1)*POWER(2,11)+MID(HE31,4,1)*POWER(2,12)+MID(HE31,3,1)*POWER(2,13)+MID(HE31,2,1)*POWER(2,14)+MID(HE31,1,1)*POWER(2,15))</f>
        <v>9502</v>
      </c>
      <c r="HH30" s="33" t="str">
        <f>CONCATENATE(MID(GE30,1,1)*MID($K30,1,1),MID(GE30,2,1)*MID($K30,2,1),MID(GE30,3,1)*MID($K30,3,1),MID(GE30,4,1)*MID($K30,4,1),MID(GE30,5,1)*MID($K30,5,1),MID(GE30,6,1)*MID($K30,6,1),MID(GE30,7,1)*MID($K30,7,1),MID(GE30,8,1)*MID($K30,8,1),MID(GE30,9,1)*MID($K30,1,1),MID(GE30,10,1)*MID($K30,2,1),MID(GE30,11,1)*MID($K30,3,1),MID(GE30,12,1)*MID($K30,4,1),MID(GE30,13,1)*MID($K30,5,1),MID(GE30,14,1)*MID($K30,6,1),MID(GE30,15,1)*MID($K30,7,1),MID(GE30,16,1)*MID($K30,8,1),MID(GE30,17,1)*MID($K30,1,1),MID(GE30,18,1)*MID($K30,2,1),MID(GE30,19,1)*MID($K30,3,1),MID(GE30,20,1)*MID($K30,4,1),MID(GE30,21,1)*MID($K30,5,1),MID(GE30,22,1)*MID($K30,6,1),MID(GE30,23,1)*MID($K30,7,1),MID(GE30,24,1)*MID($K30,8,1),MID(GE30,25,1)*MID($K30,1,1),MID(GE30,26,1)*MID($K30,2,1),MID(GE30,27,1)*MID($K30,3,1),MID(GE30,28,1)*MID($K30,4,1),MID(GE30,29,1)*MID($K30,5,1),MID(GE30,30,1)*MID($K30,6,1),MID(GE30,31,1)*MID($K30,7,1),MID(GE30,32,1)*MID($K30,8,1))</f>
        <v>01100000011000000100000001000000</v>
      </c>
      <c r="HI30" s="34" t="str">
        <f t="shared" si="128"/>
        <v>01100000</v>
      </c>
      <c r="HJ30" s="34" t="str">
        <f t="shared" si="105"/>
        <v>01100000</v>
      </c>
      <c r="HK30" s="34" t="str">
        <f t="shared" si="106"/>
        <v>01000000</v>
      </c>
      <c r="HL30" s="34" t="str">
        <f t="shared" si="107"/>
        <v>01000000</v>
      </c>
      <c r="HM30" s="87">
        <f>BIN2DEC(HI30)-BIN2DEC(HI31)</f>
        <v>-3</v>
      </c>
      <c r="HN30" s="87">
        <f>BIN2DEC(HJ30)-BIN2DEC(HJ31)</f>
        <v>-3</v>
      </c>
      <c r="HO30" s="87">
        <f>BIN2DEC(HK30)-BIN2DEC(HK31)</f>
        <v>29</v>
      </c>
      <c r="HP30" s="87">
        <f>BIN2DEC(HL30)-BIN2DEC(HL31)</f>
        <v>30</v>
      </c>
      <c r="HQ30" s="35" t="str">
        <f t="shared" si="108"/>
        <v>0110</v>
      </c>
      <c r="HR30" s="35" t="str">
        <f t="shared" si="109"/>
        <v>1110</v>
      </c>
      <c r="HS30" s="35" t="str">
        <f t="shared" si="110"/>
        <v>0110</v>
      </c>
      <c r="HT30" s="35" t="str">
        <f t="shared" si="111"/>
        <v>0111</v>
      </c>
      <c r="HU30" s="35" t="str">
        <f t="shared" si="112"/>
        <v>1101</v>
      </c>
      <c r="HV30" s="35" t="str">
        <f t="shared" si="113"/>
        <v>1010</v>
      </c>
      <c r="HW30" s="35" t="str">
        <f t="shared" si="114"/>
        <v>1101</v>
      </c>
      <c r="HX30" s="35" t="str">
        <f t="shared" si="115"/>
        <v>0000</v>
      </c>
      <c r="HY30" s="87">
        <f t="shared" ref="HY30:IF30" si="239">BIN2DEC(HQ30)-BIN2DEC(HQ31)</f>
        <v>-8</v>
      </c>
      <c r="HZ30" s="87">
        <f t="shared" si="239"/>
        <v>7</v>
      </c>
      <c r="IA30" s="87">
        <f t="shared" si="239"/>
        <v>-9</v>
      </c>
      <c r="IB30" s="87">
        <f t="shared" si="239"/>
        <v>4</v>
      </c>
      <c r="IC30" s="87">
        <f t="shared" si="239"/>
        <v>11</v>
      </c>
      <c r="ID30" s="87">
        <f t="shared" si="239"/>
        <v>-1</v>
      </c>
      <c r="IE30" s="87">
        <f t="shared" si="239"/>
        <v>2</v>
      </c>
      <c r="IF30" s="87">
        <f t="shared" si="239"/>
        <v>-6</v>
      </c>
      <c r="IG30" s="34" t="str">
        <f t="shared" si="22"/>
        <v>0110000001100000</v>
      </c>
      <c r="IH30" s="34" t="str">
        <f t="shared" si="23"/>
        <v>0100000001000000</v>
      </c>
      <c r="II30" s="87">
        <f>MID(IG30,16,1)*POWER(2,0)+MID(IG30,15,1)*POWER(2,1)+MID(IG30,14,1)*POWER(2,2)+MID(IG30,13,1)*POWER(2,3)+MID(IG30,12,1)*POWER(2,4)+MID(IG30,11,1)*POWER(2,5)+MID(IG30,10,1)*POWER(2,6)+MID(IG30,9,1)*POWER(2,7)+MID(IG30,8,1)*POWER(2,8)+MID(IG30,7,1)*POWER(2,9)+MID(IG30,6,1)*POWER(2,10)+MID(IG30,5,1)*POWER(2,11)+MID(IG30,4,1)*POWER(2,12)+MID(IG30,3,1)*POWER(2,13)+MID(IG30,2,1)*POWER(2,14)+MID(IG30,1,1)*POWER(2,15)-(MID(IG31,16,1)*POWER(2,0)+MID(IG31,15,1)*POWER(2,1)+MID(IG31,14,1)*POWER(2,2)+MID(IG31,13,1)*POWER(2,3)+MID(IG31,12,1)*POWER(2,4)+MID(IG31,11,1)*POWER(2,5)+MID(IG31,10,1)*POWER(2,6)+MID(IG31,9,1)*POWER(2,7)+MID(IG31,8,1)*POWER(2,8)+MID(IG31,7,1)*POWER(2,9)+MID(IG31,6,1)*POWER(2,10)+MID(IG31,5,1)*POWER(2,11)+MID(IG31,4,1)*POWER(2,12)+MID(IG31,3,1)*POWER(2,13)+MID(IG31,2,1)*POWER(2,14)+MID(IG31,1,1)*POWER(2,15))</f>
        <v>-771</v>
      </c>
      <c r="IJ30" s="87">
        <f>MID(IH30,16,1)*POWER(2,0)+MID(IH30,15,1)*POWER(2,1)+MID(IH30,14,1)*POWER(2,2)+MID(IH30,13,1)*POWER(2,3)+MID(IH30,12,1)*POWER(2,4)+MID(IH30,11,1)*POWER(2,5)+MID(IH30,10,1)*POWER(2,6)+MID(IH30,9,1)*POWER(2,7)+MID(IH30,8,1)*POWER(2,8)+MID(IH30,7,1)*POWER(2,9)+MID(IH30,6,1)*POWER(2,10)+MID(IH30,5,1)*POWER(2,11)+MID(IH30,4,1)*POWER(2,12)+MID(IH30,3,1)*POWER(2,13)+MID(IH30,2,1)*POWER(2,14)+MID(IH30,1,1)*POWER(2,15)-(MID(IH31,16,1)*POWER(2,0)+MID(IH31,15,1)*POWER(2,1)+MID(IH31,14,1)*POWER(2,2)+MID(IH31,13,1)*POWER(2,3)+MID(IH31,12,1)*POWER(2,4)+MID(IH31,11,1)*POWER(2,5)+MID(IH31,10,1)*POWER(2,6)+MID(IH31,9,1)*POWER(2,7)+MID(IH31,8,1)*POWER(2,8)+MID(IH31,7,1)*POWER(2,9)+MID(IH31,6,1)*POWER(2,10)+MID(IH31,5,1)*POWER(2,11)+MID(IH31,4,1)*POWER(2,12)+MID(IH31,3,1)*POWER(2,13)+MID(IH31,2,1)*POWER(2,14)+MID(IH31,1,1)*POWER(2,15))</f>
        <v>7454</v>
      </c>
      <c r="IL30" s="34"/>
      <c r="IM30" s="34"/>
      <c r="IN30" s="34"/>
      <c r="IO30" s="34"/>
      <c r="IP30" s="33"/>
      <c r="IQ30" s="33"/>
      <c r="IR30" s="33"/>
      <c r="IS30" s="33"/>
      <c r="JB30" s="33"/>
      <c r="JC30" s="33"/>
      <c r="JD30" s="33"/>
      <c r="JE30" s="33"/>
      <c r="JF30" s="33"/>
      <c r="JG30" s="33"/>
      <c r="JH30" s="33"/>
      <c r="JI30" s="33"/>
      <c r="JJ30" s="34"/>
      <c r="JK30" s="34"/>
      <c r="JL30" s="33"/>
      <c r="JM30" s="33"/>
    </row>
    <row r="31" spans="1:273" s="39" customFormat="1" ht="18.600000000000001" thickBot="1" x14ac:dyDescent="0.4">
      <c r="A31" s="36"/>
      <c r="B31" s="37"/>
      <c r="C31" s="51" t="s">
        <v>6</v>
      </c>
      <c r="D31" s="51" t="s">
        <v>83</v>
      </c>
      <c r="E31" s="51" t="s">
        <v>62</v>
      </c>
      <c r="F31" s="51" t="s">
        <v>18</v>
      </c>
      <c r="G31" s="51" t="s">
        <v>49</v>
      </c>
      <c r="H31" s="51" t="str">
        <f t="shared" si="198"/>
        <v>11100111111100110010101110110110</v>
      </c>
      <c r="I31" s="51">
        <f t="shared" si="199"/>
        <v>21</v>
      </c>
      <c r="J31" s="51"/>
      <c r="K31" s="51"/>
      <c r="L31" s="38" t="str">
        <f>H31</f>
        <v>11100111111100110010101110110110</v>
      </c>
      <c r="M31" s="38" t="str">
        <f t="shared" si="24"/>
        <v>11100111</v>
      </c>
      <c r="N31" s="38" t="str">
        <f t="shared" si="25"/>
        <v>11110011</v>
      </c>
      <c r="O31" s="38" t="str">
        <f t="shared" si="26"/>
        <v>00101011</v>
      </c>
      <c r="P31" s="38" t="str">
        <f t="shared" si="27"/>
        <v>10110110</v>
      </c>
      <c r="Q31" s="88"/>
      <c r="R31" s="88"/>
      <c r="S31" s="88"/>
      <c r="T31" s="88"/>
      <c r="U31" s="39" t="str">
        <f t="shared" si="28"/>
        <v>1110</v>
      </c>
      <c r="V31" s="39" t="str">
        <f t="shared" si="29"/>
        <v>0111</v>
      </c>
      <c r="W31" s="39" t="str">
        <f t="shared" si="30"/>
        <v>1111</v>
      </c>
      <c r="X31" s="39" t="str">
        <f t="shared" si="31"/>
        <v>0011</v>
      </c>
      <c r="Y31" s="39" t="str">
        <f t="shared" si="32"/>
        <v>0010</v>
      </c>
      <c r="Z31" s="39" t="str">
        <f t="shared" si="33"/>
        <v>1011</v>
      </c>
      <c r="AA31" s="39" t="str">
        <f t="shared" si="34"/>
        <v>1011</v>
      </c>
      <c r="AB31" s="39" t="str">
        <f t="shared" si="35"/>
        <v>0110</v>
      </c>
      <c r="AC31" s="88"/>
      <c r="AD31" s="88"/>
      <c r="AE31" s="88"/>
      <c r="AF31" s="88"/>
      <c r="AG31" s="88"/>
      <c r="AH31" s="88"/>
      <c r="AI31" s="88"/>
      <c r="AJ31" s="88"/>
      <c r="AK31" s="38" t="str">
        <f t="shared" si="1"/>
        <v>1110011111110011</v>
      </c>
      <c r="AL31" s="38" t="str">
        <f t="shared" si="2"/>
        <v>0010101110110110</v>
      </c>
      <c r="AM31" s="88"/>
      <c r="AN31" s="88"/>
      <c r="AO31" s="37" t="str">
        <f>L31</f>
        <v>11100111111100110010101110110110</v>
      </c>
      <c r="AP31" s="38" t="str">
        <f t="shared" si="36"/>
        <v>11100111</v>
      </c>
      <c r="AQ31" s="38" t="str">
        <f t="shared" si="37"/>
        <v>11110011</v>
      </c>
      <c r="AR31" s="38" t="str">
        <f t="shared" si="38"/>
        <v>00101011</v>
      </c>
      <c r="AS31" s="38" t="str">
        <f t="shared" si="39"/>
        <v>10110110</v>
      </c>
      <c r="AT31" s="88"/>
      <c r="AU31" s="88"/>
      <c r="AV31" s="88"/>
      <c r="AW31" s="88"/>
      <c r="AX31" s="39" t="str">
        <f t="shared" si="40"/>
        <v>1110</v>
      </c>
      <c r="AY31" s="39" t="str">
        <f t="shared" si="41"/>
        <v>0111</v>
      </c>
      <c r="AZ31" s="39" t="str">
        <f t="shared" si="42"/>
        <v>1111</v>
      </c>
      <c r="BA31" s="39" t="str">
        <f t="shared" si="43"/>
        <v>0011</v>
      </c>
      <c r="BB31" s="39" t="str">
        <f t="shared" si="44"/>
        <v>0010</v>
      </c>
      <c r="BC31" s="39" t="str">
        <f t="shared" si="45"/>
        <v>1011</v>
      </c>
      <c r="BD31" s="39" t="str">
        <f t="shared" si="46"/>
        <v>1011</v>
      </c>
      <c r="BE31" s="39" t="str">
        <f t="shared" si="47"/>
        <v>0110</v>
      </c>
      <c r="BF31" s="88"/>
      <c r="BG31" s="88"/>
      <c r="BH31" s="88"/>
      <c r="BI31" s="88"/>
      <c r="BJ31" s="88"/>
      <c r="BK31" s="88"/>
      <c r="BL31" s="88"/>
      <c r="BM31" s="88"/>
      <c r="BN31" s="38" t="str">
        <f t="shared" si="4"/>
        <v>1110011111110011</v>
      </c>
      <c r="BO31" s="38" t="str">
        <f t="shared" si="5"/>
        <v>0010101110110110</v>
      </c>
      <c r="BP31" s="88"/>
      <c r="BQ31" s="88"/>
      <c r="BR31" s="37" t="str">
        <f>CONCATENATE(MID(L31,1,1)*MID(K30,1,1),MID(L31,2,1)*MID(K30,2,1),MID(L31,3,1)*MID(K30,3,1),MID(L31,4,1)*MID(K30,4,1),MID(L31,5,1)*MID(K30,5,1),MID(L31,6,1)*MID(K30,6,1),MID(L31,7,1)*MID(K30,7,1),MID(L31,8,1)*MID(K30,8,1),MID(L31,9,1)*MID(K30,1,1),MID(L31,10,1)*MID(K30,2,1),MID(L31,11,1)*MID(K30,3,1),MID(L31,12,1)*MID(K30,4,1),MID(L31,13,1)*MID(K30,5,1),MID(L31,14,1)*MID(K30,6,1),MID(L31,15,1)*MID(K30,7,1),MID(L31,16,1)*MID(K30,8,1),MID(L31,17,1)*MID(K30,1,1),MID(L31,18,1)*MID(K30,2,1),MID(L31,19,1)*MID(K30,3,1),MID(L31,20,1)*MID(K30,4,1),MID(L31,21,1)*MID(K30,5,1),MID(L31,22,1)*MID(K30,6,1),MID(L31,23,1)*MID(K30,7,1),MID(L31,24,1)*MID(K30,8,1),MID(L31,25,1)*MID(K30,1,1),MID(L31,26,1)*MID(K30,2,1),MID(L31,27,1)*MID(K30,3,1),MID(L31,28,1)*MID(K30,4,1),MID(L31,29,1)*MID(K30,5,1),MID(L31,30,1)*MID(K30,6,1),MID(L31,31,1)*MID(K30,7,1),MID(L31,32,1)*MID(K30,8,1))</f>
        <v>01100011011000110010001100100010</v>
      </c>
      <c r="BS31" s="38" t="str">
        <f t="shared" si="48"/>
        <v>01100011</v>
      </c>
      <c r="BT31" s="38" t="str">
        <f t="shared" si="49"/>
        <v>01100011</v>
      </c>
      <c r="BU31" s="38" t="str">
        <f t="shared" si="50"/>
        <v>00100011</v>
      </c>
      <c r="BV31" s="38" t="str">
        <f t="shared" si="51"/>
        <v>00100010</v>
      </c>
      <c r="BW31" s="88"/>
      <c r="BX31" s="88"/>
      <c r="BY31" s="88"/>
      <c r="BZ31" s="88"/>
      <c r="CA31" s="39" t="str">
        <f t="shared" si="52"/>
        <v>1110</v>
      </c>
      <c r="CB31" s="39" t="str">
        <f t="shared" si="53"/>
        <v>0111</v>
      </c>
      <c r="CC31" s="39" t="str">
        <f t="shared" si="54"/>
        <v>1111</v>
      </c>
      <c r="CD31" s="39" t="str">
        <f t="shared" si="55"/>
        <v>0011</v>
      </c>
      <c r="CE31" s="39" t="str">
        <f t="shared" si="56"/>
        <v>0010</v>
      </c>
      <c r="CF31" s="39" t="str">
        <f t="shared" si="57"/>
        <v>1011</v>
      </c>
      <c r="CG31" s="39" t="str">
        <f t="shared" si="58"/>
        <v>1011</v>
      </c>
      <c r="CH31" s="39" t="str">
        <f t="shared" si="59"/>
        <v>0110</v>
      </c>
      <c r="CI31" s="88"/>
      <c r="CJ31" s="88"/>
      <c r="CK31" s="88"/>
      <c r="CL31" s="88"/>
      <c r="CM31" s="88"/>
      <c r="CN31" s="88"/>
      <c r="CO31" s="88"/>
      <c r="CP31" s="88"/>
      <c r="CQ31" s="38" t="str">
        <f t="shared" si="7"/>
        <v>0110001101100011</v>
      </c>
      <c r="CR31" s="38" t="str">
        <f t="shared" si="8"/>
        <v>0010001100100010</v>
      </c>
      <c r="CS31" s="88"/>
      <c r="CT31" s="88"/>
      <c r="CU31" s="37" t="str">
        <f>CONCATENATE(MID($L31,1,1)*MID($K30,1,1),MID($L31,2,1)*MID($K30,2,1),MID($L31,3,1)*MID($K30,3,1),MID($L31,4,1)*MID($K30,4,1),MID($L31,5,1)*MID($K30,5,1),MID($L31,6,1)*MID($K30,6,1),MID($L31,7,1)*MID($K30,7,1),MID($L31,8,1)*MID($K30,8,1),MID($L31,9,1)*MID($K30,1,1),MID($L31,10,1)*MID($K30,2,1),MID($L31,11,1)*MID($K30,3,1),MID($L31,12,1)*MID($K30,4,1),MID($L31,13,1)*MID($K30,5,1),MID($L31,14,1)*MID($K30,6,1),MID($L31,15,1)*MID($K30,7,1),MID($L31,16,1)*MID($K30,8,1),MID($L31,17,1)*MID($K30,1,1),MID($L31,18,1)*MID($K30,2,1),MID($L31,19,1)*MID($K30,3,1),MID($L31,20,1)*MID($K30,4,1),MID($L31,21,1)*MID($K30,5,1),MID($L31,22,1)*MID($K30,6,1),MID($L31,23,1)*MID($K30,7,1),MID($L31,24,1)*MID($K30,8,1),MID($L31,25,1)*MID($K30,1,1),MID($L31,26,1)*MID($K30,2,1),MID($L31,27,1)*MID($K30,3,1),MID($L31,28,1)*MID($K30,4,1),MID($L31,29,1)*MID($K30,5,1),MID($L31,30,1)*MID($K30,6,1),MID($L31,31,1)*MID($K30,7,1),MID($L31,32,1)*MID($K30,8,1))</f>
        <v>01100011011000110010001100100010</v>
      </c>
      <c r="CV31" s="38" t="str">
        <f t="shared" si="60"/>
        <v>01100011</v>
      </c>
      <c r="CW31" s="38" t="str">
        <f t="shared" si="61"/>
        <v>01100011</v>
      </c>
      <c r="CX31" s="38" t="str">
        <f t="shared" si="62"/>
        <v>00100011</v>
      </c>
      <c r="CY31" s="38" t="str">
        <f t="shared" si="63"/>
        <v>00100010</v>
      </c>
      <c r="CZ31" s="88"/>
      <c r="DA31" s="88"/>
      <c r="DB31" s="88"/>
      <c r="DC31" s="88"/>
      <c r="DD31" s="39" t="str">
        <f t="shared" si="64"/>
        <v>1110</v>
      </c>
      <c r="DE31" s="39" t="str">
        <f t="shared" si="65"/>
        <v>0111</v>
      </c>
      <c r="DF31" s="39" t="str">
        <f t="shared" si="66"/>
        <v>1111</v>
      </c>
      <c r="DG31" s="39" t="str">
        <f t="shared" si="67"/>
        <v>0011</v>
      </c>
      <c r="DH31" s="39" t="str">
        <f t="shared" si="68"/>
        <v>0010</v>
      </c>
      <c r="DI31" s="39" t="str">
        <f t="shared" si="69"/>
        <v>1011</v>
      </c>
      <c r="DJ31" s="39" t="str">
        <f t="shared" si="70"/>
        <v>1011</v>
      </c>
      <c r="DK31" s="39" t="str">
        <f t="shared" si="71"/>
        <v>0110</v>
      </c>
      <c r="DL31" s="88"/>
      <c r="DM31" s="88"/>
      <c r="DN31" s="88"/>
      <c r="DO31" s="88"/>
      <c r="DP31" s="88"/>
      <c r="DQ31" s="88"/>
      <c r="DR31" s="88"/>
      <c r="DS31" s="88"/>
      <c r="DT31" s="38" t="str">
        <f t="shared" si="10"/>
        <v>0110001101100011</v>
      </c>
      <c r="DU31" s="38" t="str">
        <f t="shared" si="11"/>
        <v>0010001100100010</v>
      </c>
      <c r="DV31" s="88"/>
      <c r="DW31" s="88"/>
      <c r="DX31" s="37"/>
      <c r="DY31" s="39" t="str">
        <f>H31</f>
        <v>11100111111100110010101110110110</v>
      </c>
      <c r="DZ31" s="38" t="str">
        <f t="shared" si="122"/>
        <v>11100111</v>
      </c>
      <c r="EA31" s="38" t="str">
        <f t="shared" si="72"/>
        <v>11110011</v>
      </c>
      <c r="EB31" s="38" t="str">
        <f t="shared" si="73"/>
        <v>00101011</v>
      </c>
      <c r="EC31" s="38" t="str">
        <f t="shared" si="74"/>
        <v>10110110</v>
      </c>
      <c r="ED31" s="88"/>
      <c r="EE31" s="88"/>
      <c r="EF31" s="88"/>
      <c r="EG31" s="88"/>
      <c r="EH31" s="39" t="str">
        <f t="shared" si="75"/>
        <v>1110</v>
      </c>
      <c r="EI31" s="39" t="str">
        <f t="shared" si="76"/>
        <v>0111</v>
      </c>
      <c r="EJ31" s="39" t="str">
        <f t="shared" si="77"/>
        <v>1111</v>
      </c>
      <c r="EK31" s="39" t="str">
        <f t="shared" si="78"/>
        <v>0011</v>
      </c>
      <c r="EL31" s="39" t="str">
        <f t="shared" si="79"/>
        <v>0010</v>
      </c>
      <c r="EM31" s="39" t="str">
        <f t="shared" si="80"/>
        <v>1011</v>
      </c>
      <c r="EN31" s="39" t="str">
        <f t="shared" si="81"/>
        <v>1011</v>
      </c>
      <c r="EO31" s="39" t="str">
        <f t="shared" si="82"/>
        <v>0110</v>
      </c>
      <c r="EP31" s="88"/>
      <c r="EQ31" s="88"/>
      <c r="ER31" s="88"/>
      <c r="ES31" s="88"/>
      <c r="ET31" s="88"/>
      <c r="EU31" s="88"/>
      <c r="EV31" s="88"/>
      <c r="EW31" s="88"/>
      <c r="EX31" s="38" t="str">
        <f t="shared" si="13"/>
        <v>1110011111110011</v>
      </c>
      <c r="EY31" s="38" t="str">
        <f t="shared" si="14"/>
        <v>0010101110110110</v>
      </c>
      <c r="EZ31" s="88"/>
      <c r="FA31" s="88"/>
      <c r="FB31" s="39" t="str">
        <f>H31</f>
        <v>11100111111100110010101110110110</v>
      </c>
      <c r="FC31" s="38" t="str">
        <f t="shared" si="124"/>
        <v>11100111</v>
      </c>
      <c r="FD31" s="38" t="str">
        <f t="shared" si="83"/>
        <v>11110011</v>
      </c>
      <c r="FE31" s="38" t="str">
        <f t="shared" si="84"/>
        <v>00101011</v>
      </c>
      <c r="FF31" s="38" t="str">
        <f t="shared" si="85"/>
        <v>10110110</v>
      </c>
      <c r="FG31" s="88"/>
      <c r="FH31" s="88"/>
      <c r="FI31" s="88"/>
      <c r="FJ31" s="88"/>
      <c r="FK31" s="39" t="str">
        <f t="shared" si="86"/>
        <v>1110</v>
      </c>
      <c r="FL31" s="39" t="str">
        <f t="shared" si="87"/>
        <v>0111</v>
      </c>
      <c r="FM31" s="39" t="str">
        <f t="shared" si="88"/>
        <v>1111</v>
      </c>
      <c r="FN31" s="39" t="str">
        <f t="shared" si="89"/>
        <v>0011</v>
      </c>
      <c r="FO31" s="39" t="str">
        <f t="shared" si="90"/>
        <v>0010</v>
      </c>
      <c r="FP31" s="39" t="str">
        <f t="shared" si="91"/>
        <v>1011</v>
      </c>
      <c r="FQ31" s="39" t="str">
        <f t="shared" si="92"/>
        <v>1011</v>
      </c>
      <c r="FR31" s="39" t="str">
        <f t="shared" si="93"/>
        <v>0110</v>
      </c>
      <c r="FS31" s="88"/>
      <c r="FT31" s="88"/>
      <c r="FU31" s="88"/>
      <c r="FV31" s="88"/>
      <c r="FW31" s="88"/>
      <c r="FX31" s="88"/>
      <c r="FY31" s="88"/>
      <c r="FZ31" s="88"/>
      <c r="GA31" s="38" t="str">
        <f t="shared" si="16"/>
        <v>1110011111110011</v>
      </c>
      <c r="GB31" s="38" t="str">
        <f t="shared" si="17"/>
        <v>0010101110110110</v>
      </c>
      <c r="GC31" s="88"/>
      <c r="GD31" s="88"/>
      <c r="GE31" s="39" t="str">
        <f>BR31</f>
        <v>01100011011000110010001100100010</v>
      </c>
      <c r="GF31" s="38" t="str">
        <f t="shared" si="126"/>
        <v>01100011</v>
      </c>
      <c r="GG31" s="38" t="str">
        <f t="shared" si="94"/>
        <v>01100011</v>
      </c>
      <c r="GH31" s="38" t="str">
        <f t="shared" si="95"/>
        <v>00100011</v>
      </c>
      <c r="GI31" s="38" t="str">
        <f t="shared" si="96"/>
        <v>00100010</v>
      </c>
      <c r="GJ31" s="88"/>
      <c r="GK31" s="88"/>
      <c r="GL31" s="88"/>
      <c r="GM31" s="88"/>
      <c r="GN31" s="39" t="str">
        <f t="shared" si="97"/>
        <v>1110</v>
      </c>
      <c r="GO31" s="39" t="str">
        <f t="shared" si="98"/>
        <v>0111</v>
      </c>
      <c r="GP31" s="39" t="str">
        <f t="shared" si="99"/>
        <v>1111</v>
      </c>
      <c r="GQ31" s="39" t="str">
        <f t="shared" si="100"/>
        <v>0011</v>
      </c>
      <c r="GR31" s="39" t="str">
        <f t="shared" si="101"/>
        <v>0010</v>
      </c>
      <c r="GS31" s="39" t="str">
        <f t="shared" si="102"/>
        <v>1011</v>
      </c>
      <c r="GT31" s="39" t="str">
        <f t="shared" si="103"/>
        <v>1011</v>
      </c>
      <c r="GU31" s="39" t="str">
        <f t="shared" si="104"/>
        <v>0110</v>
      </c>
      <c r="GV31" s="88"/>
      <c r="GW31" s="88"/>
      <c r="GX31" s="88"/>
      <c r="GY31" s="88"/>
      <c r="GZ31" s="88"/>
      <c r="HA31" s="88"/>
      <c r="HB31" s="88"/>
      <c r="HC31" s="88"/>
      <c r="HD31" s="38" t="str">
        <f t="shared" si="19"/>
        <v>0110001101100011</v>
      </c>
      <c r="HE31" s="38" t="str">
        <f t="shared" si="20"/>
        <v>0010001100100010</v>
      </c>
      <c r="HF31" s="88"/>
      <c r="HG31" s="88"/>
      <c r="HH31" s="39" t="str">
        <f>GE31</f>
        <v>01100011011000110010001100100010</v>
      </c>
      <c r="HI31" s="38" t="str">
        <f t="shared" si="128"/>
        <v>01100011</v>
      </c>
      <c r="HJ31" s="38" t="str">
        <f t="shared" si="105"/>
        <v>01100011</v>
      </c>
      <c r="HK31" s="38" t="str">
        <f t="shared" si="106"/>
        <v>00100011</v>
      </c>
      <c r="HL31" s="38" t="str">
        <f t="shared" si="107"/>
        <v>00100010</v>
      </c>
      <c r="HM31" s="88"/>
      <c r="HN31" s="88"/>
      <c r="HO31" s="88"/>
      <c r="HP31" s="88"/>
      <c r="HQ31" s="39" t="str">
        <f t="shared" si="108"/>
        <v>1110</v>
      </c>
      <c r="HR31" s="39" t="str">
        <f t="shared" si="109"/>
        <v>0111</v>
      </c>
      <c r="HS31" s="39" t="str">
        <f t="shared" si="110"/>
        <v>1111</v>
      </c>
      <c r="HT31" s="39" t="str">
        <f t="shared" si="111"/>
        <v>0011</v>
      </c>
      <c r="HU31" s="39" t="str">
        <f t="shared" si="112"/>
        <v>0010</v>
      </c>
      <c r="HV31" s="39" t="str">
        <f t="shared" si="113"/>
        <v>1011</v>
      </c>
      <c r="HW31" s="39" t="str">
        <f t="shared" si="114"/>
        <v>1011</v>
      </c>
      <c r="HX31" s="39" t="str">
        <f t="shared" si="115"/>
        <v>0110</v>
      </c>
      <c r="HY31" s="88"/>
      <c r="HZ31" s="88"/>
      <c r="IA31" s="88"/>
      <c r="IB31" s="88"/>
      <c r="IC31" s="88"/>
      <c r="ID31" s="88"/>
      <c r="IE31" s="88"/>
      <c r="IF31" s="88"/>
      <c r="IG31" s="38" t="str">
        <f t="shared" si="22"/>
        <v>0110001101100011</v>
      </c>
      <c r="IH31" s="38" t="str">
        <f t="shared" si="23"/>
        <v>0010001100100010</v>
      </c>
      <c r="II31" s="88"/>
      <c r="IJ31" s="88"/>
      <c r="IL31" s="38"/>
      <c r="IM31" s="38"/>
      <c r="IN31" s="38"/>
      <c r="IO31" s="38"/>
      <c r="IP31" s="37"/>
      <c r="IQ31" s="37"/>
      <c r="IR31" s="37"/>
      <c r="IS31" s="37"/>
      <c r="JB31" s="37"/>
      <c r="JC31" s="37"/>
      <c r="JD31" s="37"/>
      <c r="JE31" s="37"/>
      <c r="JF31" s="37"/>
      <c r="JG31" s="37"/>
      <c r="JH31" s="37"/>
      <c r="JI31" s="37"/>
      <c r="JJ31" s="38"/>
      <c r="JK31" s="38"/>
      <c r="JL31" s="37"/>
      <c r="JM31" s="37"/>
    </row>
    <row r="32" spans="1:273" s="35" customFormat="1" x14ac:dyDescent="0.35">
      <c r="A32" s="32"/>
      <c r="B32" s="33"/>
      <c r="C32" s="50" t="s">
        <v>0</v>
      </c>
      <c r="D32" s="50">
        <v>22</v>
      </c>
      <c r="E32" s="50">
        <v>18</v>
      </c>
      <c r="F32" s="50">
        <v>22</v>
      </c>
      <c r="G32" s="50" t="s">
        <v>155</v>
      </c>
      <c r="H32" s="50" t="str">
        <f t="shared" si="198"/>
        <v>00100010000110000010001010110100</v>
      </c>
      <c r="I32" s="50">
        <f t="shared" si="199"/>
        <v>10</v>
      </c>
      <c r="J32" s="50">
        <v>63</v>
      </c>
      <c r="K32" s="50" t="str">
        <f>HEX2BIN(J32,8)</f>
        <v>01100011</v>
      </c>
      <c r="L32" s="34" t="str">
        <f>CONCATENATE(MID(H32,30,3),MID(H32,17,5),MID(H32,6,3),MID(H32,25,5),MID(H32,14,3),MID(H32,1,5),MID(H32,22,3),MID(H32,9,5))</f>
        <v>10000100010101100000010001000011</v>
      </c>
      <c r="M32" s="34" t="str">
        <f t="shared" si="24"/>
        <v>10000100</v>
      </c>
      <c r="N32" s="34" t="str">
        <f t="shared" si="25"/>
        <v>01010110</v>
      </c>
      <c r="O32" s="34" t="str">
        <f t="shared" si="26"/>
        <v>00000100</v>
      </c>
      <c r="P32" s="34" t="str">
        <f t="shared" si="27"/>
        <v>01000011</v>
      </c>
      <c r="Q32" s="87">
        <f>BIN2DEC(M32)-BIN2DEC(M33)</f>
        <v>-121</v>
      </c>
      <c r="R32" s="87">
        <f>BIN2DEC(N32)-BIN2DEC(N33)</f>
        <v>-108</v>
      </c>
      <c r="S32" s="87">
        <f>BIN2DEC(O32)-BIN2DEC(O33)</f>
        <v>-81</v>
      </c>
      <c r="T32" s="87">
        <f>BIN2DEC(P32)-BIN2DEC(P33)</f>
        <v>27</v>
      </c>
      <c r="U32" s="35" t="str">
        <f t="shared" si="28"/>
        <v>1000</v>
      </c>
      <c r="V32" s="35" t="str">
        <f t="shared" si="29"/>
        <v>0100</v>
      </c>
      <c r="W32" s="35" t="str">
        <f t="shared" si="30"/>
        <v>0101</v>
      </c>
      <c r="X32" s="35" t="str">
        <f t="shared" si="31"/>
        <v>0110</v>
      </c>
      <c r="Y32" s="35" t="str">
        <f t="shared" si="32"/>
        <v>0000</v>
      </c>
      <c r="Z32" s="35" t="str">
        <f t="shared" si="33"/>
        <v>0100</v>
      </c>
      <c r="AA32" s="35" t="str">
        <f t="shared" si="34"/>
        <v>0100</v>
      </c>
      <c r="AB32" s="35" t="str">
        <f t="shared" si="35"/>
        <v>0011</v>
      </c>
      <c r="AC32" s="87">
        <f t="shared" ref="AC32:AJ32" si="240">BIN2DEC(U32)-BIN2DEC(U33)</f>
        <v>-7</v>
      </c>
      <c r="AD32" s="87">
        <f t="shared" si="240"/>
        <v>-9</v>
      </c>
      <c r="AE32" s="87">
        <f t="shared" si="240"/>
        <v>-7</v>
      </c>
      <c r="AF32" s="87">
        <f t="shared" si="240"/>
        <v>4</v>
      </c>
      <c r="AG32" s="87">
        <f t="shared" si="240"/>
        <v>-5</v>
      </c>
      <c r="AH32" s="87">
        <f t="shared" si="240"/>
        <v>-1</v>
      </c>
      <c r="AI32" s="87">
        <f t="shared" si="240"/>
        <v>2</v>
      </c>
      <c r="AJ32" s="87">
        <f t="shared" si="240"/>
        <v>-5</v>
      </c>
      <c r="AK32" s="34" t="str">
        <f t="shared" si="1"/>
        <v>1000010001010110</v>
      </c>
      <c r="AL32" s="34" t="str">
        <f t="shared" si="2"/>
        <v>0000010001000011</v>
      </c>
      <c r="AM32" s="87">
        <f>MID(AK32,16,1)*POWER(2,0)+MID(AK32,15,1)*POWER(2,1)+MID(AK32,14,1)*POWER(2,2)+MID(AK32,13,1)*POWER(2,3)+MID(AK32,12,1)*POWER(2,4)+MID(AK32,11,1)*POWER(2,5)+MID(AK32,10,1)*POWER(2,6)+MID(AK32,9,1)*POWER(2,7)+MID(AK32,8,1)*POWER(2,8)+MID(AK32,7,1)*POWER(2,9)+MID(AK32,6,1)*POWER(2,10)+MID(AK32,5,1)*POWER(2,11)+MID(AK32,4,1)*POWER(2,12)+MID(AK32,3,1)*POWER(2,13)+MID(AK32,2,1)*POWER(2,14)+MID(AK32,1,1)*POWER(2,15)-(MID(AK33,16,1)*POWER(2,0)+MID(AK33,15,1)*POWER(2,1)+MID(AK33,14,1)*POWER(2,2)+MID(AK33,13,1)*POWER(2,3)+MID(AK33,12,1)*POWER(2,4)+MID(AK33,11,1)*POWER(2,5)+MID(AK33,10,1)*POWER(2,6)+MID(AK33,9,1)*POWER(2,7)+MID(AK33,8,1)*POWER(2,8)+MID(AK33,7,1)*POWER(2,9)+MID(AK33,6,1)*POWER(2,10)+MID(AK33,5,1)*POWER(2,11)+MID(AK33,4,1)*POWER(2,12)+MID(AK33,3,1)*POWER(2,13)+MID(AK33,2,1)*POWER(2,14)+MID(AK33,1,1)*POWER(2,15))</f>
        <v>-31084</v>
      </c>
      <c r="AN32" s="87">
        <f>MID(AL32,16,1)*POWER(2,0)+MID(AL32,15,1)*POWER(2,1)+MID(AL32,14,1)*POWER(2,2)+MID(AL32,13,1)*POWER(2,3)+MID(AL32,12,1)*POWER(2,4)+MID(AL32,11,1)*POWER(2,5)+MID(AL32,10,1)*POWER(2,6)+MID(AL32,9,1)*POWER(2,7)+MID(AL32,8,1)*POWER(2,8)+MID(AL32,7,1)*POWER(2,9)+MID(AL32,6,1)*POWER(2,10)+MID(AL32,5,1)*POWER(2,11)+MID(AL32,4,1)*POWER(2,12)+MID(AL32,3,1)*POWER(2,13)+MID(AL32,2,1)*POWER(2,14)+MID(AL32,1,1)*POWER(2,15)-(MID(AL33,16,1)*POWER(2,0)+MID(AL33,15,1)*POWER(2,1)+MID(AL33,14,1)*POWER(2,2)+MID(AL33,13,1)*POWER(2,3)+MID(AL33,12,1)*POWER(2,4)+MID(AL33,11,1)*POWER(2,5)+MID(AL33,10,1)*POWER(2,6)+MID(AL33,9,1)*POWER(2,7)+MID(AL33,8,1)*POWER(2,8)+MID(AL33,7,1)*POWER(2,9)+MID(AL33,6,1)*POWER(2,10)+MID(AL33,5,1)*POWER(2,11)+MID(AL33,4,1)*POWER(2,12)+MID(AL33,3,1)*POWER(2,13)+MID(AL33,2,1)*POWER(2,14)+MID(AL33,1,1)*POWER(2,15))</f>
        <v>-20709</v>
      </c>
      <c r="AO32" s="33" t="str">
        <f>CONCATENATE(MID(L32,1,1)*MID(K32,1,1),MID(L32,2,1)*MID(K32,2,1),MID(L32,3,1)*MID(K32,3,1),MID(L32,4,1)*MID(K32,4,1),MID(L32,5,1)*MID(K32,5,1),MID(L32,6,1)*MID(K32,6,1),MID(L32,7,1)*MID(K32,7,1),MID(L32,8,1)*MID(K32,8,1),MID(L32,9,1)*MID(K32,1,1),MID(L32,10,1)*MID(K32,2,1),MID(L32,11,1)*MID(K32,3,1),MID(L32,12,1)*MID(K32,4,1),MID(L32,13,1)*MID(K32,5,1),MID(L32,14,1)*MID(K32,6,1),MID(L32,15,1)*MID(K32,7,1),MID(L32,16,1)*MID(K32,8,1),MID(L32,17,1)*MID(K32,1,1),MID(L32,18,1)*MID(K32,2,1),MID(L32,19,1)*MID(K32,3,1),MID(L32,20,1)*MID(K32,4,1),MID(L32,21,1)*MID(K32,5,1),MID(L32,22,1)*MID(K32,6,1),MID(L32,23,1)*MID(K32,7,1),MID(L32,24,1)*MID(K32,8,1),MID(L32,25,1)*MID(K32,1,1),MID(L32,26,1)*MID(K32,2,1),MID(L32,27,1)*MID(K32,3,1),MID(L32,28,1)*MID(K32,4,1),MID(L32,29,1)*MID(K32,5,1),MID(L32,30,1)*MID(K32,6,1),MID(L32,31,1)*MID(K32,7,1),MID(L32,32,1)*MID(K32,8,1))</f>
        <v>00000000010000100000000001000011</v>
      </c>
      <c r="AP32" s="34" t="str">
        <f t="shared" si="36"/>
        <v>00000000</v>
      </c>
      <c r="AQ32" s="34" t="str">
        <f t="shared" si="37"/>
        <v>01000010</v>
      </c>
      <c r="AR32" s="34" t="str">
        <f t="shared" si="38"/>
        <v>00000000</v>
      </c>
      <c r="AS32" s="34" t="str">
        <f t="shared" si="39"/>
        <v>01000011</v>
      </c>
      <c r="AT32" s="87">
        <f>BIN2DEC(AP32)-BIN2DEC(AP33)</f>
        <v>-253</v>
      </c>
      <c r="AU32" s="87">
        <f>BIN2DEC(AQ32)-BIN2DEC(AQ33)</f>
        <v>-128</v>
      </c>
      <c r="AV32" s="87">
        <f>BIN2DEC(AR32)-BIN2DEC(AR33)</f>
        <v>-85</v>
      </c>
      <c r="AW32" s="87">
        <f>BIN2DEC(AS32)-BIN2DEC(AS33)</f>
        <v>27</v>
      </c>
      <c r="AX32" s="35" t="str">
        <f t="shared" si="40"/>
        <v>1000</v>
      </c>
      <c r="AY32" s="35" t="str">
        <f t="shared" si="41"/>
        <v>0100</v>
      </c>
      <c r="AZ32" s="35" t="str">
        <f t="shared" si="42"/>
        <v>0101</v>
      </c>
      <c r="BA32" s="35" t="str">
        <f t="shared" si="43"/>
        <v>0110</v>
      </c>
      <c r="BB32" s="35" t="str">
        <f t="shared" si="44"/>
        <v>0000</v>
      </c>
      <c r="BC32" s="35" t="str">
        <f t="shared" si="45"/>
        <v>0100</v>
      </c>
      <c r="BD32" s="35" t="str">
        <f t="shared" si="46"/>
        <v>0100</v>
      </c>
      <c r="BE32" s="35" t="str">
        <f t="shared" si="47"/>
        <v>0011</v>
      </c>
      <c r="BF32" s="87">
        <f t="shared" ref="BF32:BM32" si="241">BIN2DEC(AX32)-BIN2DEC(AX33)</f>
        <v>-7</v>
      </c>
      <c r="BG32" s="87">
        <f t="shared" si="241"/>
        <v>-9</v>
      </c>
      <c r="BH32" s="87">
        <f t="shared" si="241"/>
        <v>-7</v>
      </c>
      <c r="BI32" s="87">
        <f t="shared" si="241"/>
        <v>4</v>
      </c>
      <c r="BJ32" s="87">
        <f t="shared" si="241"/>
        <v>-5</v>
      </c>
      <c r="BK32" s="87">
        <f t="shared" si="241"/>
        <v>-1</v>
      </c>
      <c r="BL32" s="87">
        <f t="shared" si="241"/>
        <v>2</v>
      </c>
      <c r="BM32" s="87">
        <f t="shared" si="241"/>
        <v>-5</v>
      </c>
      <c r="BN32" s="34" t="str">
        <f t="shared" si="4"/>
        <v>0000000001000010</v>
      </c>
      <c r="BO32" s="34" t="str">
        <f t="shared" si="5"/>
        <v>0000000001000011</v>
      </c>
      <c r="BP32" s="87">
        <f>MID(BN32,16,1)*POWER(2,0)+MID(BN32,15,1)*POWER(2,1)+MID(BN32,14,1)*POWER(2,2)+MID(BN32,13,1)*POWER(2,3)+MID(BN32,12,1)*POWER(2,4)+MID(BN32,11,1)*POWER(2,5)+MID(BN32,10,1)*POWER(2,6)+MID(BN32,9,1)*POWER(2,7)+MID(BN32,8,1)*POWER(2,8)+MID(BN32,7,1)*POWER(2,9)+MID(BN32,6,1)*POWER(2,10)+MID(BN32,5,1)*POWER(2,11)+MID(BN32,4,1)*POWER(2,12)+MID(BN32,3,1)*POWER(2,13)+MID(BN32,2,1)*POWER(2,14)+MID(BN32,1,1)*POWER(2,15)-(MID(BN33,16,1)*POWER(2,0)+MID(BN33,15,1)*POWER(2,1)+MID(BN33,14,1)*POWER(2,2)+MID(BN33,13,1)*POWER(2,3)+MID(BN33,12,1)*POWER(2,4)+MID(BN33,11,1)*POWER(2,5)+MID(BN33,10,1)*POWER(2,6)+MID(BN33,9,1)*POWER(2,7)+MID(BN33,8,1)*POWER(2,8)+MID(BN33,7,1)*POWER(2,9)+MID(BN33,6,1)*POWER(2,10)+MID(BN33,5,1)*POWER(2,11)+MID(BN33,4,1)*POWER(2,12)+MID(BN33,3,1)*POWER(2,13)+MID(BN33,2,1)*POWER(2,14)+MID(BN33,1,1)*POWER(2,15))</f>
        <v>-64896</v>
      </c>
      <c r="BQ32" s="87">
        <f>MID(BO32,16,1)*POWER(2,0)+MID(BO32,15,1)*POWER(2,1)+MID(BO32,14,1)*POWER(2,2)+MID(BO32,13,1)*POWER(2,3)+MID(BO32,12,1)*POWER(2,4)+MID(BO32,11,1)*POWER(2,5)+MID(BO32,10,1)*POWER(2,6)+MID(BO32,9,1)*POWER(2,7)+MID(BO32,8,1)*POWER(2,8)+MID(BO32,7,1)*POWER(2,9)+MID(BO32,6,1)*POWER(2,10)+MID(BO32,5,1)*POWER(2,11)+MID(BO32,4,1)*POWER(2,12)+MID(BO32,3,1)*POWER(2,13)+MID(BO32,2,1)*POWER(2,14)+MID(BO32,1,1)*POWER(2,15)-(MID(BO33,16,1)*POWER(2,0)+MID(BO33,15,1)*POWER(2,1)+MID(BO33,14,1)*POWER(2,2)+MID(BO33,13,1)*POWER(2,3)+MID(BO33,12,1)*POWER(2,4)+MID(BO33,11,1)*POWER(2,5)+MID(BO33,10,1)*POWER(2,6)+MID(BO33,9,1)*POWER(2,7)+MID(BO33,8,1)*POWER(2,8)+MID(BO33,7,1)*POWER(2,9)+MID(BO33,6,1)*POWER(2,10)+MID(BO33,5,1)*POWER(2,11)+MID(BO33,4,1)*POWER(2,12)+MID(BO33,3,1)*POWER(2,13)+MID(BO33,2,1)*POWER(2,14)+MID(BO33,1,1)*POWER(2,15))</f>
        <v>-21733</v>
      </c>
      <c r="BR32" s="35" t="str">
        <f>L32</f>
        <v>10000100010101100000010001000011</v>
      </c>
      <c r="BS32" s="34" t="str">
        <f t="shared" si="48"/>
        <v>10000100</v>
      </c>
      <c r="BT32" s="34" t="str">
        <f t="shared" si="49"/>
        <v>01010110</v>
      </c>
      <c r="BU32" s="34" t="str">
        <f t="shared" si="50"/>
        <v>00000100</v>
      </c>
      <c r="BV32" s="34" t="str">
        <f t="shared" si="51"/>
        <v>01000011</v>
      </c>
      <c r="BW32" s="87">
        <f>BIN2DEC(BS32)-BIN2DEC(BS33)</f>
        <v>35</v>
      </c>
      <c r="BX32" s="87">
        <f>BIN2DEC(BT32)-BIN2DEC(BT33)</f>
        <v>20</v>
      </c>
      <c r="BY32" s="87">
        <f>BIN2DEC(BU32)-BIN2DEC(BU33)</f>
        <v>-61</v>
      </c>
      <c r="BZ32" s="87">
        <f>BIN2DEC(BV32)-BIN2DEC(BV33)</f>
        <v>35</v>
      </c>
      <c r="CA32" s="35" t="str">
        <f t="shared" si="52"/>
        <v>1000</v>
      </c>
      <c r="CB32" s="35" t="str">
        <f t="shared" si="53"/>
        <v>0100</v>
      </c>
      <c r="CC32" s="35" t="str">
        <f t="shared" si="54"/>
        <v>0101</v>
      </c>
      <c r="CD32" s="35" t="str">
        <f t="shared" si="55"/>
        <v>0110</v>
      </c>
      <c r="CE32" s="35" t="str">
        <f t="shared" si="56"/>
        <v>0000</v>
      </c>
      <c r="CF32" s="35" t="str">
        <f t="shared" si="57"/>
        <v>0100</v>
      </c>
      <c r="CG32" s="35" t="str">
        <f t="shared" si="58"/>
        <v>0100</v>
      </c>
      <c r="CH32" s="35" t="str">
        <f t="shared" si="59"/>
        <v>0011</v>
      </c>
      <c r="CI32" s="87">
        <f t="shared" ref="CI32:CP32" si="242">BIN2DEC(CA32)-BIN2DEC(CA33)</f>
        <v>-7</v>
      </c>
      <c r="CJ32" s="87">
        <f t="shared" si="242"/>
        <v>-9</v>
      </c>
      <c r="CK32" s="87">
        <f t="shared" si="242"/>
        <v>-7</v>
      </c>
      <c r="CL32" s="87">
        <f t="shared" si="242"/>
        <v>4</v>
      </c>
      <c r="CM32" s="87">
        <f t="shared" si="242"/>
        <v>-5</v>
      </c>
      <c r="CN32" s="87">
        <f t="shared" si="242"/>
        <v>-1</v>
      </c>
      <c r="CO32" s="87">
        <f t="shared" si="242"/>
        <v>2</v>
      </c>
      <c r="CP32" s="87">
        <f t="shared" si="242"/>
        <v>-5</v>
      </c>
      <c r="CQ32" s="34" t="str">
        <f t="shared" si="7"/>
        <v>1000010001010110</v>
      </c>
      <c r="CR32" s="34" t="str">
        <f t="shared" si="8"/>
        <v>0000010001000011</v>
      </c>
      <c r="CS32" s="87">
        <f>MID(CQ32,16,1)*POWER(2,0)+MID(CQ32,15,1)*POWER(2,1)+MID(CQ32,14,1)*POWER(2,2)+MID(CQ32,13,1)*POWER(2,3)+MID(CQ32,12,1)*POWER(2,4)+MID(CQ32,11,1)*POWER(2,5)+MID(CQ32,10,1)*POWER(2,6)+MID(CQ32,9,1)*POWER(2,7)+MID(CQ32,8,1)*POWER(2,8)+MID(CQ32,7,1)*POWER(2,9)+MID(CQ32,6,1)*POWER(2,10)+MID(CQ32,5,1)*POWER(2,11)+MID(CQ32,4,1)*POWER(2,12)+MID(CQ32,3,1)*POWER(2,13)+MID(CQ32,2,1)*POWER(2,14)+MID(CQ32,1,1)*POWER(2,15)-(MID(CQ33,16,1)*POWER(2,0)+MID(CQ33,15,1)*POWER(2,1)+MID(CQ33,14,1)*POWER(2,2)+MID(CQ33,13,1)*POWER(2,3)+MID(CQ33,12,1)*POWER(2,4)+MID(CQ33,11,1)*POWER(2,5)+MID(CQ33,10,1)*POWER(2,6)+MID(CQ33,9,1)*POWER(2,7)+MID(CQ33,8,1)*POWER(2,8)+MID(CQ33,7,1)*POWER(2,9)+MID(CQ33,6,1)*POWER(2,10)+MID(CQ33,5,1)*POWER(2,11)+MID(CQ33,4,1)*POWER(2,12)+MID(CQ33,3,1)*POWER(2,13)+MID(CQ33,2,1)*POWER(2,14)+MID(CQ33,1,1)*POWER(2,15))</f>
        <v>8980</v>
      </c>
      <c r="CT32" s="87">
        <f>MID(CR32,16,1)*POWER(2,0)+MID(CR32,15,1)*POWER(2,1)+MID(CR32,14,1)*POWER(2,2)+MID(CR32,13,1)*POWER(2,3)+MID(CR32,12,1)*POWER(2,4)+MID(CR32,11,1)*POWER(2,5)+MID(CR32,10,1)*POWER(2,6)+MID(CR32,9,1)*POWER(2,7)+MID(CR32,8,1)*POWER(2,8)+MID(CR32,7,1)*POWER(2,9)+MID(CR32,6,1)*POWER(2,10)+MID(CR32,5,1)*POWER(2,11)+MID(CR32,4,1)*POWER(2,12)+MID(CR32,3,1)*POWER(2,13)+MID(CR32,2,1)*POWER(2,14)+MID(CR32,1,1)*POWER(2,15)-(MID(CR33,16,1)*POWER(2,0)+MID(CR33,15,1)*POWER(2,1)+MID(CR33,14,1)*POWER(2,2)+MID(CR33,13,1)*POWER(2,3)+MID(CR33,12,1)*POWER(2,4)+MID(CR33,11,1)*POWER(2,5)+MID(CR33,10,1)*POWER(2,6)+MID(CR33,9,1)*POWER(2,7)+MID(CR33,8,1)*POWER(2,8)+MID(CR33,7,1)*POWER(2,9)+MID(CR33,6,1)*POWER(2,10)+MID(CR33,5,1)*POWER(2,11)+MID(CR33,4,1)*POWER(2,12)+MID(CR33,3,1)*POWER(2,13)+MID(CR33,2,1)*POWER(2,14)+MID(CR33,1,1)*POWER(2,15))</f>
        <v>-15581</v>
      </c>
      <c r="CU32" s="33" t="str">
        <f>CONCATENATE(MID($L32,1,1)*MID($K32,1,1),MID($L32,2,1)*MID($K32,2,1),MID($L32,3,1)*MID($K32,3,1),MID($L32,4,1)*MID($K32,4,1),MID($L32,5,1)*MID($K32,5,1),MID($L32,6,1)*MID($K32,6,1),MID($L32,7,1)*MID($K32,7,1),MID($L32,8,1)*MID($K32,8,1),MID($L32,9,1)*MID($K32,1,1),MID($L32,10,1)*MID($K32,2,1),MID($L32,11,1)*MID($K32,3,1),MID($L32,12,1)*MID($K32,4,1),MID($L32,13,1)*MID($K32,5,1),MID($L32,14,1)*MID($K32,6,1),MID($L32,15,1)*MID($K32,7,1),MID($L32,16,1)*MID($K32,8,1),MID($L32,17,1)*MID($K32,1,1),MID($L32,18,1)*MID($K32,2,1),MID($L32,19,1)*MID($K32,3,1),MID($L32,20,1)*MID($K32,4,1),MID($L32,21,1)*MID($K32,5,1),MID($L32,22,1)*MID($K32,6,1),MID($L32,23,1)*MID($K32,7,1),MID($L32,24,1)*MID($K32,8,1),MID($L32,25,1)*MID($K32,1,1),MID($L32,26,1)*MID($K32,2,1),MID($L32,27,1)*MID($K32,3,1),MID($L32,28,1)*MID($K32,4,1),MID($L32,29,1)*MID($K32,5,1),MID($L32,30,1)*MID($K32,6,1),MID($L32,31,1)*MID($K32,7,1),MID($L32,32,1)*MID($K32,8,1))</f>
        <v>00000000010000100000000001000011</v>
      </c>
      <c r="CV32" s="34" t="str">
        <f t="shared" si="60"/>
        <v>00000000</v>
      </c>
      <c r="CW32" s="34" t="str">
        <f t="shared" si="61"/>
        <v>01000010</v>
      </c>
      <c r="CX32" s="34" t="str">
        <f t="shared" si="62"/>
        <v>00000000</v>
      </c>
      <c r="CY32" s="34" t="str">
        <f t="shared" si="63"/>
        <v>01000011</v>
      </c>
      <c r="CZ32" s="87">
        <f>BIN2DEC(CV32)-BIN2DEC(CV33)</f>
        <v>-97</v>
      </c>
      <c r="DA32" s="87">
        <f>BIN2DEC(CW32)-BIN2DEC(CW33)</f>
        <v>0</v>
      </c>
      <c r="DB32" s="87">
        <f>BIN2DEC(CX32)-BIN2DEC(CX33)</f>
        <v>-65</v>
      </c>
      <c r="DC32" s="87">
        <f>BIN2DEC(CY32)-BIN2DEC(CY33)</f>
        <v>35</v>
      </c>
      <c r="DD32" s="35" t="str">
        <f t="shared" si="64"/>
        <v>1000</v>
      </c>
      <c r="DE32" s="35" t="str">
        <f t="shared" si="65"/>
        <v>0100</v>
      </c>
      <c r="DF32" s="35" t="str">
        <f t="shared" si="66"/>
        <v>0101</v>
      </c>
      <c r="DG32" s="35" t="str">
        <f t="shared" si="67"/>
        <v>0110</v>
      </c>
      <c r="DH32" s="35" t="str">
        <f t="shared" si="68"/>
        <v>0000</v>
      </c>
      <c r="DI32" s="35" t="str">
        <f t="shared" si="69"/>
        <v>0100</v>
      </c>
      <c r="DJ32" s="35" t="str">
        <f t="shared" si="70"/>
        <v>0100</v>
      </c>
      <c r="DK32" s="35" t="str">
        <f t="shared" si="71"/>
        <v>0011</v>
      </c>
      <c r="DL32" s="87">
        <f t="shared" ref="DL32:DS32" si="243">BIN2DEC(DD32)-BIN2DEC(DD33)</f>
        <v>-7</v>
      </c>
      <c r="DM32" s="87">
        <f t="shared" si="243"/>
        <v>-9</v>
      </c>
      <c r="DN32" s="87">
        <f t="shared" si="243"/>
        <v>-7</v>
      </c>
      <c r="DO32" s="87">
        <f t="shared" si="243"/>
        <v>4</v>
      </c>
      <c r="DP32" s="87">
        <f t="shared" si="243"/>
        <v>-5</v>
      </c>
      <c r="DQ32" s="87">
        <f t="shared" si="243"/>
        <v>-1</v>
      </c>
      <c r="DR32" s="87">
        <f t="shared" si="243"/>
        <v>2</v>
      </c>
      <c r="DS32" s="87">
        <f t="shared" si="243"/>
        <v>-5</v>
      </c>
      <c r="DT32" s="34" t="str">
        <f t="shared" si="10"/>
        <v>0000000001000010</v>
      </c>
      <c r="DU32" s="34" t="str">
        <f t="shared" si="11"/>
        <v>0000000001000011</v>
      </c>
      <c r="DV32" s="87">
        <f>MID(DT32,16,1)*POWER(2,0)+MID(DT32,15,1)*POWER(2,1)+MID(DT32,14,1)*POWER(2,2)+MID(DT32,13,1)*POWER(2,3)+MID(DT32,12,1)*POWER(2,4)+MID(DT32,11,1)*POWER(2,5)+MID(DT32,10,1)*POWER(2,6)+MID(DT32,9,1)*POWER(2,7)+MID(DT32,8,1)*POWER(2,8)+MID(DT32,7,1)*POWER(2,9)+MID(DT32,6,1)*POWER(2,10)+MID(DT32,5,1)*POWER(2,11)+MID(DT32,4,1)*POWER(2,12)+MID(DT32,3,1)*POWER(2,13)+MID(DT32,2,1)*POWER(2,14)+MID(DT32,1,1)*POWER(2,15)-(MID(DT33,16,1)*POWER(2,0)+MID(DT33,15,1)*POWER(2,1)+MID(DT33,14,1)*POWER(2,2)+MID(DT33,13,1)*POWER(2,3)+MID(DT33,12,1)*POWER(2,4)+MID(DT33,11,1)*POWER(2,5)+MID(DT33,10,1)*POWER(2,6)+MID(DT33,9,1)*POWER(2,7)+MID(DT33,8,1)*POWER(2,8)+MID(DT33,7,1)*POWER(2,9)+MID(DT33,6,1)*POWER(2,10)+MID(DT33,5,1)*POWER(2,11)+MID(DT33,4,1)*POWER(2,12)+MID(DT33,3,1)*POWER(2,13)+MID(DT33,2,1)*POWER(2,14)+MID(DT33,1,1)*POWER(2,15))</f>
        <v>-24832</v>
      </c>
      <c r="DW32" s="87">
        <f>MID(DU32,16,1)*POWER(2,0)+MID(DU32,15,1)*POWER(2,1)+MID(DU32,14,1)*POWER(2,2)+MID(DU32,13,1)*POWER(2,3)+MID(DU32,12,1)*POWER(2,4)+MID(DU32,11,1)*POWER(2,5)+MID(DU32,10,1)*POWER(2,6)+MID(DU32,9,1)*POWER(2,7)+MID(DU32,8,1)*POWER(2,8)+MID(DU32,7,1)*POWER(2,9)+MID(DU32,6,1)*POWER(2,10)+MID(DU32,5,1)*POWER(2,11)+MID(DU32,4,1)*POWER(2,12)+MID(DU32,3,1)*POWER(2,13)+MID(DU32,2,1)*POWER(2,14)+MID(DU32,1,1)*POWER(2,15)-(MID(DU33,16,1)*POWER(2,0)+MID(DU33,15,1)*POWER(2,1)+MID(DU33,14,1)*POWER(2,2)+MID(DU33,13,1)*POWER(2,3)+MID(DU33,12,1)*POWER(2,4)+MID(DU33,11,1)*POWER(2,5)+MID(DU33,10,1)*POWER(2,6)+MID(DU33,9,1)*POWER(2,7)+MID(DU33,8,1)*POWER(2,8)+MID(DU33,7,1)*POWER(2,9)+MID(DU33,6,1)*POWER(2,10)+MID(DU33,5,1)*POWER(2,11)+MID(DU33,4,1)*POWER(2,12)+MID(DU33,3,1)*POWER(2,13)+MID(DU33,2,1)*POWER(2,14)+MID(DU33,1,1)*POWER(2,15))</f>
        <v>-16605</v>
      </c>
      <c r="DX32" s="33" t="str">
        <f>CONCATENATE(MID($H32,1,1)*MID($K32,1,1),MID($H32,2,1)*MID($K32,2,1),MID($H32,3,1)*MID($K32,3,1),MID($H32,4,1)*MID($K32,4,1),MID($H32,5,1)*MID($K32,5,1),MID($H32,6,1)*MID($K32,6,1),MID($H32,7,1)*MID($K32,7,1),MID($H32,8,1)*MID($K32,8,1),MID($H32,9,1)*MID($K32,1,1),MID($H32,10,1)*MID($K32,2,1),MID($H32,11,1)*MID($K32,3,1),MID($H32,12,1)*MID($K32,4,1),MID($H32,13,1)*MID($K32,5,1),MID($H32,14,1)*MID($K32,6,1),MID($H32,15,1)*MID($K32,7,1),MID($H32,16,1)*MID($K32,8,1),MID($H32,17,1)*MID($K32,1,1),MID($H32,18,1)*MID($K32,2,1),MID($H32,19,1)*MID($K32,3,1),MID($H32,20,1)*MID($K32,4,1),MID($H32,21,1)*MID($K32,5,1),MID($H32,22,1)*MID($K32,6,1),MID($H32,23,1)*MID($K32,7,1),MID($H32,24,1)*MID($K32,8,1),MID($H32,25,1)*MID($K32,1,1),MID($H32,26,1)*MID($K32,2,1),MID($H32,27,1)*MID($K32,3,1),MID($H32,28,1)*MID($K32,4,1),MID($H32,29,1)*MID($K32,5,1),MID($H32,30,1)*MID($K32,6,1),MID($H32,31,1)*MID($K32,7,1),MID($H32,32,1)*MID($K32,8,1))</f>
        <v>00100010000000000010001000100000</v>
      </c>
      <c r="DY32" s="34" t="str">
        <f>CONCATENATE(MID(DX32,30,3),MID(DX32,17,5),MID(DX32,6,3),MID(DX32,25,5),MID(DX32,14,3),MID(DX32,1,5),MID(DX32,22,3),MID(DX32,9,5))</f>
        <v>00000100010001000000010001000000</v>
      </c>
      <c r="DZ32" s="34" t="str">
        <f t="shared" si="122"/>
        <v>00000100</v>
      </c>
      <c r="EA32" s="34" t="str">
        <f t="shared" si="72"/>
        <v>01000100</v>
      </c>
      <c r="EB32" s="34" t="str">
        <f t="shared" si="73"/>
        <v>00000100</v>
      </c>
      <c r="EC32" s="34" t="str">
        <f t="shared" si="74"/>
        <v>01000000</v>
      </c>
      <c r="ED32" s="87">
        <f>BIN2DEC(DZ32)-BIN2DEC(DZ33)</f>
        <v>-249</v>
      </c>
      <c r="EE32" s="87">
        <f>BIN2DEC(EA32)-BIN2DEC(EA33)</f>
        <v>-126</v>
      </c>
      <c r="EF32" s="87">
        <f>BIN2DEC(EB32)-BIN2DEC(EB33)</f>
        <v>-81</v>
      </c>
      <c r="EG32" s="87">
        <f>BIN2DEC(EC32)-BIN2DEC(EC33)</f>
        <v>24</v>
      </c>
      <c r="EH32" s="35" t="str">
        <f t="shared" si="75"/>
        <v>1000</v>
      </c>
      <c r="EI32" s="35" t="str">
        <f t="shared" si="76"/>
        <v>0100</v>
      </c>
      <c r="EJ32" s="35" t="str">
        <f t="shared" si="77"/>
        <v>0101</v>
      </c>
      <c r="EK32" s="35" t="str">
        <f t="shared" si="78"/>
        <v>0110</v>
      </c>
      <c r="EL32" s="35" t="str">
        <f t="shared" si="79"/>
        <v>0000</v>
      </c>
      <c r="EM32" s="35" t="str">
        <f t="shared" si="80"/>
        <v>0100</v>
      </c>
      <c r="EN32" s="35" t="str">
        <f t="shared" si="81"/>
        <v>0100</v>
      </c>
      <c r="EO32" s="35" t="str">
        <f t="shared" si="82"/>
        <v>0011</v>
      </c>
      <c r="EP32" s="87">
        <f t="shared" ref="EP32:EW32" si="244">BIN2DEC(EH32)-BIN2DEC(EH33)</f>
        <v>-7</v>
      </c>
      <c r="EQ32" s="87">
        <f t="shared" si="244"/>
        <v>-9</v>
      </c>
      <c r="ER32" s="87">
        <f t="shared" si="244"/>
        <v>-7</v>
      </c>
      <c r="ES32" s="87">
        <f t="shared" si="244"/>
        <v>4</v>
      </c>
      <c r="ET32" s="87">
        <f t="shared" si="244"/>
        <v>-5</v>
      </c>
      <c r="EU32" s="87">
        <f t="shared" si="244"/>
        <v>-1</v>
      </c>
      <c r="EV32" s="87">
        <f t="shared" si="244"/>
        <v>2</v>
      </c>
      <c r="EW32" s="87">
        <f t="shared" si="244"/>
        <v>-5</v>
      </c>
      <c r="EX32" s="34" t="str">
        <f t="shared" si="13"/>
        <v>0000010001000100</v>
      </c>
      <c r="EY32" s="34" t="str">
        <f t="shared" si="14"/>
        <v>0000010001000000</v>
      </c>
      <c r="EZ32" s="87">
        <f>MID(EX32,16,1)*POWER(2,0)+MID(EX32,15,1)*POWER(2,1)+MID(EX32,14,1)*POWER(2,2)+MID(EX32,13,1)*POWER(2,3)+MID(EX32,12,1)*POWER(2,4)+MID(EX32,11,1)*POWER(2,5)+MID(EX32,10,1)*POWER(2,6)+MID(EX32,9,1)*POWER(2,7)+MID(EX32,8,1)*POWER(2,8)+MID(EX32,7,1)*POWER(2,9)+MID(EX32,6,1)*POWER(2,10)+MID(EX32,5,1)*POWER(2,11)+MID(EX32,4,1)*POWER(2,12)+MID(EX32,3,1)*POWER(2,13)+MID(EX32,2,1)*POWER(2,14)+MID(EX32,1,1)*POWER(2,15)-(MID(EX33,16,1)*POWER(2,0)+MID(EX33,15,1)*POWER(2,1)+MID(EX33,14,1)*POWER(2,2)+MID(EX33,13,1)*POWER(2,3)+MID(EX33,12,1)*POWER(2,4)+MID(EX33,11,1)*POWER(2,5)+MID(EX33,10,1)*POWER(2,6)+MID(EX33,9,1)*POWER(2,7)+MID(EX33,8,1)*POWER(2,8)+MID(EX33,7,1)*POWER(2,9)+MID(EX33,6,1)*POWER(2,10)+MID(EX33,5,1)*POWER(2,11)+MID(EX33,4,1)*POWER(2,12)+MID(EX33,3,1)*POWER(2,13)+MID(EX33,2,1)*POWER(2,14)+MID(EX33,1,1)*POWER(2,15))</f>
        <v>-63870</v>
      </c>
      <c r="FA32" s="87">
        <f>MID(EY32,16,1)*POWER(2,0)+MID(EY32,15,1)*POWER(2,1)+MID(EY32,14,1)*POWER(2,2)+MID(EY32,13,1)*POWER(2,3)+MID(EY32,12,1)*POWER(2,4)+MID(EY32,11,1)*POWER(2,5)+MID(EY32,10,1)*POWER(2,6)+MID(EY32,9,1)*POWER(2,7)+MID(EY32,8,1)*POWER(2,8)+MID(EY32,7,1)*POWER(2,9)+MID(EY32,6,1)*POWER(2,10)+MID(EY32,5,1)*POWER(2,11)+MID(EY32,4,1)*POWER(2,12)+MID(EY32,3,1)*POWER(2,13)+MID(EY32,2,1)*POWER(2,14)+MID(EY32,1,1)*POWER(2,15)-(MID(EY33,16,1)*POWER(2,0)+MID(EY33,15,1)*POWER(2,1)+MID(EY33,14,1)*POWER(2,2)+MID(EY33,13,1)*POWER(2,3)+MID(EY33,12,1)*POWER(2,4)+MID(EY33,11,1)*POWER(2,5)+MID(EY33,10,1)*POWER(2,6)+MID(EY33,9,1)*POWER(2,7)+MID(EY33,8,1)*POWER(2,8)+MID(EY33,7,1)*POWER(2,9)+MID(EY33,6,1)*POWER(2,10)+MID(EY33,5,1)*POWER(2,11)+MID(EY33,4,1)*POWER(2,12)+MID(EY33,3,1)*POWER(2,13)+MID(EY33,2,1)*POWER(2,14)+MID(EY33,1,1)*POWER(2,15))</f>
        <v>-20712</v>
      </c>
      <c r="FB32" s="33" t="str">
        <f>CONCATENATE(MID(DY32,1,1)*MID($K32,1,1),MID(DY32,2,1)*MID($K32,2,1),MID(DY32,3,1)*MID($K32,3,1),MID(DY32,4,1)*MID($K32,4,1),MID(DY32,5,1)*MID($K32,5,1),MID(DY32,6,1)*MID($K32,6,1),MID(DY32,7,1)*MID($K32,7,1),MID(DY32,8,1)*MID($K32,8,1),MID(DY32,9,1)*MID($K32,1,1),MID(DY32,10,1)*MID($K32,2,1),MID(DY32,11,1)*MID($K32,3,1),MID(DY32,12,1)*MID($K32,4,1),MID(DY32,13,1)*MID($K32,5,1),MID(DY32,14,1)*MID($K32,6,1),MID(DY32,15,1)*MID($K32,7,1),MID(DY32,16,1)*MID($K32,8,1),MID(DY32,17,1)*MID($K32,1,1),MID(DY32,18,1)*MID($K32,2,1),MID(DY32,19,1)*MID($K32,3,1),MID(DY32,20,1)*MID($K32,4,1),MID(DY32,21,1)*MID($K32,5,1),MID(DY32,22,1)*MID($K32,6,1),MID(DY32,23,1)*MID($K32,7,1),MID(DY32,24,1)*MID($K32,8,1),MID(DY32,25,1)*MID($K32,1,1),MID(DY32,26,1)*MID($K32,2,1),MID(DY32,27,1)*MID($K32,3,1),MID(DY32,28,1)*MID($K32,4,1),MID(DY32,29,1)*MID($K32,5,1),MID(DY32,30,1)*MID($K32,6,1),MID(DY32,31,1)*MID($K32,7,1),MID(DY32,32,1)*MID($K32,8,1))</f>
        <v>00000000010000000000000001000000</v>
      </c>
      <c r="FC32" s="34" t="str">
        <f t="shared" si="124"/>
        <v>00000000</v>
      </c>
      <c r="FD32" s="34" t="str">
        <f t="shared" si="83"/>
        <v>01000000</v>
      </c>
      <c r="FE32" s="34" t="str">
        <f t="shared" si="84"/>
        <v>00000000</v>
      </c>
      <c r="FF32" s="34" t="str">
        <f t="shared" si="85"/>
        <v>01000000</v>
      </c>
      <c r="FG32" s="87">
        <f>BIN2DEC(FC32)-BIN2DEC(FC33)</f>
        <v>-253</v>
      </c>
      <c r="FH32" s="87">
        <f>BIN2DEC(FD32)-BIN2DEC(FD33)</f>
        <v>-130</v>
      </c>
      <c r="FI32" s="87">
        <f>BIN2DEC(FE32)-BIN2DEC(FE33)</f>
        <v>-85</v>
      </c>
      <c r="FJ32" s="87">
        <f>BIN2DEC(FF32)-BIN2DEC(FF33)</f>
        <v>24</v>
      </c>
      <c r="FK32" s="35" t="str">
        <f t="shared" si="86"/>
        <v>1000</v>
      </c>
      <c r="FL32" s="35" t="str">
        <f t="shared" si="87"/>
        <v>0100</v>
      </c>
      <c r="FM32" s="35" t="str">
        <f t="shared" si="88"/>
        <v>0101</v>
      </c>
      <c r="FN32" s="35" t="str">
        <f t="shared" si="89"/>
        <v>0110</v>
      </c>
      <c r="FO32" s="35" t="str">
        <f t="shared" si="90"/>
        <v>0000</v>
      </c>
      <c r="FP32" s="35" t="str">
        <f t="shared" si="91"/>
        <v>0100</v>
      </c>
      <c r="FQ32" s="35" t="str">
        <f t="shared" si="92"/>
        <v>0100</v>
      </c>
      <c r="FR32" s="35" t="str">
        <f t="shared" si="93"/>
        <v>0011</v>
      </c>
      <c r="FS32" s="87">
        <f t="shared" ref="FS32:FZ32" si="245">BIN2DEC(FK32)-BIN2DEC(FK33)</f>
        <v>-7</v>
      </c>
      <c r="FT32" s="87">
        <f t="shared" si="245"/>
        <v>-9</v>
      </c>
      <c r="FU32" s="87">
        <f t="shared" si="245"/>
        <v>-7</v>
      </c>
      <c r="FV32" s="87">
        <f t="shared" si="245"/>
        <v>4</v>
      </c>
      <c r="FW32" s="87">
        <f t="shared" si="245"/>
        <v>-5</v>
      </c>
      <c r="FX32" s="87">
        <f t="shared" si="245"/>
        <v>-1</v>
      </c>
      <c r="FY32" s="87">
        <f t="shared" si="245"/>
        <v>2</v>
      </c>
      <c r="FZ32" s="87">
        <f t="shared" si="245"/>
        <v>-5</v>
      </c>
      <c r="GA32" s="34" t="str">
        <f t="shared" si="16"/>
        <v>0000000001000000</v>
      </c>
      <c r="GB32" s="34" t="str">
        <f t="shared" si="17"/>
        <v>0000000001000000</v>
      </c>
      <c r="GC32" s="87">
        <f>MID(GA32,16,1)*POWER(2,0)+MID(GA32,15,1)*POWER(2,1)+MID(GA32,14,1)*POWER(2,2)+MID(GA32,13,1)*POWER(2,3)+MID(GA32,12,1)*POWER(2,4)+MID(GA32,11,1)*POWER(2,5)+MID(GA32,10,1)*POWER(2,6)+MID(GA32,9,1)*POWER(2,7)+MID(GA32,8,1)*POWER(2,8)+MID(GA32,7,1)*POWER(2,9)+MID(GA32,6,1)*POWER(2,10)+MID(GA32,5,1)*POWER(2,11)+MID(GA32,4,1)*POWER(2,12)+MID(GA32,3,1)*POWER(2,13)+MID(GA32,2,1)*POWER(2,14)+MID(GA32,1,1)*POWER(2,15)-(MID(GA33,16,1)*POWER(2,0)+MID(GA33,15,1)*POWER(2,1)+MID(GA33,14,1)*POWER(2,2)+MID(GA33,13,1)*POWER(2,3)+MID(GA33,12,1)*POWER(2,4)+MID(GA33,11,1)*POWER(2,5)+MID(GA33,10,1)*POWER(2,6)+MID(GA33,9,1)*POWER(2,7)+MID(GA33,8,1)*POWER(2,8)+MID(GA33,7,1)*POWER(2,9)+MID(GA33,6,1)*POWER(2,10)+MID(GA33,5,1)*POWER(2,11)+MID(GA33,4,1)*POWER(2,12)+MID(GA33,3,1)*POWER(2,13)+MID(GA33,2,1)*POWER(2,14)+MID(GA33,1,1)*POWER(2,15))</f>
        <v>-64898</v>
      </c>
      <c r="GD32" s="87">
        <f>MID(GB32,16,1)*POWER(2,0)+MID(GB32,15,1)*POWER(2,1)+MID(GB32,14,1)*POWER(2,2)+MID(GB32,13,1)*POWER(2,3)+MID(GB32,12,1)*POWER(2,4)+MID(GB32,11,1)*POWER(2,5)+MID(GB32,10,1)*POWER(2,6)+MID(GB32,9,1)*POWER(2,7)+MID(GB32,8,1)*POWER(2,8)+MID(GB32,7,1)*POWER(2,9)+MID(GB32,6,1)*POWER(2,10)+MID(GB32,5,1)*POWER(2,11)+MID(GB32,4,1)*POWER(2,12)+MID(GB32,3,1)*POWER(2,13)+MID(GB32,2,1)*POWER(2,14)+MID(GB32,1,1)*POWER(2,15)-(MID(GB33,16,1)*POWER(2,0)+MID(GB33,15,1)*POWER(2,1)+MID(GB33,14,1)*POWER(2,2)+MID(GB33,13,1)*POWER(2,3)+MID(GB33,12,1)*POWER(2,4)+MID(GB33,11,1)*POWER(2,5)+MID(GB33,10,1)*POWER(2,6)+MID(GB33,9,1)*POWER(2,7)+MID(GB33,8,1)*POWER(2,8)+MID(GB33,7,1)*POWER(2,9)+MID(GB33,6,1)*POWER(2,10)+MID(GB33,5,1)*POWER(2,11)+MID(GB33,4,1)*POWER(2,12)+MID(GB33,3,1)*POWER(2,13)+MID(GB33,2,1)*POWER(2,14)+MID(GB33,1,1)*POWER(2,15))</f>
        <v>-21736</v>
      </c>
      <c r="GE32" s="35" t="str">
        <f>DY32</f>
        <v>00000100010001000000010001000000</v>
      </c>
      <c r="GF32" s="34" t="str">
        <f t="shared" si="126"/>
        <v>00000100</v>
      </c>
      <c r="GG32" s="34" t="str">
        <f t="shared" si="94"/>
        <v>01000100</v>
      </c>
      <c r="GH32" s="34" t="str">
        <f t="shared" si="95"/>
        <v>00000100</v>
      </c>
      <c r="GI32" s="34" t="str">
        <f t="shared" si="96"/>
        <v>01000000</v>
      </c>
      <c r="GJ32" s="87">
        <f>BIN2DEC(GF32)-BIN2DEC(GF33)</f>
        <v>-93</v>
      </c>
      <c r="GK32" s="87">
        <f>BIN2DEC(GG32)-BIN2DEC(GG33)</f>
        <v>2</v>
      </c>
      <c r="GL32" s="87">
        <f>BIN2DEC(GH32)-BIN2DEC(GH33)</f>
        <v>-61</v>
      </c>
      <c r="GM32" s="87">
        <f>BIN2DEC(GI32)-BIN2DEC(GI33)</f>
        <v>32</v>
      </c>
      <c r="GN32" s="35" t="str">
        <f t="shared" si="97"/>
        <v>1000</v>
      </c>
      <c r="GO32" s="35" t="str">
        <f t="shared" si="98"/>
        <v>0100</v>
      </c>
      <c r="GP32" s="35" t="str">
        <f t="shared" si="99"/>
        <v>0101</v>
      </c>
      <c r="GQ32" s="35" t="str">
        <f t="shared" si="100"/>
        <v>0110</v>
      </c>
      <c r="GR32" s="35" t="str">
        <f t="shared" si="101"/>
        <v>0000</v>
      </c>
      <c r="GS32" s="35" t="str">
        <f t="shared" si="102"/>
        <v>0100</v>
      </c>
      <c r="GT32" s="35" t="str">
        <f t="shared" si="103"/>
        <v>0100</v>
      </c>
      <c r="GU32" s="35" t="str">
        <f t="shared" si="104"/>
        <v>0011</v>
      </c>
      <c r="GV32" s="87">
        <f t="shared" ref="GV32:HC32" si="246">BIN2DEC(GN32)-BIN2DEC(GN33)</f>
        <v>-7</v>
      </c>
      <c r="GW32" s="87">
        <f t="shared" si="246"/>
        <v>-9</v>
      </c>
      <c r="GX32" s="87">
        <f t="shared" si="246"/>
        <v>-7</v>
      </c>
      <c r="GY32" s="87">
        <f t="shared" si="246"/>
        <v>4</v>
      </c>
      <c r="GZ32" s="87">
        <f t="shared" si="246"/>
        <v>-5</v>
      </c>
      <c r="HA32" s="87">
        <f t="shared" si="246"/>
        <v>-1</v>
      </c>
      <c r="HB32" s="87">
        <f t="shared" si="246"/>
        <v>2</v>
      </c>
      <c r="HC32" s="87">
        <f t="shared" si="246"/>
        <v>-5</v>
      </c>
      <c r="HD32" s="34" t="str">
        <f t="shared" si="19"/>
        <v>0000010001000100</v>
      </c>
      <c r="HE32" s="34" t="str">
        <f t="shared" si="20"/>
        <v>0000010001000000</v>
      </c>
      <c r="HF32" s="87">
        <f>MID(HD32,16,1)*POWER(2,0)+MID(HD32,15,1)*POWER(2,1)+MID(HD32,14,1)*POWER(2,2)+MID(HD32,13,1)*POWER(2,3)+MID(HD32,12,1)*POWER(2,4)+MID(HD32,11,1)*POWER(2,5)+MID(HD32,10,1)*POWER(2,6)+MID(HD32,9,1)*POWER(2,7)+MID(HD32,8,1)*POWER(2,8)+MID(HD32,7,1)*POWER(2,9)+MID(HD32,6,1)*POWER(2,10)+MID(HD32,5,1)*POWER(2,11)+MID(HD32,4,1)*POWER(2,12)+MID(HD32,3,1)*POWER(2,13)+MID(HD32,2,1)*POWER(2,14)+MID(HD32,1,1)*POWER(2,15)-(MID(HD33,16,1)*POWER(2,0)+MID(HD33,15,1)*POWER(2,1)+MID(HD33,14,1)*POWER(2,2)+MID(HD33,13,1)*POWER(2,3)+MID(HD33,12,1)*POWER(2,4)+MID(HD33,11,1)*POWER(2,5)+MID(HD33,10,1)*POWER(2,6)+MID(HD33,9,1)*POWER(2,7)+MID(HD33,8,1)*POWER(2,8)+MID(HD33,7,1)*POWER(2,9)+MID(HD33,6,1)*POWER(2,10)+MID(HD33,5,1)*POWER(2,11)+MID(HD33,4,1)*POWER(2,12)+MID(HD33,3,1)*POWER(2,13)+MID(HD33,2,1)*POWER(2,14)+MID(HD33,1,1)*POWER(2,15))</f>
        <v>-23806</v>
      </c>
      <c r="HG32" s="87">
        <f>MID(HE32,16,1)*POWER(2,0)+MID(HE32,15,1)*POWER(2,1)+MID(HE32,14,1)*POWER(2,2)+MID(HE32,13,1)*POWER(2,3)+MID(HE32,12,1)*POWER(2,4)+MID(HE32,11,1)*POWER(2,5)+MID(HE32,10,1)*POWER(2,6)+MID(HE32,9,1)*POWER(2,7)+MID(HE32,8,1)*POWER(2,8)+MID(HE32,7,1)*POWER(2,9)+MID(HE32,6,1)*POWER(2,10)+MID(HE32,5,1)*POWER(2,11)+MID(HE32,4,1)*POWER(2,12)+MID(HE32,3,1)*POWER(2,13)+MID(HE32,2,1)*POWER(2,14)+MID(HE32,1,1)*POWER(2,15)-(MID(HE33,16,1)*POWER(2,0)+MID(HE33,15,1)*POWER(2,1)+MID(HE33,14,1)*POWER(2,2)+MID(HE33,13,1)*POWER(2,3)+MID(HE33,12,1)*POWER(2,4)+MID(HE33,11,1)*POWER(2,5)+MID(HE33,10,1)*POWER(2,6)+MID(HE33,9,1)*POWER(2,7)+MID(HE33,8,1)*POWER(2,8)+MID(HE33,7,1)*POWER(2,9)+MID(HE33,6,1)*POWER(2,10)+MID(HE33,5,1)*POWER(2,11)+MID(HE33,4,1)*POWER(2,12)+MID(HE33,3,1)*POWER(2,13)+MID(HE33,2,1)*POWER(2,14)+MID(HE33,1,1)*POWER(2,15))</f>
        <v>-15584</v>
      </c>
      <c r="HH32" s="33" t="str">
        <f>CONCATENATE(MID(GE32,1,1)*MID($K32,1,1),MID(GE32,2,1)*MID($K32,2,1),MID(GE32,3,1)*MID($K32,3,1),MID(GE32,4,1)*MID($K32,4,1),MID(GE32,5,1)*MID($K32,5,1),MID(GE32,6,1)*MID($K32,6,1),MID(GE32,7,1)*MID($K32,7,1),MID(GE32,8,1)*MID($K32,8,1),MID(GE32,9,1)*MID($K32,1,1),MID(GE32,10,1)*MID($K32,2,1),MID(GE32,11,1)*MID($K32,3,1),MID(GE32,12,1)*MID($K32,4,1),MID(GE32,13,1)*MID($K32,5,1),MID(GE32,14,1)*MID($K32,6,1),MID(GE32,15,1)*MID($K32,7,1),MID(GE32,16,1)*MID($K32,8,1),MID(GE32,17,1)*MID($K32,1,1),MID(GE32,18,1)*MID($K32,2,1),MID(GE32,19,1)*MID($K32,3,1),MID(GE32,20,1)*MID($K32,4,1),MID(GE32,21,1)*MID($K32,5,1),MID(GE32,22,1)*MID($K32,6,1),MID(GE32,23,1)*MID($K32,7,1),MID(GE32,24,1)*MID($K32,8,1),MID(GE32,25,1)*MID($K32,1,1),MID(GE32,26,1)*MID($K32,2,1),MID(GE32,27,1)*MID($K32,3,1),MID(GE32,28,1)*MID($K32,4,1),MID(GE32,29,1)*MID($K32,5,1),MID(GE32,30,1)*MID($K32,6,1),MID(GE32,31,1)*MID($K32,7,1),MID(GE32,32,1)*MID($K32,8,1))</f>
        <v>00000000010000000000000001000000</v>
      </c>
      <c r="HI32" s="34" t="str">
        <f t="shared" si="128"/>
        <v>00000000</v>
      </c>
      <c r="HJ32" s="34" t="str">
        <f t="shared" si="105"/>
        <v>01000000</v>
      </c>
      <c r="HK32" s="34" t="str">
        <f t="shared" si="106"/>
        <v>00000000</v>
      </c>
      <c r="HL32" s="34" t="str">
        <f t="shared" si="107"/>
        <v>01000000</v>
      </c>
      <c r="HM32" s="87">
        <f>BIN2DEC(HI32)-BIN2DEC(HI33)</f>
        <v>-97</v>
      </c>
      <c r="HN32" s="87">
        <f>BIN2DEC(HJ32)-BIN2DEC(HJ33)</f>
        <v>-2</v>
      </c>
      <c r="HO32" s="87">
        <f>BIN2DEC(HK32)-BIN2DEC(HK33)</f>
        <v>-65</v>
      </c>
      <c r="HP32" s="87">
        <f>BIN2DEC(HL32)-BIN2DEC(HL33)</f>
        <v>32</v>
      </c>
      <c r="HQ32" s="35" t="str">
        <f t="shared" si="108"/>
        <v>1000</v>
      </c>
      <c r="HR32" s="35" t="str">
        <f t="shared" si="109"/>
        <v>0100</v>
      </c>
      <c r="HS32" s="35" t="str">
        <f t="shared" si="110"/>
        <v>0101</v>
      </c>
      <c r="HT32" s="35" t="str">
        <f t="shared" si="111"/>
        <v>0110</v>
      </c>
      <c r="HU32" s="35" t="str">
        <f t="shared" si="112"/>
        <v>0000</v>
      </c>
      <c r="HV32" s="35" t="str">
        <f t="shared" si="113"/>
        <v>0100</v>
      </c>
      <c r="HW32" s="35" t="str">
        <f t="shared" si="114"/>
        <v>0100</v>
      </c>
      <c r="HX32" s="35" t="str">
        <f t="shared" si="115"/>
        <v>0011</v>
      </c>
      <c r="HY32" s="87">
        <f t="shared" ref="HY32:IF32" si="247">BIN2DEC(HQ32)-BIN2DEC(HQ33)</f>
        <v>-7</v>
      </c>
      <c r="HZ32" s="87">
        <f t="shared" si="247"/>
        <v>-9</v>
      </c>
      <c r="IA32" s="87">
        <f t="shared" si="247"/>
        <v>-7</v>
      </c>
      <c r="IB32" s="87">
        <f t="shared" si="247"/>
        <v>4</v>
      </c>
      <c r="IC32" s="87">
        <f t="shared" si="247"/>
        <v>-5</v>
      </c>
      <c r="ID32" s="87">
        <f t="shared" si="247"/>
        <v>-1</v>
      </c>
      <c r="IE32" s="87">
        <f t="shared" si="247"/>
        <v>2</v>
      </c>
      <c r="IF32" s="87">
        <f t="shared" si="247"/>
        <v>-5</v>
      </c>
      <c r="IG32" s="34" t="str">
        <f t="shared" si="22"/>
        <v>0000000001000000</v>
      </c>
      <c r="IH32" s="34" t="str">
        <f t="shared" si="23"/>
        <v>0000000001000000</v>
      </c>
      <c r="II32" s="87">
        <f>MID(IG32,16,1)*POWER(2,0)+MID(IG32,15,1)*POWER(2,1)+MID(IG32,14,1)*POWER(2,2)+MID(IG32,13,1)*POWER(2,3)+MID(IG32,12,1)*POWER(2,4)+MID(IG32,11,1)*POWER(2,5)+MID(IG32,10,1)*POWER(2,6)+MID(IG32,9,1)*POWER(2,7)+MID(IG32,8,1)*POWER(2,8)+MID(IG32,7,1)*POWER(2,9)+MID(IG32,6,1)*POWER(2,10)+MID(IG32,5,1)*POWER(2,11)+MID(IG32,4,1)*POWER(2,12)+MID(IG32,3,1)*POWER(2,13)+MID(IG32,2,1)*POWER(2,14)+MID(IG32,1,1)*POWER(2,15)-(MID(IG33,16,1)*POWER(2,0)+MID(IG33,15,1)*POWER(2,1)+MID(IG33,14,1)*POWER(2,2)+MID(IG33,13,1)*POWER(2,3)+MID(IG33,12,1)*POWER(2,4)+MID(IG33,11,1)*POWER(2,5)+MID(IG33,10,1)*POWER(2,6)+MID(IG33,9,1)*POWER(2,7)+MID(IG33,8,1)*POWER(2,8)+MID(IG33,7,1)*POWER(2,9)+MID(IG33,6,1)*POWER(2,10)+MID(IG33,5,1)*POWER(2,11)+MID(IG33,4,1)*POWER(2,12)+MID(IG33,3,1)*POWER(2,13)+MID(IG33,2,1)*POWER(2,14)+MID(IG33,1,1)*POWER(2,15))</f>
        <v>-24834</v>
      </c>
      <c r="IJ32" s="87">
        <f>MID(IH32,16,1)*POWER(2,0)+MID(IH32,15,1)*POWER(2,1)+MID(IH32,14,1)*POWER(2,2)+MID(IH32,13,1)*POWER(2,3)+MID(IH32,12,1)*POWER(2,4)+MID(IH32,11,1)*POWER(2,5)+MID(IH32,10,1)*POWER(2,6)+MID(IH32,9,1)*POWER(2,7)+MID(IH32,8,1)*POWER(2,8)+MID(IH32,7,1)*POWER(2,9)+MID(IH32,6,1)*POWER(2,10)+MID(IH32,5,1)*POWER(2,11)+MID(IH32,4,1)*POWER(2,12)+MID(IH32,3,1)*POWER(2,13)+MID(IH32,2,1)*POWER(2,14)+MID(IH32,1,1)*POWER(2,15)-(MID(IH33,16,1)*POWER(2,0)+MID(IH33,15,1)*POWER(2,1)+MID(IH33,14,1)*POWER(2,2)+MID(IH33,13,1)*POWER(2,3)+MID(IH33,12,1)*POWER(2,4)+MID(IH33,11,1)*POWER(2,5)+MID(IH33,10,1)*POWER(2,6)+MID(IH33,9,1)*POWER(2,7)+MID(IH33,8,1)*POWER(2,8)+MID(IH33,7,1)*POWER(2,9)+MID(IH33,6,1)*POWER(2,10)+MID(IH33,5,1)*POWER(2,11)+MID(IH33,4,1)*POWER(2,12)+MID(IH33,3,1)*POWER(2,13)+MID(IH33,2,1)*POWER(2,14)+MID(IH33,1,1)*POWER(2,15))</f>
        <v>-16608</v>
      </c>
      <c r="IL32" s="34"/>
      <c r="IM32" s="34"/>
      <c r="IN32" s="34"/>
      <c r="IO32" s="34"/>
      <c r="IP32" s="33"/>
      <c r="IQ32" s="33"/>
      <c r="IR32" s="33"/>
      <c r="IS32" s="33"/>
      <c r="JB32" s="33"/>
      <c r="JC32" s="33"/>
      <c r="JD32" s="33"/>
      <c r="JE32" s="33"/>
      <c r="JF32" s="33"/>
      <c r="JG32" s="33"/>
      <c r="JH32" s="33"/>
      <c r="JI32" s="33"/>
      <c r="JJ32" s="34"/>
      <c r="JK32" s="34"/>
      <c r="JL32" s="33"/>
      <c r="JM32" s="33"/>
    </row>
    <row r="33" spans="1:273" s="39" customFormat="1" ht="18.600000000000001" thickBot="1" x14ac:dyDescent="0.4">
      <c r="A33" s="36"/>
      <c r="B33" s="37"/>
      <c r="C33" s="51" t="s">
        <v>6</v>
      </c>
      <c r="D33" s="51" t="s">
        <v>156</v>
      </c>
      <c r="E33" s="51" t="s">
        <v>29</v>
      </c>
      <c r="F33" s="51">
        <v>55</v>
      </c>
      <c r="G33" s="51">
        <v>28</v>
      </c>
      <c r="H33" s="51" t="str">
        <f t="shared" si="198"/>
        <v>11111101110000100101010100101000</v>
      </c>
      <c r="I33" s="51">
        <f t="shared" si="199"/>
        <v>16</v>
      </c>
      <c r="J33" s="51"/>
      <c r="K33" s="51"/>
      <c r="L33" s="38" t="str">
        <f>H33</f>
        <v>11111101110000100101010100101000</v>
      </c>
      <c r="M33" s="38" t="str">
        <f t="shared" si="24"/>
        <v>11111101</v>
      </c>
      <c r="N33" s="38" t="str">
        <f t="shared" si="25"/>
        <v>11000010</v>
      </c>
      <c r="O33" s="38" t="str">
        <f t="shared" si="26"/>
        <v>01010101</v>
      </c>
      <c r="P33" s="38" t="str">
        <f t="shared" si="27"/>
        <v>00101000</v>
      </c>
      <c r="Q33" s="88"/>
      <c r="R33" s="88"/>
      <c r="S33" s="88"/>
      <c r="T33" s="88"/>
      <c r="U33" s="39" t="str">
        <f t="shared" si="28"/>
        <v>1111</v>
      </c>
      <c r="V33" s="39" t="str">
        <f t="shared" si="29"/>
        <v>1101</v>
      </c>
      <c r="W33" s="39" t="str">
        <f t="shared" si="30"/>
        <v>1100</v>
      </c>
      <c r="X33" s="39" t="str">
        <f t="shared" si="31"/>
        <v>0010</v>
      </c>
      <c r="Y33" s="39" t="str">
        <f t="shared" si="32"/>
        <v>0101</v>
      </c>
      <c r="Z33" s="39" t="str">
        <f t="shared" si="33"/>
        <v>0101</v>
      </c>
      <c r="AA33" s="39" t="str">
        <f t="shared" si="34"/>
        <v>0010</v>
      </c>
      <c r="AB33" s="39" t="str">
        <f t="shared" si="35"/>
        <v>1000</v>
      </c>
      <c r="AC33" s="88"/>
      <c r="AD33" s="88"/>
      <c r="AE33" s="88"/>
      <c r="AF33" s="88"/>
      <c r="AG33" s="88"/>
      <c r="AH33" s="88"/>
      <c r="AI33" s="88"/>
      <c r="AJ33" s="88"/>
      <c r="AK33" s="38" t="str">
        <f t="shared" si="1"/>
        <v>1111110111000010</v>
      </c>
      <c r="AL33" s="38" t="str">
        <f t="shared" si="2"/>
        <v>0101010100101000</v>
      </c>
      <c r="AM33" s="88"/>
      <c r="AN33" s="88"/>
      <c r="AO33" s="37" t="str">
        <f>L33</f>
        <v>11111101110000100101010100101000</v>
      </c>
      <c r="AP33" s="38" t="str">
        <f t="shared" si="36"/>
        <v>11111101</v>
      </c>
      <c r="AQ33" s="38" t="str">
        <f t="shared" si="37"/>
        <v>11000010</v>
      </c>
      <c r="AR33" s="38" t="str">
        <f t="shared" si="38"/>
        <v>01010101</v>
      </c>
      <c r="AS33" s="38" t="str">
        <f t="shared" si="39"/>
        <v>00101000</v>
      </c>
      <c r="AT33" s="88"/>
      <c r="AU33" s="88"/>
      <c r="AV33" s="88"/>
      <c r="AW33" s="88"/>
      <c r="AX33" s="39" t="str">
        <f t="shared" si="40"/>
        <v>1111</v>
      </c>
      <c r="AY33" s="39" t="str">
        <f t="shared" si="41"/>
        <v>1101</v>
      </c>
      <c r="AZ33" s="39" t="str">
        <f t="shared" si="42"/>
        <v>1100</v>
      </c>
      <c r="BA33" s="39" t="str">
        <f t="shared" si="43"/>
        <v>0010</v>
      </c>
      <c r="BB33" s="39" t="str">
        <f t="shared" si="44"/>
        <v>0101</v>
      </c>
      <c r="BC33" s="39" t="str">
        <f t="shared" si="45"/>
        <v>0101</v>
      </c>
      <c r="BD33" s="39" t="str">
        <f t="shared" si="46"/>
        <v>0010</v>
      </c>
      <c r="BE33" s="39" t="str">
        <f t="shared" si="47"/>
        <v>1000</v>
      </c>
      <c r="BF33" s="88"/>
      <c r="BG33" s="88"/>
      <c r="BH33" s="88"/>
      <c r="BI33" s="88"/>
      <c r="BJ33" s="88"/>
      <c r="BK33" s="88"/>
      <c r="BL33" s="88"/>
      <c r="BM33" s="88"/>
      <c r="BN33" s="38" t="str">
        <f t="shared" si="4"/>
        <v>1111110111000010</v>
      </c>
      <c r="BO33" s="38" t="str">
        <f t="shared" si="5"/>
        <v>0101010100101000</v>
      </c>
      <c r="BP33" s="88"/>
      <c r="BQ33" s="88"/>
      <c r="BR33" s="37" t="str">
        <f>CONCATENATE(MID(L33,1,1)*MID(K32,1,1),MID(L33,2,1)*MID(K32,2,1),MID(L33,3,1)*MID(K32,3,1),MID(L33,4,1)*MID(K32,4,1),MID(L33,5,1)*MID(K32,5,1),MID(L33,6,1)*MID(K32,6,1),MID(L33,7,1)*MID(K32,7,1),MID(L33,8,1)*MID(K32,8,1),MID(L33,9,1)*MID(K32,1,1),MID(L33,10,1)*MID(K32,2,1),MID(L33,11,1)*MID(K32,3,1),MID(L33,12,1)*MID(K32,4,1),MID(L33,13,1)*MID(K32,5,1),MID(L33,14,1)*MID(K32,6,1),MID(L33,15,1)*MID(K32,7,1),MID(L33,16,1)*MID(K32,8,1),MID(L33,17,1)*MID(K32,1,1),MID(L33,18,1)*MID(K32,2,1),MID(L33,19,1)*MID(K32,3,1),MID(L33,20,1)*MID(K32,4,1),MID(L33,21,1)*MID(K32,5,1),MID(L33,22,1)*MID(K32,6,1),MID(L33,23,1)*MID(K32,7,1),MID(L33,24,1)*MID(K32,8,1),MID(L33,25,1)*MID(K32,1,1),MID(L33,26,1)*MID(K32,2,1),MID(L33,27,1)*MID(K32,3,1),MID(L33,28,1)*MID(K32,4,1),MID(L33,29,1)*MID(K32,5,1),MID(L33,30,1)*MID(K32,6,1),MID(L33,31,1)*MID(K32,7,1),MID(L33,32,1)*MID(K32,8,1))</f>
        <v>01100001010000100100000100100000</v>
      </c>
      <c r="BS33" s="38" t="str">
        <f t="shared" si="48"/>
        <v>01100001</v>
      </c>
      <c r="BT33" s="38" t="str">
        <f t="shared" si="49"/>
        <v>01000010</v>
      </c>
      <c r="BU33" s="38" t="str">
        <f t="shared" si="50"/>
        <v>01000001</v>
      </c>
      <c r="BV33" s="38" t="str">
        <f t="shared" si="51"/>
        <v>00100000</v>
      </c>
      <c r="BW33" s="88"/>
      <c r="BX33" s="88"/>
      <c r="BY33" s="88"/>
      <c r="BZ33" s="88"/>
      <c r="CA33" s="39" t="str">
        <f t="shared" si="52"/>
        <v>1111</v>
      </c>
      <c r="CB33" s="39" t="str">
        <f t="shared" si="53"/>
        <v>1101</v>
      </c>
      <c r="CC33" s="39" t="str">
        <f t="shared" si="54"/>
        <v>1100</v>
      </c>
      <c r="CD33" s="39" t="str">
        <f t="shared" si="55"/>
        <v>0010</v>
      </c>
      <c r="CE33" s="39" t="str">
        <f t="shared" si="56"/>
        <v>0101</v>
      </c>
      <c r="CF33" s="39" t="str">
        <f t="shared" si="57"/>
        <v>0101</v>
      </c>
      <c r="CG33" s="39" t="str">
        <f t="shared" si="58"/>
        <v>0010</v>
      </c>
      <c r="CH33" s="39" t="str">
        <f t="shared" si="59"/>
        <v>1000</v>
      </c>
      <c r="CI33" s="88"/>
      <c r="CJ33" s="88"/>
      <c r="CK33" s="88"/>
      <c r="CL33" s="88"/>
      <c r="CM33" s="88"/>
      <c r="CN33" s="88"/>
      <c r="CO33" s="88"/>
      <c r="CP33" s="88"/>
      <c r="CQ33" s="38" t="str">
        <f t="shared" si="7"/>
        <v>0110000101000010</v>
      </c>
      <c r="CR33" s="38" t="str">
        <f t="shared" si="8"/>
        <v>0100000100100000</v>
      </c>
      <c r="CS33" s="88"/>
      <c r="CT33" s="88"/>
      <c r="CU33" s="37" t="str">
        <f>CONCATENATE(MID($L33,1,1)*MID($K32,1,1),MID($L33,2,1)*MID($K32,2,1),MID($L33,3,1)*MID($K32,3,1),MID($L33,4,1)*MID($K32,4,1),MID($L33,5,1)*MID($K32,5,1),MID($L33,6,1)*MID($K32,6,1),MID($L33,7,1)*MID($K32,7,1),MID($L33,8,1)*MID($K32,8,1),MID($L33,9,1)*MID($K32,1,1),MID($L33,10,1)*MID($K32,2,1),MID($L33,11,1)*MID($K32,3,1),MID($L33,12,1)*MID($K32,4,1),MID($L33,13,1)*MID($K32,5,1),MID($L33,14,1)*MID($K32,6,1),MID($L33,15,1)*MID($K32,7,1),MID($L33,16,1)*MID($K32,8,1),MID($L33,17,1)*MID($K32,1,1),MID($L33,18,1)*MID($K32,2,1),MID($L33,19,1)*MID($K32,3,1),MID($L33,20,1)*MID($K32,4,1),MID($L33,21,1)*MID($K32,5,1),MID($L33,22,1)*MID($K32,6,1),MID($L33,23,1)*MID($K32,7,1),MID($L33,24,1)*MID($K32,8,1),MID($L33,25,1)*MID($K32,1,1),MID($L33,26,1)*MID($K32,2,1),MID($L33,27,1)*MID($K32,3,1),MID($L33,28,1)*MID($K32,4,1),MID($L33,29,1)*MID($K32,5,1),MID($L33,30,1)*MID($K32,6,1),MID($L33,31,1)*MID($K32,7,1),MID($L33,32,1)*MID($K32,8,1))</f>
        <v>01100001010000100100000100100000</v>
      </c>
      <c r="CV33" s="38" t="str">
        <f t="shared" si="60"/>
        <v>01100001</v>
      </c>
      <c r="CW33" s="38" t="str">
        <f t="shared" si="61"/>
        <v>01000010</v>
      </c>
      <c r="CX33" s="38" t="str">
        <f t="shared" si="62"/>
        <v>01000001</v>
      </c>
      <c r="CY33" s="38" t="str">
        <f t="shared" si="63"/>
        <v>00100000</v>
      </c>
      <c r="CZ33" s="88"/>
      <c r="DA33" s="88"/>
      <c r="DB33" s="88"/>
      <c r="DC33" s="88"/>
      <c r="DD33" s="39" t="str">
        <f t="shared" si="64"/>
        <v>1111</v>
      </c>
      <c r="DE33" s="39" t="str">
        <f t="shared" si="65"/>
        <v>1101</v>
      </c>
      <c r="DF33" s="39" t="str">
        <f t="shared" si="66"/>
        <v>1100</v>
      </c>
      <c r="DG33" s="39" t="str">
        <f t="shared" si="67"/>
        <v>0010</v>
      </c>
      <c r="DH33" s="39" t="str">
        <f t="shared" si="68"/>
        <v>0101</v>
      </c>
      <c r="DI33" s="39" t="str">
        <f t="shared" si="69"/>
        <v>0101</v>
      </c>
      <c r="DJ33" s="39" t="str">
        <f t="shared" si="70"/>
        <v>0010</v>
      </c>
      <c r="DK33" s="39" t="str">
        <f t="shared" si="71"/>
        <v>1000</v>
      </c>
      <c r="DL33" s="88"/>
      <c r="DM33" s="88"/>
      <c r="DN33" s="88"/>
      <c r="DO33" s="88"/>
      <c r="DP33" s="88"/>
      <c r="DQ33" s="88"/>
      <c r="DR33" s="88"/>
      <c r="DS33" s="88"/>
      <c r="DT33" s="38" t="str">
        <f t="shared" si="10"/>
        <v>0110000101000010</v>
      </c>
      <c r="DU33" s="38" t="str">
        <f t="shared" si="11"/>
        <v>0100000100100000</v>
      </c>
      <c r="DV33" s="88"/>
      <c r="DW33" s="88"/>
      <c r="DX33" s="37"/>
      <c r="DY33" s="39" t="str">
        <f>H33</f>
        <v>11111101110000100101010100101000</v>
      </c>
      <c r="DZ33" s="38" t="str">
        <f t="shared" si="122"/>
        <v>11111101</v>
      </c>
      <c r="EA33" s="38" t="str">
        <f t="shared" si="72"/>
        <v>11000010</v>
      </c>
      <c r="EB33" s="38" t="str">
        <f t="shared" si="73"/>
        <v>01010101</v>
      </c>
      <c r="EC33" s="38" t="str">
        <f t="shared" si="74"/>
        <v>00101000</v>
      </c>
      <c r="ED33" s="88"/>
      <c r="EE33" s="88"/>
      <c r="EF33" s="88"/>
      <c r="EG33" s="88"/>
      <c r="EH33" s="39" t="str">
        <f t="shared" si="75"/>
        <v>1111</v>
      </c>
      <c r="EI33" s="39" t="str">
        <f t="shared" si="76"/>
        <v>1101</v>
      </c>
      <c r="EJ33" s="39" t="str">
        <f t="shared" si="77"/>
        <v>1100</v>
      </c>
      <c r="EK33" s="39" t="str">
        <f t="shared" si="78"/>
        <v>0010</v>
      </c>
      <c r="EL33" s="39" t="str">
        <f t="shared" si="79"/>
        <v>0101</v>
      </c>
      <c r="EM33" s="39" t="str">
        <f t="shared" si="80"/>
        <v>0101</v>
      </c>
      <c r="EN33" s="39" t="str">
        <f t="shared" si="81"/>
        <v>0010</v>
      </c>
      <c r="EO33" s="39" t="str">
        <f t="shared" si="82"/>
        <v>1000</v>
      </c>
      <c r="EP33" s="88"/>
      <c r="EQ33" s="88"/>
      <c r="ER33" s="88"/>
      <c r="ES33" s="88"/>
      <c r="ET33" s="88"/>
      <c r="EU33" s="88"/>
      <c r="EV33" s="88"/>
      <c r="EW33" s="88"/>
      <c r="EX33" s="38" t="str">
        <f t="shared" si="13"/>
        <v>1111110111000010</v>
      </c>
      <c r="EY33" s="38" t="str">
        <f t="shared" si="14"/>
        <v>0101010100101000</v>
      </c>
      <c r="EZ33" s="88"/>
      <c r="FA33" s="88"/>
      <c r="FB33" s="39" t="str">
        <f>H33</f>
        <v>11111101110000100101010100101000</v>
      </c>
      <c r="FC33" s="38" t="str">
        <f t="shared" si="124"/>
        <v>11111101</v>
      </c>
      <c r="FD33" s="38" t="str">
        <f t="shared" si="83"/>
        <v>11000010</v>
      </c>
      <c r="FE33" s="38" t="str">
        <f t="shared" si="84"/>
        <v>01010101</v>
      </c>
      <c r="FF33" s="38" t="str">
        <f t="shared" si="85"/>
        <v>00101000</v>
      </c>
      <c r="FG33" s="88"/>
      <c r="FH33" s="88"/>
      <c r="FI33" s="88"/>
      <c r="FJ33" s="88"/>
      <c r="FK33" s="39" t="str">
        <f t="shared" si="86"/>
        <v>1111</v>
      </c>
      <c r="FL33" s="39" t="str">
        <f t="shared" si="87"/>
        <v>1101</v>
      </c>
      <c r="FM33" s="39" t="str">
        <f t="shared" si="88"/>
        <v>1100</v>
      </c>
      <c r="FN33" s="39" t="str">
        <f t="shared" si="89"/>
        <v>0010</v>
      </c>
      <c r="FO33" s="39" t="str">
        <f t="shared" si="90"/>
        <v>0101</v>
      </c>
      <c r="FP33" s="39" t="str">
        <f t="shared" si="91"/>
        <v>0101</v>
      </c>
      <c r="FQ33" s="39" t="str">
        <f t="shared" si="92"/>
        <v>0010</v>
      </c>
      <c r="FR33" s="39" t="str">
        <f t="shared" si="93"/>
        <v>1000</v>
      </c>
      <c r="FS33" s="88"/>
      <c r="FT33" s="88"/>
      <c r="FU33" s="88"/>
      <c r="FV33" s="88"/>
      <c r="FW33" s="88"/>
      <c r="FX33" s="88"/>
      <c r="FY33" s="88"/>
      <c r="FZ33" s="88"/>
      <c r="GA33" s="38" t="str">
        <f t="shared" si="16"/>
        <v>1111110111000010</v>
      </c>
      <c r="GB33" s="38" t="str">
        <f t="shared" si="17"/>
        <v>0101010100101000</v>
      </c>
      <c r="GC33" s="88"/>
      <c r="GD33" s="88"/>
      <c r="GE33" s="39" t="str">
        <f>BR33</f>
        <v>01100001010000100100000100100000</v>
      </c>
      <c r="GF33" s="38" t="str">
        <f t="shared" si="126"/>
        <v>01100001</v>
      </c>
      <c r="GG33" s="38" t="str">
        <f t="shared" si="94"/>
        <v>01000010</v>
      </c>
      <c r="GH33" s="38" t="str">
        <f t="shared" si="95"/>
        <v>01000001</v>
      </c>
      <c r="GI33" s="38" t="str">
        <f t="shared" si="96"/>
        <v>00100000</v>
      </c>
      <c r="GJ33" s="88"/>
      <c r="GK33" s="88"/>
      <c r="GL33" s="88"/>
      <c r="GM33" s="88"/>
      <c r="GN33" s="39" t="str">
        <f t="shared" si="97"/>
        <v>1111</v>
      </c>
      <c r="GO33" s="39" t="str">
        <f t="shared" si="98"/>
        <v>1101</v>
      </c>
      <c r="GP33" s="39" t="str">
        <f t="shared" si="99"/>
        <v>1100</v>
      </c>
      <c r="GQ33" s="39" t="str">
        <f t="shared" si="100"/>
        <v>0010</v>
      </c>
      <c r="GR33" s="39" t="str">
        <f t="shared" si="101"/>
        <v>0101</v>
      </c>
      <c r="GS33" s="39" t="str">
        <f t="shared" si="102"/>
        <v>0101</v>
      </c>
      <c r="GT33" s="39" t="str">
        <f t="shared" si="103"/>
        <v>0010</v>
      </c>
      <c r="GU33" s="39" t="str">
        <f t="shared" si="104"/>
        <v>1000</v>
      </c>
      <c r="GV33" s="88"/>
      <c r="GW33" s="88"/>
      <c r="GX33" s="88"/>
      <c r="GY33" s="88"/>
      <c r="GZ33" s="88"/>
      <c r="HA33" s="88"/>
      <c r="HB33" s="88"/>
      <c r="HC33" s="88"/>
      <c r="HD33" s="38" t="str">
        <f t="shared" si="19"/>
        <v>0110000101000010</v>
      </c>
      <c r="HE33" s="38" t="str">
        <f t="shared" si="20"/>
        <v>0100000100100000</v>
      </c>
      <c r="HF33" s="88"/>
      <c r="HG33" s="88"/>
      <c r="HH33" s="39" t="str">
        <f>GE33</f>
        <v>01100001010000100100000100100000</v>
      </c>
      <c r="HI33" s="38" t="str">
        <f t="shared" si="128"/>
        <v>01100001</v>
      </c>
      <c r="HJ33" s="38" t="str">
        <f t="shared" si="105"/>
        <v>01000010</v>
      </c>
      <c r="HK33" s="38" t="str">
        <f t="shared" si="106"/>
        <v>01000001</v>
      </c>
      <c r="HL33" s="38" t="str">
        <f t="shared" si="107"/>
        <v>00100000</v>
      </c>
      <c r="HM33" s="88"/>
      <c r="HN33" s="88"/>
      <c r="HO33" s="88"/>
      <c r="HP33" s="88"/>
      <c r="HQ33" s="39" t="str">
        <f t="shared" si="108"/>
        <v>1111</v>
      </c>
      <c r="HR33" s="39" t="str">
        <f t="shared" si="109"/>
        <v>1101</v>
      </c>
      <c r="HS33" s="39" t="str">
        <f t="shared" si="110"/>
        <v>1100</v>
      </c>
      <c r="HT33" s="39" t="str">
        <f t="shared" si="111"/>
        <v>0010</v>
      </c>
      <c r="HU33" s="39" t="str">
        <f t="shared" si="112"/>
        <v>0101</v>
      </c>
      <c r="HV33" s="39" t="str">
        <f t="shared" si="113"/>
        <v>0101</v>
      </c>
      <c r="HW33" s="39" t="str">
        <f t="shared" si="114"/>
        <v>0010</v>
      </c>
      <c r="HX33" s="39" t="str">
        <f t="shared" si="115"/>
        <v>1000</v>
      </c>
      <c r="HY33" s="88"/>
      <c r="HZ33" s="88"/>
      <c r="IA33" s="88"/>
      <c r="IB33" s="88"/>
      <c r="IC33" s="88"/>
      <c r="ID33" s="88"/>
      <c r="IE33" s="88"/>
      <c r="IF33" s="88"/>
      <c r="IG33" s="38" t="str">
        <f t="shared" si="22"/>
        <v>0110000101000010</v>
      </c>
      <c r="IH33" s="38" t="str">
        <f t="shared" si="23"/>
        <v>0100000100100000</v>
      </c>
      <c r="II33" s="88"/>
      <c r="IJ33" s="88"/>
      <c r="IL33" s="38"/>
      <c r="IM33" s="38"/>
      <c r="IN33" s="38"/>
      <c r="IO33" s="38"/>
      <c r="IP33" s="37"/>
      <c r="IQ33" s="37"/>
      <c r="IR33" s="37"/>
      <c r="IS33" s="37"/>
      <c r="JB33" s="37"/>
      <c r="JC33" s="37"/>
      <c r="JD33" s="37"/>
      <c r="JE33" s="37"/>
      <c r="JF33" s="37"/>
      <c r="JG33" s="37"/>
      <c r="JH33" s="37"/>
      <c r="JI33" s="37"/>
      <c r="JJ33" s="38"/>
      <c r="JK33" s="38"/>
      <c r="JL33" s="37"/>
      <c r="JM33" s="37"/>
    </row>
    <row r="34" spans="1:273" s="35" customFormat="1" x14ac:dyDescent="0.35">
      <c r="A34" s="32"/>
      <c r="B34" s="33"/>
      <c r="C34" s="50" t="s">
        <v>0</v>
      </c>
      <c r="D34" s="50">
        <v>65</v>
      </c>
      <c r="E34" s="50">
        <v>25</v>
      </c>
      <c r="F34" s="50" t="s">
        <v>35</v>
      </c>
      <c r="G34" s="50" t="s">
        <v>79</v>
      </c>
      <c r="H34" s="50" t="str">
        <f t="shared" si="198"/>
        <v>01100101001001011101011001111110</v>
      </c>
      <c r="I34" s="50">
        <f t="shared" si="199"/>
        <v>18</v>
      </c>
      <c r="J34" s="50">
        <v>63</v>
      </c>
      <c r="K34" s="50" t="str">
        <f>HEX2BIN(J34,8)</f>
        <v>01100011</v>
      </c>
      <c r="L34" s="34" t="str">
        <f>CONCATENATE(MID(H34,30,3),MID(H34,17,5),MID(H34,6,3),MID(H34,25,5),MID(H34,14,3),MID(H34,1,5),MID(H34,22,3),MID(H34,9,5))</f>
        <v>11011010101011111010110011000100</v>
      </c>
      <c r="M34" s="34" t="str">
        <f t="shared" si="24"/>
        <v>11011010</v>
      </c>
      <c r="N34" s="34" t="str">
        <f t="shared" si="25"/>
        <v>10101111</v>
      </c>
      <c r="O34" s="34" t="str">
        <f t="shared" si="26"/>
        <v>10101100</v>
      </c>
      <c r="P34" s="34" t="str">
        <f t="shared" si="27"/>
        <v>11000100</v>
      </c>
      <c r="Q34" s="87">
        <f>BIN2DEC(M34)-BIN2DEC(M35)</f>
        <v>135</v>
      </c>
      <c r="R34" s="87">
        <f>BIN2DEC(N34)-BIN2DEC(N35)</f>
        <v>115</v>
      </c>
      <c r="S34" s="87">
        <f>BIN2DEC(O34)-BIN2DEC(O35)</f>
        <v>-82</v>
      </c>
      <c r="T34" s="87">
        <f>BIN2DEC(P34)-BIN2DEC(P35)</f>
        <v>27</v>
      </c>
      <c r="U34" s="35" t="str">
        <f t="shared" si="28"/>
        <v>1101</v>
      </c>
      <c r="V34" s="35" t="str">
        <f t="shared" si="29"/>
        <v>1010</v>
      </c>
      <c r="W34" s="35" t="str">
        <f t="shared" si="30"/>
        <v>1010</v>
      </c>
      <c r="X34" s="35" t="str">
        <f t="shared" si="31"/>
        <v>1111</v>
      </c>
      <c r="Y34" s="35" t="str">
        <f t="shared" si="32"/>
        <v>1010</v>
      </c>
      <c r="Z34" s="35" t="str">
        <f t="shared" si="33"/>
        <v>1100</v>
      </c>
      <c r="AA34" s="35" t="str">
        <f t="shared" si="34"/>
        <v>1100</v>
      </c>
      <c r="AB34" s="35" t="str">
        <f t="shared" si="35"/>
        <v>0100</v>
      </c>
      <c r="AC34" s="87">
        <f t="shared" ref="AC34:AJ34" si="248">BIN2DEC(U34)-BIN2DEC(U35)</f>
        <v>8</v>
      </c>
      <c r="AD34" s="87">
        <f t="shared" si="248"/>
        <v>7</v>
      </c>
      <c r="AE34" s="87">
        <f t="shared" si="248"/>
        <v>7</v>
      </c>
      <c r="AF34" s="87">
        <f t="shared" si="248"/>
        <v>3</v>
      </c>
      <c r="AG34" s="87">
        <f t="shared" si="248"/>
        <v>-5</v>
      </c>
      <c r="AH34" s="87">
        <f t="shared" si="248"/>
        <v>-2</v>
      </c>
      <c r="AI34" s="87">
        <f t="shared" si="248"/>
        <v>2</v>
      </c>
      <c r="AJ34" s="87">
        <f t="shared" si="248"/>
        <v>-5</v>
      </c>
      <c r="AK34" s="34" t="str">
        <f t="shared" si="1"/>
        <v>1101101010101111</v>
      </c>
      <c r="AL34" s="34" t="str">
        <f t="shared" si="2"/>
        <v>1010110011000100</v>
      </c>
      <c r="AM34" s="87">
        <f>MID(AK34,16,1)*POWER(2,0)+MID(AK34,15,1)*POWER(2,1)+MID(AK34,14,1)*POWER(2,2)+MID(AK34,13,1)*POWER(2,3)+MID(AK34,12,1)*POWER(2,4)+MID(AK34,11,1)*POWER(2,5)+MID(AK34,10,1)*POWER(2,6)+MID(AK34,9,1)*POWER(2,7)+MID(AK34,8,1)*POWER(2,8)+MID(AK34,7,1)*POWER(2,9)+MID(AK34,6,1)*POWER(2,10)+MID(AK34,5,1)*POWER(2,11)+MID(AK34,4,1)*POWER(2,12)+MID(AK34,3,1)*POWER(2,13)+MID(AK34,2,1)*POWER(2,14)+MID(AK34,1,1)*POWER(2,15)-(MID(AK35,16,1)*POWER(2,0)+MID(AK35,15,1)*POWER(2,1)+MID(AK35,14,1)*POWER(2,2)+MID(AK35,13,1)*POWER(2,3)+MID(AK35,12,1)*POWER(2,4)+MID(AK35,11,1)*POWER(2,5)+MID(AK35,10,1)*POWER(2,6)+MID(AK35,9,1)*POWER(2,7)+MID(AK35,8,1)*POWER(2,8)+MID(AK35,7,1)*POWER(2,9)+MID(AK35,6,1)*POWER(2,10)+MID(AK35,5,1)*POWER(2,11)+MID(AK35,4,1)*POWER(2,12)+MID(AK35,3,1)*POWER(2,13)+MID(AK35,2,1)*POWER(2,14)+MID(AK35,1,1)*POWER(2,15))</f>
        <v>34675</v>
      </c>
      <c r="AN34" s="87">
        <f>MID(AL34,16,1)*POWER(2,0)+MID(AL34,15,1)*POWER(2,1)+MID(AL34,14,1)*POWER(2,2)+MID(AL34,13,1)*POWER(2,3)+MID(AL34,12,1)*POWER(2,4)+MID(AL34,11,1)*POWER(2,5)+MID(AL34,10,1)*POWER(2,6)+MID(AL34,9,1)*POWER(2,7)+MID(AL34,8,1)*POWER(2,8)+MID(AL34,7,1)*POWER(2,9)+MID(AL34,6,1)*POWER(2,10)+MID(AL34,5,1)*POWER(2,11)+MID(AL34,4,1)*POWER(2,12)+MID(AL34,3,1)*POWER(2,13)+MID(AL34,2,1)*POWER(2,14)+MID(AL34,1,1)*POWER(2,15)-(MID(AL35,16,1)*POWER(2,0)+MID(AL35,15,1)*POWER(2,1)+MID(AL35,14,1)*POWER(2,2)+MID(AL35,13,1)*POWER(2,3)+MID(AL35,12,1)*POWER(2,4)+MID(AL35,11,1)*POWER(2,5)+MID(AL35,10,1)*POWER(2,6)+MID(AL35,9,1)*POWER(2,7)+MID(AL35,8,1)*POWER(2,8)+MID(AL35,7,1)*POWER(2,9)+MID(AL35,6,1)*POWER(2,10)+MID(AL35,5,1)*POWER(2,11)+MID(AL35,4,1)*POWER(2,12)+MID(AL35,3,1)*POWER(2,13)+MID(AL35,2,1)*POWER(2,14)+MID(AL35,1,1)*POWER(2,15))</f>
        <v>-20965</v>
      </c>
      <c r="AO34" s="33" t="str">
        <f>CONCATENATE(MID(L34,1,1)*MID(K34,1,1),MID(L34,2,1)*MID(K34,2,1),MID(L34,3,1)*MID(K34,3,1),MID(L34,4,1)*MID(K34,4,1),MID(L34,5,1)*MID(K34,5,1),MID(L34,6,1)*MID(K34,6,1),MID(L34,7,1)*MID(K34,7,1),MID(L34,8,1)*MID(K34,8,1),MID(L34,9,1)*MID(K34,1,1),MID(L34,10,1)*MID(K34,2,1),MID(L34,11,1)*MID(K34,3,1),MID(L34,12,1)*MID(K34,4,1),MID(L34,13,1)*MID(K34,5,1),MID(L34,14,1)*MID(K34,6,1),MID(L34,15,1)*MID(K34,7,1),MID(L34,16,1)*MID(K34,8,1),MID(L34,17,1)*MID(K34,1,1),MID(L34,18,1)*MID(K34,2,1),MID(L34,19,1)*MID(K34,3,1),MID(L34,20,1)*MID(K34,4,1),MID(L34,21,1)*MID(K34,5,1),MID(L34,22,1)*MID(K34,6,1),MID(L34,23,1)*MID(K34,7,1),MID(L34,24,1)*MID(K34,8,1),MID(L34,25,1)*MID(K34,1,1),MID(L34,26,1)*MID(K34,2,1),MID(L34,27,1)*MID(K34,3,1),MID(L34,28,1)*MID(K34,4,1),MID(L34,29,1)*MID(K34,5,1),MID(L34,30,1)*MID(K34,6,1),MID(L34,31,1)*MID(K34,7,1),MID(L34,32,1)*MID(K34,8,1))</f>
        <v>01000010001000110010000001000000</v>
      </c>
      <c r="AP34" s="34" t="str">
        <f t="shared" si="36"/>
        <v>01000010</v>
      </c>
      <c r="AQ34" s="34" t="str">
        <f t="shared" si="37"/>
        <v>00100011</v>
      </c>
      <c r="AR34" s="34" t="str">
        <f t="shared" si="38"/>
        <v>00100000</v>
      </c>
      <c r="AS34" s="34" t="str">
        <f t="shared" si="39"/>
        <v>01000000</v>
      </c>
      <c r="AT34" s="87">
        <f>BIN2DEC(AP34)-BIN2DEC(AP35)</f>
        <v>-17</v>
      </c>
      <c r="AU34" s="87">
        <f>BIN2DEC(AQ34)-BIN2DEC(AQ35)</f>
        <v>-25</v>
      </c>
      <c r="AV34" s="87">
        <f>BIN2DEC(AR34)-BIN2DEC(AR35)</f>
        <v>-222</v>
      </c>
      <c r="AW34" s="87">
        <f>BIN2DEC(AS34)-BIN2DEC(AS35)</f>
        <v>-105</v>
      </c>
      <c r="AX34" s="35" t="str">
        <f t="shared" si="40"/>
        <v>1101</v>
      </c>
      <c r="AY34" s="35" t="str">
        <f t="shared" si="41"/>
        <v>1010</v>
      </c>
      <c r="AZ34" s="35" t="str">
        <f t="shared" si="42"/>
        <v>1010</v>
      </c>
      <c r="BA34" s="35" t="str">
        <f t="shared" si="43"/>
        <v>1111</v>
      </c>
      <c r="BB34" s="35" t="str">
        <f t="shared" si="44"/>
        <v>1010</v>
      </c>
      <c r="BC34" s="35" t="str">
        <f t="shared" si="45"/>
        <v>1100</v>
      </c>
      <c r="BD34" s="35" t="str">
        <f t="shared" si="46"/>
        <v>1100</v>
      </c>
      <c r="BE34" s="35" t="str">
        <f t="shared" si="47"/>
        <v>0100</v>
      </c>
      <c r="BF34" s="87">
        <f t="shared" ref="BF34:BM34" si="249">BIN2DEC(AX34)-BIN2DEC(AX35)</f>
        <v>8</v>
      </c>
      <c r="BG34" s="87">
        <f t="shared" si="249"/>
        <v>7</v>
      </c>
      <c r="BH34" s="87">
        <f t="shared" si="249"/>
        <v>7</v>
      </c>
      <c r="BI34" s="87">
        <f t="shared" si="249"/>
        <v>3</v>
      </c>
      <c r="BJ34" s="87">
        <f t="shared" si="249"/>
        <v>-5</v>
      </c>
      <c r="BK34" s="87">
        <f t="shared" si="249"/>
        <v>-2</v>
      </c>
      <c r="BL34" s="87">
        <f t="shared" si="249"/>
        <v>2</v>
      </c>
      <c r="BM34" s="87">
        <f t="shared" si="249"/>
        <v>-5</v>
      </c>
      <c r="BN34" s="34" t="str">
        <f t="shared" si="4"/>
        <v>0100001000100011</v>
      </c>
      <c r="BO34" s="34" t="str">
        <f t="shared" si="5"/>
        <v>0010000001000000</v>
      </c>
      <c r="BP34" s="87">
        <f>MID(BN34,16,1)*POWER(2,0)+MID(BN34,15,1)*POWER(2,1)+MID(BN34,14,1)*POWER(2,2)+MID(BN34,13,1)*POWER(2,3)+MID(BN34,12,1)*POWER(2,4)+MID(BN34,11,1)*POWER(2,5)+MID(BN34,10,1)*POWER(2,6)+MID(BN34,9,1)*POWER(2,7)+MID(BN34,8,1)*POWER(2,8)+MID(BN34,7,1)*POWER(2,9)+MID(BN34,6,1)*POWER(2,10)+MID(BN34,5,1)*POWER(2,11)+MID(BN34,4,1)*POWER(2,12)+MID(BN34,3,1)*POWER(2,13)+MID(BN34,2,1)*POWER(2,14)+MID(BN34,1,1)*POWER(2,15)-(MID(BN35,16,1)*POWER(2,0)+MID(BN35,15,1)*POWER(2,1)+MID(BN35,14,1)*POWER(2,2)+MID(BN35,13,1)*POWER(2,3)+MID(BN35,12,1)*POWER(2,4)+MID(BN35,11,1)*POWER(2,5)+MID(BN35,10,1)*POWER(2,6)+MID(BN35,9,1)*POWER(2,7)+MID(BN35,8,1)*POWER(2,8)+MID(BN35,7,1)*POWER(2,9)+MID(BN35,6,1)*POWER(2,10)+MID(BN35,5,1)*POWER(2,11)+MID(BN35,4,1)*POWER(2,12)+MID(BN35,3,1)*POWER(2,13)+MID(BN35,2,1)*POWER(2,14)+MID(BN35,1,1)*POWER(2,15))</f>
        <v>-4377</v>
      </c>
      <c r="BQ34" s="87">
        <f>MID(BO34,16,1)*POWER(2,0)+MID(BO34,15,1)*POWER(2,1)+MID(BO34,14,1)*POWER(2,2)+MID(BO34,13,1)*POWER(2,3)+MID(BO34,12,1)*POWER(2,4)+MID(BO34,11,1)*POWER(2,5)+MID(BO34,10,1)*POWER(2,6)+MID(BO34,9,1)*POWER(2,7)+MID(BO34,8,1)*POWER(2,8)+MID(BO34,7,1)*POWER(2,9)+MID(BO34,6,1)*POWER(2,10)+MID(BO34,5,1)*POWER(2,11)+MID(BO34,4,1)*POWER(2,12)+MID(BO34,3,1)*POWER(2,13)+MID(BO34,2,1)*POWER(2,14)+MID(BO34,1,1)*POWER(2,15)-(MID(BO35,16,1)*POWER(2,0)+MID(BO35,15,1)*POWER(2,1)+MID(BO35,14,1)*POWER(2,2)+MID(BO35,13,1)*POWER(2,3)+MID(BO35,12,1)*POWER(2,4)+MID(BO35,11,1)*POWER(2,5)+MID(BO35,10,1)*POWER(2,6)+MID(BO35,9,1)*POWER(2,7)+MID(BO35,8,1)*POWER(2,8)+MID(BO35,7,1)*POWER(2,9)+MID(BO35,6,1)*POWER(2,10)+MID(BO35,5,1)*POWER(2,11)+MID(BO35,4,1)*POWER(2,12)+MID(BO35,3,1)*POWER(2,13)+MID(BO35,2,1)*POWER(2,14)+MID(BO35,1,1)*POWER(2,15))</f>
        <v>-56937</v>
      </c>
      <c r="BR34" s="35" t="str">
        <f>L34</f>
        <v>11011010101011111010110011000100</v>
      </c>
      <c r="BS34" s="34" t="str">
        <f t="shared" si="48"/>
        <v>11011010</v>
      </c>
      <c r="BT34" s="34" t="str">
        <f t="shared" si="49"/>
        <v>10101111</v>
      </c>
      <c r="BU34" s="34" t="str">
        <f t="shared" si="50"/>
        <v>10101100</v>
      </c>
      <c r="BV34" s="34" t="str">
        <f t="shared" si="51"/>
        <v>11000100</v>
      </c>
      <c r="BW34" s="87">
        <f>BIN2DEC(BS34)-BIN2DEC(BS35)</f>
        <v>151</v>
      </c>
      <c r="BX34" s="87">
        <f>BIN2DEC(BT34)-BIN2DEC(BT35)</f>
        <v>143</v>
      </c>
      <c r="BY34" s="87">
        <f>BIN2DEC(BU34)-BIN2DEC(BU35)</f>
        <v>74</v>
      </c>
      <c r="BZ34" s="87">
        <f>BIN2DEC(BV34)-BIN2DEC(BV35)</f>
        <v>163</v>
      </c>
      <c r="CA34" s="35" t="str">
        <f t="shared" si="52"/>
        <v>1101</v>
      </c>
      <c r="CB34" s="35" t="str">
        <f t="shared" si="53"/>
        <v>1010</v>
      </c>
      <c r="CC34" s="35" t="str">
        <f t="shared" si="54"/>
        <v>1010</v>
      </c>
      <c r="CD34" s="35" t="str">
        <f t="shared" si="55"/>
        <v>1111</v>
      </c>
      <c r="CE34" s="35" t="str">
        <f t="shared" si="56"/>
        <v>1010</v>
      </c>
      <c r="CF34" s="35" t="str">
        <f t="shared" si="57"/>
        <v>1100</v>
      </c>
      <c r="CG34" s="35" t="str">
        <f t="shared" si="58"/>
        <v>1100</v>
      </c>
      <c r="CH34" s="35" t="str">
        <f t="shared" si="59"/>
        <v>0100</v>
      </c>
      <c r="CI34" s="87">
        <f t="shared" ref="CI34:CP34" si="250">BIN2DEC(CA34)-BIN2DEC(CA35)</f>
        <v>8</v>
      </c>
      <c r="CJ34" s="87">
        <f t="shared" si="250"/>
        <v>7</v>
      </c>
      <c r="CK34" s="87">
        <f t="shared" si="250"/>
        <v>7</v>
      </c>
      <c r="CL34" s="87">
        <f t="shared" si="250"/>
        <v>3</v>
      </c>
      <c r="CM34" s="87">
        <f t="shared" si="250"/>
        <v>-5</v>
      </c>
      <c r="CN34" s="87">
        <f t="shared" si="250"/>
        <v>-2</v>
      </c>
      <c r="CO34" s="87">
        <f t="shared" si="250"/>
        <v>2</v>
      </c>
      <c r="CP34" s="87">
        <f t="shared" si="250"/>
        <v>-5</v>
      </c>
      <c r="CQ34" s="34" t="str">
        <f t="shared" si="7"/>
        <v>1101101010101111</v>
      </c>
      <c r="CR34" s="34" t="str">
        <f t="shared" si="8"/>
        <v>1010110011000100</v>
      </c>
      <c r="CS34" s="87">
        <f>MID(CQ34,16,1)*POWER(2,0)+MID(CQ34,15,1)*POWER(2,1)+MID(CQ34,14,1)*POWER(2,2)+MID(CQ34,13,1)*POWER(2,3)+MID(CQ34,12,1)*POWER(2,4)+MID(CQ34,11,1)*POWER(2,5)+MID(CQ34,10,1)*POWER(2,6)+MID(CQ34,9,1)*POWER(2,7)+MID(CQ34,8,1)*POWER(2,8)+MID(CQ34,7,1)*POWER(2,9)+MID(CQ34,6,1)*POWER(2,10)+MID(CQ34,5,1)*POWER(2,11)+MID(CQ34,4,1)*POWER(2,12)+MID(CQ34,3,1)*POWER(2,13)+MID(CQ34,2,1)*POWER(2,14)+MID(CQ34,1,1)*POWER(2,15)-(MID(CQ35,16,1)*POWER(2,0)+MID(CQ35,15,1)*POWER(2,1)+MID(CQ35,14,1)*POWER(2,2)+MID(CQ35,13,1)*POWER(2,3)+MID(CQ35,12,1)*POWER(2,4)+MID(CQ35,11,1)*POWER(2,5)+MID(CQ35,10,1)*POWER(2,6)+MID(CQ35,9,1)*POWER(2,7)+MID(CQ35,8,1)*POWER(2,8)+MID(CQ35,7,1)*POWER(2,9)+MID(CQ35,6,1)*POWER(2,10)+MID(CQ35,5,1)*POWER(2,11)+MID(CQ35,4,1)*POWER(2,12)+MID(CQ35,3,1)*POWER(2,13)+MID(CQ35,2,1)*POWER(2,14)+MID(CQ35,1,1)*POWER(2,15))</f>
        <v>38799</v>
      </c>
      <c r="CT34" s="87">
        <f>MID(CR34,16,1)*POWER(2,0)+MID(CR34,15,1)*POWER(2,1)+MID(CR34,14,1)*POWER(2,2)+MID(CR34,13,1)*POWER(2,3)+MID(CR34,12,1)*POWER(2,4)+MID(CR34,11,1)*POWER(2,5)+MID(CR34,10,1)*POWER(2,6)+MID(CR34,9,1)*POWER(2,7)+MID(CR34,8,1)*POWER(2,8)+MID(CR34,7,1)*POWER(2,9)+MID(CR34,6,1)*POWER(2,10)+MID(CR34,5,1)*POWER(2,11)+MID(CR34,4,1)*POWER(2,12)+MID(CR34,3,1)*POWER(2,13)+MID(CR34,2,1)*POWER(2,14)+MID(CR34,1,1)*POWER(2,15)-(MID(CR35,16,1)*POWER(2,0)+MID(CR35,15,1)*POWER(2,1)+MID(CR35,14,1)*POWER(2,2)+MID(CR35,13,1)*POWER(2,3)+MID(CR35,12,1)*POWER(2,4)+MID(CR35,11,1)*POWER(2,5)+MID(CR35,10,1)*POWER(2,6)+MID(CR35,9,1)*POWER(2,7)+MID(CR35,8,1)*POWER(2,8)+MID(CR35,7,1)*POWER(2,9)+MID(CR35,6,1)*POWER(2,10)+MID(CR35,5,1)*POWER(2,11)+MID(CR35,4,1)*POWER(2,12)+MID(CR35,3,1)*POWER(2,13)+MID(CR35,2,1)*POWER(2,14)+MID(CR35,1,1)*POWER(2,15))</f>
        <v>19107</v>
      </c>
      <c r="CU34" s="33" t="str">
        <f>CONCATENATE(MID($L34,1,1)*MID($K34,1,1),MID($L34,2,1)*MID($K34,2,1),MID($L34,3,1)*MID($K34,3,1),MID($L34,4,1)*MID($K34,4,1),MID($L34,5,1)*MID($K34,5,1),MID($L34,6,1)*MID($K34,6,1),MID($L34,7,1)*MID($K34,7,1),MID($L34,8,1)*MID($K34,8,1),MID($L34,9,1)*MID($K34,1,1),MID($L34,10,1)*MID($K34,2,1),MID($L34,11,1)*MID($K34,3,1),MID($L34,12,1)*MID($K34,4,1),MID($L34,13,1)*MID($K34,5,1),MID($L34,14,1)*MID($K34,6,1),MID($L34,15,1)*MID($K34,7,1),MID($L34,16,1)*MID($K34,8,1),MID($L34,17,1)*MID($K34,1,1),MID($L34,18,1)*MID($K34,2,1),MID($L34,19,1)*MID($K34,3,1),MID($L34,20,1)*MID($K34,4,1),MID($L34,21,1)*MID($K34,5,1),MID($L34,22,1)*MID($K34,6,1),MID($L34,23,1)*MID($K34,7,1),MID($L34,24,1)*MID($K34,8,1),MID($L34,25,1)*MID($K34,1,1),MID($L34,26,1)*MID($K34,2,1),MID($L34,27,1)*MID($K34,3,1),MID($L34,28,1)*MID($K34,4,1),MID($L34,29,1)*MID($K34,5,1),MID($L34,30,1)*MID($K34,6,1),MID($L34,31,1)*MID($K34,7,1),MID($L34,32,1)*MID($K34,8,1))</f>
        <v>01000010001000110010000001000000</v>
      </c>
      <c r="CV34" s="34" t="str">
        <f t="shared" si="60"/>
        <v>01000010</v>
      </c>
      <c r="CW34" s="34" t="str">
        <f t="shared" si="61"/>
        <v>00100011</v>
      </c>
      <c r="CX34" s="34" t="str">
        <f t="shared" si="62"/>
        <v>00100000</v>
      </c>
      <c r="CY34" s="34" t="str">
        <f t="shared" si="63"/>
        <v>01000000</v>
      </c>
      <c r="CZ34" s="87">
        <f>BIN2DEC(CV34)-BIN2DEC(CV35)</f>
        <v>-1</v>
      </c>
      <c r="DA34" s="87">
        <f>BIN2DEC(CW34)-BIN2DEC(CW35)</f>
        <v>3</v>
      </c>
      <c r="DB34" s="87">
        <f>BIN2DEC(CX34)-BIN2DEC(CX35)</f>
        <v>-66</v>
      </c>
      <c r="DC34" s="87">
        <f>BIN2DEC(CY34)-BIN2DEC(CY35)</f>
        <v>31</v>
      </c>
      <c r="DD34" s="35" t="str">
        <f t="shared" si="64"/>
        <v>1101</v>
      </c>
      <c r="DE34" s="35" t="str">
        <f t="shared" si="65"/>
        <v>1010</v>
      </c>
      <c r="DF34" s="35" t="str">
        <f t="shared" si="66"/>
        <v>1010</v>
      </c>
      <c r="DG34" s="35" t="str">
        <f t="shared" si="67"/>
        <v>1111</v>
      </c>
      <c r="DH34" s="35" t="str">
        <f t="shared" si="68"/>
        <v>1010</v>
      </c>
      <c r="DI34" s="35" t="str">
        <f t="shared" si="69"/>
        <v>1100</v>
      </c>
      <c r="DJ34" s="35" t="str">
        <f t="shared" si="70"/>
        <v>1100</v>
      </c>
      <c r="DK34" s="35" t="str">
        <f t="shared" si="71"/>
        <v>0100</v>
      </c>
      <c r="DL34" s="87">
        <f t="shared" ref="DL34:DS34" si="251">BIN2DEC(DD34)-BIN2DEC(DD35)</f>
        <v>8</v>
      </c>
      <c r="DM34" s="87">
        <f t="shared" si="251"/>
        <v>7</v>
      </c>
      <c r="DN34" s="87">
        <f t="shared" si="251"/>
        <v>7</v>
      </c>
      <c r="DO34" s="87">
        <f t="shared" si="251"/>
        <v>3</v>
      </c>
      <c r="DP34" s="87">
        <f t="shared" si="251"/>
        <v>-5</v>
      </c>
      <c r="DQ34" s="87">
        <f t="shared" si="251"/>
        <v>-2</v>
      </c>
      <c r="DR34" s="87">
        <f t="shared" si="251"/>
        <v>2</v>
      </c>
      <c r="DS34" s="87">
        <f t="shared" si="251"/>
        <v>-5</v>
      </c>
      <c r="DT34" s="34" t="str">
        <f t="shared" si="10"/>
        <v>0100001000100011</v>
      </c>
      <c r="DU34" s="34" t="str">
        <f t="shared" si="11"/>
        <v>0010000001000000</v>
      </c>
      <c r="DV34" s="87">
        <f>MID(DT34,16,1)*POWER(2,0)+MID(DT34,15,1)*POWER(2,1)+MID(DT34,14,1)*POWER(2,2)+MID(DT34,13,1)*POWER(2,3)+MID(DT34,12,1)*POWER(2,4)+MID(DT34,11,1)*POWER(2,5)+MID(DT34,10,1)*POWER(2,6)+MID(DT34,9,1)*POWER(2,7)+MID(DT34,8,1)*POWER(2,8)+MID(DT34,7,1)*POWER(2,9)+MID(DT34,6,1)*POWER(2,10)+MID(DT34,5,1)*POWER(2,11)+MID(DT34,4,1)*POWER(2,12)+MID(DT34,3,1)*POWER(2,13)+MID(DT34,2,1)*POWER(2,14)+MID(DT34,1,1)*POWER(2,15)-(MID(DT35,16,1)*POWER(2,0)+MID(DT35,15,1)*POWER(2,1)+MID(DT35,14,1)*POWER(2,2)+MID(DT35,13,1)*POWER(2,3)+MID(DT35,12,1)*POWER(2,4)+MID(DT35,11,1)*POWER(2,5)+MID(DT35,10,1)*POWER(2,6)+MID(DT35,9,1)*POWER(2,7)+MID(DT35,8,1)*POWER(2,8)+MID(DT35,7,1)*POWER(2,9)+MID(DT35,6,1)*POWER(2,10)+MID(DT35,5,1)*POWER(2,11)+MID(DT35,4,1)*POWER(2,12)+MID(DT35,3,1)*POWER(2,13)+MID(DT35,2,1)*POWER(2,14)+MID(DT35,1,1)*POWER(2,15))</f>
        <v>-253</v>
      </c>
      <c r="DW34" s="87">
        <f>MID(DU34,16,1)*POWER(2,0)+MID(DU34,15,1)*POWER(2,1)+MID(DU34,14,1)*POWER(2,2)+MID(DU34,13,1)*POWER(2,3)+MID(DU34,12,1)*POWER(2,4)+MID(DU34,11,1)*POWER(2,5)+MID(DU34,10,1)*POWER(2,6)+MID(DU34,9,1)*POWER(2,7)+MID(DU34,8,1)*POWER(2,8)+MID(DU34,7,1)*POWER(2,9)+MID(DU34,6,1)*POWER(2,10)+MID(DU34,5,1)*POWER(2,11)+MID(DU34,4,1)*POWER(2,12)+MID(DU34,3,1)*POWER(2,13)+MID(DU34,2,1)*POWER(2,14)+MID(DU34,1,1)*POWER(2,15)-(MID(DU35,16,1)*POWER(2,0)+MID(DU35,15,1)*POWER(2,1)+MID(DU35,14,1)*POWER(2,2)+MID(DU35,13,1)*POWER(2,3)+MID(DU35,12,1)*POWER(2,4)+MID(DU35,11,1)*POWER(2,5)+MID(DU35,10,1)*POWER(2,6)+MID(DU35,9,1)*POWER(2,7)+MID(DU35,8,1)*POWER(2,8)+MID(DU35,7,1)*POWER(2,9)+MID(DU35,6,1)*POWER(2,10)+MID(DU35,5,1)*POWER(2,11)+MID(DU35,4,1)*POWER(2,12)+MID(DU35,3,1)*POWER(2,13)+MID(DU35,2,1)*POWER(2,14)+MID(DU35,1,1)*POWER(2,15))</f>
        <v>-16865</v>
      </c>
      <c r="DX34" s="33" t="str">
        <f>CONCATENATE(MID($H34,1,1)*MID($K34,1,1),MID($H34,2,1)*MID($K34,2,1),MID($H34,3,1)*MID($K34,3,1),MID($H34,4,1)*MID($K34,4,1),MID($H34,5,1)*MID($K34,5,1),MID($H34,6,1)*MID($K34,6,1),MID($H34,7,1)*MID($K34,7,1),MID($H34,8,1)*MID($K34,8,1),MID($H34,9,1)*MID($K34,1,1),MID($H34,10,1)*MID($K34,2,1),MID($H34,11,1)*MID($K34,3,1),MID($H34,12,1)*MID($K34,4,1),MID($H34,13,1)*MID($K34,5,1),MID($H34,14,1)*MID($K34,6,1),MID($H34,15,1)*MID($K34,7,1),MID($H34,16,1)*MID($K34,8,1),MID($H34,17,1)*MID($K34,1,1),MID($H34,18,1)*MID($K34,2,1),MID($H34,19,1)*MID($K34,3,1),MID($H34,20,1)*MID($K34,4,1),MID($H34,21,1)*MID($K34,5,1),MID($H34,22,1)*MID($K34,6,1),MID($H34,23,1)*MID($K34,7,1),MID($H34,24,1)*MID($K34,8,1),MID($H34,25,1)*MID($K34,1,1),MID($H34,26,1)*MID($K34,2,1),MID($H34,27,1)*MID($K34,3,1),MID($H34,28,1)*MID($K34,4,1),MID($H34,29,1)*MID($K34,5,1),MID($H34,30,1)*MID($K34,6,1),MID($H34,31,1)*MID($K34,7,1),MID($H34,32,1)*MID($K34,8,1))</f>
        <v>01100001001000010100001001100010</v>
      </c>
      <c r="DY34" s="34" t="str">
        <f>CONCATENATE(MID(DX34,30,3),MID(DX34,17,5),MID(DX34,6,3),MID(DX34,25,5),MID(DX34,14,3),MID(DX34,1,5),MID(DX34,22,3),MID(DX34,9,5))</f>
        <v>01001000001011000010110001000100</v>
      </c>
      <c r="DZ34" s="34" t="str">
        <f t="shared" si="122"/>
        <v>01001000</v>
      </c>
      <c r="EA34" s="34" t="str">
        <f t="shared" si="72"/>
        <v>00101100</v>
      </c>
      <c r="EB34" s="34" t="str">
        <f t="shared" si="73"/>
        <v>00101100</v>
      </c>
      <c r="EC34" s="34" t="str">
        <f t="shared" si="74"/>
        <v>01000100</v>
      </c>
      <c r="ED34" s="87">
        <f>BIN2DEC(DZ34)-BIN2DEC(DZ35)</f>
        <v>-11</v>
      </c>
      <c r="EE34" s="87">
        <f>BIN2DEC(EA34)-BIN2DEC(EA35)</f>
        <v>-16</v>
      </c>
      <c r="EF34" s="87">
        <f>BIN2DEC(EB34)-BIN2DEC(EB35)</f>
        <v>-210</v>
      </c>
      <c r="EG34" s="87">
        <f>BIN2DEC(EC34)-BIN2DEC(EC35)</f>
        <v>-101</v>
      </c>
      <c r="EH34" s="35" t="str">
        <f t="shared" si="75"/>
        <v>1101</v>
      </c>
      <c r="EI34" s="35" t="str">
        <f t="shared" si="76"/>
        <v>1010</v>
      </c>
      <c r="EJ34" s="35" t="str">
        <f t="shared" si="77"/>
        <v>1010</v>
      </c>
      <c r="EK34" s="35" t="str">
        <f t="shared" si="78"/>
        <v>1111</v>
      </c>
      <c r="EL34" s="35" t="str">
        <f t="shared" si="79"/>
        <v>1010</v>
      </c>
      <c r="EM34" s="35" t="str">
        <f t="shared" si="80"/>
        <v>1100</v>
      </c>
      <c r="EN34" s="35" t="str">
        <f t="shared" si="81"/>
        <v>1100</v>
      </c>
      <c r="EO34" s="35" t="str">
        <f t="shared" si="82"/>
        <v>0100</v>
      </c>
      <c r="EP34" s="87">
        <f t="shared" ref="EP34:EW34" si="252">BIN2DEC(EH34)-BIN2DEC(EH35)</f>
        <v>8</v>
      </c>
      <c r="EQ34" s="87">
        <f t="shared" si="252"/>
        <v>7</v>
      </c>
      <c r="ER34" s="87">
        <f t="shared" si="252"/>
        <v>7</v>
      </c>
      <c r="ES34" s="87">
        <f t="shared" si="252"/>
        <v>3</v>
      </c>
      <c r="ET34" s="87">
        <f t="shared" si="252"/>
        <v>-5</v>
      </c>
      <c r="EU34" s="87">
        <f t="shared" si="252"/>
        <v>-2</v>
      </c>
      <c r="EV34" s="87">
        <f t="shared" si="252"/>
        <v>2</v>
      </c>
      <c r="EW34" s="87">
        <f t="shared" si="252"/>
        <v>-5</v>
      </c>
      <c r="EX34" s="34" t="str">
        <f t="shared" si="13"/>
        <v>0100100000101100</v>
      </c>
      <c r="EY34" s="34" t="str">
        <f t="shared" si="14"/>
        <v>0010110001000100</v>
      </c>
      <c r="EZ34" s="87">
        <f>MID(EX34,16,1)*POWER(2,0)+MID(EX34,15,1)*POWER(2,1)+MID(EX34,14,1)*POWER(2,2)+MID(EX34,13,1)*POWER(2,3)+MID(EX34,12,1)*POWER(2,4)+MID(EX34,11,1)*POWER(2,5)+MID(EX34,10,1)*POWER(2,6)+MID(EX34,9,1)*POWER(2,7)+MID(EX34,8,1)*POWER(2,8)+MID(EX34,7,1)*POWER(2,9)+MID(EX34,6,1)*POWER(2,10)+MID(EX34,5,1)*POWER(2,11)+MID(EX34,4,1)*POWER(2,12)+MID(EX34,3,1)*POWER(2,13)+MID(EX34,2,1)*POWER(2,14)+MID(EX34,1,1)*POWER(2,15)-(MID(EX35,16,1)*POWER(2,0)+MID(EX35,15,1)*POWER(2,1)+MID(EX35,14,1)*POWER(2,2)+MID(EX35,13,1)*POWER(2,3)+MID(EX35,12,1)*POWER(2,4)+MID(EX35,11,1)*POWER(2,5)+MID(EX35,10,1)*POWER(2,6)+MID(EX35,9,1)*POWER(2,7)+MID(EX35,8,1)*POWER(2,8)+MID(EX35,7,1)*POWER(2,9)+MID(EX35,6,1)*POWER(2,10)+MID(EX35,5,1)*POWER(2,11)+MID(EX35,4,1)*POWER(2,12)+MID(EX35,3,1)*POWER(2,13)+MID(EX35,2,1)*POWER(2,14)+MID(EX35,1,1)*POWER(2,15))</f>
        <v>-2832</v>
      </c>
      <c r="FA34" s="87">
        <f>MID(EY34,16,1)*POWER(2,0)+MID(EY34,15,1)*POWER(2,1)+MID(EY34,14,1)*POWER(2,2)+MID(EY34,13,1)*POWER(2,3)+MID(EY34,12,1)*POWER(2,4)+MID(EY34,11,1)*POWER(2,5)+MID(EY34,10,1)*POWER(2,6)+MID(EY34,9,1)*POWER(2,7)+MID(EY34,8,1)*POWER(2,8)+MID(EY34,7,1)*POWER(2,9)+MID(EY34,6,1)*POWER(2,10)+MID(EY34,5,1)*POWER(2,11)+MID(EY34,4,1)*POWER(2,12)+MID(EY34,3,1)*POWER(2,13)+MID(EY34,2,1)*POWER(2,14)+MID(EY34,1,1)*POWER(2,15)-(MID(EY35,16,1)*POWER(2,0)+MID(EY35,15,1)*POWER(2,1)+MID(EY35,14,1)*POWER(2,2)+MID(EY35,13,1)*POWER(2,3)+MID(EY35,12,1)*POWER(2,4)+MID(EY35,11,1)*POWER(2,5)+MID(EY35,10,1)*POWER(2,6)+MID(EY35,9,1)*POWER(2,7)+MID(EY35,8,1)*POWER(2,8)+MID(EY35,7,1)*POWER(2,9)+MID(EY35,6,1)*POWER(2,10)+MID(EY35,5,1)*POWER(2,11)+MID(EY35,4,1)*POWER(2,12)+MID(EY35,3,1)*POWER(2,13)+MID(EY35,2,1)*POWER(2,14)+MID(EY35,1,1)*POWER(2,15))</f>
        <v>-53861</v>
      </c>
      <c r="FB34" s="33" t="str">
        <f>CONCATENATE(MID(DY34,1,1)*MID($K34,1,1),MID(DY34,2,1)*MID($K34,2,1),MID(DY34,3,1)*MID($K34,3,1),MID(DY34,4,1)*MID($K34,4,1),MID(DY34,5,1)*MID($K34,5,1),MID(DY34,6,1)*MID($K34,6,1),MID(DY34,7,1)*MID($K34,7,1),MID(DY34,8,1)*MID($K34,8,1),MID(DY34,9,1)*MID($K34,1,1),MID(DY34,10,1)*MID($K34,2,1),MID(DY34,11,1)*MID($K34,3,1),MID(DY34,12,1)*MID($K34,4,1),MID(DY34,13,1)*MID($K34,5,1),MID(DY34,14,1)*MID($K34,6,1),MID(DY34,15,1)*MID($K34,7,1),MID(DY34,16,1)*MID($K34,8,1),MID(DY34,17,1)*MID($K34,1,1),MID(DY34,18,1)*MID($K34,2,1),MID(DY34,19,1)*MID($K34,3,1),MID(DY34,20,1)*MID($K34,4,1),MID(DY34,21,1)*MID($K34,5,1),MID(DY34,22,1)*MID($K34,6,1),MID(DY34,23,1)*MID($K34,7,1),MID(DY34,24,1)*MID($K34,8,1),MID(DY34,25,1)*MID($K34,1,1),MID(DY34,26,1)*MID($K34,2,1),MID(DY34,27,1)*MID($K34,3,1),MID(DY34,28,1)*MID($K34,4,1),MID(DY34,29,1)*MID($K34,5,1),MID(DY34,30,1)*MID($K34,6,1),MID(DY34,31,1)*MID($K34,7,1),MID(DY34,32,1)*MID($K34,8,1))</f>
        <v>01000000001000000010000001000000</v>
      </c>
      <c r="FC34" s="34" t="str">
        <f t="shared" si="124"/>
        <v>01000000</v>
      </c>
      <c r="FD34" s="34" t="str">
        <f t="shared" si="83"/>
        <v>00100000</v>
      </c>
      <c r="FE34" s="34" t="str">
        <f t="shared" si="84"/>
        <v>00100000</v>
      </c>
      <c r="FF34" s="34" t="str">
        <f t="shared" si="85"/>
        <v>01000000</v>
      </c>
      <c r="FG34" s="87">
        <f>BIN2DEC(FC34)-BIN2DEC(FC35)</f>
        <v>-19</v>
      </c>
      <c r="FH34" s="87">
        <f>BIN2DEC(FD34)-BIN2DEC(FD35)</f>
        <v>-28</v>
      </c>
      <c r="FI34" s="87">
        <f>BIN2DEC(FE34)-BIN2DEC(FE35)</f>
        <v>-222</v>
      </c>
      <c r="FJ34" s="87">
        <f>BIN2DEC(FF34)-BIN2DEC(FF35)</f>
        <v>-105</v>
      </c>
      <c r="FK34" s="35" t="str">
        <f t="shared" si="86"/>
        <v>1101</v>
      </c>
      <c r="FL34" s="35" t="str">
        <f t="shared" si="87"/>
        <v>1010</v>
      </c>
      <c r="FM34" s="35" t="str">
        <f t="shared" si="88"/>
        <v>1010</v>
      </c>
      <c r="FN34" s="35" t="str">
        <f t="shared" si="89"/>
        <v>1111</v>
      </c>
      <c r="FO34" s="35" t="str">
        <f t="shared" si="90"/>
        <v>1010</v>
      </c>
      <c r="FP34" s="35" t="str">
        <f t="shared" si="91"/>
        <v>1100</v>
      </c>
      <c r="FQ34" s="35" t="str">
        <f t="shared" si="92"/>
        <v>1100</v>
      </c>
      <c r="FR34" s="35" t="str">
        <f t="shared" si="93"/>
        <v>0100</v>
      </c>
      <c r="FS34" s="87">
        <f t="shared" ref="FS34:FZ34" si="253">BIN2DEC(FK34)-BIN2DEC(FK35)</f>
        <v>8</v>
      </c>
      <c r="FT34" s="87">
        <f t="shared" si="253"/>
        <v>7</v>
      </c>
      <c r="FU34" s="87">
        <f t="shared" si="253"/>
        <v>7</v>
      </c>
      <c r="FV34" s="87">
        <f t="shared" si="253"/>
        <v>3</v>
      </c>
      <c r="FW34" s="87">
        <f t="shared" si="253"/>
        <v>-5</v>
      </c>
      <c r="FX34" s="87">
        <f t="shared" si="253"/>
        <v>-2</v>
      </c>
      <c r="FY34" s="87">
        <f t="shared" si="253"/>
        <v>2</v>
      </c>
      <c r="FZ34" s="87">
        <f t="shared" si="253"/>
        <v>-5</v>
      </c>
      <c r="GA34" s="34" t="str">
        <f t="shared" si="16"/>
        <v>0100000000100000</v>
      </c>
      <c r="GB34" s="34" t="str">
        <f t="shared" si="17"/>
        <v>0010000001000000</v>
      </c>
      <c r="GC34" s="87">
        <f>MID(GA34,16,1)*POWER(2,0)+MID(GA34,15,1)*POWER(2,1)+MID(GA34,14,1)*POWER(2,2)+MID(GA34,13,1)*POWER(2,3)+MID(GA34,12,1)*POWER(2,4)+MID(GA34,11,1)*POWER(2,5)+MID(GA34,10,1)*POWER(2,6)+MID(GA34,9,1)*POWER(2,7)+MID(GA34,8,1)*POWER(2,8)+MID(GA34,7,1)*POWER(2,9)+MID(GA34,6,1)*POWER(2,10)+MID(GA34,5,1)*POWER(2,11)+MID(GA34,4,1)*POWER(2,12)+MID(GA34,3,1)*POWER(2,13)+MID(GA34,2,1)*POWER(2,14)+MID(GA34,1,1)*POWER(2,15)-(MID(GA35,16,1)*POWER(2,0)+MID(GA35,15,1)*POWER(2,1)+MID(GA35,14,1)*POWER(2,2)+MID(GA35,13,1)*POWER(2,3)+MID(GA35,12,1)*POWER(2,4)+MID(GA35,11,1)*POWER(2,5)+MID(GA35,10,1)*POWER(2,6)+MID(GA35,9,1)*POWER(2,7)+MID(GA35,8,1)*POWER(2,8)+MID(GA35,7,1)*POWER(2,9)+MID(GA35,6,1)*POWER(2,10)+MID(GA35,5,1)*POWER(2,11)+MID(GA35,4,1)*POWER(2,12)+MID(GA35,3,1)*POWER(2,13)+MID(GA35,2,1)*POWER(2,14)+MID(GA35,1,1)*POWER(2,15))</f>
        <v>-4892</v>
      </c>
      <c r="GD34" s="87">
        <f>MID(GB34,16,1)*POWER(2,0)+MID(GB34,15,1)*POWER(2,1)+MID(GB34,14,1)*POWER(2,2)+MID(GB34,13,1)*POWER(2,3)+MID(GB34,12,1)*POWER(2,4)+MID(GB34,11,1)*POWER(2,5)+MID(GB34,10,1)*POWER(2,6)+MID(GB34,9,1)*POWER(2,7)+MID(GB34,8,1)*POWER(2,8)+MID(GB34,7,1)*POWER(2,9)+MID(GB34,6,1)*POWER(2,10)+MID(GB34,5,1)*POWER(2,11)+MID(GB34,4,1)*POWER(2,12)+MID(GB34,3,1)*POWER(2,13)+MID(GB34,2,1)*POWER(2,14)+MID(GB34,1,1)*POWER(2,15)-(MID(GB35,16,1)*POWER(2,0)+MID(GB35,15,1)*POWER(2,1)+MID(GB35,14,1)*POWER(2,2)+MID(GB35,13,1)*POWER(2,3)+MID(GB35,12,1)*POWER(2,4)+MID(GB35,11,1)*POWER(2,5)+MID(GB35,10,1)*POWER(2,6)+MID(GB35,9,1)*POWER(2,7)+MID(GB35,8,1)*POWER(2,8)+MID(GB35,7,1)*POWER(2,9)+MID(GB35,6,1)*POWER(2,10)+MID(GB35,5,1)*POWER(2,11)+MID(GB35,4,1)*POWER(2,12)+MID(GB35,3,1)*POWER(2,13)+MID(GB35,2,1)*POWER(2,14)+MID(GB35,1,1)*POWER(2,15))</f>
        <v>-56937</v>
      </c>
      <c r="GE34" s="35" t="str">
        <f>DY34</f>
        <v>01001000001011000010110001000100</v>
      </c>
      <c r="GF34" s="34" t="str">
        <f t="shared" si="126"/>
        <v>01001000</v>
      </c>
      <c r="GG34" s="34" t="str">
        <f t="shared" si="94"/>
        <v>00101100</v>
      </c>
      <c r="GH34" s="34" t="str">
        <f t="shared" si="95"/>
        <v>00101100</v>
      </c>
      <c r="GI34" s="34" t="str">
        <f t="shared" si="96"/>
        <v>01000100</v>
      </c>
      <c r="GJ34" s="87">
        <f>BIN2DEC(GF34)-BIN2DEC(GF35)</f>
        <v>5</v>
      </c>
      <c r="GK34" s="87">
        <f>BIN2DEC(GG34)-BIN2DEC(GG35)</f>
        <v>12</v>
      </c>
      <c r="GL34" s="87">
        <f>BIN2DEC(GH34)-BIN2DEC(GH35)</f>
        <v>-54</v>
      </c>
      <c r="GM34" s="87">
        <f>BIN2DEC(GI34)-BIN2DEC(GI35)</f>
        <v>35</v>
      </c>
      <c r="GN34" s="35" t="str">
        <f t="shared" si="97"/>
        <v>1101</v>
      </c>
      <c r="GO34" s="35" t="str">
        <f t="shared" si="98"/>
        <v>1010</v>
      </c>
      <c r="GP34" s="35" t="str">
        <f t="shared" si="99"/>
        <v>1010</v>
      </c>
      <c r="GQ34" s="35" t="str">
        <f t="shared" si="100"/>
        <v>1111</v>
      </c>
      <c r="GR34" s="35" t="str">
        <f t="shared" si="101"/>
        <v>1010</v>
      </c>
      <c r="GS34" s="35" t="str">
        <f t="shared" si="102"/>
        <v>1100</v>
      </c>
      <c r="GT34" s="35" t="str">
        <f t="shared" si="103"/>
        <v>1100</v>
      </c>
      <c r="GU34" s="35" t="str">
        <f t="shared" si="104"/>
        <v>0100</v>
      </c>
      <c r="GV34" s="87">
        <f t="shared" ref="GV34:HC34" si="254">BIN2DEC(GN34)-BIN2DEC(GN35)</f>
        <v>8</v>
      </c>
      <c r="GW34" s="87">
        <f t="shared" si="254"/>
        <v>7</v>
      </c>
      <c r="GX34" s="87">
        <f t="shared" si="254"/>
        <v>7</v>
      </c>
      <c r="GY34" s="87">
        <f t="shared" si="254"/>
        <v>3</v>
      </c>
      <c r="GZ34" s="87">
        <f t="shared" si="254"/>
        <v>-5</v>
      </c>
      <c r="HA34" s="87">
        <f t="shared" si="254"/>
        <v>-2</v>
      </c>
      <c r="HB34" s="87">
        <f t="shared" si="254"/>
        <v>2</v>
      </c>
      <c r="HC34" s="87">
        <f t="shared" si="254"/>
        <v>-5</v>
      </c>
      <c r="HD34" s="34" t="str">
        <f t="shared" si="19"/>
        <v>0100100000101100</v>
      </c>
      <c r="HE34" s="34" t="str">
        <f t="shared" si="20"/>
        <v>0010110001000100</v>
      </c>
      <c r="HF34" s="87">
        <f>MID(HD34,16,1)*POWER(2,0)+MID(HD34,15,1)*POWER(2,1)+MID(HD34,14,1)*POWER(2,2)+MID(HD34,13,1)*POWER(2,3)+MID(HD34,12,1)*POWER(2,4)+MID(HD34,11,1)*POWER(2,5)+MID(HD34,10,1)*POWER(2,6)+MID(HD34,9,1)*POWER(2,7)+MID(HD34,8,1)*POWER(2,8)+MID(HD34,7,1)*POWER(2,9)+MID(HD34,6,1)*POWER(2,10)+MID(HD34,5,1)*POWER(2,11)+MID(HD34,4,1)*POWER(2,12)+MID(HD34,3,1)*POWER(2,13)+MID(HD34,2,1)*POWER(2,14)+MID(HD34,1,1)*POWER(2,15)-(MID(HD35,16,1)*POWER(2,0)+MID(HD35,15,1)*POWER(2,1)+MID(HD35,14,1)*POWER(2,2)+MID(HD35,13,1)*POWER(2,3)+MID(HD35,12,1)*POWER(2,4)+MID(HD35,11,1)*POWER(2,5)+MID(HD35,10,1)*POWER(2,6)+MID(HD35,9,1)*POWER(2,7)+MID(HD35,8,1)*POWER(2,8)+MID(HD35,7,1)*POWER(2,9)+MID(HD35,6,1)*POWER(2,10)+MID(HD35,5,1)*POWER(2,11)+MID(HD35,4,1)*POWER(2,12)+MID(HD35,3,1)*POWER(2,13)+MID(HD35,2,1)*POWER(2,14)+MID(HD35,1,1)*POWER(2,15))</f>
        <v>1292</v>
      </c>
      <c r="HG34" s="87">
        <f>MID(HE34,16,1)*POWER(2,0)+MID(HE34,15,1)*POWER(2,1)+MID(HE34,14,1)*POWER(2,2)+MID(HE34,13,1)*POWER(2,3)+MID(HE34,12,1)*POWER(2,4)+MID(HE34,11,1)*POWER(2,5)+MID(HE34,10,1)*POWER(2,6)+MID(HE34,9,1)*POWER(2,7)+MID(HE34,8,1)*POWER(2,8)+MID(HE34,7,1)*POWER(2,9)+MID(HE34,6,1)*POWER(2,10)+MID(HE34,5,1)*POWER(2,11)+MID(HE34,4,1)*POWER(2,12)+MID(HE34,3,1)*POWER(2,13)+MID(HE34,2,1)*POWER(2,14)+MID(HE34,1,1)*POWER(2,15)-(MID(HE35,16,1)*POWER(2,0)+MID(HE35,15,1)*POWER(2,1)+MID(HE35,14,1)*POWER(2,2)+MID(HE35,13,1)*POWER(2,3)+MID(HE35,12,1)*POWER(2,4)+MID(HE35,11,1)*POWER(2,5)+MID(HE35,10,1)*POWER(2,6)+MID(HE35,9,1)*POWER(2,7)+MID(HE35,8,1)*POWER(2,8)+MID(HE35,7,1)*POWER(2,9)+MID(HE35,6,1)*POWER(2,10)+MID(HE35,5,1)*POWER(2,11)+MID(HE35,4,1)*POWER(2,12)+MID(HE35,3,1)*POWER(2,13)+MID(HE35,2,1)*POWER(2,14)+MID(HE35,1,1)*POWER(2,15))</f>
        <v>-13789</v>
      </c>
      <c r="HH34" s="33" t="str">
        <f>CONCATENATE(MID(GE34,1,1)*MID($K34,1,1),MID(GE34,2,1)*MID($K34,2,1),MID(GE34,3,1)*MID($K34,3,1),MID(GE34,4,1)*MID($K34,4,1),MID(GE34,5,1)*MID($K34,5,1),MID(GE34,6,1)*MID($K34,6,1),MID(GE34,7,1)*MID($K34,7,1),MID(GE34,8,1)*MID($K34,8,1),MID(GE34,9,1)*MID($K34,1,1),MID(GE34,10,1)*MID($K34,2,1),MID(GE34,11,1)*MID($K34,3,1),MID(GE34,12,1)*MID($K34,4,1),MID(GE34,13,1)*MID($K34,5,1),MID(GE34,14,1)*MID($K34,6,1),MID(GE34,15,1)*MID($K34,7,1),MID(GE34,16,1)*MID($K34,8,1),MID(GE34,17,1)*MID($K34,1,1),MID(GE34,18,1)*MID($K34,2,1),MID(GE34,19,1)*MID($K34,3,1),MID(GE34,20,1)*MID($K34,4,1),MID(GE34,21,1)*MID($K34,5,1),MID(GE34,22,1)*MID($K34,6,1),MID(GE34,23,1)*MID($K34,7,1),MID(GE34,24,1)*MID($K34,8,1),MID(GE34,25,1)*MID($K34,1,1),MID(GE34,26,1)*MID($K34,2,1),MID(GE34,27,1)*MID($K34,3,1),MID(GE34,28,1)*MID($K34,4,1),MID(GE34,29,1)*MID($K34,5,1),MID(GE34,30,1)*MID($K34,6,1),MID(GE34,31,1)*MID($K34,7,1),MID(GE34,32,1)*MID($K34,8,1))</f>
        <v>01000000001000000010000001000000</v>
      </c>
      <c r="HI34" s="34" t="str">
        <f t="shared" si="128"/>
        <v>01000000</v>
      </c>
      <c r="HJ34" s="34" t="str">
        <f t="shared" si="105"/>
        <v>00100000</v>
      </c>
      <c r="HK34" s="34" t="str">
        <f t="shared" si="106"/>
        <v>00100000</v>
      </c>
      <c r="HL34" s="34" t="str">
        <f t="shared" si="107"/>
        <v>01000000</v>
      </c>
      <c r="HM34" s="87">
        <f>BIN2DEC(HI34)-BIN2DEC(HI35)</f>
        <v>-3</v>
      </c>
      <c r="HN34" s="87">
        <f>BIN2DEC(HJ34)-BIN2DEC(HJ35)</f>
        <v>0</v>
      </c>
      <c r="HO34" s="87">
        <f>BIN2DEC(HK34)-BIN2DEC(HK35)</f>
        <v>-66</v>
      </c>
      <c r="HP34" s="87">
        <f>BIN2DEC(HL34)-BIN2DEC(HL35)</f>
        <v>31</v>
      </c>
      <c r="HQ34" s="35" t="str">
        <f t="shared" si="108"/>
        <v>1101</v>
      </c>
      <c r="HR34" s="35" t="str">
        <f t="shared" si="109"/>
        <v>1010</v>
      </c>
      <c r="HS34" s="35" t="str">
        <f t="shared" si="110"/>
        <v>1010</v>
      </c>
      <c r="HT34" s="35" t="str">
        <f t="shared" si="111"/>
        <v>1111</v>
      </c>
      <c r="HU34" s="35" t="str">
        <f t="shared" si="112"/>
        <v>1010</v>
      </c>
      <c r="HV34" s="35" t="str">
        <f t="shared" si="113"/>
        <v>1100</v>
      </c>
      <c r="HW34" s="35" t="str">
        <f t="shared" si="114"/>
        <v>1100</v>
      </c>
      <c r="HX34" s="35" t="str">
        <f t="shared" si="115"/>
        <v>0100</v>
      </c>
      <c r="HY34" s="87">
        <f t="shared" ref="HY34:IF34" si="255">BIN2DEC(HQ34)-BIN2DEC(HQ35)</f>
        <v>8</v>
      </c>
      <c r="HZ34" s="87">
        <f t="shared" si="255"/>
        <v>7</v>
      </c>
      <c r="IA34" s="87">
        <f t="shared" si="255"/>
        <v>7</v>
      </c>
      <c r="IB34" s="87">
        <f t="shared" si="255"/>
        <v>3</v>
      </c>
      <c r="IC34" s="87">
        <f t="shared" si="255"/>
        <v>-5</v>
      </c>
      <c r="ID34" s="87">
        <f t="shared" si="255"/>
        <v>-2</v>
      </c>
      <c r="IE34" s="87">
        <f t="shared" si="255"/>
        <v>2</v>
      </c>
      <c r="IF34" s="87">
        <f t="shared" si="255"/>
        <v>-5</v>
      </c>
      <c r="IG34" s="34" t="str">
        <f t="shared" si="22"/>
        <v>0100000000100000</v>
      </c>
      <c r="IH34" s="34" t="str">
        <f t="shared" si="23"/>
        <v>0010000001000000</v>
      </c>
      <c r="II34" s="87">
        <f>MID(IG34,16,1)*POWER(2,0)+MID(IG34,15,1)*POWER(2,1)+MID(IG34,14,1)*POWER(2,2)+MID(IG34,13,1)*POWER(2,3)+MID(IG34,12,1)*POWER(2,4)+MID(IG34,11,1)*POWER(2,5)+MID(IG34,10,1)*POWER(2,6)+MID(IG34,9,1)*POWER(2,7)+MID(IG34,8,1)*POWER(2,8)+MID(IG34,7,1)*POWER(2,9)+MID(IG34,6,1)*POWER(2,10)+MID(IG34,5,1)*POWER(2,11)+MID(IG34,4,1)*POWER(2,12)+MID(IG34,3,1)*POWER(2,13)+MID(IG34,2,1)*POWER(2,14)+MID(IG34,1,1)*POWER(2,15)-(MID(IG35,16,1)*POWER(2,0)+MID(IG35,15,1)*POWER(2,1)+MID(IG35,14,1)*POWER(2,2)+MID(IG35,13,1)*POWER(2,3)+MID(IG35,12,1)*POWER(2,4)+MID(IG35,11,1)*POWER(2,5)+MID(IG35,10,1)*POWER(2,6)+MID(IG35,9,1)*POWER(2,7)+MID(IG35,8,1)*POWER(2,8)+MID(IG35,7,1)*POWER(2,9)+MID(IG35,6,1)*POWER(2,10)+MID(IG35,5,1)*POWER(2,11)+MID(IG35,4,1)*POWER(2,12)+MID(IG35,3,1)*POWER(2,13)+MID(IG35,2,1)*POWER(2,14)+MID(IG35,1,1)*POWER(2,15))</f>
        <v>-768</v>
      </c>
      <c r="IJ34" s="87">
        <f>MID(IH34,16,1)*POWER(2,0)+MID(IH34,15,1)*POWER(2,1)+MID(IH34,14,1)*POWER(2,2)+MID(IH34,13,1)*POWER(2,3)+MID(IH34,12,1)*POWER(2,4)+MID(IH34,11,1)*POWER(2,5)+MID(IH34,10,1)*POWER(2,6)+MID(IH34,9,1)*POWER(2,7)+MID(IH34,8,1)*POWER(2,8)+MID(IH34,7,1)*POWER(2,9)+MID(IH34,6,1)*POWER(2,10)+MID(IH34,5,1)*POWER(2,11)+MID(IH34,4,1)*POWER(2,12)+MID(IH34,3,1)*POWER(2,13)+MID(IH34,2,1)*POWER(2,14)+MID(IH34,1,1)*POWER(2,15)-(MID(IH35,16,1)*POWER(2,0)+MID(IH35,15,1)*POWER(2,1)+MID(IH35,14,1)*POWER(2,2)+MID(IH35,13,1)*POWER(2,3)+MID(IH35,12,1)*POWER(2,4)+MID(IH35,11,1)*POWER(2,5)+MID(IH35,10,1)*POWER(2,6)+MID(IH35,9,1)*POWER(2,7)+MID(IH35,8,1)*POWER(2,8)+MID(IH35,7,1)*POWER(2,9)+MID(IH35,6,1)*POWER(2,10)+MID(IH35,5,1)*POWER(2,11)+MID(IH35,4,1)*POWER(2,12)+MID(IH35,3,1)*POWER(2,13)+MID(IH35,2,1)*POWER(2,14)+MID(IH35,1,1)*POWER(2,15))</f>
        <v>-16865</v>
      </c>
      <c r="IL34" s="34"/>
      <c r="IM34" s="34"/>
      <c r="IN34" s="34"/>
      <c r="IO34" s="34"/>
      <c r="IP34" s="33"/>
      <c r="IQ34" s="33"/>
      <c r="IR34" s="33"/>
      <c r="IS34" s="33"/>
      <c r="JB34" s="33"/>
      <c r="JC34" s="33"/>
      <c r="JD34" s="33"/>
      <c r="JE34" s="33"/>
      <c r="JF34" s="33"/>
      <c r="JG34" s="33"/>
      <c r="JH34" s="33"/>
      <c r="JI34" s="33"/>
      <c r="JJ34" s="34"/>
      <c r="JK34" s="34"/>
      <c r="JL34" s="33"/>
      <c r="JM34" s="33"/>
    </row>
    <row r="35" spans="1:273" s="39" customFormat="1" ht="18.600000000000001" thickBot="1" x14ac:dyDescent="0.4">
      <c r="A35" s="36"/>
      <c r="B35" s="37"/>
      <c r="C35" s="51" t="s">
        <v>6</v>
      </c>
      <c r="D35" s="51">
        <v>53</v>
      </c>
      <c r="E35" s="51" t="s">
        <v>84</v>
      </c>
      <c r="F35" s="51" t="s">
        <v>68</v>
      </c>
      <c r="G35" s="51" t="s">
        <v>149</v>
      </c>
      <c r="H35" s="51" t="str">
        <f t="shared" si="198"/>
        <v>01010011001111001111111010101001</v>
      </c>
      <c r="I35" s="51">
        <f t="shared" si="199"/>
        <v>19</v>
      </c>
      <c r="J35" s="51"/>
      <c r="K35" s="51"/>
      <c r="L35" s="38" t="str">
        <f>H35</f>
        <v>01010011001111001111111010101001</v>
      </c>
      <c r="M35" s="38" t="str">
        <f t="shared" si="24"/>
        <v>01010011</v>
      </c>
      <c r="N35" s="38" t="str">
        <f t="shared" si="25"/>
        <v>00111100</v>
      </c>
      <c r="O35" s="38" t="str">
        <f t="shared" si="26"/>
        <v>11111110</v>
      </c>
      <c r="P35" s="38" t="str">
        <f t="shared" si="27"/>
        <v>10101001</v>
      </c>
      <c r="Q35" s="88"/>
      <c r="R35" s="88"/>
      <c r="S35" s="88"/>
      <c r="T35" s="88"/>
      <c r="U35" s="39" t="str">
        <f t="shared" si="28"/>
        <v>0101</v>
      </c>
      <c r="V35" s="39" t="str">
        <f t="shared" si="29"/>
        <v>0011</v>
      </c>
      <c r="W35" s="39" t="str">
        <f t="shared" si="30"/>
        <v>0011</v>
      </c>
      <c r="X35" s="39" t="str">
        <f t="shared" si="31"/>
        <v>1100</v>
      </c>
      <c r="Y35" s="39" t="str">
        <f t="shared" si="32"/>
        <v>1111</v>
      </c>
      <c r="Z35" s="39" t="str">
        <f t="shared" si="33"/>
        <v>1110</v>
      </c>
      <c r="AA35" s="39" t="str">
        <f t="shared" si="34"/>
        <v>1010</v>
      </c>
      <c r="AB35" s="39" t="str">
        <f t="shared" si="35"/>
        <v>1001</v>
      </c>
      <c r="AC35" s="88"/>
      <c r="AD35" s="88"/>
      <c r="AE35" s="88"/>
      <c r="AF35" s="88"/>
      <c r="AG35" s="88"/>
      <c r="AH35" s="88"/>
      <c r="AI35" s="88"/>
      <c r="AJ35" s="88"/>
      <c r="AK35" s="38" t="str">
        <f t="shared" si="1"/>
        <v>0101001100111100</v>
      </c>
      <c r="AL35" s="38" t="str">
        <f t="shared" si="2"/>
        <v>1111111010101001</v>
      </c>
      <c r="AM35" s="88"/>
      <c r="AN35" s="88"/>
      <c r="AO35" s="37" t="str">
        <f>L35</f>
        <v>01010011001111001111111010101001</v>
      </c>
      <c r="AP35" s="38" t="str">
        <f t="shared" si="36"/>
        <v>01010011</v>
      </c>
      <c r="AQ35" s="38" t="str">
        <f t="shared" si="37"/>
        <v>00111100</v>
      </c>
      <c r="AR35" s="38" t="str">
        <f t="shared" si="38"/>
        <v>11111110</v>
      </c>
      <c r="AS35" s="38" t="str">
        <f t="shared" si="39"/>
        <v>10101001</v>
      </c>
      <c r="AT35" s="88"/>
      <c r="AU35" s="88"/>
      <c r="AV35" s="88"/>
      <c r="AW35" s="88"/>
      <c r="AX35" s="39" t="str">
        <f t="shared" si="40"/>
        <v>0101</v>
      </c>
      <c r="AY35" s="39" t="str">
        <f t="shared" si="41"/>
        <v>0011</v>
      </c>
      <c r="AZ35" s="39" t="str">
        <f t="shared" si="42"/>
        <v>0011</v>
      </c>
      <c r="BA35" s="39" t="str">
        <f t="shared" si="43"/>
        <v>1100</v>
      </c>
      <c r="BB35" s="39" t="str">
        <f t="shared" si="44"/>
        <v>1111</v>
      </c>
      <c r="BC35" s="39" t="str">
        <f t="shared" si="45"/>
        <v>1110</v>
      </c>
      <c r="BD35" s="39" t="str">
        <f t="shared" si="46"/>
        <v>1010</v>
      </c>
      <c r="BE35" s="39" t="str">
        <f t="shared" si="47"/>
        <v>1001</v>
      </c>
      <c r="BF35" s="88"/>
      <c r="BG35" s="88"/>
      <c r="BH35" s="88"/>
      <c r="BI35" s="88"/>
      <c r="BJ35" s="88"/>
      <c r="BK35" s="88"/>
      <c r="BL35" s="88"/>
      <c r="BM35" s="88"/>
      <c r="BN35" s="38" t="str">
        <f t="shared" si="4"/>
        <v>0101001100111100</v>
      </c>
      <c r="BO35" s="38" t="str">
        <f t="shared" si="5"/>
        <v>1111111010101001</v>
      </c>
      <c r="BP35" s="88"/>
      <c r="BQ35" s="88"/>
      <c r="BR35" s="37" t="str">
        <f>CONCATENATE(MID(L35,1,1)*MID(K34,1,1),MID(L35,2,1)*MID(K34,2,1),MID(L35,3,1)*MID(K34,3,1),MID(L35,4,1)*MID(K34,4,1),MID(L35,5,1)*MID(K34,5,1),MID(L35,6,1)*MID(K34,6,1),MID(L35,7,1)*MID(K34,7,1),MID(L35,8,1)*MID(K34,8,1),MID(L35,9,1)*MID(K34,1,1),MID(L35,10,1)*MID(K34,2,1),MID(L35,11,1)*MID(K34,3,1),MID(L35,12,1)*MID(K34,4,1),MID(L35,13,1)*MID(K34,5,1),MID(L35,14,1)*MID(K34,6,1),MID(L35,15,1)*MID(K34,7,1),MID(L35,16,1)*MID(K34,8,1),MID(L35,17,1)*MID(K34,1,1),MID(L35,18,1)*MID(K34,2,1),MID(L35,19,1)*MID(K34,3,1),MID(L35,20,1)*MID(K34,4,1),MID(L35,21,1)*MID(K34,5,1),MID(L35,22,1)*MID(K34,6,1),MID(L35,23,1)*MID(K34,7,1),MID(L35,24,1)*MID(K34,8,1),MID(L35,25,1)*MID(K34,1,1),MID(L35,26,1)*MID(K34,2,1),MID(L35,27,1)*MID(K34,3,1),MID(L35,28,1)*MID(K34,4,1),MID(L35,29,1)*MID(K34,5,1),MID(L35,30,1)*MID(K34,6,1),MID(L35,31,1)*MID(K34,7,1),MID(L35,32,1)*MID(K34,8,1))</f>
        <v>01000011001000000110001000100001</v>
      </c>
      <c r="BS35" s="38" t="str">
        <f t="shared" si="48"/>
        <v>01000011</v>
      </c>
      <c r="BT35" s="38" t="str">
        <f t="shared" si="49"/>
        <v>00100000</v>
      </c>
      <c r="BU35" s="38" t="str">
        <f t="shared" si="50"/>
        <v>01100010</v>
      </c>
      <c r="BV35" s="38" t="str">
        <f t="shared" si="51"/>
        <v>00100001</v>
      </c>
      <c r="BW35" s="88"/>
      <c r="BX35" s="88"/>
      <c r="BY35" s="88"/>
      <c r="BZ35" s="88"/>
      <c r="CA35" s="39" t="str">
        <f t="shared" si="52"/>
        <v>0101</v>
      </c>
      <c r="CB35" s="39" t="str">
        <f t="shared" si="53"/>
        <v>0011</v>
      </c>
      <c r="CC35" s="39" t="str">
        <f t="shared" si="54"/>
        <v>0011</v>
      </c>
      <c r="CD35" s="39" t="str">
        <f t="shared" si="55"/>
        <v>1100</v>
      </c>
      <c r="CE35" s="39" t="str">
        <f t="shared" si="56"/>
        <v>1111</v>
      </c>
      <c r="CF35" s="39" t="str">
        <f t="shared" si="57"/>
        <v>1110</v>
      </c>
      <c r="CG35" s="39" t="str">
        <f t="shared" si="58"/>
        <v>1010</v>
      </c>
      <c r="CH35" s="39" t="str">
        <f t="shared" si="59"/>
        <v>1001</v>
      </c>
      <c r="CI35" s="88"/>
      <c r="CJ35" s="88"/>
      <c r="CK35" s="88"/>
      <c r="CL35" s="88"/>
      <c r="CM35" s="88"/>
      <c r="CN35" s="88"/>
      <c r="CO35" s="88"/>
      <c r="CP35" s="88"/>
      <c r="CQ35" s="38" t="str">
        <f t="shared" si="7"/>
        <v>0100001100100000</v>
      </c>
      <c r="CR35" s="38" t="str">
        <f t="shared" si="8"/>
        <v>0110001000100001</v>
      </c>
      <c r="CS35" s="88"/>
      <c r="CT35" s="88"/>
      <c r="CU35" s="37" t="str">
        <f>CONCATENATE(MID($L35,1,1)*MID($K34,1,1),MID($L35,2,1)*MID($K34,2,1),MID($L35,3,1)*MID($K34,3,1),MID($L35,4,1)*MID($K34,4,1),MID($L35,5,1)*MID($K34,5,1),MID($L35,6,1)*MID($K34,6,1),MID($L35,7,1)*MID($K34,7,1),MID($L35,8,1)*MID($K34,8,1),MID($L35,9,1)*MID($K34,1,1),MID($L35,10,1)*MID($K34,2,1),MID($L35,11,1)*MID($K34,3,1),MID($L35,12,1)*MID($K34,4,1),MID($L35,13,1)*MID($K34,5,1),MID($L35,14,1)*MID($K34,6,1),MID($L35,15,1)*MID($K34,7,1),MID($L35,16,1)*MID($K34,8,1),MID($L35,17,1)*MID($K34,1,1),MID($L35,18,1)*MID($K34,2,1),MID($L35,19,1)*MID($K34,3,1),MID($L35,20,1)*MID($K34,4,1),MID($L35,21,1)*MID($K34,5,1),MID($L35,22,1)*MID($K34,6,1),MID($L35,23,1)*MID($K34,7,1),MID($L35,24,1)*MID($K34,8,1),MID($L35,25,1)*MID($K34,1,1),MID($L35,26,1)*MID($K34,2,1),MID($L35,27,1)*MID($K34,3,1),MID($L35,28,1)*MID($K34,4,1),MID($L35,29,1)*MID($K34,5,1),MID($L35,30,1)*MID($K34,6,1),MID($L35,31,1)*MID($K34,7,1),MID($L35,32,1)*MID($K34,8,1))</f>
        <v>01000011001000000110001000100001</v>
      </c>
      <c r="CV35" s="38" t="str">
        <f t="shared" si="60"/>
        <v>01000011</v>
      </c>
      <c r="CW35" s="38" t="str">
        <f t="shared" si="61"/>
        <v>00100000</v>
      </c>
      <c r="CX35" s="38" t="str">
        <f t="shared" si="62"/>
        <v>01100010</v>
      </c>
      <c r="CY35" s="38" t="str">
        <f t="shared" si="63"/>
        <v>00100001</v>
      </c>
      <c r="CZ35" s="88"/>
      <c r="DA35" s="88"/>
      <c r="DB35" s="88"/>
      <c r="DC35" s="88"/>
      <c r="DD35" s="39" t="str">
        <f t="shared" si="64"/>
        <v>0101</v>
      </c>
      <c r="DE35" s="39" t="str">
        <f t="shared" si="65"/>
        <v>0011</v>
      </c>
      <c r="DF35" s="39" t="str">
        <f t="shared" si="66"/>
        <v>0011</v>
      </c>
      <c r="DG35" s="39" t="str">
        <f t="shared" si="67"/>
        <v>1100</v>
      </c>
      <c r="DH35" s="39" t="str">
        <f t="shared" si="68"/>
        <v>1111</v>
      </c>
      <c r="DI35" s="39" t="str">
        <f t="shared" si="69"/>
        <v>1110</v>
      </c>
      <c r="DJ35" s="39" t="str">
        <f t="shared" si="70"/>
        <v>1010</v>
      </c>
      <c r="DK35" s="39" t="str">
        <f t="shared" si="71"/>
        <v>1001</v>
      </c>
      <c r="DL35" s="88"/>
      <c r="DM35" s="88"/>
      <c r="DN35" s="88"/>
      <c r="DO35" s="88"/>
      <c r="DP35" s="88"/>
      <c r="DQ35" s="88"/>
      <c r="DR35" s="88"/>
      <c r="DS35" s="88"/>
      <c r="DT35" s="38" t="str">
        <f t="shared" si="10"/>
        <v>0100001100100000</v>
      </c>
      <c r="DU35" s="38" t="str">
        <f t="shared" si="11"/>
        <v>0110001000100001</v>
      </c>
      <c r="DV35" s="88"/>
      <c r="DW35" s="88"/>
      <c r="DX35" s="37"/>
      <c r="DY35" s="39" t="str">
        <f>H35</f>
        <v>01010011001111001111111010101001</v>
      </c>
      <c r="DZ35" s="38" t="str">
        <f t="shared" si="122"/>
        <v>01010011</v>
      </c>
      <c r="EA35" s="38" t="str">
        <f t="shared" si="72"/>
        <v>00111100</v>
      </c>
      <c r="EB35" s="38" t="str">
        <f t="shared" si="73"/>
        <v>11111110</v>
      </c>
      <c r="EC35" s="38" t="str">
        <f t="shared" si="74"/>
        <v>10101001</v>
      </c>
      <c r="ED35" s="88"/>
      <c r="EE35" s="88"/>
      <c r="EF35" s="88"/>
      <c r="EG35" s="88"/>
      <c r="EH35" s="39" t="str">
        <f t="shared" si="75"/>
        <v>0101</v>
      </c>
      <c r="EI35" s="39" t="str">
        <f t="shared" si="76"/>
        <v>0011</v>
      </c>
      <c r="EJ35" s="39" t="str">
        <f t="shared" si="77"/>
        <v>0011</v>
      </c>
      <c r="EK35" s="39" t="str">
        <f t="shared" si="78"/>
        <v>1100</v>
      </c>
      <c r="EL35" s="39" t="str">
        <f t="shared" si="79"/>
        <v>1111</v>
      </c>
      <c r="EM35" s="39" t="str">
        <f t="shared" si="80"/>
        <v>1110</v>
      </c>
      <c r="EN35" s="39" t="str">
        <f t="shared" si="81"/>
        <v>1010</v>
      </c>
      <c r="EO35" s="39" t="str">
        <f t="shared" si="82"/>
        <v>1001</v>
      </c>
      <c r="EP35" s="88"/>
      <c r="EQ35" s="88"/>
      <c r="ER35" s="88"/>
      <c r="ES35" s="88"/>
      <c r="ET35" s="88"/>
      <c r="EU35" s="88"/>
      <c r="EV35" s="88"/>
      <c r="EW35" s="88"/>
      <c r="EX35" s="38" t="str">
        <f t="shared" si="13"/>
        <v>0101001100111100</v>
      </c>
      <c r="EY35" s="38" t="str">
        <f t="shared" si="14"/>
        <v>1111111010101001</v>
      </c>
      <c r="EZ35" s="88"/>
      <c r="FA35" s="88"/>
      <c r="FB35" s="39" t="str">
        <f>H35</f>
        <v>01010011001111001111111010101001</v>
      </c>
      <c r="FC35" s="38" t="str">
        <f t="shared" si="124"/>
        <v>01010011</v>
      </c>
      <c r="FD35" s="38" t="str">
        <f t="shared" si="83"/>
        <v>00111100</v>
      </c>
      <c r="FE35" s="38" t="str">
        <f t="shared" si="84"/>
        <v>11111110</v>
      </c>
      <c r="FF35" s="38" t="str">
        <f t="shared" si="85"/>
        <v>10101001</v>
      </c>
      <c r="FG35" s="88"/>
      <c r="FH35" s="88"/>
      <c r="FI35" s="88"/>
      <c r="FJ35" s="88"/>
      <c r="FK35" s="39" t="str">
        <f t="shared" si="86"/>
        <v>0101</v>
      </c>
      <c r="FL35" s="39" t="str">
        <f t="shared" si="87"/>
        <v>0011</v>
      </c>
      <c r="FM35" s="39" t="str">
        <f t="shared" si="88"/>
        <v>0011</v>
      </c>
      <c r="FN35" s="39" t="str">
        <f t="shared" si="89"/>
        <v>1100</v>
      </c>
      <c r="FO35" s="39" t="str">
        <f t="shared" si="90"/>
        <v>1111</v>
      </c>
      <c r="FP35" s="39" t="str">
        <f t="shared" si="91"/>
        <v>1110</v>
      </c>
      <c r="FQ35" s="39" t="str">
        <f t="shared" si="92"/>
        <v>1010</v>
      </c>
      <c r="FR35" s="39" t="str">
        <f t="shared" si="93"/>
        <v>1001</v>
      </c>
      <c r="FS35" s="88"/>
      <c r="FT35" s="88"/>
      <c r="FU35" s="88"/>
      <c r="FV35" s="88"/>
      <c r="FW35" s="88"/>
      <c r="FX35" s="88"/>
      <c r="FY35" s="88"/>
      <c r="FZ35" s="88"/>
      <c r="GA35" s="38" t="str">
        <f t="shared" si="16"/>
        <v>0101001100111100</v>
      </c>
      <c r="GB35" s="38" t="str">
        <f t="shared" si="17"/>
        <v>1111111010101001</v>
      </c>
      <c r="GC35" s="88"/>
      <c r="GD35" s="88"/>
      <c r="GE35" s="39" t="str">
        <f>BR35</f>
        <v>01000011001000000110001000100001</v>
      </c>
      <c r="GF35" s="38" t="str">
        <f t="shared" si="126"/>
        <v>01000011</v>
      </c>
      <c r="GG35" s="38" t="str">
        <f t="shared" si="94"/>
        <v>00100000</v>
      </c>
      <c r="GH35" s="38" t="str">
        <f t="shared" si="95"/>
        <v>01100010</v>
      </c>
      <c r="GI35" s="38" t="str">
        <f t="shared" si="96"/>
        <v>00100001</v>
      </c>
      <c r="GJ35" s="88"/>
      <c r="GK35" s="88"/>
      <c r="GL35" s="88"/>
      <c r="GM35" s="88"/>
      <c r="GN35" s="39" t="str">
        <f t="shared" si="97"/>
        <v>0101</v>
      </c>
      <c r="GO35" s="39" t="str">
        <f t="shared" si="98"/>
        <v>0011</v>
      </c>
      <c r="GP35" s="39" t="str">
        <f t="shared" si="99"/>
        <v>0011</v>
      </c>
      <c r="GQ35" s="39" t="str">
        <f t="shared" si="100"/>
        <v>1100</v>
      </c>
      <c r="GR35" s="39" t="str">
        <f t="shared" si="101"/>
        <v>1111</v>
      </c>
      <c r="GS35" s="39" t="str">
        <f t="shared" si="102"/>
        <v>1110</v>
      </c>
      <c r="GT35" s="39" t="str">
        <f t="shared" si="103"/>
        <v>1010</v>
      </c>
      <c r="GU35" s="39" t="str">
        <f t="shared" si="104"/>
        <v>1001</v>
      </c>
      <c r="GV35" s="88"/>
      <c r="GW35" s="88"/>
      <c r="GX35" s="88"/>
      <c r="GY35" s="88"/>
      <c r="GZ35" s="88"/>
      <c r="HA35" s="88"/>
      <c r="HB35" s="88"/>
      <c r="HC35" s="88"/>
      <c r="HD35" s="38" t="str">
        <f t="shared" si="19"/>
        <v>0100001100100000</v>
      </c>
      <c r="HE35" s="38" t="str">
        <f t="shared" si="20"/>
        <v>0110001000100001</v>
      </c>
      <c r="HF35" s="88"/>
      <c r="HG35" s="88"/>
      <c r="HH35" s="39" t="str">
        <f>GE35</f>
        <v>01000011001000000110001000100001</v>
      </c>
      <c r="HI35" s="38" t="str">
        <f t="shared" si="128"/>
        <v>01000011</v>
      </c>
      <c r="HJ35" s="38" t="str">
        <f t="shared" si="105"/>
        <v>00100000</v>
      </c>
      <c r="HK35" s="38" t="str">
        <f t="shared" si="106"/>
        <v>01100010</v>
      </c>
      <c r="HL35" s="38" t="str">
        <f t="shared" si="107"/>
        <v>00100001</v>
      </c>
      <c r="HM35" s="88"/>
      <c r="HN35" s="88"/>
      <c r="HO35" s="88"/>
      <c r="HP35" s="88"/>
      <c r="HQ35" s="39" t="str">
        <f t="shared" si="108"/>
        <v>0101</v>
      </c>
      <c r="HR35" s="39" t="str">
        <f t="shared" si="109"/>
        <v>0011</v>
      </c>
      <c r="HS35" s="39" t="str">
        <f t="shared" si="110"/>
        <v>0011</v>
      </c>
      <c r="HT35" s="39" t="str">
        <f t="shared" si="111"/>
        <v>1100</v>
      </c>
      <c r="HU35" s="39" t="str">
        <f t="shared" si="112"/>
        <v>1111</v>
      </c>
      <c r="HV35" s="39" t="str">
        <f t="shared" si="113"/>
        <v>1110</v>
      </c>
      <c r="HW35" s="39" t="str">
        <f t="shared" si="114"/>
        <v>1010</v>
      </c>
      <c r="HX35" s="39" t="str">
        <f t="shared" si="115"/>
        <v>1001</v>
      </c>
      <c r="HY35" s="88"/>
      <c r="HZ35" s="88"/>
      <c r="IA35" s="88"/>
      <c r="IB35" s="88"/>
      <c r="IC35" s="88"/>
      <c r="ID35" s="88"/>
      <c r="IE35" s="88"/>
      <c r="IF35" s="88"/>
      <c r="IG35" s="38" t="str">
        <f t="shared" si="22"/>
        <v>0100001100100000</v>
      </c>
      <c r="IH35" s="38" t="str">
        <f t="shared" si="23"/>
        <v>0110001000100001</v>
      </c>
      <c r="II35" s="88"/>
      <c r="IJ35" s="88"/>
      <c r="IL35" s="38"/>
      <c r="IM35" s="38"/>
      <c r="IN35" s="38"/>
      <c r="IO35" s="38"/>
      <c r="IP35" s="37"/>
      <c r="IQ35" s="37"/>
      <c r="IR35" s="37"/>
      <c r="IS35" s="37"/>
      <c r="JB35" s="37"/>
      <c r="JC35" s="37"/>
      <c r="JD35" s="37"/>
      <c r="JE35" s="37"/>
      <c r="JF35" s="37"/>
      <c r="JG35" s="37"/>
      <c r="JH35" s="37"/>
      <c r="JI35" s="37"/>
      <c r="JJ35" s="38"/>
      <c r="JK35" s="38"/>
      <c r="JL35" s="37"/>
      <c r="JM35" s="37"/>
    </row>
    <row r="36" spans="1:273" s="27" customFormat="1" x14ac:dyDescent="0.35">
      <c r="A36" s="24"/>
      <c r="B36" s="25"/>
      <c r="C36" s="16" t="s">
        <v>0</v>
      </c>
      <c r="D36" s="16" t="s">
        <v>10</v>
      </c>
      <c r="E36" s="16" t="s">
        <v>11</v>
      </c>
      <c r="F36" s="16" t="s">
        <v>12</v>
      </c>
      <c r="G36" s="16" t="s">
        <v>13</v>
      </c>
      <c r="H36" s="16" t="str">
        <f t="shared" si="198"/>
        <v>10011100101110001010001110011110</v>
      </c>
      <c r="I36" s="16">
        <f t="shared" si="199"/>
        <v>17</v>
      </c>
      <c r="J36" s="16">
        <v>65</v>
      </c>
      <c r="K36" s="16" t="str">
        <f>HEX2BIN(J36,8)</f>
        <v>01100101</v>
      </c>
      <c r="L36" s="43" t="str">
        <f>CONCATENATE(MID(H36,30,3),MID(H36,17,5),MID(H36,6,3),MID(H36,25,5),MID(H36,14,3),MID(H36,1,5),MID(H36,22,3),MID(H36,9,5))</f>
        <v>11010100100100110001001101110111</v>
      </c>
      <c r="M36" s="26" t="str">
        <f t="shared" si="24"/>
        <v>11010100</v>
      </c>
      <c r="N36" s="26" t="str">
        <f t="shared" si="25"/>
        <v>10010011</v>
      </c>
      <c r="O36" s="26" t="str">
        <f t="shared" si="26"/>
        <v>00010011</v>
      </c>
      <c r="P36" s="26" t="str">
        <f t="shared" si="27"/>
        <v>01110111</v>
      </c>
      <c r="Q36" s="77">
        <f>BIN2DEC(M36)-BIN2DEC(M37)</f>
        <v>71</v>
      </c>
      <c r="R36" s="77">
        <f>BIN2DEC(N36)-BIN2DEC(N37)</f>
        <v>147</v>
      </c>
      <c r="S36" s="77">
        <f>BIN2DEC(O36)-BIN2DEC(O37)</f>
        <v>-19</v>
      </c>
      <c r="T36" s="77">
        <f>BIN2DEC(P36)-BIN2DEC(P37)</f>
        <v>-102</v>
      </c>
      <c r="U36" s="27" t="str">
        <f t="shared" si="28"/>
        <v>1101</v>
      </c>
      <c r="V36" s="27" t="str">
        <f t="shared" si="29"/>
        <v>0100</v>
      </c>
      <c r="W36" s="27" t="str">
        <f t="shared" si="30"/>
        <v>1001</v>
      </c>
      <c r="X36" s="27" t="str">
        <f t="shared" si="31"/>
        <v>0011</v>
      </c>
      <c r="Y36" s="27" t="str">
        <f t="shared" si="32"/>
        <v>0001</v>
      </c>
      <c r="Z36" s="27" t="str">
        <f t="shared" si="33"/>
        <v>0011</v>
      </c>
      <c r="AA36" s="27" t="str">
        <f t="shared" si="34"/>
        <v>0111</v>
      </c>
      <c r="AB36" s="27" t="str">
        <f t="shared" si="35"/>
        <v>0111</v>
      </c>
      <c r="AC36" s="77">
        <f t="shared" ref="AC36:AJ36" si="256">BIN2DEC(U36)-BIN2DEC(U37)</f>
        <v>5</v>
      </c>
      <c r="AD36" s="77">
        <f t="shared" si="256"/>
        <v>-9</v>
      </c>
      <c r="AE36" s="77">
        <f t="shared" si="256"/>
        <v>9</v>
      </c>
      <c r="AF36" s="77">
        <f t="shared" si="256"/>
        <v>3</v>
      </c>
      <c r="AG36" s="77">
        <f t="shared" si="256"/>
        <v>-1</v>
      </c>
      <c r="AH36" s="77">
        <f t="shared" si="256"/>
        <v>-3</v>
      </c>
      <c r="AI36" s="77">
        <f t="shared" si="256"/>
        <v>-6</v>
      </c>
      <c r="AJ36" s="77">
        <f t="shared" si="256"/>
        <v>-6</v>
      </c>
      <c r="AK36" s="26" t="str">
        <f t="shared" si="1"/>
        <v>1101010010010011</v>
      </c>
      <c r="AL36" s="26" t="str">
        <f t="shared" si="2"/>
        <v>0001001101110111</v>
      </c>
      <c r="AM36" s="77">
        <f>MID(AK36,16,1)*POWER(2,0)+MID(AK36,15,1)*POWER(2,1)+MID(AK36,14,1)*POWER(2,2)+MID(AK36,13,1)*POWER(2,3)+MID(AK36,12,1)*POWER(2,4)+MID(AK36,11,1)*POWER(2,5)+MID(AK36,10,1)*POWER(2,6)+MID(AK36,9,1)*POWER(2,7)+MID(AK36,8,1)*POWER(2,8)+MID(AK36,7,1)*POWER(2,9)+MID(AK36,6,1)*POWER(2,10)+MID(AK36,5,1)*POWER(2,11)+MID(AK36,4,1)*POWER(2,12)+MID(AK36,3,1)*POWER(2,13)+MID(AK36,2,1)*POWER(2,14)+MID(AK36,1,1)*POWER(2,15)-(MID(AK37,16,1)*POWER(2,0)+MID(AK37,15,1)*POWER(2,1)+MID(AK37,14,1)*POWER(2,2)+MID(AK37,13,1)*POWER(2,3)+MID(AK37,12,1)*POWER(2,4)+MID(AK37,11,1)*POWER(2,5)+MID(AK37,10,1)*POWER(2,6)+MID(AK37,9,1)*POWER(2,7)+MID(AK37,8,1)*POWER(2,8)+MID(AK37,7,1)*POWER(2,9)+MID(AK37,6,1)*POWER(2,10)+MID(AK37,5,1)*POWER(2,11)+MID(AK37,4,1)*POWER(2,12)+MID(AK37,3,1)*POWER(2,13)+MID(AK37,2,1)*POWER(2,14)+MID(AK37,1,1)*POWER(2,15))</f>
        <v>18323</v>
      </c>
      <c r="AN36" s="77">
        <f>MID(AL36,16,1)*POWER(2,0)+MID(AL36,15,1)*POWER(2,1)+MID(AL36,14,1)*POWER(2,2)+MID(AL36,13,1)*POWER(2,3)+MID(AL36,12,1)*POWER(2,4)+MID(AL36,11,1)*POWER(2,5)+MID(AL36,10,1)*POWER(2,6)+MID(AL36,9,1)*POWER(2,7)+MID(AL36,8,1)*POWER(2,8)+MID(AL36,7,1)*POWER(2,9)+MID(AL36,6,1)*POWER(2,10)+MID(AL36,5,1)*POWER(2,11)+MID(AL36,4,1)*POWER(2,12)+MID(AL36,3,1)*POWER(2,13)+MID(AL36,2,1)*POWER(2,14)+MID(AL36,1,1)*POWER(2,15)-(MID(AL37,16,1)*POWER(2,0)+MID(AL37,15,1)*POWER(2,1)+MID(AL37,14,1)*POWER(2,2)+MID(AL37,13,1)*POWER(2,3)+MID(AL37,12,1)*POWER(2,4)+MID(AL37,11,1)*POWER(2,5)+MID(AL37,10,1)*POWER(2,6)+MID(AL37,9,1)*POWER(2,7)+MID(AL37,8,1)*POWER(2,8)+MID(AL37,7,1)*POWER(2,9)+MID(AL37,6,1)*POWER(2,10)+MID(AL37,5,1)*POWER(2,11)+MID(AL37,4,1)*POWER(2,12)+MID(AL37,3,1)*POWER(2,13)+MID(AL37,2,1)*POWER(2,14)+MID(AL37,1,1)*POWER(2,15))</f>
        <v>-4966</v>
      </c>
      <c r="AO36" s="45" t="str">
        <f>CONCATENATE(MID(L36,1,1)*MID(K36,1,1),MID(L36,2,1)*MID(K36,2,1),MID(L36,3,1)*MID(K36,3,1),MID(L36,4,1)*MID(K36,4,1),MID(L36,5,1)*MID(K36,5,1),MID(L36,6,1)*MID(K36,6,1),MID(L36,7,1)*MID(K36,7,1),MID(L36,8,1)*MID(K36,8,1),MID(L36,9,1)*MID(K36,1,1),MID(L36,10,1)*MID(K36,2,1),MID(L36,11,1)*MID(K36,3,1),MID(L36,12,1)*MID(K36,4,1),MID(L36,13,1)*MID(K36,5,1),MID(L36,14,1)*MID(K36,6,1),MID(L36,15,1)*MID(K36,7,1),MID(L36,16,1)*MID(K36,8,1),MID(L36,17,1)*MID(K36,1,1),MID(L36,18,1)*MID(K36,2,1),MID(L36,19,1)*MID(K36,3,1),MID(L36,20,1)*MID(K36,4,1),MID(L36,21,1)*MID(K36,5,1),MID(L36,22,1)*MID(K36,6,1),MID(L36,23,1)*MID(K36,7,1),MID(L36,24,1)*MID(K36,8,1),MID(L36,25,1)*MID(K36,1,1),MID(L36,26,1)*MID(K36,2,1),MID(L36,27,1)*MID(K36,3,1),MID(L36,28,1)*MID(K36,4,1),MID(L36,29,1)*MID(K36,5,1),MID(L36,30,1)*MID(K36,6,1),MID(L36,31,1)*MID(K36,7,1),MID(L36,32,1)*MID(K36,8,1))</f>
        <v>01000100000000010000000101100101</v>
      </c>
      <c r="AP36" s="26" t="str">
        <f t="shared" si="36"/>
        <v>01000100</v>
      </c>
      <c r="AQ36" s="26" t="str">
        <f t="shared" si="37"/>
        <v>00000001</v>
      </c>
      <c r="AR36" s="26" t="str">
        <f t="shared" si="38"/>
        <v>00000001</v>
      </c>
      <c r="AS36" s="26" t="str">
        <f t="shared" si="39"/>
        <v>01100101</v>
      </c>
      <c r="AT36" s="77">
        <f>BIN2DEC(AP36)-BIN2DEC(AP37)</f>
        <v>-73</v>
      </c>
      <c r="AU36" s="77">
        <f>BIN2DEC(AQ36)-BIN2DEC(AQ37)</f>
        <v>1</v>
      </c>
      <c r="AV36" s="77">
        <f>BIN2DEC(AR36)-BIN2DEC(AR37)</f>
        <v>-37</v>
      </c>
      <c r="AW36" s="77">
        <f>BIN2DEC(AS36)-BIN2DEC(AS37)</f>
        <v>-120</v>
      </c>
      <c r="AX36" s="27" t="str">
        <f t="shared" si="40"/>
        <v>1101</v>
      </c>
      <c r="AY36" s="27" t="str">
        <f t="shared" si="41"/>
        <v>0100</v>
      </c>
      <c r="AZ36" s="27" t="str">
        <f t="shared" si="42"/>
        <v>1001</v>
      </c>
      <c r="BA36" s="27" t="str">
        <f t="shared" si="43"/>
        <v>0011</v>
      </c>
      <c r="BB36" s="27" t="str">
        <f t="shared" si="44"/>
        <v>0001</v>
      </c>
      <c r="BC36" s="27" t="str">
        <f t="shared" si="45"/>
        <v>0011</v>
      </c>
      <c r="BD36" s="27" t="str">
        <f t="shared" si="46"/>
        <v>0111</v>
      </c>
      <c r="BE36" s="27" t="str">
        <f t="shared" si="47"/>
        <v>0111</v>
      </c>
      <c r="BF36" s="77">
        <f t="shared" ref="BF36:BM36" si="257">BIN2DEC(AX36)-BIN2DEC(AX37)</f>
        <v>5</v>
      </c>
      <c r="BG36" s="77">
        <f t="shared" si="257"/>
        <v>-9</v>
      </c>
      <c r="BH36" s="77">
        <f t="shared" si="257"/>
        <v>9</v>
      </c>
      <c r="BI36" s="77">
        <f t="shared" si="257"/>
        <v>3</v>
      </c>
      <c r="BJ36" s="77">
        <f t="shared" si="257"/>
        <v>-1</v>
      </c>
      <c r="BK36" s="77">
        <f t="shared" si="257"/>
        <v>-3</v>
      </c>
      <c r="BL36" s="77">
        <f t="shared" si="257"/>
        <v>-6</v>
      </c>
      <c r="BM36" s="77">
        <f t="shared" si="257"/>
        <v>-6</v>
      </c>
      <c r="BN36" s="26" t="str">
        <f t="shared" si="4"/>
        <v>0100010000000001</v>
      </c>
      <c r="BO36" s="26" t="str">
        <f t="shared" si="5"/>
        <v>0000000101100101</v>
      </c>
      <c r="BP36" s="77">
        <f>MID(BN36,16,1)*POWER(2,0)+MID(BN36,15,1)*POWER(2,1)+MID(BN36,14,1)*POWER(2,2)+MID(BN36,13,1)*POWER(2,3)+MID(BN36,12,1)*POWER(2,4)+MID(BN36,11,1)*POWER(2,5)+MID(BN36,10,1)*POWER(2,6)+MID(BN36,9,1)*POWER(2,7)+MID(BN36,8,1)*POWER(2,8)+MID(BN36,7,1)*POWER(2,9)+MID(BN36,6,1)*POWER(2,10)+MID(BN36,5,1)*POWER(2,11)+MID(BN36,4,1)*POWER(2,12)+MID(BN36,3,1)*POWER(2,13)+MID(BN36,2,1)*POWER(2,14)+MID(BN36,1,1)*POWER(2,15)-(MID(BN37,16,1)*POWER(2,0)+MID(BN37,15,1)*POWER(2,1)+MID(BN37,14,1)*POWER(2,2)+MID(BN37,13,1)*POWER(2,3)+MID(BN37,12,1)*POWER(2,4)+MID(BN37,11,1)*POWER(2,5)+MID(BN37,10,1)*POWER(2,6)+MID(BN37,9,1)*POWER(2,7)+MID(BN37,8,1)*POWER(2,8)+MID(BN37,7,1)*POWER(2,9)+MID(BN37,6,1)*POWER(2,10)+MID(BN37,5,1)*POWER(2,11)+MID(BN37,4,1)*POWER(2,12)+MID(BN37,3,1)*POWER(2,13)+MID(BN37,2,1)*POWER(2,14)+MID(BN37,1,1)*POWER(2,15))</f>
        <v>-18687</v>
      </c>
      <c r="BQ36" s="77">
        <f>MID(BO36,16,1)*POWER(2,0)+MID(BO36,15,1)*POWER(2,1)+MID(BO36,14,1)*POWER(2,2)+MID(BO36,13,1)*POWER(2,3)+MID(BO36,12,1)*POWER(2,4)+MID(BO36,11,1)*POWER(2,5)+MID(BO36,10,1)*POWER(2,6)+MID(BO36,9,1)*POWER(2,7)+MID(BO36,8,1)*POWER(2,8)+MID(BO36,7,1)*POWER(2,9)+MID(BO36,6,1)*POWER(2,10)+MID(BO36,5,1)*POWER(2,11)+MID(BO36,4,1)*POWER(2,12)+MID(BO36,3,1)*POWER(2,13)+MID(BO36,2,1)*POWER(2,14)+MID(BO36,1,1)*POWER(2,15)-(MID(BO37,16,1)*POWER(2,0)+MID(BO37,15,1)*POWER(2,1)+MID(BO37,14,1)*POWER(2,2)+MID(BO37,13,1)*POWER(2,3)+MID(BO37,12,1)*POWER(2,4)+MID(BO37,11,1)*POWER(2,5)+MID(BO37,10,1)*POWER(2,6)+MID(BO37,9,1)*POWER(2,7)+MID(BO37,8,1)*POWER(2,8)+MID(BO37,7,1)*POWER(2,9)+MID(BO37,6,1)*POWER(2,10)+MID(BO37,5,1)*POWER(2,11)+MID(BO37,4,1)*POWER(2,12)+MID(BO37,3,1)*POWER(2,13)+MID(BO37,2,1)*POWER(2,14)+MID(BO37,1,1)*POWER(2,15))</f>
        <v>-9592</v>
      </c>
      <c r="BR36" s="47" t="str">
        <f>L36</f>
        <v>11010100100100110001001101110111</v>
      </c>
      <c r="BS36" s="26" t="str">
        <f t="shared" si="48"/>
        <v>11010100</v>
      </c>
      <c r="BT36" s="26" t="str">
        <f t="shared" si="49"/>
        <v>10010011</v>
      </c>
      <c r="BU36" s="26" t="str">
        <f t="shared" si="50"/>
        <v>00010011</v>
      </c>
      <c r="BV36" s="26" t="str">
        <f t="shared" si="51"/>
        <v>01110111</v>
      </c>
      <c r="BW36" s="77">
        <f>BIN2DEC(BS36)-BIN2DEC(BS37)</f>
        <v>207</v>
      </c>
      <c r="BX36" s="77">
        <f>BIN2DEC(BT36)-BIN2DEC(BT37)</f>
        <v>147</v>
      </c>
      <c r="BY36" s="77">
        <f>BIN2DEC(BU36)-BIN2DEC(BU37)</f>
        <v>-17</v>
      </c>
      <c r="BZ36" s="77">
        <f>BIN2DEC(BV36)-BIN2DEC(BV37)</f>
        <v>50</v>
      </c>
      <c r="CA36" s="27" t="str">
        <f t="shared" si="52"/>
        <v>1101</v>
      </c>
      <c r="CB36" s="27" t="str">
        <f t="shared" si="53"/>
        <v>0100</v>
      </c>
      <c r="CC36" s="27" t="str">
        <f t="shared" si="54"/>
        <v>1001</v>
      </c>
      <c r="CD36" s="27" t="str">
        <f t="shared" si="55"/>
        <v>0011</v>
      </c>
      <c r="CE36" s="27" t="str">
        <f t="shared" si="56"/>
        <v>0001</v>
      </c>
      <c r="CF36" s="27" t="str">
        <f t="shared" si="57"/>
        <v>0011</v>
      </c>
      <c r="CG36" s="27" t="str">
        <f t="shared" si="58"/>
        <v>0111</v>
      </c>
      <c r="CH36" s="27" t="str">
        <f t="shared" si="59"/>
        <v>0111</v>
      </c>
      <c r="CI36" s="77">
        <f t="shared" ref="CI36:CP36" si="258">BIN2DEC(CA36)-BIN2DEC(CA37)</f>
        <v>5</v>
      </c>
      <c r="CJ36" s="77">
        <f t="shared" si="258"/>
        <v>-9</v>
      </c>
      <c r="CK36" s="77">
        <f t="shared" si="258"/>
        <v>9</v>
      </c>
      <c r="CL36" s="77">
        <f t="shared" si="258"/>
        <v>3</v>
      </c>
      <c r="CM36" s="77">
        <f t="shared" si="258"/>
        <v>-1</v>
      </c>
      <c r="CN36" s="77">
        <f t="shared" si="258"/>
        <v>-3</v>
      </c>
      <c r="CO36" s="77">
        <f t="shared" si="258"/>
        <v>-6</v>
      </c>
      <c r="CP36" s="77">
        <f t="shared" si="258"/>
        <v>-6</v>
      </c>
      <c r="CQ36" s="26" t="str">
        <f t="shared" si="7"/>
        <v>1101010010010011</v>
      </c>
      <c r="CR36" s="26" t="str">
        <f t="shared" si="8"/>
        <v>0001001101110111</v>
      </c>
      <c r="CS36" s="77">
        <f>MID(CQ36,16,1)*POWER(2,0)+MID(CQ36,15,1)*POWER(2,1)+MID(CQ36,14,1)*POWER(2,2)+MID(CQ36,13,1)*POWER(2,3)+MID(CQ36,12,1)*POWER(2,4)+MID(CQ36,11,1)*POWER(2,5)+MID(CQ36,10,1)*POWER(2,6)+MID(CQ36,9,1)*POWER(2,7)+MID(CQ36,8,1)*POWER(2,8)+MID(CQ36,7,1)*POWER(2,9)+MID(CQ36,6,1)*POWER(2,10)+MID(CQ36,5,1)*POWER(2,11)+MID(CQ36,4,1)*POWER(2,12)+MID(CQ36,3,1)*POWER(2,13)+MID(CQ36,2,1)*POWER(2,14)+MID(CQ36,1,1)*POWER(2,15)-(MID(CQ37,16,1)*POWER(2,0)+MID(CQ37,15,1)*POWER(2,1)+MID(CQ37,14,1)*POWER(2,2)+MID(CQ37,13,1)*POWER(2,3)+MID(CQ37,12,1)*POWER(2,4)+MID(CQ37,11,1)*POWER(2,5)+MID(CQ37,10,1)*POWER(2,6)+MID(CQ37,9,1)*POWER(2,7)+MID(CQ37,8,1)*POWER(2,8)+MID(CQ37,7,1)*POWER(2,9)+MID(CQ37,6,1)*POWER(2,10)+MID(CQ37,5,1)*POWER(2,11)+MID(CQ37,4,1)*POWER(2,12)+MID(CQ37,3,1)*POWER(2,13)+MID(CQ37,2,1)*POWER(2,14)+MID(CQ37,1,1)*POWER(2,15))</f>
        <v>53139</v>
      </c>
      <c r="CT36" s="77">
        <f>MID(CR36,16,1)*POWER(2,0)+MID(CR36,15,1)*POWER(2,1)+MID(CR36,14,1)*POWER(2,2)+MID(CR36,13,1)*POWER(2,3)+MID(CR36,12,1)*POWER(2,4)+MID(CR36,11,1)*POWER(2,5)+MID(CR36,10,1)*POWER(2,6)+MID(CR36,9,1)*POWER(2,7)+MID(CR36,8,1)*POWER(2,8)+MID(CR36,7,1)*POWER(2,9)+MID(CR36,6,1)*POWER(2,10)+MID(CR36,5,1)*POWER(2,11)+MID(CR36,4,1)*POWER(2,12)+MID(CR36,3,1)*POWER(2,13)+MID(CR36,2,1)*POWER(2,14)+MID(CR36,1,1)*POWER(2,15)-(MID(CR37,16,1)*POWER(2,0)+MID(CR37,15,1)*POWER(2,1)+MID(CR37,14,1)*POWER(2,2)+MID(CR37,13,1)*POWER(2,3)+MID(CR37,12,1)*POWER(2,4)+MID(CR37,11,1)*POWER(2,5)+MID(CR37,10,1)*POWER(2,6)+MID(CR37,9,1)*POWER(2,7)+MID(CR37,8,1)*POWER(2,8)+MID(CR37,7,1)*POWER(2,9)+MID(CR37,6,1)*POWER(2,10)+MID(CR37,5,1)*POWER(2,11)+MID(CR37,4,1)*POWER(2,12)+MID(CR37,3,1)*POWER(2,13)+MID(CR37,2,1)*POWER(2,14)+MID(CR37,1,1)*POWER(2,15))</f>
        <v>-4302</v>
      </c>
      <c r="CU36" s="45" t="str">
        <f>CONCATENATE(MID($L36,1,1)*MID($K36,1,1),MID($L36,2,1)*MID($K36,2,1),MID($L36,3,1)*MID($K36,3,1),MID($L36,4,1)*MID($K36,4,1),MID($L36,5,1)*MID($K36,5,1),MID($L36,6,1)*MID($K36,6,1),MID($L36,7,1)*MID($K36,7,1),MID($L36,8,1)*MID($K36,8,1),MID($L36,9,1)*MID($K36,1,1),MID($L36,10,1)*MID($K36,2,1),MID($L36,11,1)*MID($K36,3,1),MID($L36,12,1)*MID($K36,4,1),MID($L36,13,1)*MID($K36,5,1),MID($L36,14,1)*MID($K36,6,1),MID($L36,15,1)*MID($K36,7,1),MID($L36,16,1)*MID($K36,8,1),MID($L36,17,1)*MID($K36,1,1),MID($L36,18,1)*MID($K36,2,1),MID($L36,19,1)*MID($K36,3,1),MID($L36,20,1)*MID($K36,4,1),MID($L36,21,1)*MID($K36,5,1),MID($L36,22,1)*MID($K36,6,1),MID($L36,23,1)*MID($K36,7,1),MID($L36,24,1)*MID($K36,8,1),MID($L36,25,1)*MID($K36,1,1),MID($L36,26,1)*MID($K36,2,1),MID($L36,27,1)*MID($K36,3,1),MID($L36,28,1)*MID($K36,4,1),MID($L36,29,1)*MID($K36,5,1),MID($L36,30,1)*MID($K36,6,1),MID($L36,31,1)*MID($K36,7,1),MID($L36,32,1)*MID($K36,8,1))</f>
        <v>01000100000000010000000101100101</v>
      </c>
      <c r="CV36" s="26" t="str">
        <f t="shared" si="60"/>
        <v>01000100</v>
      </c>
      <c r="CW36" s="26" t="str">
        <f t="shared" si="61"/>
        <v>00000001</v>
      </c>
      <c r="CX36" s="26" t="str">
        <f t="shared" si="62"/>
        <v>00000001</v>
      </c>
      <c r="CY36" s="26" t="str">
        <f t="shared" si="63"/>
        <v>01100101</v>
      </c>
      <c r="CZ36" s="77">
        <f>BIN2DEC(CV36)-BIN2DEC(CV37)</f>
        <v>63</v>
      </c>
      <c r="DA36" s="77">
        <f>BIN2DEC(CW36)-BIN2DEC(CW37)</f>
        <v>1</v>
      </c>
      <c r="DB36" s="77">
        <f>BIN2DEC(CX36)-BIN2DEC(CX37)</f>
        <v>-35</v>
      </c>
      <c r="DC36" s="77">
        <f>BIN2DEC(CY36)-BIN2DEC(CY37)</f>
        <v>32</v>
      </c>
      <c r="DD36" s="27" t="str">
        <f t="shared" si="64"/>
        <v>1101</v>
      </c>
      <c r="DE36" s="27" t="str">
        <f t="shared" si="65"/>
        <v>0100</v>
      </c>
      <c r="DF36" s="27" t="str">
        <f t="shared" si="66"/>
        <v>1001</v>
      </c>
      <c r="DG36" s="27" t="str">
        <f t="shared" si="67"/>
        <v>0011</v>
      </c>
      <c r="DH36" s="27" t="str">
        <f t="shared" si="68"/>
        <v>0001</v>
      </c>
      <c r="DI36" s="27" t="str">
        <f t="shared" si="69"/>
        <v>0011</v>
      </c>
      <c r="DJ36" s="27" t="str">
        <f t="shared" si="70"/>
        <v>0111</v>
      </c>
      <c r="DK36" s="27" t="str">
        <f t="shared" si="71"/>
        <v>0111</v>
      </c>
      <c r="DL36" s="77">
        <f t="shared" ref="DL36:DS36" si="259">BIN2DEC(DD36)-BIN2DEC(DD37)</f>
        <v>5</v>
      </c>
      <c r="DM36" s="77">
        <f t="shared" si="259"/>
        <v>-9</v>
      </c>
      <c r="DN36" s="77">
        <f t="shared" si="259"/>
        <v>9</v>
      </c>
      <c r="DO36" s="77">
        <f t="shared" si="259"/>
        <v>3</v>
      </c>
      <c r="DP36" s="77">
        <f t="shared" si="259"/>
        <v>-1</v>
      </c>
      <c r="DQ36" s="77">
        <f t="shared" si="259"/>
        <v>-3</v>
      </c>
      <c r="DR36" s="77">
        <f t="shared" si="259"/>
        <v>-6</v>
      </c>
      <c r="DS36" s="77">
        <f t="shared" si="259"/>
        <v>-6</v>
      </c>
      <c r="DT36" s="26" t="str">
        <f t="shared" si="10"/>
        <v>0100010000000001</v>
      </c>
      <c r="DU36" s="26" t="str">
        <f t="shared" si="11"/>
        <v>0000000101100101</v>
      </c>
      <c r="DV36" s="77">
        <f>MID(DT36,16,1)*POWER(2,0)+MID(DT36,15,1)*POWER(2,1)+MID(DT36,14,1)*POWER(2,2)+MID(DT36,13,1)*POWER(2,3)+MID(DT36,12,1)*POWER(2,4)+MID(DT36,11,1)*POWER(2,5)+MID(DT36,10,1)*POWER(2,6)+MID(DT36,9,1)*POWER(2,7)+MID(DT36,8,1)*POWER(2,8)+MID(DT36,7,1)*POWER(2,9)+MID(DT36,6,1)*POWER(2,10)+MID(DT36,5,1)*POWER(2,11)+MID(DT36,4,1)*POWER(2,12)+MID(DT36,3,1)*POWER(2,13)+MID(DT36,2,1)*POWER(2,14)+MID(DT36,1,1)*POWER(2,15)-(MID(DT37,16,1)*POWER(2,0)+MID(DT37,15,1)*POWER(2,1)+MID(DT37,14,1)*POWER(2,2)+MID(DT37,13,1)*POWER(2,3)+MID(DT37,12,1)*POWER(2,4)+MID(DT37,11,1)*POWER(2,5)+MID(DT37,10,1)*POWER(2,6)+MID(DT37,9,1)*POWER(2,7)+MID(DT37,8,1)*POWER(2,8)+MID(DT37,7,1)*POWER(2,9)+MID(DT37,6,1)*POWER(2,10)+MID(DT37,5,1)*POWER(2,11)+MID(DT37,4,1)*POWER(2,12)+MID(DT37,3,1)*POWER(2,13)+MID(DT37,2,1)*POWER(2,14)+MID(DT37,1,1)*POWER(2,15))</f>
        <v>16129</v>
      </c>
      <c r="DW36" s="77">
        <f>MID(DU36,16,1)*POWER(2,0)+MID(DU36,15,1)*POWER(2,1)+MID(DU36,14,1)*POWER(2,2)+MID(DU36,13,1)*POWER(2,3)+MID(DU36,12,1)*POWER(2,4)+MID(DU36,11,1)*POWER(2,5)+MID(DU36,10,1)*POWER(2,6)+MID(DU36,9,1)*POWER(2,7)+MID(DU36,8,1)*POWER(2,8)+MID(DU36,7,1)*POWER(2,9)+MID(DU36,6,1)*POWER(2,10)+MID(DU36,5,1)*POWER(2,11)+MID(DU36,4,1)*POWER(2,12)+MID(DU36,3,1)*POWER(2,13)+MID(DU36,2,1)*POWER(2,14)+MID(DU36,1,1)*POWER(2,15)-(MID(DU37,16,1)*POWER(2,0)+MID(DU37,15,1)*POWER(2,1)+MID(DU37,14,1)*POWER(2,2)+MID(DU37,13,1)*POWER(2,3)+MID(DU37,12,1)*POWER(2,4)+MID(DU37,11,1)*POWER(2,5)+MID(DU37,10,1)*POWER(2,6)+MID(DU37,9,1)*POWER(2,7)+MID(DU37,8,1)*POWER(2,8)+MID(DU37,7,1)*POWER(2,9)+MID(DU37,6,1)*POWER(2,10)+MID(DU37,5,1)*POWER(2,11)+MID(DU37,4,1)*POWER(2,12)+MID(DU37,3,1)*POWER(2,13)+MID(DU37,2,1)*POWER(2,14)+MID(DU37,1,1)*POWER(2,15))</f>
        <v>-8928</v>
      </c>
      <c r="DX36" s="22" t="str">
        <f>CONCATENATE(MID($H36,1,1)*MID($K36,1,1),MID($H36,2,1)*MID($K36,2,1),MID($H36,3,1)*MID($K36,3,1),MID($H36,4,1)*MID($K36,4,1),MID($H36,5,1)*MID($K36,5,1),MID($H36,6,1)*MID($K36,6,1),MID($H36,7,1)*MID($K36,7,1),MID($H36,8,1)*MID($K36,8,1),MID($H36,9,1)*MID($K36,1,1),MID($H36,10,1)*MID($K36,2,1),MID($H36,11,1)*MID($K36,3,1),MID($H36,12,1)*MID($K36,4,1),MID($H36,13,1)*MID($K36,5,1),MID($H36,14,1)*MID($K36,6,1),MID($H36,15,1)*MID($K36,7,1),MID($H36,16,1)*MID($K36,8,1),MID($H36,17,1)*MID($K36,1,1),MID($H36,18,1)*MID($K36,2,1),MID($H36,19,1)*MID($K36,3,1),MID($H36,20,1)*MID($K36,4,1),MID($H36,21,1)*MID($K36,5,1),MID($H36,22,1)*MID($K36,6,1),MID($H36,23,1)*MID($K36,7,1),MID($H36,24,1)*MID($K36,8,1),MID($H36,25,1)*MID($K36,1,1),MID($H36,26,1)*MID($K36,2,1),MID($H36,27,1)*MID($K36,3,1),MID($H36,28,1)*MID($K36,4,1),MID($H36,29,1)*MID($K36,5,1),MID($H36,30,1)*MID($K36,6,1),MID($H36,31,1)*MID($K36,7,1),MID($H36,32,1)*MID($K36,8,1))</f>
        <v>00000100001000000010000100000100</v>
      </c>
      <c r="DY36" s="43" t="str">
        <f>CONCATENATE(MID(DX36,30,3),MID(DX36,17,5),MID(DX36,6,3),MID(DX36,25,5),MID(DX36,14,3),MID(DX36,1,5),MID(DX36,22,3),MID(DX36,9,5))</f>
        <v>10000100100000000000000000100100</v>
      </c>
      <c r="DZ36" s="26" t="str">
        <f t="shared" si="122"/>
        <v>10000100</v>
      </c>
      <c r="EA36" s="26" t="str">
        <f t="shared" si="72"/>
        <v>10000000</v>
      </c>
      <c r="EB36" s="26" t="str">
        <f t="shared" si="73"/>
        <v>00000000</v>
      </c>
      <c r="EC36" s="26" t="str">
        <f t="shared" si="74"/>
        <v>00100100</v>
      </c>
      <c r="ED36" s="77">
        <f>BIN2DEC(DZ36)-BIN2DEC(DZ37)</f>
        <v>-9</v>
      </c>
      <c r="EE36" s="77">
        <f>BIN2DEC(EA36)-BIN2DEC(EA37)</f>
        <v>128</v>
      </c>
      <c r="EF36" s="77">
        <f>BIN2DEC(EB36)-BIN2DEC(EB37)</f>
        <v>-38</v>
      </c>
      <c r="EG36" s="77">
        <f>BIN2DEC(EC36)-BIN2DEC(EC37)</f>
        <v>-185</v>
      </c>
      <c r="EH36" s="27" t="str">
        <f t="shared" si="75"/>
        <v>1101</v>
      </c>
      <c r="EI36" s="27" t="str">
        <f t="shared" si="76"/>
        <v>0100</v>
      </c>
      <c r="EJ36" s="27" t="str">
        <f t="shared" si="77"/>
        <v>1001</v>
      </c>
      <c r="EK36" s="27" t="str">
        <f t="shared" si="78"/>
        <v>0011</v>
      </c>
      <c r="EL36" s="27" t="str">
        <f t="shared" si="79"/>
        <v>0001</v>
      </c>
      <c r="EM36" s="27" t="str">
        <f t="shared" si="80"/>
        <v>0011</v>
      </c>
      <c r="EN36" s="27" t="str">
        <f t="shared" si="81"/>
        <v>0111</v>
      </c>
      <c r="EO36" s="27" t="str">
        <f t="shared" si="82"/>
        <v>0111</v>
      </c>
      <c r="EP36" s="77">
        <f t="shared" ref="EP36:EW36" si="260">BIN2DEC(EH36)-BIN2DEC(EH37)</f>
        <v>5</v>
      </c>
      <c r="EQ36" s="77">
        <f t="shared" si="260"/>
        <v>-9</v>
      </c>
      <c r="ER36" s="77">
        <f t="shared" si="260"/>
        <v>9</v>
      </c>
      <c r="ES36" s="77">
        <f t="shared" si="260"/>
        <v>3</v>
      </c>
      <c r="ET36" s="77">
        <f t="shared" si="260"/>
        <v>-1</v>
      </c>
      <c r="EU36" s="77">
        <f t="shared" si="260"/>
        <v>-3</v>
      </c>
      <c r="EV36" s="77">
        <f t="shared" si="260"/>
        <v>-6</v>
      </c>
      <c r="EW36" s="77">
        <f t="shared" si="260"/>
        <v>-6</v>
      </c>
      <c r="EX36" s="26" t="str">
        <f t="shared" si="13"/>
        <v>1000010010000000</v>
      </c>
      <c r="EY36" s="26" t="str">
        <f t="shared" si="14"/>
        <v>0000000000100100</v>
      </c>
      <c r="EZ36" s="77">
        <f>MID(EX36,16,1)*POWER(2,0)+MID(EX36,15,1)*POWER(2,1)+MID(EX36,14,1)*POWER(2,2)+MID(EX36,13,1)*POWER(2,3)+MID(EX36,12,1)*POWER(2,4)+MID(EX36,11,1)*POWER(2,5)+MID(EX36,10,1)*POWER(2,6)+MID(EX36,9,1)*POWER(2,7)+MID(EX36,8,1)*POWER(2,8)+MID(EX36,7,1)*POWER(2,9)+MID(EX36,6,1)*POWER(2,10)+MID(EX36,5,1)*POWER(2,11)+MID(EX36,4,1)*POWER(2,12)+MID(EX36,3,1)*POWER(2,13)+MID(EX36,2,1)*POWER(2,14)+MID(EX36,1,1)*POWER(2,15)-(MID(EX37,16,1)*POWER(2,0)+MID(EX37,15,1)*POWER(2,1)+MID(EX37,14,1)*POWER(2,2)+MID(EX37,13,1)*POWER(2,3)+MID(EX37,12,1)*POWER(2,4)+MID(EX37,11,1)*POWER(2,5)+MID(EX37,10,1)*POWER(2,6)+MID(EX37,9,1)*POWER(2,7)+MID(EX37,8,1)*POWER(2,8)+MID(EX37,7,1)*POWER(2,9)+MID(EX37,6,1)*POWER(2,10)+MID(EX37,5,1)*POWER(2,11)+MID(EX37,4,1)*POWER(2,12)+MID(EX37,3,1)*POWER(2,13)+MID(EX37,2,1)*POWER(2,14)+MID(EX37,1,1)*POWER(2,15))</f>
        <v>-2176</v>
      </c>
      <c r="FA36" s="77">
        <f>MID(EY36,16,1)*POWER(2,0)+MID(EY36,15,1)*POWER(2,1)+MID(EY36,14,1)*POWER(2,2)+MID(EY36,13,1)*POWER(2,3)+MID(EY36,12,1)*POWER(2,4)+MID(EY36,11,1)*POWER(2,5)+MID(EY36,10,1)*POWER(2,6)+MID(EY36,9,1)*POWER(2,7)+MID(EY36,8,1)*POWER(2,8)+MID(EY36,7,1)*POWER(2,9)+MID(EY36,6,1)*POWER(2,10)+MID(EY36,5,1)*POWER(2,11)+MID(EY36,4,1)*POWER(2,12)+MID(EY36,3,1)*POWER(2,13)+MID(EY36,2,1)*POWER(2,14)+MID(EY36,1,1)*POWER(2,15)-(MID(EY37,16,1)*POWER(2,0)+MID(EY37,15,1)*POWER(2,1)+MID(EY37,14,1)*POWER(2,2)+MID(EY37,13,1)*POWER(2,3)+MID(EY37,12,1)*POWER(2,4)+MID(EY37,11,1)*POWER(2,5)+MID(EY37,10,1)*POWER(2,6)+MID(EY37,9,1)*POWER(2,7)+MID(EY37,8,1)*POWER(2,8)+MID(EY37,7,1)*POWER(2,9)+MID(EY37,6,1)*POWER(2,10)+MID(EY37,5,1)*POWER(2,11)+MID(EY37,4,1)*POWER(2,12)+MID(EY37,3,1)*POWER(2,13)+MID(EY37,2,1)*POWER(2,14)+MID(EY37,1,1)*POWER(2,15))</f>
        <v>-9913</v>
      </c>
      <c r="FB36" s="45" t="str">
        <f>CONCATENATE(MID(DY36,1,1)*MID($K36,1,1),MID(DY36,2,1)*MID($K36,2,1),MID(DY36,3,1)*MID($K36,3,1),MID(DY36,4,1)*MID($K36,4,1),MID(DY36,5,1)*MID($K36,5,1),MID(DY36,6,1)*MID($K36,6,1),MID(DY36,7,1)*MID($K36,7,1),MID(DY36,8,1)*MID($K36,8,1),MID(DY36,9,1)*MID($K36,1,1),MID(DY36,10,1)*MID($K36,2,1),MID(DY36,11,1)*MID($K36,3,1),MID(DY36,12,1)*MID($K36,4,1),MID(DY36,13,1)*MID($K36,5,1),MID(DY36,14,1)*MID($K36,6,1),MID(DY36,15,1)*MID($K36,7,1),MID(DY36,16,1)*MID($K36,8,1),MID(DY36,17,1)*MID($K36,1,1),MID(DY36,18,1)*MID($K36,2,1),MID(DY36,19,1)*MID($K36,3,1),MID(DY36,20,1)*MID($K36,4,1),MID(DY36,21,1)*MID($K36,5,1),MID(DY36,22,1)*MID($K36,6,1),MID(DY36,23,1)*MID($K36,7,1),MID(DY36,24,1)*MID($K36,8,1),MID(DY36,25,1)*MID($K36,1,1),MID(DY36,26,1)*MID($K36,2,1),MID(DY36,27,1)*MID($K36,3,1),MID(DY36,28,1)*MID($K36,4,1),MID(DY36,29,1)*MID($K36,5,1),MID(DY36,30,1)*MID($K36,6,1),MID(DY36,31,1)*MID($K36,7,1),MID(DY36,32,1)*MID($K36,8,1))</f>
        <v>00000100000000000000000000100100</v>
      </c>
      <c r="FC36" s="26" t="str">
        <f t="shared" si="124"/>
        <v>00000100</v>
      </c>
      <c r="FD36" s="26" t="str">
        <f t="shared" si="83"/>
        <v>00000000</v>
      </c>
      <c r="FE36" s="26" t="str">
        <f t="shared" si="84"/>
        <v>00000000</v>
      </c>
      <c r="FF36" s="26" t="str">
        <f t="shared" si="85"/>
        <v>00100100</v>
      </c>
      <c r="FG36" s="77">
        <f>BIN2DEC(FC36)-BIN2DEC(FC37)</f>
        <v>-137</v>
      </c>
      <c r="FH36" s="77">
        <f>BIN2DEC(FD36)-BIN2DEC(FD37)</f>
        <v>0</v>
      </c>
      <c r="FI36" s="77">
        <f>BIN2DEC(FE36)-BIN2DEC(FE37)</f>
        <v>-38</v>
      </c>
      <c r="FJ36" s="77">
        <f>BIN2DEC(FF36)-BIN2DEC(FF37)</f>
        <v>-185</v>
      </c>
      <c r="FK36" s="27" t="str">
        <f t="shared" si="86"/>
        <v>1101</v>
      </c>
      <c r="FL36" s="27" t="str">
        <f t="shared" si="87"/>
        <v>0100</v>
      </c>
      <c r="FM36" s="27" t="str">
        <f t="shared" si="88"/>
        <v>1001</v>
      </c>
      <c r="FN36" s="27" t="str">
        <f t="shared" si="89"/>
        <v>0011</v>
      </c>
      <c r="FO36" s="27" t="str">
        <f t="shared" si="90"/>
        <v>0001</v>
      </c>
      <c r="FP36" s="27" t="str">
        <f t="shared" si="91"/>
        <v>0011</v>
      </c>
      <c r="FQ36" s="27" t="str">
        <f t="shared" si="92"/>
        <v>0111</v>
      </c>
      <c r="FR36" s="27" t="str">
        <f t="shared" si="93"/>
        <v>0111</v>
      </c>
      <c r="FS36" s="77">
        <f t="shared" ref="FS36:FZ36" si="261">BIN2DEC(FK36)-BIN2DEC(FK37)</f>
        <v>5</v>
      </c>
      <c r="FT36" s="77">
        <f t="shared" si="261"/>
        <v>-9</v>
      </c>
      <c r="FU36" s="77">
        <f t="shared" si="261"/>
        <v>9</v>
      </c>
      <c r="FV36" s="77">
        <f t="shared" si="261"/>
        <v>3</v>
      </c>
      <c r="FW36" s="77">
        <f t="shared" si="261"/>
        <v>-1</v>
      </c>
      <c r="FX36" s="77">
        <f t="shared" si="261"/>
        <v>-3</v>
      </c>
      <c r="FY36" s="77">
        <f t="shared" si="261"/>
        <v>-6</v>
      </c>
      <c r="FZ36" s="77">
        <f t="shared" si="261"/>
        <v>-6</v>
      </c>
      <c r="GA36" s="26" t="str">
        <f t="shared" si="16"/>
        <v>0000010000000000</v>
      </c>
      <c r="GB36" s="26" t="str">
        <f t="shared" si="17"/>
        <v>0000000000100100</v>
      </c>
      <c r="GC36" s="77">
        <f>MID(GA36,16,1)*POWER(2,0)+MID(GA36,15,1)*POWER(2,1)+MID(GA36,14,1)*POWER(2,2)+MID(GA36,13,1)*POWER(2,3)+MID(GA36,12,1)*POWER(2,4)+MID(GA36,11,1)*POWER(2,5)+MID(GA36,10,1)*POWER(2,6)+MID(GA36,9,1)*POWER(2,7)+MID(GA36,8,1)*POWER(2,8)+MID(GA36,7,1)*POWER(2,9)+MID(GA36,6,1)*POWER(2,10)+MID(GA36,5,1)*POWER(2,11)+MID(GA36,4,1)*POWER(2,12)+MID(GA36,3,1)*POWER(2,13)+MID(GA36,2,1)*POWER(2,14)+MID(GA36,1,1)*POWER(2,15)-(MID(GA37,16,1)*POWER(2,0)+MID(GA37,15,1)*POWER(2,1)+MID(GA37,14,1)*POWER(2,2)+MID(GA37,13,1)*POWER(2,3)+MID(GA37,12,1)*POWER(2,4)+MID(GA37,11,1)*POWER(2,5)+MID(GA37,10,1)*POWER(2,6)+MID(GA37,9,1)*POWER(2,7)+MID(GA37,8,1)*POWER(2,8)+MID(GA37,7,1)*POWER(2,9)+MID(GA37,6,1)*POWER(2,10)+MID(GA37,5,1)*POWER(2,11)+MID(GA37,4,1)*POWER(2,12)+MID(GA37,3,1)*POWER(2,13)+MID(GA37,2,1)*POWER(2,14)+MID(GA37,1,1)*POWER(2,15))</f>
        <v>-35072</v>
      </c>
      <c r="GD36" s="77">
        <f>MID(GB36,16,1)*POWER(2,0)+MID(GB36,15,1)*POWER(2,1)+MID(GB36,14,1)*POWER(2,2)+MID(GB36,13,1)*POWER(2,3)+MID(GB36,12,1)*POWER(2,4)+MID(GB36,11,1)*POWER(2,5)+MID(GB36,10,1)*POWER(2,6)+MID(GB36,9,1)*POWER(2,7)+MID(GB36,8,1)*POWER(2,8)+MID(GB36,7,1)*POWER(2,9)+MID(GB36,6,1)*POWER(2,10)+MID(GB36,5,1)*POWER(2,11)+MID(GB36,4,1)*POWER(2,12)+MID(GB36,3,1)*POWER(2,13)+MID(GB36,2,1)*POWER(2,14)+MID(GB36,1,1)*POWER(2,15)-(MID(GB37,16,1)*POWER(2,0)+MID(GB37,15,1)*POWER(2,1)+MID(GB37,14,1)*POWER(2,2)+MID(GB37,13,1)*POWER(2,3)+MID(GB37,12,1)*POWER(2,4)+MID(GB37,11,1)*POWER(2,5)+MID(GB37,10,1)*POWER(2,6)+MID(GB37,9,1)*POWER(2,7)+MID(GB37,8,1)*POWER(2,8)+MID(GB37,7,1)*POWER(2,9)+MID(GB37,6,1)*POWER(2,10)+MID(GB37,5,1)*POWER(2,11)+MID(GB37,4,1)*POWER(2,12)+MID(GB37,3,1)*POWER(2,13)+MID(GB37,2,1)*POWER(2,14)+MID(GB37,1,1)*POWER(2,15))</f>
        <v>-9913</v>
      </c>
      <c r="GE36" s="47" t="str">
        <f>DY36</f>
        <v>10000100100000000000000000100100</v>
      </c>
      <c r="GF36" s="26" t="str">
        <f t="shared" si="126"/>
        <v>10000100</v>
      </c>
      <c r="GG36" s="26" t="str">
        <f t="shared" si="94"/>
        <v>10000000</v>
      </c>
      <c r="GH36" s="26" t="str">
        <f t="shared" si="95"/>
        <v>00000000</v>
      </c>
      <c r="GI36" s="26" t="str">
        <f t="shared" si="96"/>
        <v>00100100</v>
      </c>
      <c r="GJ36" s="77">
        <f>BIN2DEC(GF36)-BIN2DEC(GF37)</f>
        <v>127</v>
      </c>
      <c r="GK36" s="77">
        <f>BIN2DEC(GG36)-BIN2DEC(GG37)</f>
        <v>128</v>
      </c>
      <c r="GL36" s="77">
        <f>BIN2DEC(GH36)-BIN2DEC(GH37)</f>
        <v>-36</v>
      </c>
      <c r="GM36" s="77">
        <f>BIN2DEC(GI36)-BIN2DEC(GI37)</f>
        <v>-33</v>
      </c>
      <c r="GN36" s="27" t="str">
        <f t="shared" si="97"/>
        <v>1101</v>
      </c>
      <c r="GO36" s="27" t="str">
        <f t="shared" si="98"/>
        <v>0100</v>
      </c>
      <c r="GP36" s="27" t="str">
        <f t="shared" si="99"/>
        <v>1001</v>
      </c>
      <c r="GQ36" s="27" t="str">
        <f t="shared" si="100"/>
        <v>0011</v>
      </c>
      <c r="GR36" s="27" t="str">
        <f t="shared" si="101"/>
        <v>0001</v>
      </c>
      <c r="GS36" s="27" t="str">
        <f t="shared" si="102"/>
        <v>0011</v>
      </c>
      <c r="GT36" s="27" t="str">
        <f t="shared" si="103"/>
        <v>0111</v>
      </c>
      <c r="GU36" s="27" t="str">
        <f t="shared" si="104"/>
        <v>0111</v>
      </c>
      <c r="GV36" s="77">
        <f t="shared" ref="GV36:HC36" si="262">BIN2DEC(GN36)-BIN2DEC(GN37)</f>
        <v>5</v>
      </c>
      <c r="GW36" s="77">
        <f t="shared" si="262"/>
        <v>-9</v>
      </c>
      <c r="GX36" s="77">
        <f t="shared" si="262"/>
        <v>9</v>
      </c>
      <c r="GY36" s="77">
        <f t="shared" si="262"/>
        <v>3</v>
      </c>
      <c r="GZ36" s="77">
        <f t="shared" si="262"/>
        <v>-1</v>
      </c>
      <c r="HA36" s="77">
        <f t="shared" si="262"/>
        <v>-3</v>
      </c>
      <c r="HB36" s="77">
        <f t="shared" si="262"/>
        <v>-6</v>
      </c>
      <c r="HC36" s="77">
        <f t="shared" si="262"/>
        <v>-6</v>
      </c>
      <c r="HD36" s="26" t="str">
        <f t="shared" si="19"/>
        <v>1000010010000000</v>
      </c>
      <c r="HE36" s="26" t="str">
        <f t="shared" si="20"/>
        <v>0000000000100100</v>
      </c>
      <c r="HF36" s="77">
        <f>MID(HD36,16,1)*POWER(2,0)+MID(HD36,15,1)*POWER(2,1)+MID(HD36,14,1)*POWER(2,2)+MID(HD36,13,1)*POWER(2,3)+MID(HD36,12,1)*POWER(2,4)+MID(HD36,11,1)*POWER(2,5)+MID(HD36,10,1)*POWER(2,6)+MID(HD36,9,1)*POWER(2,7)+MID(HD36,8,1)*POWER(2,8)+MID(HD36,7,1)*POWER(2,9)+MID(HD36,6,1)*POWER(2,10)+MID(HD36,5,1)*POWER(2,11)+MID(HD36,4,1)*POWER(2,12)+MID(HD36,3,1)*POWER(2,13)+MID(HD36,2,1)*POWER(2,14)+MID(HD36,1,1)*POWER(2,15)-(MID(HD37,16,1)*POWER(2,0)+MID(HD37,15,1)*POWER(2,1)+MID(HD37,14,1)*POWER(2,2)+MID(HD37,13,1)*POWER(2,3)+MID(HD37,12,1)*POWER(2,4)+MID(HD37,11,1)*POWER(2,5)+MID(HD37,10,1)*POWER(2,6)+MID(HD37,9,1)*POWER(2,7)+MID(HD37,8,1)*POWER(2,8)+MID(HD37,7,1)*POWER(2,9)+MID(HD37,6,1)*POWER(2,10)+MID(HD37,5,1)*POWER(2,11)+MID(HD37,4,1)*POWER(2,12)+MID(HD37,3,1)*POWER(2,13)+MID(HD37,2,1)*POWER(2,14)+MID(HD37,1,1)*POWER(2,15))</f>
        <v>32640</v>
      </c>
      <c r="HG36" s="77">
        <f>MID(HE36,16,1)*POWER(2,0)+MID(HE36,15,1)*POWER(2,1)+MID(HE36,14,1)*POWER(2,2)+MID(HE36,13,1)*POWER(2,3)+MID(HE36,12,1)*POWER(2,4)+MID(HE36,11,1)*POWER(2,5)+MID(HE36,10,1)*POWER(2,6)+MID(HE36,9,1)*POWER(2,7)+MID(HE36,8,1)*POWER(2,8)+MID(HE36,7,1)*POWER(2,9)+MID(HE36,6,1)*POWER(2,10)+MID(HE36,5,1)*POWER(2,11)+MID(HE36,4,1)*POWER(2,12)+MID(HE36,3,1)*POWER(2,13)+MID(HE36,2,1)*POWER(2,14)+MID(HE36,1,1)*POWER(2,15)-(MID(HE37,16,1)*POWER(2,0)+MID(HE37,15,1)*POWER(2,1)+MID(HE37,14,1)*POWER(2,2)+MID(HE37,13,1)*POWER(2,3)+MID(HE37,12,1)*POWER(2,4)+MID(HE37,11,1)*POWER(2,5)+MID(HE37,10,1)*POWER(2,6)+MID(HE37,9,1)*POWER(2,7)+MID(HE37,8,1)*POWER(2,8)+MID(HE37,7,1)*POWER(2,9)+MID(HE37,6,1)*POWER(2,10)+MID(HE37,5,1)*POWER(2,11)+MID(HE37,4,1)*POWER(2,12)+MID(HE37,3,1)*POWER(2,13)+MID(HE37,2,1)*POWER(2,14)+MID(HE37,1,1)*POWER(2,15))</f>
        <v>-9249</v>
      </c>
      <c r="HH36" s="45" t="str">
        <f>CONCATENATE(MID(GE36,1,1)*MID($K36,1,1),MID(GE36,2,1)*MID($K36,2,1),MID(GE36,3,1)*MID($K36,3,1),MID(GE36,4,1)*MID($K36,4,1),MID(GE36,5,1)*MID($K36,5,1),MID(GE36,6,1)*MID($K36,6,1),MID(GE36,7,1)*MID($K36,7,1),MID(GE36,8,1)*MID($K36,8,1),MID(GE36,9,1)*MID($K36,1,1),MID(GE36,10,1)*MID($K36,2,1),MID(GE36,11,1)*MID($K36,3,1),MID(GE36,12,1)*MID($K36,4,1),MID(GE36,13,1)*MID($K36,5,1),MID(GE36,14,1)*MID($K36,6,1),MID(GE36,15,1)*MID($K36,7,1),MID(GE36,16,1)*MID($K36,8,1),MID(GE36,17,1)*MID($K36,1,1),MID(GE36,18,1)*MID($K36,2,1),MID(GE36,19,1)*MID($K36,3,1),MID(GE36,20,1)*MID($K36,4,1),MID(GE36,21,1)*MID($K36,5,1),MID(GE36,22,1)*MID($K36,6,1),MID(GE36,23,1)*MID($K36,7,1),MID(GE36,24,1)*MID($K36,8,1),MID(GE36,25,1)*MID($K36,1,1),MID(GE36,26,1)*MID($K36,2,1),MID(GE36,27,1)*MID($K36,3,1),MID(GE36,28,1)*MID($K36,4,1),MID(GE36,29,1)*MID($K36,5,1),MID(GE36,30,1)*MID($K36,6,1),MID(GE36,31,1)*MID($K36,7,1),MID(GE36,32,1)*MID($K36,8,1))</f>
        <v>00000100000000000000000000100100</v>
      </c>
      <c r="HI36" s="26" t="str">
        <f t="shared" si="128"/>
        <v>00000100</v>
      </c>
      <c r="HJ36" s="26" t="str">
        <f t="shared" si="105"/>
        <v>00000000</v>
      </c>
      <c r="HK36" s="26" t="str">
        <f t="shared" si="106"/>
        <v>00000000</v>
      </c>
      <c r="HL36" s="26" t="str">
        <f t="shared" si="107"/>
        <v>00100100</v>
      </c>
      <c r="HM36" s="77">
        <f>BIN2DEC(HI36)-BIN2DEC(HI37)</f>
        <v>-1</v>
      </c>
      <c r="HN36" s="77">
        <f>BIN2DEC(HJ36)-BIN2DEC(HJ37)</f>
        <v>0</v>
      </c>
      <c r="HO36" s="77">
        <f>BIN2DEC(HK36)-BIN2DEC(HK37)</f>
        <v>-36</v>
      </c>
      <c r="HP36" s="77">
        <f>BIN2DEC(HL36)-BIN2DEC(HL37)</f>
        <v>-33</v>
      </c>
      <c r="HQ36" s="27" t="str">
        <f t="shared" si="108"/>
        <v>1101</v>
      </c>
      <c r="HR36" s="27" t="str">
        <f t="shared" si="109"/>
        <v>0100</v>
      </c>
      <c r="HS36" s="27" t="str">
        <f t="shared" si="110"/>
        <v>1001</v>
      </c>
      <c r="HT36" s="27" t="str">
        <f t="shared" si="111"/>
        <v>0011</v>
      </c>
      <c r="HU36" s="27" t="str">
        <f t="shared" si="112"/>
        <v>0001</v>
      </c>
      <c r="HV36" s="27" t="str">
        <f t="shared" si="113"/>
        <v>0011</v>
      </c>
      <c r="HW36" s="27" t="str">
        <f t="shared" si="114"/>
        <v>0111</v>
      </c>
      <c r="HX36" s="27" t="str">
        <f t="shared" si="115"/>
        <v>0111</v>
      </c>
      <c r="HY36" s="77">
        <f t="shared" ref="HY36:IF36" si="263">BIN2DEC(HQ36)-BIN2DEC(HQ37)</f>
        <v>5</v>
      </c>
      <c r="HZ36" s="77">
        <f t="shared" si="263"/>
        <v>-9</v>
      </c>
      <c r="IA36" s="77">
        <f t="shared" si="263"/>
        <v>9</v>
      </c>
      <c r="IB36" s="77">
        <f t="shared" si="263"/>
        <v>3</v>
      </c>
      <c r="IC36" s="77">
        <f t="shared" si="263"/>
        <v>-1</v>
      </c>
      <c r="ID36" s="77">
        <f t="shared" si="263"/>
        <v>-3</v>
      </c>
      <c r="IE36" s="77">
        <f t="shared" si="263"/>
        <v>-6</v>
      </c>
      <c r="IF36" s="77">
        <f t="shared" si="263"/>
        <v>-6</v>
      </c>
      <c r="IG36" s="26" t="str">
        <f t="shared" si="22"/>
        <v>0000010000000000</v>
      </c>
      <c r="IH36" s="26" t="str">
        <f t="shared" si="23"/>
        <v>0000000000100100</v>
      </c>
      <c r="II36" s="77">
        <f>MID(IG36,16,1)*POWER(2,0)+MID(IG36,15,1)*POWER(2,1)+MID(IG36,14,1)*POWER(2,2)+MID(IG36,13,1)*POWER(2,3)+MID(IG36,12,1)*POWER(2,4)+MID(IG36,11,1)*POWER(2,5)+MID(IG36,10,1)*POWER(2,6)+MID(IG36,9,1)*POWER(2,7)+MID(IG36,8,1)*POWER(2,8)+MID(IG36,7,1)*POWER(2,9)+MID(IG36,6,1)*POWER(2,10)+MID(IG36,5,1)*POWER(2,11)+MID(IG36,4,1)*POWER(2,12)+MID(IG36,3,1)*POWER(2,13)+MID(IG36,2,1)*POWER(2,14)+MID(IG36,1,1)*POWER(2,15)-(MID(IG37,16,1)*POWER(2,0)+MID(IG37,15,1)*POWER(2,1)+MID(IG37,14,1)*POWER(2,2)+MID(IG37,13,1)*POWER(2,3)+MID(IG37,12,1)*POWER(2,4)+MID(IG37,11,1)*POWER(2,5)+MID(IG37,10,1)*POWER(2,6)+MID(IG37,9,1)*POWER(2,7)+MID(IG37,8,1)*POWER(2,8)+MID(IG37,7,1)*POWER(2,9)+MID(IG37,6,1)*POWER(2,10)+MID(IG37,5,1)*POWER(2,11)+MID(IG37,4,1)*POWER(2,12)+MID(IG37,3,1)*POWER(2,13)+MID(IG37,2,1)*POWER(2,14)+MID(IG37,1,1)*POWER(2,15))</f>
        <v>-256</v>
      </c>
      <c r="IJ36" s="77">
        <f>MID(IH36,16,1)*POWER(2,0)+MID(IH36,15,1)*POWER(2,1)+MID(IH36,14,1)*POWER(2,2)+MID(IH36,13,1)*POWER(2,3)+MID(IH36,12,1)*POWER(2,4)+MID(IH36,11,1)*POWER(2,5)+MID(IH36,10,1)*POWER(2,6)+MID(IH36,9,1)*POWER(2,7)+MID(IH36,8,1)*POWER(2,8)+MID(IH36,7,1)*POWER(2,9)+MID(IH36,6,1)*POWER(2,10)+MID(IH36,5,1)*POWER(2,11)+MID(IH36,4,1)*POWER(2,12)+MID(IH36,3,1)*POWER(2,13)+MID(IH36,2,1)*POWER(2,14)+MID(IH36,1,1)*POWER(2,15)-(MID(IH37,16,1)*POWER(2,0)+MID(IH37,15,1)*POWER(2,1)+MID(IH37,14,1)*POWER(2,2)+MID(IH37,13,1)*POWER(2,3)+MID(IH37,12,1)*POWER(2,4)+MID(IH37,11,1)*POWER(2,5)+MID(IH37,10,1)*POWER(2,6)+MID(IH37,9,1)*POWER(2,7)+MID(IH37,8,1)*POWER(2,8)+MID(IH37,7,1)*POWER(2,9)+MID(IH37,6,1)*POWER(2,10)+MID(IH37,5,1)*POWER(2,11)+MID(IH37,4,1)*POWER(2,12)+MID(IH37,3,1)*POWER(2,13)+MID(IH37,2,1)*POWER(2,14)+MID(IH37,1,1)*POWER(2,15))</f>
        <v>-9249</v>
      </c>
      <c r="IL36" s="26"/>
      <c r="IM36" s="26"/>
      <c r="IN36" s="26"/>
      <c r="IO36" s="26"/>
      <c r="IP36" s="22"/>
      <c r="IQ36" s="22"/>
      <c r="IR36" s="22"/>
      <c r="IS36" s="22"/>
      <c r="JB36" s="22"/>
      <c r="JC36" s="22"/>
      <c r="JD36" s="22"/>
      <c r="JE36" s="22"/>
      <c r="JF36" s="22"/>
      <c r="JG36" s="22"/>
      <c r="JH36" s="22"/>
      <c r="JI36" s="22"/>
      <c r="JJ36" s="26"/>
      <c r="JK36" s="26"/>
      <c r="JL36" s="22"/>
      <c r="JM36" s="22"/>
    </row>
    <row r="37" spans="1:273" s="31" customFormat="1" ht="18.600000000000001" thickBot="1" x14ac:dyDescent="0.4">
      <c r="A37" s="28"/>
      <c r="B37" s="29"/>
      <c r="C37" s="17" t="s">
        <v>6</v>
      </c>
      <c r="D37" s="17" t="s">
        <v>15</v>
      </c>
      <c r="E37" s="17">
        <v>0</v>
      </c>
      <c r="F37" s="17">
        <v>26</v>
      </c>
      <c r="G37" s="17" t="s">
        <v>14</v>
      </c>
      <c r="H37" s="17" t="str">
        <f t="shared" si="198"/>
        <v>10001101000000000010011011011101</v>
      </c>
      <c r="I37" s="17">
        <f t="shared" si="199"/>
        <v>13</v>
      </c>
      <c r="J37" s="17"/>
      <c r="K37" s="17"/>
      <c r="L37" s="44" t="str">
        <f>H37</f>
        <v>10001101000000000010011011011101</v>
      </c>
      <c r="M37" s="30" t="str">
        <f t="shared" si="24"/>
        <v>10001101</v>
      </c>
      <c r="N37" s="30" t="str">
        <f t="shared" si="25"/>
        <v>00000000</v>
      </c>
      <c r="O37" s="30" t="str">
        <f t="shared" si="26"/>
        <v>00100110</v>
      </c>
      <c r="P37" s="30" t="str">
        <f t="shared" si="27"/>
        <v>11011101</v>
      </c>
      <c r="Q37" s="78"/>
      <c r="R37" s="78"/>
      <c r="S37" s="78"/>
      <c r="T37" s="78"/>
      <c r="U37" s="31" t="str">
        <f t="shared" si="28"/>
        <v>1000</v>
      </c>
      <c r="V37" s="31" t="str">
        <f t="shared" si="29"/>
        <v>1101</v>
      </c>
      <c r="W37" s="31" t="str">
        <f t="shared" si="30"/>
        <v>0000</v>
      </c>
      <c r="X37" s="31" t="str">
        <f t="shared" si="31"/>
        <v>0000</v>
      </c>
      <c r="Y37" s="31" t="str">
        <f t="shared" si="32"/>
        <v>0010</v>
      </c>
      <c r="Z37" s="31" t="str">
        <f t="shared" si="33"/>
        <v>0110</v>
      </c>
      <c r="AA37" s="31" t="str">
        <f t="shared" si="34"/>
        <v>1101</v>
      </c>
      <c r="AB37" s="31" t="str">
        <f t="shared" si="35"/>
        <v>1101</v>
      </c>
      <c r="AC37" s="78"/>
      <c r="AD37" s="78"/>
      <c r="AE37" s="78"/>
      <c r="AF37" s="78"/>
      <c r="AG37" s="78"/>
      <c r="AH37" s="78"/>
      <c r="AI37" s="78"/>
      <c r="AJ37" s="78"/>
      <c r="AK37" s="30" t="str">
        <f t="shared" si="1"/>
        <v>1000110100000000</v>
      </c>
      <c r="AL37" s="30" t="str">
        <f t="shared" si="2"/>
        <v>0010011011011101</v>
      </c>
      <c r="AM37" s="78"/>
      <c r="AN37" s="78"/>
      <c r="AO37" s="46" t="str">
        <f>L37</f>
        <v>10001101000000000010011011011101</v>
      </c>
      <c r="AP37" s="30" t="str">
        <f t="shared" si="36"/>
        <v>10001101</v>
      </c>
      <c r="AQ37" s="30" t="str">
        <f t="shared" si="37"/>
        <v>00000000</v>
      </c>
      <c r="AR37" s="30" t="str">
        <f t="shared" si="38"/>
        <v>00100110</v>
      </c>
      <c r="AS37" s="30" t="str">
        <f t="shared" si="39"/>
        <v>11011101</v>
      </c>
      <c r="AT37" s="78"/>
      <c r="AU37" s="78"/>
      <c r="AV37" s="78"/>
      <c r="AW37" s="78"/>
      <c r="AX37" s="31" t="str">
        <f t="shared" si="40"/>
        <v>1000</v>
      </c>
      <c r="AY37" s="31" t="str">
        <f t="shared" si="41"/>
        <v>1101</v>
      </c>
      <c r="AZ37" s="31" t="str">
        <f t="shared" si="42"/>
        <v>0000</v>
      </c>
      <c r="BA37" s="31" t="str">
        <f t="shared" si="43"/>
        <v>0000</v>
      </c>
      <c r="BB37" s="31" t="str">
        <f t="shared" si="44"/>
        <v>0010</v>
      </c>
      <c r="BC37" s="31" t="str">
        <f t="shared" si="45"/>
        <v>0110</v>
      </c>
      <c r="BD37" s="31" t="str">
        <f t="shared" si="46"/>
        <v>1101</v>
      </c>
      <c r="BE37" s="31" t="str">
        <f t="shared" si="47"/>
        <v>1101</v>
      </c>
      <c r="BF37" s="78"/>
      <c r="BG37" s="78"/>
      <c r="BH37" s="78"/>
      <c r="BI37" s="78"/>
      <c r="BJ37" s="78"/>
      <c r="BK37" s="78"/>
      <c r="BL37" s="78"/>
      <c r="BM37" s="78"/>
      <c r="BN37" s="30" t="str">
        <f t="shared" si="4"/>
        <v>1000110100000000</v>
      </c>
      <c r="BO37" s="30" t="str">
        <f t="shared" si="5"/>
        <v>0010011011011101</v>
      </c>
      <c r="BP37" s="78"/>
      <c r="BQ37" s="78"/>
      <c r="BR37" s="46" t="str">
        <f>CONCATENATE(MID(L37,1,1)*MID(K36,1,1),MID(L37,2,1)*MID(K36,2,1),MID(L37,3,1)*MID(K36,3,1),MID(L37,4,1)*MID(K36,4,1),MID(L37,5,1)*MID(K36,5,1),MID(L37,6,1)*MID(K36,6,1),MID(L37,7,1)*MID(K36,7,1),MID(L37,8,1)*MID(K36,8,1),MID(L37,9,1)*MID(K36,1,1),MID(L37,10,1)*MID(K36,2,1),MID(L37,11,1)*MID(K36,3,1),MID(L37,12,1)*MID(K36,4,1),MID(L37,13,1)*MID(K36,5,1),MID(L37,14,1)*MID(K36,6,1),MID(L37,15,1)*MID(K36,7,1),MID(L37,16,1)*MID(K36,8,1),MID(L37,17,1)*MID(K36,1,1),MID(L37,18,1)*MID(K36,2,1),MID(L37,19,1)*MID(K36,3,1),MID(L37,20,1)*MID(K36,4,1),MID(L37,21,1)*MID(K36,5,1),MID(L37,22,1)*MID(K36,6,1),MID(L37,23,1)*MID(K36,7,1),MID(L37,24,1)*MID(K36,8,1),MID(L37,25,1)*MID(K36,1,1),MID(L37,26,1)*MID(K36,2,1),MID(L37,27,1)*MID(K36,3,1),MID(L37,28,1)*MID(K36,4,1),MID(L37,29,1)*MID(K36,5,1),MID(L37,30,1)*MID(K36,6,1),MID(L37,31,1)*MID(K36,7,1),MID(L37,32,1)*MID(K36,8,1))</f>
        <v>00000101000000000010010001000101</v>
      </c>
      <c r="BS37" s="30" t="str">
        <f t="shared" si="48"/>
        <v>00000101</v>
      </c>
      <c r="BT37" s="30" t="str">
        <f t="shared" si="49"/>
        <v>00000000</v>
      </c>
      <c r="BU37" s="30" t="str">
        <f t="shared" si="50"/>
        <v>00100100</v>
      </c>
      <c r="BV37" s="30" t="str">
        <f t="shared" si="51"/>
        <v>01000101</v>
      </c>
      <c r="BW37" s="78"/>
      <c r="BX37" s="78"/>
      <c r="BY37" s="78"/>
      <c r="BZ37" s="78"/>
      <c r="CA37" s="31" t="str">
        <f t="shared" si="52"/>
        <v>1000</v>
      </c>
      <c r="CB37" s="31" t="str">
        <f t="shared" si="53"/>
        <v>1101</v>
      </c>
      <c r="CC37" s="31" t="str">
        <f t="shared" si="54"/>
        <v>0000</v>
      </c>
      <c r="CD37" s="31" t="str">
        <f t="shared" si="55"/>
        <v>0000</v>
      </c>
      <c r="CE37" s="31" t="str">
        <f t="shared" si="56"/>
        <v>0010</v>
      </c>
      <c r="CF37" s="31" t="str">
        <f t="shared" si="57"/>
        <v>0110</v>
      </c>
      <c r="CG37" s="31" t="str">
        <f t="shared" si="58"/>
        <v>1101</v>
      </c>
      <c r="CH37" s="31" t="str">
        <f t="shared" si="59"/>
        <v>1101</v>
      </c>
      <c r="CI37" s="78"/>
      <c r="CJ37" s="78"/>
      <c r="CK37" s="78"/>
      <c r="CL37" s="78"/>
      <c r="CM37" s="78"/>
      <c r="CN37" s="78"/>
      <c r="CO37" s="78"/>
      <c r="CP37" s="78"/>
      <c r="CQ37" s="30" t="str">
        <f t="shared" si="7"/>
        <v>0000010100000000</v>
      </c>
      <c r="CR37" s="30" t="str">
        <f t="shared" si="8"/>
        <v>0010010001000101</v>
      </c>
      <c r="CS37" s="78"/>
      <c r="CT37" s="78"/>
      <c r="CU37" s="46" t="str">
        <f>CONCATENATE(MID($L37,1,1)*MID($K36,1,1),MID($L37,2,1)*MID($K36,2,1),MID($L37,3,1)*MID($K36,3,1),MID($L37,4,1)*MID($K36,4,1),MID($L37,5,1)*MID($K36,5,1),MID($L37,6,1)*MID($K36,6,1),MID($L37,7,1)*MID($K36,7,1),MID($L37,8,1)*MID($K36,8,1),MID($L37,9,1)*MID($K36,1,1),MID($L37,10,1)*MID($K36,2,1),MID($L37,11,1)*MID($K36,3,1),MID($L37,12,1)*MID($K36,4,1),MID($L37,13,1)*MID($K36,5,1),MID($L37,14,1)*MID($K36,6,1),MID($L37,15,1)*MID($K36,7,1),MID($L37,16,1)*MID($K36,8,1),MID($L37,17,1)*MID($K36,1,1),MID($L37,18,1)*MID($K36,2,1),MID($L37,19,1)*MID($K36,3,1),MID($L37,20,1)*MID($K36,4,1),MID($L37,21,1)*MID($K36,5,1),MID($L37,22,1)*MID($K36,6,1),MID($L37,23,1)*MID($K36,7,1),MID($L37,24,1)*MID($K36,8,1),MID($L37,25,1)*MID($K36,1,1),MID($L37,26,1)*MID($K36,2,1),MID($L37,27,1)*MID($K36,3,1),MID($L37,28,1)*MID($K36,4,1),MID($L37,29,1)*MID($K36,5,1),MID($L37,30,1)*MID($K36,6,1),MID($L37,31,1)*MID($K36,7,1),MID($L37,32,1)*MID($K36,8,1))</f>
        <v>00000101000000000010010001000101</v>
      </c>
      <c r="CV37" s="30" t="str">
        <f t="shared" si="60"/>
        <v>00000101</v>
      </c>
      <c r="CW37" s="30" t="str">
        <f t="shared" si="61"/>
        <v>00000000</v>
      </c>
      <c r="CX37" s="30" t="str">
        <f t="shared" si="62"/>
        <v>00100100</v>
      </c>
      <c r="CY37" s="30" t="str">
        <f t="shared" si="63"/>
        <v>01000101</v>
      </c>
      <c r="CZ37" s="78"/>
      <c r="DA37" s="78"/>
      <c r="DB37" s="78"/>
      <c r="DC37" s="78"/>
      <c r="DD37" s="31" t="str">
        <f t="shared" si="64"/>
        <v>1000</v>
      </c>
      <c r="DE37" s="31" t="str">
        <f t="shared" si="65"/>
        <v>1101</v>
      </c>
      <c r="DF37" s="31" t="str">
        <f t="shared" si="66"/>
        <v>0000</v>
      </c>
      <c r="DG37" s="31" t="str">
        <f t="shared" si="67"/>
        <v>0000</v>
      </c>
      <c r="DH37" s="31" t="str">
        <f t="shared" si="68"/>
        <v>0010</v>
      </c>
      <c r="DI37" s="31" t="str">
        <f t="shared" si="69"/>
        <v>0110</v>
      </c>
      <c r="DJ37" s="31" t="str">
        <f t="shared" si="70"/>
        <v>1101</v>
      </c>
      <c r="DK37" s="31" t="str">
        <f t="shared" si="71"/>
        <v>1101</v>
      </c>
      <c r="DL37" s="78"/>
      <c r="DM37" s="78"/>
      <c r="DN37" s="78"/>
      <c r="DO37" s="78"/>
      <c r="DP37" s="78"/>
      <c r="DQ37" s="78"/>
      <c r="DR37" s="78"/>
      <c r="DS37" s="78"/>
      <c r="DT37" s="30" t="str">
        <f t="shared" si="10"/>
        <v>0000010100000000</v>
      </c>
      <c r="DU37" s="30" t="str">
        <f t="shared" si="11"/>
        <v>0010010001000101</v>
      </c>
      <c r="DV37" s="78"/>
      <c r="DW37" s="78"/>
      <c r="DX37" s="23"/>
      <c r="DY37" s="48" t="str">
        <f>H37</f>
        <v>10001101000000000010011011011101</v>
      </c>
      <c r="DZ37" s="30" t="str">
        <f t="shared" si="122"/>
        <v>10001101</v>
      </c>
      <c r="EA37" s="30" t="str">
        <f t="shared" si="72"/>
        <v>00000000</v>
      </c>
      <c r="EB37" s="30" t="str">
        <f t="shared" si="73"/>
        <v>00100110</v>
      </c>
      <c r="EC37" s="30" t="str">
        <f t="shared" si="74"/>
        <v>11011101</v>
      </c>
      <c r="ED37" s="78"/>
      <c r="EE37" s="78"/>
      <c r="EF37" s="78"/>
      <c r="EG37" s="78"/>
      <c r="EH37" s="31" t="str">
        <f t="shared" si="75"/>
        <v>1000</v>
      </c>
      <c r="EI37" s="31" t="str">
        <f t="shared" si="76"/>
        <v>1101</v>
      </c>
      <c r="EJ37" s="31" t="str">
        <f t="shared" si="77"/>
        <v>0000</v>
      </c>
      <c r="EK37" s="31" t="str">
        <f t="shared" si="78"/>
        <v>0000</v>
      </c>
      <c r="EL37" s="31" t="str">
        <f t="shared" si="79"/>
        <v>0010</v>
      </c>
      <c r="EM37" s="31" t="str">
        <f t="shared" si="80"/>
        <v>0110</v>
      </c>
      <c r="EN37" s="31" t="str">
        <f t="shared" si="81"/>
        <v>1101</v>
      </c>
      <c r="EO37" s="31" t="str">
        <f t="shared" si="82"/>
        <v>1101</v>
      </c>
      <c r="EP37" s="78"/>
      <c r="EQ37" s="78"/>
      <c r="ER37" s="78"/>
      <c r="ES37" s="78"/>
      <c r="ET37" s="78"/>
      <c r="EU37" s="78"/>
      <c r="EV37" s="78"/>
      <c r="EW37" s="78"/>
      <c r="EX37" s="30" t="str">
        <f t="shared" si="13"/>
        <v>1000110100000000</v>
      </c>
      <c r="EY37" s="30" t="str">
        <f t="shared" si="14"/>
        <v>0010011011011101</v>
      </c>
      <c r="EZ37" s="78"/>
      <c r="FA37" s="78"/>
      <c r="FB37" s="48" t="str">
        <f>H37</f>
        <v>10001101000000000010011011011101</v>
      </c>
      <c r="FC37" s="30" t="str">
        <f t="shared" si="124"/>
        <v>10001101</v>
      </c>
      <c r="FD37" s="30" t="str">
        <f t="shared" si="83"/>
        <v>00000000</v>
      </c>
      <c r="FE37" s="30" t="str">
        <f t="shared" si="84"/>
        <v>00100110</v>
      </c>
      <c r="FF37" s="30" t="str">
        <f t="shared" si="85"/>
        <v>11011101</v>
      </c>
      <c r="FG37" s="78"/>
      <c r="FH37" s="78"/>
      <c r="FI37" s="78"/>
      <c r="FJ37" s="78"/>
      <c r="FK37" s="31" t="str">
        <f t="shared" si="86"/>
        <v>1000</v>
      </c>
      <c r="FL37" s="31" t="str">
        <f t="shared" si="87"/>
        <v>1101</v>
      </c>
      <c r="FM37" s="31" t="str">
        <f t="shared" si="88"/>
        <v>0000</v>
      </c>
      <c r="FN37" s="31" t="str">
        <f t="shared" si="89"/>
        <v>0000</v>
      </c>
      <c r="FO37" s="31" t="str">
        <f t="shared" si="90"/>
        <v>0010</v>
      </c>
      <c r="FP37" s="31" t="str">
        <f t="shared" si="91"/>
        <v>0110</v>
      </c>
      <c r="FQ37" s="31" t="str">
        <f t="shared" si="92"/>
        <v>1101</v>
      </c>
      <c r="FR37" s="31" t="str">
        <f t="shared" si="93"/>
        <v>1101</v>
      </c>
      <c r="FS37" s="78"/>
      <c r="FT37" s="78"/>
      <c r="FU37" s="78"/>
      <c r="FV37" s="78"/>
      <c r="FW37" s="78"/>
      <c r="FX37" s="78"/>
      <c r="FY37" s="78"/>
      <c r="FZ37" s="78"/>
      <c r="GA37" s="30" t="str">
        <f t="shared" si="16"/>
        <v>1000110100000000</v>
      </c>
      <c r="GB37" s="30" t="str">
        <f t="shared" si="17"/>
        <v>0010011011011101</v>
      </c>
      <c r="GC37" s="78"/>
      <c r="GD37" s="78"/>
      <c r="GE37" s="48" t="str">
        <f>BR37</f>
        <v>00000101000000000010010001000101</v>
      </c>
      <c r="GF37" s="30" t="str">
        <f t="shared" si="126"/>
        <v>00000101</v>
      </c>
      <c r="GG37" s="30" t="str">
        <f t="shared" si="94"/>
        <v>00000000</v>
      </c>
      <c r="GH37" s="30" t="str">
        <f t="shared" si="95"/>
        <v>00100100</v>
      </c>
      <c r="GI37" s="30" t="str">
        <f t="shared" si="96"/>
        <v>01000101</v>
      </c>
      <c r="GJ37" s="78"/>
      <c r="GK37" s="78"/>
      <c r="GL37" s="78"/>
      <c r="GM37" s="78"/>
      <c r="GN37" s="31" t="str">
        <f t="shared" si="97"/>
        <v>1000</v>
      </c>
      <c r="GO37" s="31" t="str">
        <f t="shared" si="98"/>
        <v>1101</v>
      </c>
      <c r="GP37" s="31" t="str">
        <f t="shared" si="99"/>
        <v>0000</v>
      </c>
      <c r="GQ37" s="31" t="str">
        <f t="shared" si="100"/>
        <v>0000</v>
      </c>
      <c r="GR37" s="31" t="str">
        <f t="shared" si="101"/>
        <v>0010</v>
      </c>
      <c r="GS37" s="31" t="str">
        <f t="shared" si="102"/>
        <v>0110</v>
      </c>
      <c r="GT37" s="31" t="str">
        <f t="shared" si="103"/>
        <v>1101</v>
      </c>
      <c r="GU37" s="31" t="str">
        <f t="shared" si="104"/>
        <v>1101</v>
      </c>
      <c r="GV37" s="78"/>
      <c r="GW37" s="78"/>
      <c r="GX37" s="78"/>
      <c r="GY37" s="78"/>
      <c r="GZ37" s="78"/>
      <c r="HA37" s="78"/>
      <c r="HB37" s="78"/>
      <c r="HC37" s="78"/>
      <c r="HD37" s="30" t="str">
        <f t="shared" si="19"/>
        <v>0000010100000000</v>
      </c>
      <c r="HE37" s="30" t="str">
        <f t="shared" si="20"/>
        <v>0010010001000101</v>
      </c>
      <c r="HF37" s="78"/>
      <c r="HG37" s="78"/>
      <c r="HH37" s="48" t="str">
        <f>GE37</f>
        <v>00000101000000000010010001000101</v>
      </c>
      <c r="HI37" s="30" t="str">
        <f t="shared" si="128"/>
        <v>00000101</v>
      </c>
      <c r="HJ37" s="30" t="str">
        <f t="shared" si="105"/>
        <v>00000000</v>
      </c>
      <c r="HK37" s="30" t="str">
        <f t="shared" si="106"/>
        <v>00100100</v>
      </c>
      <c r="HL37" s="30" t="str">
        <f t="shared" si="107"/>
        <v>01000101</v>
      </c>
      <c r="HM37" s="78"/>
      <c r="HN37" s="78"/>
      <c r="HO37" s="78"/>
      <c r="HP37" s="78"/>
      <c r="HQ37" s="31" t="str">
        <f t="shared" si="108"/>
        <v>1000</v>
      </c>
      <c r="HR37" s="31" t="str">
        <f t="shared" si="109"/>
        <v>1101</v>
      </c>
      <c r="HS37" s="31" t="str">
        <f t="shared" si="110"/>
        <v>0000</v>
      </c>
      <c r="HT37" s="31" t="str">
        <f t="shared" si="111"/>
        <v>0000</v>
      </c>
      <c r="HU37" s="31" t="str">
        <f t="shared" si="112"/>
        <v>0010</v>
      </c>
      <c r="HV37" s="31" t="str">
        <f t="shared" si="113"/>
        <v>0110</v>
      </c>
      <c r="HW37" s="31" t="str">
        <f t="shared" si="114"/>
        <v>1101</v>
      </c>
      <c r="HX37" s="31" t="str">
        <f t="shared" si="115"/>
        <v>1101</v>
      </c>
      <c r="HY37" s="78"/>
      <c r="HZ37" s="78"/>
      <c r="IA37" s="78"/>
      <c r="IB37" s="78"/>
      <c r="IC37" s="78"/>
      <c r="ID37" s="78"/>
      <c r="IE37" s="78"/>
      <c r="IF37" s="78"/>
      <c r="IG37" s="30" t="str">
        <f t="shared" si="22"/>
        <v>0000010100000000</v>
      </c>
      <c r="IH37" s="30" t="str">
        <f t="shared" si="23"/>
        <v>0010010001000101</v>
      </c>
      <c r="II37" s="78"/>
      <c r="IJ37" s="78"/>
      <c r="IL37" s="30"/>
      <c r="IM37" s="30"/>
      <c r="IN37" s="30"/>
      <c r="IO37" s="30"/>
      <c r="IP37" s="23"/>
      <c r="IQ37" s="23"/>
      <c r="IR37" s="23"/>
      <c r="IS37" s="23"/>
      <c r="JB37" s="23"/>
      <c r="JC37" s="23"/>
      <c r="JD37" s="23"/>
      <c r="JE37" s="23"/>
      <c r="JF37" s="23"/>
      <c r="JG37" s="23"/>
      <c r="JH37" s="23"/>
      <c r="JI37" s="23"/>
      <c r="JJ37" s="30"/>
      <c r="JK37" s="30"/>
      <c r="JL37" s="23"/>
      <c r="JM37" s="23"/>
    </row>
    <row r="38" spans="1:273" s="58" customFormat="1" x14ac:dyDescent="0.35">
      <c r="A38" s="54"/>
      <c r="B38" s="55"/>
      <c r="C38" s="56" t="s">
        <v>0</v>
      </c>
      <c r="D38" s="56">
        <v>46</v>
      </c>
      <c r="E38" s="56">
        <v>76</v>
      </c>
      <c r="F38" s="56">
        <v>28</v>
      </c>
      <c r="G38" s="56" t="s">
        <v>10</v>
      </c>
      <c r="H38" s="56" t="str">
        <f t="shared" si="198"/>
        <v>01000110011101100010100010011100</v>
      </c>
      <c r="I38" s="56">
        <f t="shared" si="199"/>
        <v>14</v>
      </c>
      <c r="J38" s="56" t="s">
        <v>47</v>
      </c>
      <c r="K38" s="56" t="str">
        <f>HEX2BIN(J38,8)</f>
        <v>11111111</v>
      </c>
      <c r="L38" s="57" t="str">
        <f>CONCATENATE(MID(H38,30,3),MID(H38,17,5),MID(H38,6,3),MID(H38,25,5),MID(H38,14,3),MID(H38,1,5),MID(H38,22,3),MID(H38,9,5))</f>
        <v>10000101110100111100100000001110</v>
      </c>
      <c r="M38" s="57" t="str">
        <f t="shared" si="24"/>
        <v>10000101</v>
      </c>
      <c r="N38" s="57" t="str">
        <f t="shared" si="25"/>
        <v>11010011</v>
      </c>
      <c r="O38" s="57" t="str">
        <f t="shared" si="26"/>
        <v>11001000</v>
      </c>
      <c r="P38" s="57" t="str">
        <f t="shared" si="27"/>
        <v>00001110</v>
      </c>
      <c r="Q38" s="100">
        <f>BIN2DEC(M38)-BIN2DEC(M39)</f>
        <v>-32</v>
      </c>
      <c r="R38" s="100">
        <f>BIN2DEC(N38)-BIN2DEC(N39)</f>
        <v>128</v>
      </c>
      <c r="S38" s="100">
        <f>BIN2DEC(O38)-BIN2DEC(O39)</f>
        <v>-32</v>
      </c>
      <c r="T38" s="100">
        <f>BIN2DEC(P38)-BIN2DEC(P39)</f>
        <v>-32</v>
      </c>
      <c r="U38" s="58" t="str">
        <f t="shared" si="28"/>
        <v>1000</v>
      </c>
      <c r="V38" s="58" t="str">
        <f t="shared" si="29"/>
        <v>0101</v>
      </c>
      <c r="W38" s="58" t="str">
        <f t="shared" si="30"/>
        <v>1101</v>
      </c>
      <c r="X38" s="58" t="str">
        <f t="shared" si="31"/>
        <v>0011</v>
      </c>
      <c r="Y38" s="58" t="str">
        <f t="shared" si="32"/>
        <v>1100</v>
      </c>
      <c r="Z38" s="58" t="str">
        <f t="shared" si="33"/>
        <v>1000</v>
      </c>
      <c r="AA38" s="58" t="str">
        <f t="shared" si="34"/>
        <v>0000</v>
      </c>
      <c r="AB38" s="58" t="str">
        <f t="shared" si="35"/>
        <v>1110</v>
      </c>
      <c r="AC38" s="100">
        <f t="shared" ref="AC38:AJ38" si="264">BIN2DEC(U38)-BIN2DEC(U39)</f>
        <v>-2</v>
      </c>
      <c r="AD38" s="100">
        <f t="shared" si="264"/>
        <v>0</v>
      </c>
      <c r="AE38" s="100">
        <f t="shared" si="264"/>
        <v>8</v>
      </c>
      <c r="AF38" s="100">
        <f t="shared" si="264"/>
        <v>0</v>
      </c>
      <c r="AG38" s="100">
        <f t="shared" si="264"/>
        <v>-2</v>
      </c>
      <c r="AH38" s="100">
        <f t="shared" si="264"/>
        <v>0</v>
      </c>
      <c r="AI38" s="100">
        <f t="shared" si="264"/>
        <v>-2</v>
      </c>
      <c r="AJ38" s="100">
        <f t="shared" si="264"/>
        <v>0</v>
      </c>
      <c r="AK38" s="57" t="str">
        <f t="shared" si="1"/>
        <v>1000010111010011</v>
      </c>
      <c r="AL38" s="57" t="str">
        <f t="shared" si="2"/>
        <v>1100100000001110</v>
      </c>
      <c r="AM38" s="100">
        <f>MID(AK38,16,1)*POWER(2,0)+MID(AK38,15,1)*POWER(2,1)+MID(AK38,14,1)*POWER(2,2)+MID(AK38,13,1)*POWER(2,3)+MID(AK38,12,1)*POWER(2,4)+MID(AK38,11,1)*POWER(2,5)+MID(AK38,10,1)*POWER(2,6)+MID(AK38,9,1)*POWER(2,7)+MID(AK38,8,1)*POWER(2,8)+MID(AK38,7,1)*POWER(2,9)+MID(AK38,6,1)*POWER(2,10)+MID(AK38,5,1)*POWER(2,11)+MID(AK38,4,1)*POWER(2,12)+MID(AK38,3,1)*POWER(2,13)+MID(AK38,2,1)*POWER(2,14)+MID(AK38,1,1)*POWER(2,15)-(MID(AK39,16,1)*POWER(2,0)+MID(AK39,15,1)*POWER(2,1)+MID(AK39,14,1)*POWER(2,2)+MID(AK39,13,1)*POWER(2,3)+MID(AK39,12,1)*POWER(2,4)+MID(AK39,11,1)*POWER(2,5)+MID(AK39,10,1)*POWER(2,6)+MID(AK39,9,1)*POWER(2,7)+MID(AK39,8,1)*POWER(2,8)+MID(AK39,7,1)*POWER(2,9)+MID(AK39,6,1)*POWER(2,10)+MID(AK39,5,1)*POWER(2,11)+MID(AK39,4,1)*POWER(2,12)+MID(AK39,3,1)*POWER(2,13)+MID(AK39,2,1)*POWER(2,14)+MID(AK39,1,1)*POWER(2,15))</f>
        <v>-8064</v>
      </c>
      <c r="AN38" s="100">
        <f>MID(AL38,16,1)*POWER(2,0)+MID(AL38,15,1)*POWER(2,1)+MID(AL38,14,1)*POWER(2,2)+MID(AL38,13,1)*POWER(2,3)+MID(AL38,12,1)*POWER(2,4)+MID(AL38,11,1)*POWER(2,5)+MID(AL38,10,1)*POWER(2,6)+MID(AL38,9,1)*POWER(2,7)+MID(AL38,8,1)*POWER(2,8)+MID(AL38,7,1)*POWER(2,9)+MID(AL38,6,1)*POWER(2,10)+MID(AL38,5,1)*POWER(2,11)+MID(AL38,4,1)*POWER(2,12)+MID(AL38,3,1)*POWER(2,13)+MID(AL38,2,1)*POWER(2,14)+MID(AL38,1,1)*POWER(2,15)-(MID(AL39,16,1)*POWER(2,0)+MID(AL39,15,1)*POWER(2,1)+MID(AL39,14,1)*POWER(2,2)+MID(AL39,13,1)*POWER(2,3)+MID(AL39,12,1)*POWER(2,4)+MID(AL39,11,1)*POWER(2,5)+MID(AL39,10,1)*POWER(2,6)+MID(AL39,9,1)*POWER(2,7)+MID(AL39,8,1)*POWER(2,8)+MID(AL39,7,1)*POWER(2,9)+MID(AL39,6,1)*POWER(2,10)+MID(AL39,5,1)*POWER(2,11)+MID(AL39,4,1)*POWER(2,12)+MID(AL39,3,1)*POWER(2,13)+MID(AL39,2,1)*POWER(2,14)+MID(AL39,1,1)*POWER(2,15))</f>
        <v>-8224</v>
      </c>
      <c r="AO38" s="55" t="str">
        <f>CONCATENATE(MID(L38,1,1)*MID(K38,1,1),MID(L38,2,1)*MID(K38,2,1),MID(L38,3,1)*MID(K38,3,1),MID(L38,4,1)*MID(K38,4,1),MID(L38,5,1)*MID(K38,5,1),MID(L38,6,1)*MID(K38,6,1),MID(L38,7,1)*MID(K38,7,1),MID(L38,8,1)*MID(K38,8,1),MID(L38,9,1)*MID(K38,1,1),MID(L38,10,1)*MID(K38,2,1),MID(L38,11,1)*MID(K38,3,1),MID(L38,12,1)*MID(K38,4,1),MID(L38,13,1)*MID(K38,5,1),MID(L38,14,1)*MID(K38,6,1),MID(L38,15,1)*MID(K38,7,1),MID(L38,16,1)*MID(K38,8,1),MID(L38,17,1)*MID(K38,1,1),MID(L38,18,1)*MID(K38,2,1),MID(L38,19,1)*MID(K38,3,1),MID(L38,20,1)*MID(K38,4,1),MID(L38,21,1)*MID(K38,5,1),MID(L38,22,1)*MID(K38,6,1),MID(L38,23,1)*MID(K38,7,1),MID(L38,24,1)*MID(K38,8,1),MID(L38,25,1)*MID(K38,1,1),MID(L38,26,1)*MID(K38,2,1),MID(L38,27,1)*MID(K38,3,1),MID(L38,28,1)*MID(K38,4,1),MID(L38,29,1)*MID(K38,5,1),MID(L38,30,1)*MID(K38,6,1),MID(L38,31,1)*MID(K38,7,1),MID(L38,32,1)*MID(K38,8,1))</f>
        <v>10000101110100111100100000001110</v>
      </c>
      <c r="AP38" s="57" t="str">
        <f t="shared" si="36"/>
        <v>10000101</v>
      </c>
      <c r="AQ38" s="57" t="str">
        <f t="shared" si="37"/>
        <v>11010011</v>
      </c>
      <c r="AR38" s="57" t="str">
        <f t="shared" si="38"/>
        <v>11001000</v>
      </c>
      <c r="AS38" s="57" t="str">
        <f t="shared" si="39"/>
        <v>00001110</v>
      </c>
      <c r="AT38" s="100">
        <f>BIN2DEC(AP38)-BIN2DEC(AP39)</f>
        <v>-32</v>
      </c>
      <c r="AU38" s="100">
        <f>BIN2DEC(AQ38)-BIN2DEC(AQ39)</f>
        <v>128</v>
      </c>
      <c r="AV38" s="100">
        <f>BIN2DEC(AR38)-BIN2DEC(AR39)</f>
        <v>-32</v>
      </c>
      <c r="AW38" s="100">
        <f>BIN2DEC(AS38)-BIN2DEC(AS39)</f>
        <v>-32</v>
      </c>
      <c r="AX38" s="58" t="str">
        <f t="shared" si="40"/>
        <v>1000</v>
      </c>
      <c r="AY38" s="58" t="str">
        <f t="shared" si="41"/>
        <v>0101</v>
      </c>
      <c r="AZ38" s="58" t="str">
        <f t="shared" si="42"/>
        <v>1101</v>
      </c>
      <c r="BA38" s="58" t="str">
        <f t="shared" si="43"/>
        <v>0011</v>
      </c>
      <c r="BB38" s="58" t="str">
        <f t="shared" si="44"/>
        <v>1100</v>
      </c>
      <c r="BC38" s="58" t="str">
        <f t="shared" si="45"/>
        <v>1000</v>
      </c>
      <c r="BD38" s="58" t="str">
        <f t="shared" si="46"/>
        <v>0000</v>
      </c>
      <c r="BE38" s="58" t="str">
        <f t="shared" si="47"/>
        <v>1110</v>
      </c>
      <c r="BF38" s="100">
        <f t="shared" ref="BF38:BM38" si="265">BIN2DEC(AX38)-BIN2DEC(AX39)</f>
        <v>-2</v>
      </c>
      <c r="BG38" s="100">
        <f t="shared" si="265"/>
        <v>0</v>
      </c>
      <c r="BH38" s="100">
        <f t="shared" si="265"/>
        <v>8</v>
      </c>
      <c r="BI38" s="100">
        <f t="shared" si="265"/>
        <v>0</v>
      </c>
      <c r="BJ38" s="100">
        <f t="shared" si="265"/>
        <v>-2</v>
      </c>
      <c r="BK38" s="100">
        <f t="shared" si="265"/>
        <v>0</v>
      </c>
      <c r="BL38" s="100">
        <f t="shared" si="265"/>
        <v>-2</v>
      </c>
      <c r="BM38" s="100">
        <f t="shared" si="265"/>
        <v>0</v>
      </c>
      <c r="BN38" s="57" t="str">
        <f t="shared" si="4"/>
        <v>1000010111010011</v>
      </c>
      <c r="BO38" s="57" t="str">
        <f t="shared" si="5"/>
        <v>1100100000001110</v>
      </c>
      <c r="BP38" s="100">
        <f>MID(BN38,16,1)*POWER(2,0)+MID(BN38,15,1)*POWER(2,1)+MID(BN38,14,1)*POWER(2,2)+MID(BN38,13,1)*POWER(2,3)+MID(BN38,12,1)*POWER(2,4)+MID(BN38,11,1)*POWER(2,5)+MID(BN38,10,1)*POWER(2,6)+MID(BN38,9,1)*POWER(2,7)+MID(BN38,8,1)*POWER(2,8)+MID(BN38,7,1)*POWER(2,9)+MID(BN38,6,1)*POWER(2,10)+MID(BN38,5,1)*POWER(2,11)+MID(BN38,4,1)*POWER(2,12)+MID(BN38,3,1)*POWER(2,13)+MID(BN38,2,1)*POWER(2,14)+MID(BN38,1,1)*POWER(2,15)-(MID(BN39,16,1)*POWER(2,0)+MID(BN39,15,1)*POWER(2,1)+MID(BN39,14,1)*POWER(2,2)+MID(BN39,13,1)*POWER(2,3)+MID(BN39,12,1)*POWER(2,4)+MID(BN39,11,1)*POWER(2,5)+MID(BN39,10,1)*POWER(2,6)+MID(BN39,9,1)*POWER(2,7)+MID(BN39,8,1)*POWER(2,8)+MID(BN39,7,1)*POWER(2,9)+MID(BN39,6,1)*POWER(2,10)+MID(BN39,5,1)*POWER(2,11)+MID(BN39,4,1)*POWER(2,12)+MID(BN39,3,1)*POWER(2,13)+MID(BN39,2,1)*POWER(2,14)+MID(BN39,1,1)*POWER(2,15))</f>
        <v>-8064</v>
      </c>
      <c r="BQ38" s="100">
        <f>MID(BO38,16,1)*POWER(2,0)+MID(BO38,15,1)*POWER(2,1)+MID(BO38,14,1)*POWER(2,2)+MID(BO38,13,1)*POWER(2,3)+MID(BO38,12,1)*POWER(2,4)+MID(BO38,11,1)*POWER(2,5)+MID(BO38,10,1)*POWER(2,6)+MID(BO38,9,1)*POWER(2,7)+MID(BO38,8,1)*POWER(2,8)+MID(BO38,7,1)*POWER(2,9)+MID(BO38,6,1)*POWER(2,10)+MID(BO38,5,1)*POWER(2,11)+MID(BO38,4,1)*POWER(2,12)+MID(BO38,3,1)*POWER(2,13)+MID(BO38,2,1)*POWER(2,14)+MID(BO38,1,1)*POWER(2,15)-(MID(BO39,16,1)*POWER(2,0)+MID(BO39,15,1)*POWER(2,1)+MID(BO39,14,1)*POWER(2,2)+MID(BO39,13,1)*POWER(2,3)+MID(BO39,12,1)*POWER(2,4)+MID(BO39,11,1)*POWER(2,5)+MID(BO39,10,1)*POWER(2,6)+MID(BO39,9,1)*POWER(2,7)+MID(BO39,8,1)*POWER(2,8)+MID(BO39,7,1)*POWER(2,9)+MID(BO39,6,1)*POWER(2,10)+MID(BO39,5,1)*POWER(2,11)+MID(BO39,4,1)*POWER(2,12)+MID(BO39,3,1)*POWER(2,13)+MID(BO39,2,1)*POWER(2,14)+MID(BO39,1,1)*POWER(2,15))</f>
        <v>-8224</v>
      </c>
      <c r="BR38" s="58" t="str">
        <f>L38</f>
        <v>10000101110100111100100000001110</v>
      </c>
      <c r="BS38" s="57" t="str">
        <f t="shared" si="48"/>
        <v>10000101</v>
      </c>
      <c r="BT38" s="57" t="str">
        <f t="shared" si="49"/>
        <v>11010011</v>
      </c>
      <c r="BU38" s="57" t="str">
        <f t="shared" si="50"/>
        <v>11001000</v>
      </c>
      <c r="BV38" s="57" t="str">
        <f t="shared" si="51"/>
        <v>00001110</v>
      </c>
      <c r="BW38" s="100">
        <f>BIN2DEC(BS38)-BIN2DEC(BS39)</f>
        <v>-32</v>
      </c>
      <c r="BX38" s="100">
        <f>BIN2DEC(BT38)-BIN2DEC(BT39)</f>
        <v>128</v>
      </c>
      <c r="BY38" s="100">
        <f>BIN2DEC(BU38)-BIN2DEC(BU39)</f>
        <v>-32</v>
      </c>
      <c r="BZ38" s="100">
        <f>BIN2DEC(BV38)-BIN2DEC(BV39)</f>
        <v>-32</v>
      </c>
      <c r="CA38" s="58" t="str">
        <f t="shared" si="52"/>
        <v>1000</v>
      </c>
      <c r="CB38" s="58" t="str">
        <f t="shared" si="53"/>
        <v>0101</v>
      </c>
      <c r="CC38" s="58" t="str">
        <f t="shared" si="54"/>
        <v>1101</v>
      </c>
      <c r="CD38" s="58" t="str">
        <f t="shared" si="55"/>
        <v>0011</v>
      </c>
      <c r="CE38" s="58" t="str">
        <f t="shared" si="56"/>
        <v>1100</v>
      </c>
      <c r="CF38" s="58" t="str">
        <f t="shared" si="57"/>
        <v>1000</v>
      </c>
      <c r="CG38" s="58" t="str">
        <f t="shared" si="58"/>
        <v>0000</v>
      </c>
      <c r="CH38" s="58" t="str">
        <f t="shared" si="59"/>
        <v>1110</v>
      </c>
      <c r="CI38" s="100">
        <f t="shared" ref="CI38:CP38" si="266">BIN2DEC(CA38)-BIN2DEC(CA39)</f>
        <v>-2</v>
      </c>
      <c r="CJ38" s="100">
        <f t="shared" si="266"/>
        <v>0</v>
      </c>
      <c r="CK38" s="100">
        <f t="shared" si="266"/>
        <v>8</v>
      </c>
      <c r="CL38" s="100">
        <f t="shared" si="266"/>
        <v>0</v>
      </c>
      <c r="CM38" s="100">
        <f t="shared" si="266"/>
        <v>-2</v>
      </c>
      <c r="CN38" s="100">
        <f t="shared" si="266"/>
        <v>0</v>
      </c>
      <c r="CO38" s="100">
        <f t="shared" si="266"/>
        <v>-2</v>
      </c>
      <c r="CP38" s="100">
        <f t="shared" si="266"/>
        <v>0</v>
      </c>
      <c r="CQ38" s="57" t="str">
        <f t="shared" si="7"/>
        <v>1000010111010011</v>
      </c>
      <c r="CR38" s="57" t="str">
        <f t="shared" si="8"/>
        <v>1100100000001110</v>
      </c>
      <c r="CS38" s="100">
        <f>MID(CQ38,16,1)*POWER(2,0)+MID(CQ38,15,1)*POWER(2,1)+MID(CQ38,14,1)*POWER(2,2)+MID(CQ38,13,1)*POWER(2,3)+MID(CQ38,12,1)*POWER(2,4)+MID(CQ38,11,1)*POWER(2,5)+MID(CQ38,10,1)*POWER(2,6)+MID(CQ38,9,1)*POWER(2,7)+MID(CQ38,8,1)*POWER(2,8)+MID(CQ38,7,1)*POWER(2,9)+MID(CQ38,6,1)*POWER(2,10)+MID(CQ38,5,1)*POWER(2,11)+MID(CQ38,4,1)*POWER(2,12)+MID(CQ38,3,1)*POWER(2,13)+MID(CQ38,2,1)*POWER(2,14)+MID(CQ38,1,1)*POWER(2,15)-(MID(CQ39,16,1)*POWER(2,0)+MID(CQ39,15,1)*POWER(2,1)+MID(CQ39,14,1)*POWER(2,2)+MID(CQ39,13,1)*POWER(2,3)+MID(CQ39,12,1)*POWER(2,4)+MID(CQ39,11,1)*POWER(2,5)+MID(CQ39,10,1)*POWER(2,6)+MID(CQ39,9,1)*POWER(2,7)+MID(CQ39,8,1)*POWER(2,8)+MID(CQ39,7,1)*POWER(2,9)+MID(CQ39,6,1)*POWER(2,10)+MID(CQ39,5,1)*POWER(2,11)+MID(CQ39,4,1)*POWER(2,12)+MID(CQ39,3,1)*POWER(2,13)+MID(CQ39,2,1)*POWER(2,14)+MID(CQ39,1,1)*POWER(2,15))</f>
        <v>-8064</v>
      </c>
      <c r="CT38" s="100">
        <f>MID(CR38,16,1)*POWER(2,0)+MID(CR38,15,1)*POWER(2,1)+MID(CR38,14,1)*POWER(2,2)+MID(CR38,13,1)*POWER(2,3)+MID(CR38,12,1)*POWER(2,4)+MID(CR38,11,1)*POWER(2,5)+MID(CR38,10,1)*POWER(2,6)+MID(CR38,9,1)*POWER(2,7)+MID(CR38,8,1)*POWER(2,8)+MID(CR38,7,1)*POWER(2,9)+MID(CR38,6,1)*POWER(2,10)+MID(CR38,5,1)*POWER(2,11)+MID(CR38,4,1)*POWER(2,12)+MID(CR38,3,1)*POWER(2,13)+MID(CR38,2,1)*POWER(2,14)+MID(CR38,1,1)*POWER(2,15)-(MID(CR39,16,1)*POWER(2,0)+MID(CR39,15,1)*POWER(2,1)+MID(CR39,14,1)*POWER(2,2)+MID(CR39,13,1)*POWER(2,3)+MID(CR39,12,1)*POWER(2,4)+MID(CR39,11,1)*POWER(2,5)+MID(CR39,10,1)*POWER(2,6)+MID(CR39,9,1)*POWER(2,7)+MID(CR39,8,1)*POWER(2,8)+MID(CR39,7,1)*POWER(2,9)+MID(CR39,6,1)*POWER(2,10)+MID(CR39,5,1)*POWER(2,11)+MID(CR39,4,1)*POWER(2,12)+MID(CR39,3,1)*POWER(2,13)+MID(CR39,2,1)*POWER(2,14)+MID(CR39,1,1)*POWER(2,15))</f>
        <v>-8224</v>
      </c>
      <c r="CU38" s="55" t="str">
        <f>CONCATENATE(MID($L38,1,1)*MID($K38,1,1),MID($L38,2,1)*MID($K38,2,1),MID($L38,3,1)*MID($K38,3,1),MID($L38,4,1)*MID($K38,4,1),MID($L38,5,1)*MID($K38,5,1),MID($L38,6,1)*MID($K38,6,1),MID($L38,7,1)*MID($K38,7,1),MID($L38,8,1)*MID($K38,8,1),MID($L38,9,1)*MID($K38,1,1),MID($L38,10,1)*MID($K38,2,1),MID($L38,11,1)*MID($K38,3,1),MID($L38,12,1)*MID($K38,4,1),MID($L38,13,1)*MID($K38,5,1),MID($L38,14,1)*MID($K38,6,1),MID($L38,15,1)*MID($K38,7,1),MID($L38,16,1)*MID($K38,8,1),MID($L38,17,1)*MID($K38,1,1),MID($L38,18,1)*MID($K38,2,1),MID($L38,19,1)*MID($K38,3,1),MID($L38,20,1)*MID($K38,4,1),MID($L38,21,1)*MID($K38,5,1),MID($L38,22,1)*MID($K38,6,1),MID($L38,23,1)*MID($K38,7,1),MID($L38,24,1)*MID($K38,8,1),MID($L38,25,1)*MID($K38,1,1),MID($L38,26,1)*MID($K38,2,1),MID($L38,27,1)*MID($K38,3,1),MID($L38,28,1)*MID($K38,4,1),MID($L38,29,1)*MID($K38,5,1),MID($L38,30,1)*MID($K38,6,1),MID($L38,31,1)*MID($K38,7,1),MID($L38,32,1)*MID($K38,8,1))</f>
        <v>10000101110100111100100000001110</v>
      </c>
      <c r="CV38" s="57" t="str">
        <f t="shared" si="60"/>
        <v>10000101</v>
      </c>
      <c r="CW38" s="57" t="str">
        <f t="shared" si="61"/>
        <v>11010011</v>
      </c>
      <c r="CX38" s="57" t="str">
        <f t="shared" si="62"/>
        <v>11001000</v>
      </c>
      <c r="CY38" s="57" t="str">
        <f t="shared" si="63"/>
        <v>00001110</v>
      </c>
      <c r="CZ38" s="100">
        <f>BIN2DEC(CV38)-BIN2DEC(CV39)</f>
        <v>-32</v>
      </c>
      <c r="DA38" s="100">
        <f>BIN2DEC(CW38)-BIN2DEC(CW39)</f>
        <v>128</v>
      </c>
      <c r="DB38" s="100">
        <f>BIN2DEC(CX38)-BIN2DEC(CX39)</f>
        <v>-32</v>
      </c>
      <c r="DC38" s="100">
        <f>BIN2DEC(CY38)-BIN2DEC(CY39)</f>
        <v>-32</v>
      </c>
      <c r="DD38" s="58" t="str">
        <f t="shared" si="64"/>
        <v>1000</v>
      </c>
      <c r="DE38" s="58" t="str">
        <f t="shared" si="65"/>
        <v>0101</v>
      </c>
      <c r="DF38" s="58" t="str">
        <f t="shared" si="66"/>
        <v>1101</v>
      </c>
      <c r="DG38" s="58" t="str">
        <f t="shared" si="67"/>
        <v>0011</v>
      </c>
      <c r="DH38" s="58" t="str">
        <f t="shared" si="68"/>
        <v>1100</v>
      </c>
      <c r="DI38" s="58" t="str">
        <f t="shared" si="69"/>
        <v>1000</v>
      </c>
      <c r="DJ38" s="58" t="str">
        <f t="shared" si="70"/>
        <v>0000</v>
      </c>
      <c r="DK38" s="58" t="str">
        <f t="shared" si="71"/>
        <v>1110</v>
      </c>
      <c r="DL38" s="100">
        <f t="shared" ref="DL38:DS38" si="267">BIN2DEC(DD38)-BIN2DEC(DD39)</f>
        <v>-2</v>
      </c>
      <c r="DM38" s="100">
        <f t="shared" si="267"/>
        <v>0</v>
      </c>
      <c r="DN38" s="100">
        <f t="shared" si="267"/>
        <v>8</v>
      </c>
      <c r="DO38" s="100">
        <f t="shared" si="267"/>
        <v>0</v>
      </c>
      <c r="DP38" s="100">
        <f t="shared" si="267"/>
        <v>-2</v>
      </c>
      <c r="DQ38" s="100">
        <f t="shared" si="267"/>
        <v>0</v>
      </c>
      <c r="DR38" s="100">
        <f t="shared" si="267"/>
        <v>-2</v>
      </c>
      <c r="DS38" s="100">
        <f t="shared" si="267"/>
        <v>0</v>
      </c>
      <c r="DT38" s="57" t="str">
        <f t="shared" si="10"/>
        <v>1000010111010011</v>
      </c>
      <c r="DU38" s="57" t="str">
        <f t="shared" si="11"/>
        <v>1100100000001110</v>
      </c>
      <c r="DV38" s="100">
        <f>MID(DT38,16,1)*POWER(2,0)+MID(DT38,15,1)*POWER(2,1)+MID(DT38,14,1)*POWER(2,2)+MID(DT38,13,1)*POWER(2,3)+MID(DT38,12,1)*POWER(2,4)+MID(DT38,11,1)*POWER(2,5)+MID(DT38,10,1)*POWER(2,6)+MID(DT38,9,1)*POWER(2,7)+MID(DT38,8,1)*POWER(2,8)+MID(DT38,7,1)*POWER(2,9)+MID(DT38,6,1)*POWER(2,10)+MID(DT38,5,1)*POWER(2,11)+MID(DT38,4,1)*POWER(2,12)+MID(DT38,3,1)*POWER(2,13)+MID(DT38,2,1)*POWER(2,14)+MID(DT38,1,1)*POWER(2,15)-(MID(DT39,16,1)*POWER(2,0)+MID(DT39,15,1)*POWER(2,1)+MID(DT39,14,1)*POWER(2,2)+MID(DT39,13,1)*POWER(2,3)+MID(DT39,12,1)*POWER(2,4)+MID(DT39,11,1)*POWER(2,5)+MID(DT39,10,1)*POWER(2,6)+MID(DT39,9,1)*POWER(2,7)+MID(DT39,8,1)*POWER(2,8)+MID(DT39,7,1)*POWER(2,9)+MID(DT39,6,1)*POWER(2,10)+MID(DT39,5,1)*POWER(2,11)+MID(DT39,4,1)*POWER(2,12)+MID(DT39,3,1)*POWER(2,13)+MID(DT39,2,1)*POWER(2,14)+MID(DT39,1,1)*POWER(2,15))</f>
        <v>-8064</v>
      </c>
      <c r="DW38" s="100">
        <f>MID(DU38,16,1)*POWER(2,0)+MID(DU38,15,1)*POWER(2,1)+MID(DU38,14,1)*POWER(2,2)+MID(DU38,13,1)*POWER(2,3)+MID(DU38,12,1)*POWER(2,4)+MID(DU38,11,1)*POWER(2,5)+MID(DU38,10,1)*POWER(2,6)+MID(DU38,9,1)*POWER(2,7)+MID(DU38,8,1)*POWER(2,8)+MID(DU38,7,1)*POWER(2,9)+MID(DU38,6,1)*POWER(2,10)+MID(DU38,5,1)*POWER(2,11)+MID(DU38,4,1)*POWER(2,12)+MID(DU38,3,1)*POWER(2,13)+MID(DU38,2,1)*POWER(2,14)+MID(DU38,1,1)*POWER(2,15)-(MID(DU39,16,1)*POWER(2,0)+MID(DU39,15,1)*POWER(2,1)+MID(DU39,14,1)*POWER(2,2)+MID(DU39,13,1)*POWER(2,3)+MID(DU39,12,1)*POWER(2,4)+MID(DU39,11,1)*POWER(2,5)+MID(DU39,10,1)*POWER(2,6)+MID(DU39,9,1)*POWER(2,7)+MID(DU39,8,1)*POWER(2,8)+MID(DU39,7,1)*POWER(2,9)+MID(DU39,6,1)*POWER(2,10)+MID(DU39,5,1)*POWER(2,11)+MID(DU39,4,1)*POWER(2,12)+MID(DU39,3,1)*POWER(2,13)+MID(DU39,2,1)*POWER(2,14)+MID(DU39,1,1)*POWER(2,15))</f>
        <v>-8224</v>
      </c>
      <c r="DX38" s="55" t="str">
        <f>CONCATENATE(MID($H38,1,1)*MID($K38,1,1),MID($H38,2,1)*MID($K38,2,1),MID($H38,3,1)*MID($K38,3,1),MID($H38,4,1)*MID($K38,4,1),MID($H38,5,1)*MID($K38,5,1),MID($H38,6,1)*MID($K38,6,1),MID($H38,7,1)*MID($K38,7,1),MID($H38,8,1)*MID($K38,8,1),MID($H38,9,1)*MID($K38,1,1),MID($H38,10,1)*MID($K38,2,1),MID($H38,11,1)*MID($K38,3,1),MID($H38,12,1)*MID($K38,4,1),MID($H38,13,1)*MID($K38,5,1),MID($H38,14,1)*MID($K38,6,1),MID($H38,15,1)*MID($K38,7,1),MID($H38,16,1)*MID($K38,8,1),MID($H38,17,1)*MID($K38,1,1),MID($H38,18,1)*MID($K38,2,1),MID($H38,19,1)*MID($K38,3,1),MID($H38,20,1)*MID($K38,4,1),MID($H38,21,1)*MID($K38,5,1),MID($H38,22,1)*MID($K38,6,1),MID($H38,23,1)*MID($K38,7,1),MID($H38,24,1)*MID($K38,8,1),MID($H38,25,1)*MID($K38,1,1),MID($H38,26,1)*MID($K38,2,1),MID($H38,27,1)*MID($K38,3,1),MID($H38,28,1)*MID($K38,4,1),MID($H38,29,1)*MID($K38,5,1),MID($H38,30,1)*MID($K38,6,1),MID($H38,31,1)*MID($K38,7,1),MID($H38,32,1)*MID($K38,8,1))</f>
        <v>01000110011101100010100010011100</v>
      </c>
      <c r="DY38" s="57" t="str">
        <f>CONCATENATE(MID(DX38,30,3),MID(DX38,17,5),MID(DX38,6,3),MID(DX38,25,5),MID(DX38,14,3),MID(DX38,1,5),MID(DX38,22,3),MID(DX38,9,5))</f>
        <v>10000101110100111100100000001110</v>
      </c>
      <c r="DZ38" s="57" t="str">
        <f t="shared" si="122"/>
        <v>10000101</v>
      </c>
      <c r="EA38" s="57" t="str">
        <f t="shared" si="72"/>
        <v>11010011</v>
      </c>
      <c r="EB38" s="57" t="str">
        <f t="shared" si="73"/>
        <v>11001000</v>
      </c>
      <c r="EC38" s="57" t="str">
        <f t="shared" si="74"/>
        <v>00001110</v>
      </c>
      <c r="ED38" s="100">
        <f>BIN2DEC(DZ38)-BIN2DEC(DZ39)</f>
        <v>-32</v>
      </c>
      <c r="EE38" s="100">
        <f>BIN2DEC(EA38)-BIN2DEC(EA39)</f>
        <v>128</v>
      </c>
      <c r="EF38" s="100">
        <f>BIN2DEC(EB38)-BIN2DEC(EB39)</f>
        <v>-32</v>
      </c>
      <c r="EG38" s="100">
        <f>BIN2DEC(EC38)-BIN2DEC(EC39)</f>
        <v>-32</v>
      </c>
      <c r="EH38" s="58" t="str">
        <f t="shared" si="75"/>
        <v>1000</v>
      </c>
      <c r="EI38" s="58" t="str">
        <f t="shared" si="76"/>
        <v>0101</v>
      </c>
      <c r="EJ38" s="58" t="str">
        <f t="shared" si="77"/>
        <v>1101</v>
      </c>
      <c r="EK38" s="58" t="str">
        <f t="shared" si="78"/>
        <v>0011</v>
      </c>
      <c r="EL38" s="58" t="str">
        <f t="shared" si="79"/>
        <v>1100</v>
      </c>
      <c r="EM38" s="58" t="str">
        <f t="shared" si="80"/>
        <v>1000</v>
      </c>
      <c r="EN38" s="58" t="str">
        <f t="shared" si="81"/>
        <v>0000</v>
      </c>
      <c r="EO38" s="58" t="str">
        <f t="shared" si="82"/>
        <v>1110</v>
      </c>
      <c r="EP38" s="100">
        <f t="shared" ref="EP38:EW38" si="268">BIN2DEC(EH38)-BIN2DEC(EH39)</f>
        <v>-2</v>
      </c>
      <c r="EQ38" s="100">
        <f t="shared" si="268"/>
        <v>0</v>
      </c>
      <c r="ER38" s="100">
        <f t="shared" si="268"/>
        <v>8</v>
      </c>
      <c r="ES38" s="100">
        <f t="shared" si="268"/>
        <v>0</v>
      </c>
      <c r="ET38" s="100">
        <f t="shared" si="268"/>
        <v>-2</v>
      </c>
      <c r="EU38" s="100">
        <f t="shared" si="268"/>
        <v>0</v>
      </c>
      <c r="EV38" s="100">
        <f t="shared" si="268"/>
        <v>-2</v>
      </c>
      <c r="EW38" s="100">
        <f t="shared" si="268"/>
        <v>0</v>
      </c>
      <c r="EX38" s="57" t="str">
        <f t="shared" si="13"/>
        <v>1000010111010011</v>
      </c>
      <c r="EY38" s="57" t="str">
        <f t="shared" si="14"/>
        <v>1100100000001110</v>
      </c>
      <c r="EZ38" s="100">
        <f>MID(EX38,16,1)*POWER(2,0)+MID(EX38,15,1)*POWER(2,1)+MID(EX38,14,1)*POWER(2,2)+MID(EX38,13,1)*POWER(2,3)+MID(EX38,12,1)*POWER(2,4)+MID(EX38,11,1)*POWER(2,5)+MID(EX38,10,1)*POWER(2,6)+MID(EX38,9,1)*POWER(2,7)+MID(EX38,8,1)*POWER(2,8)+MID(EX38,7,1)*POWER(2,9)+MID(EX38,6,1)*POWER(2,10)+MID(EX38,5,1)*POWER(2,11)+MID(EX38,4,1)*POWER(2,12)+MID(EX38,3,1)*POWER(2,13)+MID(EX38,2,1)*POWER(2,14)+MID(EX38,1,1)*POWER(2,15)-(MID(EX39,16,1)*POWER(2,0)+MID(EX39,15,1)*POWER(2,1)+MID(EX39,14,1)*POWER(2,2)+MID(EX39,13,1)*POWER(2,3)+MID(EX39,12,1)*POWER(2,4)+MID(EX39,11,1)*POWER(2,5)+MID(EX39,10,1)*POWER(2,6)+MID(EX39,9,1)*POWER(2,7)+MID(EX39,8,1)*POWER(2,8)+MID(EX39,7,1)*POWER(2,9)+MID(EX39,6,1)*POWER(2,10)+MID(EX39,5,1)*POWER(2,11)+MID(EX39,4,1)*POWER(2,12)+MID(EX39,3,1)*POWER(2,13)+MID(EX39,2,1)*POWER(2,14)+MID(EX39,1,1)*POWER(2,15))</f>
        <v>-8064</v>
      </c>
      <c r="FA38" s="100">
        <f>MID(EY38,16,1)*POWER(2,0)+MID(EY38,15,1)*POWER(2,1)+MID(EY38,14,1)*POWER(2,2)+MID(EY38,13,1)*POWER(2,3)+MID(EY38,12,1)*POWER(2,4)+MID(EY38,11,1)*POWER(2,5)+MID(EY38,10,1)*POWER(2,6)+MID(EY38,9,1)*POWER(2,7)+MID(EY38,8,1)*POWER(2,8)+MID(EY38,7,1)*POWER(2,9)+MID(EY38,6,1)*POWER(2,10)+MID(EY38,5,1)*POWER(2,11)+MID(EY38,4,1)*POWER(2,12)+MID(EY38,3,1)*POWER(2,13)+MID(EY38,2,1)*POWER(2,14)+MID(EY38,1,1)*POWER(2,15)-(MID(EY39,16,1)*POWER(2,0)+MID(EY39,15,1)*POWER(2,1)+MID(EY39,14,1)*POWER(2,2)+MID(EY39,13,1)*POWER(2,3)+MID(EY39,12,1)*POWER(2,4)+MID(EY39,11,1)*POWER(2,5)+MID(EY39,10,1)*POWER(2,6)+MID(EY39,9,1)*POWER(2,7)+MID(EY39,8,1)*POWER(2,8)+MID(EY39,7,1)*POWER(2,9)+MID(EY39,6,1)*POWER(2,10)+MID(EY39,5,1)*POWER(2,11)+MID(EY39,4,1)*POWER(2,12)+MID(EY39,3,1)*POWER(2,13)+MID(EY39,2,1)*POWER(2,14)+MID(EY39,1,1)*POWER(2,15))</f>
        <v>-8224</v>
      </c>
      <c r="FB38" s="55" t="str">
        <f>CONCATENATE(MID(DY38,1,1)*MID($K38,1,1),MID(DY38,2,1)*MID($K38,2,1),MID(DY38,3,1)*MID($K38,3,1),MID(DY38,4,1)*MID($K38,4,1),MID(DY38,5,1)*MID($K38,5,1),MID(DY38,6,1)*MID($K38,6,1),MID(DY38,7,1)*MID($K38,7,1),MID(DY38,8,1)*MID($K38,8,1),MID(DY38,9,1)*MID($K38,1,1),MID(DY38,10,1)*MID($K38,2,1),MID(DY38,11,1)*MID($K38,3,1),MID(DY38,12,1)*MID($K38,4,1),MID(DY38,13,1)*MID($K38,5,1),MID(DY38,14,1)*MID($K38,6,1),MID(DY38,15,1)*MID($K38,7,1),MID(DY38,16,1)*MID($K38,8,1),MID(DY38,17,1)*MID($K38,1,1),MID(DY38,18,1)*MID($K38,2,1),MID(DY38,19,1)*MID($K38,3,1),MID(DY38,20,1)*MID($K38,4,1),MID(DY38,21,1)*MID($K38,5,1),MID(DY38,22,1)*MID($K38,6,1),MID(DY38,23,1)*MID($K38,7,1),MID(DY38,24,1)*MID($K38,8,1),MID(DY38,25,1)*MID($K38,1,1),MID(DY38,26,1)*MID($K38,2,1),MID(DY38,27,1)*MID($K38,3,1),MID(DY38,28,1)*MID($K38,4,1),MID(DY38,29,1)*MID($K38,5,1),MID(DY38,30,1)*MID($K38,6,1),MID(DY38,31,1)*MID($K38,7,1),MID(DY38,32,1)*MID($K38,8,1))</f>
        <v>10000101110100111100100000001110</v>
      </c>
      <c r="FC38" s="57" t="str">
        <f t="shared" si="124"/>
        <v>10000101</v>
      </c>
      <c r="FD38" s="57" t="str">
        <f t="shared" si="83"/>
        <v>11010011</v>
      </c>
      <c r="FE38" s="57" t="str">
        <f t="shared" si="84"/>
        <v>11001000</v>
      </c>
      <c r="FF38" s="57" t="str">
        <f t="shared" si="85"/>
        <v>00001110</v>
      </c>
      <c r="FG38" s="100">
        <f>BIN2DEC(FC38)-BIN2DEC(FC39)</f>
        <v>-32</v>
      </c>
      <c r="FH38" s="100">
        <f>BIN2DEC(FD38)-BIN2DEC(FD39)</f>
        <v>128</v>
      </c>
      <c r="FI38" s="100">
        <f>BIN2DEC(FE38)-BIN2DEC(FE39)</f>
        <v>-32</v>
      </c>
      <c r="FJ38" s="100">
        <f>BIN2DEC(FF38)-BIN2DEC(FF39)</f>
        <v>-32</v>
      </c>
      <c r="FK38" s="58" t="str">
        <f t="shared" si="86"/>
        <v>1000</v>
      </c>
      <c r="FL38" s="58" t="str">
        <f t="shared" si="87"/>
        <v>0101</v>
      </c>
      <c r="FM38" s="58" t="str">
        <f t="shared" si="88"/>
        <v>1101</v>
      </c>
      <c r="FN38" s="58" t="str">
        <f t="shared" si="89"/>
        <v>0011</v>
      </c>
      <c r="FO38" s="58" t="str">
        <f t="shared" si="90"/>
        <v>1100</v>
      </c>
      <c r="FP38" s="58" t="str">
        <f t="shared" si="91"/>
        <v>1000</v>
      </c>
      <c r="FQ38" s="58" t="str">
        <f t="shared" si="92"/>
        <v>0000</v>
      </c>
      <c r="FR38" s="58" t="str">
        <f t="shared" si="93"/>
        <v>1110</v>
      </c>
      <c r="FS38" s="100">
        <f t="shared" ref="FS38:FZ38" si="269">BIN2DEC(FK38)-BIN2DEC(FK39)</f>
        <v>-2</v>
      </c>
      <c r="FT38" s="100">
        <f t="shared" si="269"/>
        <v>0</v>
      </c>
      <c r="FU38" s="100">
        <f t="shared" si="269"/>
        <v>8</v>
      </c>
      <c r="FV38" s="100">
        <f t="shared" si="269"/>
        <v>0</v>
      </c>
      <c r="FW38" s="100">
        <f t="shared" si="269"/>
        <v>-2</v>
      </c>
      <c r="FX38" s="100">
        <f t="shared" si="269"/>
        <v>0</v>
      </c>
      <c r="FY38" s="100">
        <f t="shared" si="269"/>
        <v>-2</v>
      </c>
      <c r="FZ38" s="100">
        <f t="shared" si="269"/>
        <v>0</v>
      </c>
      <c r="GA38" s="57" t="str">
        <f t="shared" si="16"/>
        <v>1000010111010011</v>
      </c>
      <c r="GB38" s="57" t="str">
        <f t="shared" si="17"/>
        <v>1100100000001110</v>
      </c>
      <c r="GC38" s="100">
        <f>MID(GA38,16,1)*POWER(2,0)+MID(GA38,15,1)*POWER(2,1)+MID(GA38,14,1)*POWER(2,2)+MID(GA38,13,1)*POWER(2,3)+MID(GA38,12,1)*POWER(2,4)+MID(GA38,11,1)*POWER(2,5)+MID(GA38,10,1)*POWER(2,6)+MID(GA38,9,1)*POWER(2,7)+MID(GA38,8,1)*POWER(2,8)+MID(GA38,7,1)*POWER(2,9)+MID(GA38,6,1)*POWER(2,10)+MID(GA38,5,1)*POWER(2,11)+MID(GA38,4,1)*POWER(2,12)+MID(GA38,3,1)*POWER(2,13)+MID(GA38,2,1)*POWER(2,14)+MID(GA38,1,1)*POWER(2,15)-(MID(GA39,16,1)*POWER(2,0)+MID(GA39,15,1)*POWER(2,1)+MID(GA39,14,1)*POWER(2,2)+MID(GA39,13,1)*POWER(2,3)+MID(GA39,12,1)*POWER(2,4)+MID(GA39,11,1)*POWER(2,5)+MID(GA39,10,1)*POWER(2,6)+MID(GA39,9,1)*POWER(2,7)+MID(GA39,8,1)*POWER(2,8)+MID(GA39,7,1)*POWER(2,9)+MID(GA39,6,1)*POWER(2,10)+MID(GA39,5,1)*POWER(2,11)+MID(GA39,4,1)*POWER(2,12)+MID(GA39,3,1)*POWER(2,13)+MID(GA39,2,1)*POWER(2,14)+MID(GA39,1,1)*POWER(2,15))</f>
        <v>-8064</v>
      </c>
      <c r="GD38" s="100">
        <f>MID(GB38,16,1)*POWER(2,0)+MID(GB38,15,1)*POWER(2,1)+MID(GB38,14,1)*POWER(2,2)+MID(GB38,13,1)*POWER(2,3)+MID(GB38,12,1)*POWER(2,4)+MID(GB38,11,1)*POWER(2,5)+MID(GB38,10,1)*POWER(2,6)+MID(GB38,9,1)*POWER(2,7)+MID(GB38,8,1)*POWER(2,8)+MID(GB38,7,1)*POWER(2,9)+MID(GB38,6,1)*POWER(2,10)+MID(GB38,5,1)*POWER(2,11)+MID(GB38,4,1)*POWER(2,12)+MID(GB38,3,1)*POWER(2,13)+MID(GB38,2,1)*POWER(2,14)+MID(GB38,1,1)*POWER(2,15)-(MID(GB39,16,1)*POWER(2,0)+MID(GB39,15,1)*POWER(2,1)+MID(GB39,14,1)*POWER(2,2)+MID(GB39,13,1)*POWER(2,3)+MID(GB39,12,1)*POWER(2,4)+MID(GB39,11,1)*POWER(2,5)+MID(GB39,10,1)*POWER(2,6)+MID(GB39,9,1)*POWER(2,7)+MID(GB39,8,1)*POWER(2,8)+MID(GB39,7,1)*POWER(2,9)+MID(GB39,6,1)*POWER(2,10)+MID(GB39,5,1)*POWER(2,11)+MID(GB39,4,1)*POWER(2,12)+MID(GB39,3,1)*POWER(2,13)+MID(GB39,2,1)*POWER(2,14)+MID(GB39,1,1)*POWER(2,15))</f>
        <v>-8224</v>
      </c>
      <c r="GE38" s="58" t="str">
        <f>DY38</f>
        <v>10000101110100111100100000001110</v>
      </c>
      <c r="GF38" s="57" t="str">
        <f t="shared" si="126"/>
        <v>10000101</v>
      </c>
      <c r="GG38" s="57" t="str">
        <f t="shared" si="94"/>
        <v>11010011</v>
      </c>
      <c r="GH38" s="57" t="str">
        <f t="shared" si="95"/>
        <v>11001000</v>
      </c>
      <c r="GI38" s="57" t="str">
        <f t="shared" si="96"/>
        <v>00001110</v>
      </c>
      <c r="GJ38" s="100">
        <f>BIN2DEC(GF38)-BIN2DEC(GF39)</f>
        <v>-32</v>
      </c>
      <c r="GK38" s="100">
        <f>BIN2DEC(GG38)-BIN2DEC(GG39)</f>
        <v>128</v>
      </c>
      <c r="GL38" s="100">
        <f>BIN2DEC(GH38)-BIN2DEC(GH39)</f>
        <v>-32</v>
      </c>
      <c r="GM38" s="100">
        <f>BIN2DEC(GI38)-BIN2DEC(GI39)</f>
        <v>-32</v>
      </c>
      <c r="GN38" s="58" t="str">
        <f t="shared" si="97"/>
        <v>1000</v>
      </c>
      <c r="GO38" s="58" t="str">
        <f t="shared" si="98"/>
        <v>0101</v>
      </c>
      <c r="GP38" s="58" t="str">
        <f t="shared" si="99"/>
        <v>1101</v>
      </c>
      <c r="GQ38" s="58" t="str">
        <f t="shared" si="100"/>
        <v>0011</v>
      </c>
      <c r="GR38" s="58" t="str">
        <f t="shared" si="101"/>
        <v>1100</v>
      </c>
      <c r="GS38" s="58" t="str">
        <f t="shared" si="102"/>
        <v>1000</v>
      </c>
      <c r="GT38" s="58" t="str">
        <f t="shared" si="103"/>
        <v>0000</v>
      </c>
      <c r="GU38" s="58" t="str">
        <f t="shared" si="104"/>
        <v>1110</v>
      </c>
      <c r="GV38" s="100">
        <f t="shared" ref="GV38:HC38" si="270">BIN2DEC(GN38)-BIN2DEC(GN39)</f>
        <v>-2</v>
      </c>
      <c r="GW38" s="100">
        <f t="shared" si="270"/>
        <v>0</v>
      </c>
      <c r="GX38" s="100">
        <f t="shared" si="270"/>
        <v>8</v>
      </c>
      <c r="GY38" s="100">
        <f t="shared" si="270"/>
        <v>0</v>
      </c>
      <c r="GZ38" s="100">
        <f t="shared" si="270"/>
        <v>-2</v>
      </c>
      <c r="HA38" s="100">
        <f t="shared" si="270"/>
        <v>0</v>
      </c>
      <c r="HB38" s="100">
        <f t="shared" si="270"/>
        <v>-2</v>
      </c>
      <c r="HC38" s="100">
        <f t="shared" si="270"/>
        <v>0</v>
      </c>
      <c r="HD38" s="57" t="str">
        <f t="shared" si="19"/>
        <v>1000010111010011</v>
      </c>
      <c r="HE38" s="57" t="str">
        <f t="shared" si="20"/>
        <v>1100100000001110</v>
      </c>
      <c r="HF38" s="100">
        <f>MID(HD38,16,1)*POWER(2,0)+MID(HD38,15,1)*POWER(2,1)+MID(HD38,14,1)*POWER(2,2)+MID(HD38,13,1)*POWER(2,3)+MID(HD38,12,1)*POWER(2,4)+MID(HD38,11,1)*POWER(2,5)+MID(HD38,10,1)*POWER(2,6)+MID(HD38,9,1)*POWER(2,7)+MID(HD38,8,1)*POWER(2,8)+MID(HD38,7,1)*POWER(2,9)+MID(HD38,6,1)*POWER(2,10)+MID(HD38,5,1)*POWER(2,11)+MID(HD38,4,1)*POWER(2,12)+MID(HD38,3,1)*POWER(2,13)+MID(HD38,2,1)*POWER(2,14)+MID(HD38,1,1)*POWER(2,15)-(MID(HD39,16,1)*POWER(2,0)+MID(HD39,15,1)*POWER(2,1)+MID(HD39,14,1)*POWER(2,2)+MID(HD39,13,1)*POWER(2,3)+MID(HD39,12,1)*POWER(2,4)+MID(HD39,11,1)*POWER(2,5)+MID(HD39,10,1)*POWER(2,6)+MID(HD39,9,1)*POWER(2,7)+MID(HD39,8,1)*POWER(2,8)+MID(HD39,7,1)*POWER(2,9)+MID(HD39,6,1)*POWER(2,10)+MID(HD39,5,1)*POWER(2,11)+MID(HD39,4,1)*POWER(2,12)+MID(HD39,3,1)*POWER(2,13)+MID(HD39,2,1)*POWER(2,14)+MID(HD39,1,1)*POWER(2,15))</f>
        <v>-8064</v>
      </c>
      <c r="HG38" s="100">
        <f>MID(HE38,16,1)*POWER(2,0)+MID(HE38,15,1)*POWER(2,1)+MID(HE38,14,1)*POWER(2,2)+MID(HE38,13,1)*POWER(2,3)+MID(HE38,12,1)*POWER(2,4)+MID(HE38,11,1)*POWER(2,5)+MID(HE38,10,1)*POWER(2,6)+MID(HE38,9,1)*POWER(2,7)+MID(HE38,8,1)*POWER(2,8)+MID(HE38,7,1)*POWER(2,9)+MID(HE38,6,1)*POWER(2,10)+MID(HE38,5,1)*POWER(2,11)+MID(HE38,4,1)*POWER(2,12)+MID(HE38,3,1)*POWER(2,13)+MID(HE38,2,1)*POWER(2,14)+MID(HE38,1,1)*POWER(2,15)-(MID(HE39,16,1)*POWER(2,0)+MID(HE39,15,1)*POWER(2,1)+MID(HE39,14,1)*POWER(2,2)+MID(HE39,13,1)*POWER(2,3)+MID(HE39,12,1)*POWER(2,4)+MID(HE39,11,1)*POWER(2,5)+MID(HE39,10,1)*POWER(2,6)+MID(HE39,9,1)*POWER(2,7)+MID(HE39,8,1)*POWER(2,8)+MID(HE39,7,1)*POWER(2,9)+MID(HE39,6,1)*POWER(2,10)+MID(HE39,5,1)*POWER(2,11)+MID(HE39,4,1)*POWER(2,12)+MID(HE39,3,1)*POWER(2,13)+MID(HE39,2,1)*POWER(2,14)+MID(HE39,1,1)*POWER(2,15))</f>
        <v>-8224</v>
      </c>
      <c r="HH38" s="55" t="str">
        <f>CONCATENATE(MID(GE38,1,1)*MID($K38,1,1),MID(GE38,2,1)*MID($K38,2,1),MID(GE38,3,1)*MID($K38,3,1),MID(GE38,4,1)*MID($K38,4,1),MID(GE38,5,1)*MID($K38,5,1),MID(GE38,6,1)*MID($K38,6,1),MID(GE38,7,1)*MID($K38,7,1),MID(GE38,8,1)*MID($K38,8,1),MID(GE38,9,1)*MID($K38,1,1),MID(GE38,10,1)*MID($K38,2,1),MID(GE38,11,1)*MID($K38,3,1),MID(GE38,12,1)*MID($K38,4,1),MID(GE38,13,1)*MID($K38,5,1),MID(GE38,14,1)*MID($K38,6,1),MID(GE38,15,1)*MID($K38,7,1),MID(GE38,16,1)*MID($K38,8,1),MID(GE38,17,1)*MID($K38,1,1),MID(GE38,18,1)*MID($K38,2,1),MID(GE38,19,1)*MID($K38,3,1),MID(GE38,20,1)*MID($K38,4,1),MID(GE38,21,1)*MID($K38,5,1),MID(GE38,22,1)*MID($K38,6,1),MID(GE38,23,1)*MID($K38,7,1),MID(GE38,24,1)*MID($K38,8,1),MID(GE38,25,1)*MID($K38,1,1),MID(GE38,26,1)*MID($K38,2,1),MID(GE38,27,1)*MID($K38,3,1),MID(GE38,28,1)*MID($K38,4,1),MID(GE38,29,1)*MID($K38,5,1),MID(GE38,30,1)*MID($K38,6,1),MID(GE38,31,1)*MID($K38,7,1),MID(GE38,32,1)*MID($K38,8,1))</f>
        <v>10000101110100111100100000001110</v>
      </c>
      <c r="HI38" s="57" t="str">
        <f t="shared" si="128"/>
        <v>10000101</v>
      </c>
      <c r="HJ38" s="57" t="str">
        <f t="shared" si="105"/>
        <v>11010011</v>
      </c>
      <c r="HK38" s="57" t="str">
        <f t="shared" si="106"/>
        <v>11001000</v>
      </c>
      <c r="HL38" s="57" t="str">
        <f t="shared" si="107"/>
        <v>00001110</v>
      </c>
      <c r="HM38" s="100">
        <f>BIN2DEC(HI38)-BIN2DEC(HI39)</f>
        <v>-32</v>
      </c>
      <c r="HN38" s="100">
        <f>BIN2DEC(HJ38)-BIN2DEC(HJ39)</f>
        <v>128</v>
      </c>
      <c r="HO38" s="100">
        <f>BIN2DEC(HK38)-BIN2DEC(HK39)</f>
        <v>-32</v>
      </c>
      <c r="HP38" s="100">
        <f>BIN2DEC(HL38)-BIN2DEC(HL39)</f>
        <v>-32</v>
      </c>
      <c r="HQ38" s="58" t="str">
        <f t="shared" si="108"/>
        <v>1000</v>
      </c>
      <c r="HR38" s="58" t="str">
        <f t="shared" si="109"/>
        <v>0101</v>
      </c>
      <c r="HS38" s="58" t="str">
        <f t="shared" si="110"/>
        <v>1101</v>
      </c>
      <c r="HT38" s="58" t="str">
        <f t="shared" si="111"/>
        <v>0011</v>
      </c>
      <c r="HU38" s="58" t="str">
        <f t="shared" si="112"/>
        <v>1100</v>
      </c>
      <c r="HV38" s="58" t="str">
        <f t="shared" si="113"/>
        <v>1000</v>
      </c>
      <c r="HW38" s="58" t="str">
        <f t="shared" si="114"/>
        <v>0000</v>
      </c>
      <c r="HX38" s="58" t="str">
        <f t="shared" si="115"/>
        <v>1110</v>
      </c>
      <c r="HY38" s="100">
        <f t="shared" ref="HY38:IF38" si="271">BIN2DEC(HQ38)-BIN2DEC(HQ39)</f>
        <v>-2</v>
      </c>
      <c r="HZ38" s="100">
        <f t="shared" si="271"/>
        <v>0</v>
      </c>
      <c r="IA38" s="100">
        <f t="shared" si="271"/>
        <v>8</v>
      </c>
      <c r="IB38" s="100">
        <f t="shared" si="271"/>
        <v>0</v>
      </c>
      <c r="IC38" s="100">
        <f t="shared" si="271"/>
        <v>-2</v>
      </c>
      <c r="ID38" s="100">
        <f t="shared" si="271"/>
        <v>0</v>
      </c>
      <c r="IE38" s="100">
        <f t="shared" si="271"/>
        <v>-2</v>
      </c>
      <c r="IF38" s="100">
        <f t="shared" si="271"/>
        <v>0</v>
      </c>
      <c r="IG38" s="57" t="str">
        <f t="shared" si="22"/>
        <v>1000010111010011</v>
      </c>
      <c r="IH38" s="57" t="str">
        <f t="shared" si="23"/>
        <v>1100100000001110</v>
      </c>
      <c r="II38" s="100">
        <f>MID(IG38,16,1)*POWER(2,0)+MID(IG38,15,1)*POWER(2,1)+MID(IG38,14,1)*POWER(2,2)+MID(IG38,13,1)*POWER(2,3)+MID(IG38,12,1)*POWER(2,4)+MID(IG38,11,1)*POWER(2,5)+MID(IG38,10,1)*POWER(2,6)+MID(IG38,9,1)*POWER(2,7)+MID(IG38,8,1)*POWER(2,8)+MID(IG38,7,1)*POWER(2,9)+MID(IG38,6,1)*POWER(2,10)+MID(IG38,5,1)*POWER(2,11)+MID(IG38,4,1)*POWER(2,12)+MID(IG38,3,1)*POWER(2,13)+MID(IG38,2,1)*POWER(2,14)+MID(IG38,1,1)*POWER(2,15)-(MID(IG39,16,1)*POWER(2,0)+MID(IG39,15,1)*POWER(2,1)+MID(IG39,14,1)*POWER(2,2)+MID(IG39,13,1)*POWER(2,3)+MID(IG39,12,1)*POWER(2,4)+MID(IG39,11,1)*POWER(2,5)+MID(IG39,10,1)*POWER(2,6)+MID(IG39,9,1)*POWER(2,7)+MID(IG39,8,1)*POWER(2,8)+MID(IG39,7,1)*POWER(2,9)+MID(IG39,6,1)*POWER(2,10)+MID(IG39,5,1)*POWER(2,11)+MID(IG39,4,1)*POWER(2,12)+MID(IG39,3,1)*POWER(2,13)+MID(IG39,2,1)*POWER(2,14)+MID(IG39,1,1)*POWER(2,15))</f>
        <v>-8064</v>
      </c>
      <c r="IJ38" s="100">
        <f>MID(IH38,16,1)*POWER(2,0)+MID(IH38,15,1)*POWER(2,1)+MID(IH38,14,1)*POWER(2,2)+MID(IH38,13,1)*POWER(2,3)+MID(IH38,12,1)*POWER(2,4)+MID(IH38,11,1)*POWER(2,5)+MID(IH38,10,1)*POWER(2,6)+MID(IH38,9,1)*POWER(2,7)+MID(IH38,8,1)*POWER(2,8)+MID(IH38,7,1)*POWER(2,9)+MID(IH38,6,1)*POWER(2,10)+MID(IH38,5,1)*POWER(2,11)+MID(IH38,4,1)*POWER(2,12)+MID(IH38,3,1)*POWER(2,13)+MID(IH38,2,1)*POWER(2,14)+MID(IH38,1,1)*POWER(2,15)-(MID(IH39,16,1)*POWER(2,0)+MID(IH39,15,1)*POWER(2,1)+MID(IH39,14,1)*POWER(2,2)+MID(IH39,13,1)*POWER(2,3)+MID(IH39,12,1)*POWER(2,4)+MID(IH39,11,1)*POWER(2,5)+MID(IH39,10,1)*POWER(2,6)+MID(IH39,9,1)*POWER(2,7)+MID(IH39,8,1)*POWER(2,8)+MID(IH39,7,1)*POWER(2,9)+MID(IH39,6,1)*POWER(2,10)+MID(IH39,5,1)*POWER(2,11)+MID(IH39,4,1)*POWER(2,12)+MID(IH39,3,1)*POWER(2,13)+MID(IH39,2,1)*POWER(2,14)+MID(IH39,1,1)*POWER(2,15))</f>
        <v>-8224</v>
      </c>
      <c r="IL38" s="57"/>
      <c r="IM38" s="57"/>
      <c r="IN38" s="57"/>
      <c r="IO38" s="57"/>
      <c r="IP38" s="55"/>
      <c r="IQ38" s="55"/>
      <c r="IR38" s="55"/>
      <c r="IS38" s="55"/>
      <c r="JB38" s="55"/>
      <c r="JC38" s="55"/>
      <c r="JD38" s="55"/>
      <c r="JE38" s="55"/>
      <c r="JF38" s="55"/>
      <c r="JG38" s="55"/>
      <c r="JH38" s="55"/>
      <c r="JI38" s="55"/>
      <c r="JJ38" s="57"/>
      <c r="JK38" s="57"/>
      <c r="JL38" s="55"/>
      <c r="JM38" s="55"/>
    </row>
    <row r="39" spans="1:273" s="63" customFormat="1" ht="18.600000000000001" thickBot="1" x14ac:dyDescent="0.4">
      <c r="A39" s="59"/>
      <c r="B39" s="60"/>
      <c r="C39" s="61" t="s">
        <v>6</v>
      </c>
      <c r="D39" s="61" t="s">
        <v>154</v>
      </c>
      <c r="E39" s="61">
        <v>53</v>
      </c>
      <c r="F39" s="61" t="s">
        <v>76</v>
      </c>
      <c r="G39" s="61" t="s">
        <v>104</v>
      </c>
      <c r="H39" s="61" t="str">
        <f t="shared" si="198"/>
        <v>10100101010100111110100000101110</v>
      </c>
      <c r="I39" s="61">
        <f t="shared" si="199"/>
        <v>16</v>
      </c>
      <c r="J39" s="61"/>
      <c r="K39" s="61"/>
      <c r="L39" s="62" t="str">
        <f>H39</f>
        <v>10100101010100111110100000101110</v>
      </c>
      <c r="M39" s="62" t="str">
        <f t="shared" si="24"/>
        <v>10100101</v>
      </c>
      <c r="N39" s="62" t="str">
        <f t="shared" si="25"/>
        <v>01010011</v>
      </c>
      <c r="O39" s="62" t="str">
        <f t="shared" si="26"/>
        <v>11101000</v>
      </c>
      <c r="P39" s="62" t="str">
        <f t="shared" si="27"/>
        <v>00101110</v>
      </c>
      <c r="Q39" s="101"/>
      <c r="R39" s="101"/>
      <c r="S39" s="101"/>
      <c r="T39" s="101"/>
      <c r="U39" s="63" t="str">
        <f t="shared" si="28"/>
        <v>1010</v>
      </c>
      <c r="V39" s="63" t="str">
        <f t="shared" si="29"/>
        <v>0101</v>
      </c>
      <c r="W39" s="63" t="str">
        <f t="shared" si="30"/>
        <v>0101</v>
      </c>
      <c r="X39" s="63" t="str">
        <f t="shared" si="31"/>
        <v>0011</v>
      </c>
      <c r="Y39" s="63" t="str">
        <f t="shared" si="32"/>
        <v>1110</v>
      </c>
      <c r="Z39" s="63" t="str">
        <f t="shared" si="33"/>
        <v>1000</v>
      </c>
      <c r="AA39" s="63" t="str">
        <f t="shared" si="34"/>
        <v>0010</v>
      </c>
      <c r="AB39" s="63" t="str">
        <f t="shared" si="35"/>
        <v>1110</v>
      </c>
      <c r="AC39" s="101"/>
      <c r="AD39" s="101"/>
      <c r="AE39" s="101"/>
      <c r="AF39" s="101"/>
      <c r="AG39" s="101"/>
      <c r="AH39" s="101"/>
      <c r="AI39" s="101"/>
      <c r="AJ39" s="101"/>
      <c r="AK39" s="62" t="str">
        <f t="shared" si="1"/>
        <v>1010010101010011</v>
      </c>
      <c r="AL39" s="62" t="str">
        <f t="shared" si="2"/>
        <v>1110100000101110</v>
      </c>
      <c r="AM39" s="101"/>
      <c r="AN39" s="101"/>
      <c r="AO39" s="60" t="str">
        <f>L39</f>
        <v>10100101010100111110100000101110</v>
      </c>
      <c r="AP39" s="62" t="str">
        <f t="shared" si="36"/>
        <v>10100101</v>
      </c>
      <c r="AQ39" s="62" t="str">
        <f t="shared" si="37"/>
        <v>01010011</v>
      </c>
      <c r="AR39" s="62" t="str">
        <f t="shared" si="38"/>
        <v>11101000</v>
      </c>
      <c r="AS39" s="62" t="str">
        <f t="shared" si="39"/>
        <v>00101110</v>
      </c>
      <c r="AT39" s="101"/>
      <c r="AU39" s="101"/>
      <c r="AV39" s="101"/>
      <c r="AW39" s="101"/>
      <c r="AX39" s="63" t="str">
        <f t="shared" si="40"/>
        <v>1010</v>
      </c>
      <c r="AY39" s="63" t="str">
        <f t="shared" si="41"/>
        <v>0101</v>
      </c>
      <c r="AZ39" s="63" t="str">
        <f t="shared" si="42"/>
        <v>0101</v>
      </c>
      <c r="BA39" s="63" t="str">
        <f t="shared" si="43"/>
        <v>0011</v>
      </c>
      <c r="BB39" s="63" t="str">
        <f t="shared" si="44"/>
        <v>1110</v>
      </c>
      <c r="BC39" s="63" t="str">
        <f t="shared" si="45"/>
        <v>1000</v>
      </c>
      <c r="BD39" s="63" t="str">
        <f t="shared" si="46"/>
        <v>0010</v>
      </c>
      <c r="BE39" s="63" t="str">
        <f t="shared" si="47"/>
        <v>1110</v>
      </c>
      <c r="BF39" s="101"/>
      <c r="BG39" s="101"/>
      <c r="BH39" s="101"/>
      <c r="BI39" s="101"/>
      <c r="BJ39" s="101"/>
      <c r="BK39" s="101"/>
      <c r="BL39" s="101"/>
      <c r="BM39" s="101"/>
      <c r="BN39" s="62" t="str">
        <f t="shared" si="4"/>
        <v>1010010101010011</v>
      </c>
      <c r="BO39" s="62" t="str">
        <f t="shared" si="5"/>
        <v>1110100000101110</v>
      </c>
      <c r="BP39" s="101"/>
      <c r="BQ39" s="101"/>
      <c r="BR39" s="60" t="str">
        <f>CONCATENATE(MID(L39,1,1)*MID(K38,1,1),MID(L39,2,1)*MID(K38,2,1),MID(L39,3,1)*MID(K38,3,1),MID(L39,4,1)*MID(K38,4,1),MID(L39,5,1)*MID(K38,5,1),MID(L39,6,1)*MID(K38,6,1),MID(L39,7,1)*MID(K38,7,1),MID(L39,8,1)*MID(K38,8,1),MID(L39,9,1)*MID(K38,1,1),MID(L39,10,1)*MID(K38,2,1),MID(L39,11,1)*MID(K38,3,1),MID(L39,12,1)*MID(K38,4,1),MID(L39,13,1)*MID(K38,5,1),MID(L39,14,1)*MID(K38,6,1),MID(L39,15,1)*MID(K38,7,1),MID(L39,16,1)*MID(K38,8,1),MID(L39,17,1)*MID(K38,1,1),MID(L39,18,1)*MID(K38,2,1),MID(L39,19,1)*MID(K38,3,1),MID(L39,20,1)*MID(K38,4,1),MID(L39,21,1)*MID(K38,5,1),MID(L39,22,1)*MID(K38,6,1),MID(L39,23,1)*MID(K38,7,1),MID(L39,24,1)*MID(K38,8,1),MID(L39,25,1)*MID(K38,1,1),MID(L39,26,1)*MID(K38,2,1),MID(L39,27,1)*MID(K38,3,1),MID(L39,28,1)*MID(K38,4,1),MID(L39,29,1)*MID(K38,5,1),MID(L39,30,1)*MID(K38,6,1),MID(L39,31,1)*MID(K38,7,1),MID(L39,32,1)*MID(K38,8,1))</f>
        <v>10100101010100111110100000101110</v>
      </c>
      <c r="BS39" s="62" t="str">
        <f t="shared" si="48"/>
        <v>10100101</v>
      </c>
      <c r="BT39" s="62" t="str">
        <f t="shared" si="49"/>
        <v>01010011</v>
      </c>
      <c r="BU39" s="62" t="str">
        <f t="shared" si="50"/>
        <v>11101000</v>
      </c>
      <c r="BV39" s="62" t="str">
        <f t="shared" si="51"/>
        <v>00101110</v>
      </c>
      <c r="BW39" s="101"/>
      <c r="BX39" s="101"/>
      <c r="BY39" s="101"/>
      <c r="BZ39" s="101"/>
      <c r="CA39" s="63" t="str">
        <f t="shared" si="52"/>
        <v>1010</v>
      </c>
      <c r="CB39" s="63" t="str">
        <f t="shared" si="53"/>
        <v>0101</v>
      </c>
      <c r="CC39" s="63" t="str">
        <f t="shared" si="54"/>
        <v>0101</v>
      </c>
      <c r="CD39" s="63" t="str">
        <f t="shared" si="55"/>
        <v>0011</v>
      </c>
      <c r="CE39" s="63" t="str">
        <f t="shared" si="56"/>
        <v>1110</v>
      </c>
      <c r="CF39" s="63" t="str">
        <f t="shared" si="57"/>
        <v>1000</v>
      </c>
      <c r="CG39" s="63" t="str">
        <f t="shared" si="58"/>
        <v>0010</v>
      </c>
      <c r="CH39" s="63" t="str">
        <f t="shared" si="59"/>
        <v>1110</v>
      </c>
      <c r="CI39" s="101"/>
      <c r="CJ39" s="101"/>
      <c r="CK39" s="101"/>
      <c r="CL39" s="101"/>
      <c r="CM39" s="101"/>
      <c r="CN39" s="101"/>
      <c r="CO39" s="101"/>
      <c r="CP39" s="101"/>
      <c r="CQ39" s="62" t="str">
        <f t="shared" si="7"/>
        <v>1010010101010011</v>
      </c>
      <c r="CR39" s="62" t="str">
        <f t="shared" si="8"/>
        <v>1110100000101110</v>
      </c>
      <c r="CS39" s="101"/>
      <c r="CT39" s="101"/>
      <c r="CU39" s="60" t="str">
        <f>CONCATENATE(MID($L39,1,1)*MID($K38,1,1),MID($L39,2,1)*MID($K38,2,1),MID($L39,3,1)*MID($K38,3,1),MID($L39,4,1)*MID($K38,4,1),MID($L39,5,1)*MID($K38,5,1),MID($L39,6,1)*MID($K38,6,1),MID($L39,7,1)*MID($K38,7,1),MID($L39,8,1)*MID($K38,8,1),MID($L39,9,1)*MID($K38,1,1),MID($L39,10,1)*MID($K38,2,1),MID($L39,11,1)*MID($K38,3,1),MID($L39,12,1)*MID($K38,4,1),MID($L39,13,1)*MID($K38,5,1),MID($L39,14,1)*MID($K38,6,1),MID($L39,15,1)*MID($K38,7,1),MID($L39,16,1)*MID($K38,8,1),MID($L39,17,1)*MID($K38,1,1),MID($L39,18,1)*MID($K38,2,1),MID($L39,19,1)*MID($K38,3,1),MID($L39,20,1)*MID($K38,4,1),MID($L39,21,1)*MID($K38,5,1),MID($L39,22,1)*MID($K38,6,1),MID($L39,23,1)*MID($K38,7,1),MID($L39,24,1)*MID($K38,8,1),MID($L39,25,1)*MID($K38,1,1),MID($L39,26,1)*MID($K38,2,1),MID($L39,27,1)*MID($K38,3,1),MID($L39,28,1)*MID($K38,4,1),MID($L39,29,1)*MID($K38,5,1),MID($L39,30,1)*MID($K38,6,1),MID($L39,31,1)*MID($K38,7,1),MID($L39,32,1)*MID($K38,8,1))</f>
        <v>10100101010100111110100000101110</v>
      </c>
      <c r="CV39" s="62" t="str">
        <f t="shared" si="60"/>
        <v>10100101</v>
      </c>
      <c r="CW39" s="62" t="str">
        <f t="shared" si="61"/>
        <v>01010011</v>
      </c>
      <c r="CX39" s="62" t="str">
        <f t="shared" si="62"/>
        <v>11101000</v>
      </c>
      <c r="CY39" s="62" t="str">
        <f t="shared" si="63"/>
        <v>00101110</v>
      </c>
      <c r="CZ39" s="101"/>
      <c r="DA39" s="101"/>
      <c r="DB39" s="101"/>
      <c r="DC39" s="101"/>
      <c r="DD39" s="63" t="str">
        <f t="shared" si="64"/>
        <v>1010</v>
      </c>
      <c r="DE39" s="63" t="str">
        <f t="shared" si="65"/>
        <v>0101</v>
      </c>
      <c r="DF39" s="63" t="str">
        <f t="shared" si="66"/>
        <v>0101</v>
      </c>
      <c r="DG39" s="63" t="str">
        <f t="shared" si="67"/>
        <v>0011</v>
      </c>
      <c r="DH39" s="63" t="str">
        <f t="shared" si="68"/>
        <v>1110</v>
      </c>
      <c r="DI39" s="63" t="str">
        <f t="shared" si="69"/>
        <v>1000</v>
      </c>
      <c r="DJ39" s="63" t="str">
        <f t="shared" si="70"/>
        <v>0010</v>
      </c>
      <c r="DK39" s="63" t="str">
        <f t="shared" si="71"/>
        <v>1110</v>
      </c>
      <c r="DL39" s="101"/>
      <c r="DM39" s="101"/>
      <c r="DN39" s="101"/>
      <c r="DO39" s="101"/>
      <c r="DP39" s="101"/>
      <c r="DQ39" s="101"/>
      <c r="DR39" s="101"/>
      <c r="DS39" s="101"/>
      <c r="DT39" s="62" t="str">
        <f t="shared" si="10"/>
        <v>1010010101010011</v>
      </c>
      <c r="DU39" s="62" t="str">
        <f t="shared" si="11"/>
        <v>1110100000101110</v>
      </c>
      <c r="DV39" s="101"/>
      <c r="DW39" s="101"/>
      <c r="DX39" s="60"/>
      <c r="DY39" s="63" t="str">
        <f>H39</f>
        <v>10100101010100111110100000101110</v>
      </c>
      <c r="DZ39" s="62" t="str">
        <f t="shared" si="122"/>
        <v>10100101</v>
      </c>
      <c r="EA39" s="62" t="str">
        <f t="shared" si="72"/>
        <v>01010011</v>
      </c>
      <c r="EB39" s="62" t="str">
        <f t="shared" si="73"/>
        <v>11101000</v>
      </c>
      <c r="EC39" s="62" t="str">
        <f t="shared" si="74"/>
        <v>00101110</v>
      </c>
      <c r="ED39" s="101"/>
      <c r="EE39" s="101"/>
      <c r="EF39" s="101"/>
      <c r="EG39" s="101"/>
      <c r="EH39" s="63" t="str">
        <f t="shared" si="75"/>
        <v>1010</v>
      </c>
      <c r="EI39" s="63" t="str">
        <f t="shared" si="76"/>
        <v>0101</v>
      </c>
      <c r="EJ39" s="63" t="str">
        <f t="shared" si="77"/>
        <v>0101</v>
      </c>
      <c r="EK39" s="63" t="str">
        <f t="shared" si="78"/>
        <v>0011</v>
      </c>
      <c r="EL39" s="63" t="str">
        <f t="shared" si="79"/>
        <v>1110</v>
      </c>
      <c r="EM39" s="63" t="str">
        <f t="shared" si="80"/>
        <v>1000</v>
      </c>
      <c r="EN39" s="63" t="str">
        <f t="shared" si="81"/>
        <v>0010</v>
      </c>
      <c r="EO39" s="63" t="str">
        <f t="shared" si="82"/>
        <v>1110</v>
      </c>
      <c r="EP39" s="101"/>
      <c r="EQ39" s="101"/>
      <c r="ER39" s="101"/>
      <c r="ES39" s="101"/>
      <c r="ET39" s="101"/>
      <c r="EU39" s="101"/>
      <c r="EV39" s="101"/>
      <c r="EW39" s="101"/>
      <c r="EX39" s="62" t="str">
        <f t="shared" si="13"/>
        <v>1010010101010011</v>
      </c>
      <c r="EY39" s="62" t="str">
        <f t="shared" si="14"/>
        <v>1110100000101110</v>
      </c>
      <c r="EZ39" s="101"/>
      <c r="FA39" s="101"/>
      <c r="FB39" s="63" t="str">
        <f>H39</f>
        <v>10100101010100111110100000101110</v>
      </c>
      <c r="FC39" s="62" t="str">
        <f t="shared" si="124"/>
        <v>10100101</v>
      </c>
      <c r="FD39" s="62" t="str">
        <f t="shared" si="83"/>
        <v>01010011</v>
      </c>
      <c r="FE39" s="62" t="str">
        <f t="shared" si="84"/>
        <v>11101000</v>
      </c>
      <c r="FF39" s="62" t="str">
        <f t="shared" si="85"/>
        <v>00101110</v>
      </c>
      <c r="FG39" s="101"/>
      <c r="FH39" s="101"/>
      <c r="FI39" s="101"/>
      <c r="FJ39" s="101"/>
      <c r="FK39" s="63" t="str">
        <f t="shared" si="86"/>
        <v>1010</v>
      </c>
      <c r="FL39" s="63" t="str">
        <f t="shared" si="87"/>
        <v>0101</v>
      </c>
      <c r="FM39" s="63" t="str">
        <f t="shared" si="88"/>
        <v>0101</v>
      </c>
      <c r="FN39" s="63" t="str">
        <f t="shared" si="89"/>
        <v>0011</v>
      </c>
      <c r="FO39" s="63" t="str">
        <f t="shared" si="90"/>
        <v>1110</v>
      </c>
      <c r="FP39" s="63" t="str">
        <f t="shared" si="91"/>
        <v>1000</v>
      </c>
      <c r="FQ39" s="63" t="str">
        <f t="shared" si="92"/>
        <v>0010</v>
      </c>
      <c r="FR39" s="63" t="str">
        <f t="shared" si="93"/>
        <v>1110</v>
      </c>
      <c r="FS39" s="101"/>
      <c r="FT39" s="101"/>
      <c r="FU39" s="101"/>
      <c r="FV39" s="101"/>
      <c r="FW39" s="101"/>
      <c r="FX39" s="101"/>
      <c r="FY39" s="101"/>
      <c r="FZ39" s="101"/>
      <c r="GA39" s="62" t="str">
        <f t="shared" si="16"/>
        <v>1010010101010011</v>
      </c>
      <c r="GB39" s="62" t="str">
        <f t="shared" si="17"/>
        <v>1110100000101110</v>
      </c>
      <c r="GC39" s="101"/>
      <c r="GD39" s="101"/>
      <c r="GE39" s="63" t="str">
        <f>BR39</f>
        <v>10100101010100111110100000101110</v>
      </c>
      <c r="GF39" s="62" t="str">
        <f t="shared" si="126"/>
        <v>10100101</v>
      </c>
      <c r="GG39" s="62" t="str">
        <f t="shared" si="94"/>
        <v>01010011</v>
      </c>
      <c r="GH39" s="62" t="str">
        <f t="shared" si="95"/>
        <v>11101000</v>
      </c>
      <c r="GI39" s="62" t="str">
        <f t="shared" si="96"/>
        <v>00101110</v>
      </c>
      <c r="GJ39" s="101"/>
      <c r="GK39" s="101"/>
      <c r="GL39" s="101"/>
      <c r="GM39" s="101"/>
      <c r="GN39" s="63" t="str">
        <f t="shared" si="97"/>
        <v>1010</v>
      </c>
      <c r="GO39" s="63" t="str">
        <f t="shared" si="98"/>
        <v>0101</v>
      </c>
      <c r="GP39" s="63" t="str">
        <f t="shared" si="99"/>
        <v>0101</v>
      </c>
      <c r="GQ39" s="63" t="str">
        <f t="shared" si="100"/>
        <v>0011</v>
      </c>
      <c r="GR39" s="63" t="str">
        <f t="shared" si="101"/>
        <v>1110</v>
      </c>
      <c r="GS39" s="63" t="str">
        <f t="shared" si="102"/>
        <v>1000</v>
      </c>
      <c r="GT39" s="63" t="str">
        <f t="shared" si="103"/>
        <v>0010</v>
      </c>
      <c r="GU39" s="63" t="str">
        <f t="shared" si="104"/>
        <v>1110</v>
      </c>
      <c r="GV39" s="101"/>
      <c r="GW39" s="101"/>
      <c r="GX39" s="101"/>
      <c r="GY39" s="101"/>
      <c r="GZ39" s="101"/>
      <c r="HA39" s="101"/>
      <c r="HB39" s="101"/>
      <c r="HC39" s="101"/>
      <c r="HD39" s="62" t="str">
        <f t="shared" si="19"/>
        <v>1010010101010011</v>
      </c>
      <c r="HE39" s="62" t="str">
        <f t="shared" si="20"/>
        <v>1110100000101110</v>
      </c>
      <c r="HF39" s="101"/>
      <c r="HG39" s="101"/>
      <c r="HH39" s="63" t="str">
        <f>GE39</f>
        <v>10100101010100111110100000101110</v>
      </c>
      <c r="HI39" s="62" t="str">
        <f t="shared" si="128"/>
        <v>10100101</v>
      </c>
      <c r="HJ39" s="62" t="str">
        <f t="shared" si="105"/>
        <v>01010011</v>
      </c>
      <c r="HK39" s="62" t="str">
        <f t="shared" si="106"/>
        <v>11101000</v>
      </c>
      <c r="HL39" s="62" t="str">
        <f t="shared" si="107"/>
        <v>00101110</v>
      </c>
      <c r="HM39" s="101"/>
      <c r="HN39" s="101"/>
      <c r="HO39" s="101"/>
      <c r="HP39" s="101"/>
      <c r="HQ39" s="63" t="str">
        <f t="shared" si="108"/>
        <v>1010</v>
      </c>
      <c r="HR39" s="63" t="str">
        <f t="shared" si="109"/>
        <v>0101</v>
      </c>
      <c r="HS39" s="63" t="str">
        <f t="shared" si="110"/>
        <v>0101</v>
      </c>
      <c r="HT39" s="63" t="str">
        <f t="shared" si="111"/>
        <v>0011</v>
      </c>
      <c r="HU39" s="63" t="str">
        <f t="shared" si="112"/>
        <v>1110</v>
      </c>
      <c r="HV39" s="63" t="str">
        <f t="shared" si="113"/>
        <v>1000</v>
      </c>
      <c r="HW39" s="63" t="str">
        <f t="shared" si="114"/>
        <v>0010</v>
      </c>
      <c r="HX39" s="63" t="str">
        <f t="shared" si="115"/>
        <v>1110</v>
      </c>
      <c r="HY39" s="101"/>
      <c r="HZ39" s="101"/>
      <c r="IA39" s="101"/>
      <c r="IB39" s="101"/>
      <c r="IC39" s="101"/>
      <c r="ID39" s="101"/>
      <c r="IE39" s="101"/>
      <c r="IF39" s="101"/>
      <c r="IG39" s="62" t="str">
        <f t="shared" si="22"/>
        <v>1010010101010011</v>
      </c>
      <c r="IH39" s="62" t="str">
        <f t="shared" si="23"/>
        <v>1110100000101110</v>
      </c>
      <c r="II39" s="101"/>
      <c r="IJ39" s="101"/>
      <c r="IL39" s="62"/>
      <c r="IM39" s="62"/>
      <c r="IN39" s="62"/>
      <c r="IO39" s="62"/>
      <c r="IP39" s="60"/>
      <c r="IQ39" s="60"/>
      <c r="IR39" s="60"/>
      <c r="IS39" s="60"/>
      <c r="JB39" s="60"/>
      <c r="JC39" s="60"/>
      <c r="JD39" s="60"/>
      <c r="JE39" s="60"/>
      <c r="JF39" s="60"/>
      <c r="JG39" s="60"/>
      <c r="JH39" s="60"/>
      <c r="JI39" s="60"/>
      <c r="JJ39" s="62"/>
      <c r="JK39" s="62"/>
      <c r="JL39" s="60"/>
      <c r="JM39" s="60"/>
    </row>
    <row r="40" spans="1:273" s="58" customFormat="1" x14ac:dyDescent="0.35">
      <c r="A40" s="54"/>
      <c r="B40" s="55"/>
      <c r="C40" s="56" t="s">
        <v>0</v>
      </c>
      <c r="D40" s="56" t="s">
        <v>106</v>
      </c>
      <c r="E40" s="56" t="s">
        <v>82</v>
      </c>
      <c r="F40" s="56">
        <v>1</v>
      </c>
      <c r="G40" s="56" t="s">
        <v>48</v>
      </c>
      <c r="H40" s="56" t="str">
        <f t="shared" si="198"/>
        <v>11011110110011010000000111000101</v>
      </c>
      <c r="I40" s="56">
        <f t="shared" si="199"/>
        <v>16</v>
      </c>
      <c r="J40" s="56" t="s">
        <v>47</v>
      </c>
      <c r="K40" s="56" t="str">
        <f>HEX2BIN(J40,8)</f>
        <v>11111111</v>
      </c>
      <c r="L40" s="57" t="str">
        <f>CONCATENATE(MID(H40,30,3),MID(H40,17,5),MID(H40,6,3),MID(H40,25,5),MID(H40,14,3),MID(H40,1,5),MID(H40,22,3),MID(H40,9,5))</f>
        <v>10100000110110001011101100111001</v>
      </c>
      <c r="M40" s="57" t="str">
        <f t="shared" si="24"/>
        <v>10100000</v>
      </c>
      <c r="N40" s="57" t="str">
        <f t="shared" si="25"/>
        <v>11011000</v>
      </c>
      <c r="O40" s="57" t="str">
        <f t="shared" si="26"/>
        <v>10111011</v>
      </c>
      <c r="P40" s="57" t="str">
        <f t="shared" si="27"/>
        <v>00111001</v>
      </c>
      <c r="Q40" s="100">
        <f>BIN2DEC(M40)-BIN2DEC(M41)</f>
        <v>-32</v>
      </c>
      <c r="R40" s="100">
        <f>BIN2DEC(N40)-BIN2DEC(N41)</f>
        <v>128</v>
      </c>
      <c r="S40" s="100">
        <f>BIN2DEC(O40)-BIN2DEC(O41)</f>
        <v>-32</v>
      </c>
      <c r="T40" s="100">
        <f>BIN2DEC(P40)-BIN2DEC(P41)</f>
        <v>-32</v>
      </c>
      <c r="U40" s="58" t="str">
        <f t="shared" si="28"/>
        <v>1010</v>
      </c>
      <c r="V40" s="58" t="str">
        <f t="shared" si="29"/>
        <v>0000</v>
      </c>
      <c r="W40" s="58" t="str">
        <f t="shared" si="30"/>
        <v>1101</v>
      </c>
      <c r="X40" s="58" t="str">
        <f t="shared" si="31"/>
        <v>1000</v>
      </c>
      <c r="Y40" s="58" t="str">
        <f t="shared" si="32"/>
        <v>1011</v>
      </c>
      <c r="Z40" s="58" t="str">
        <f t="shared" si="33"/>
        <v>1011</v>
      </c>
      <c r="AA40" s="58" t="str">
        <f t="shared" si="34"/>
        <v>0011</v>
      </c>
      <c r="AB40" s="58" t="str">
        <f t="shared" si="35"/>
        <v>1001</v>
      </c>
      <c r="AC40" s="100">
        <f t="shared" ref="AC40:AJ40" si="272">BIN2DEC(U40)-BIN2DEC(U41)</f>
        <v>-2</v>
      </c>
      <c r="AD40" s="100">
        <f t="shared" si="272"/>
        <v>0</v>
      </c>
      <c r="AE40" s="100">
        <f t="shared" si="272"/>
        <v>8</v>
      </c>
      <c r="AF40" s="100">
        <f t="shared" si="272"/>
        <v>0</v>
      </c>
      <c r="AG40" s="100">
        <f t="shared" si="272"/>
        <v>-2</v>
      </c>
      <c r="AH40" s="100">
        <f t="shared" si="272"/>
        <v>0</v>
      </c>
      <c r="AI40" s="100">
        <f t="shared" si="272"/>
        <v>-2</v>
      </c>
      <c r="AJ40" s="100">
        <f t="shared" si="272"/>
        <v>0</v>
      </c>
      <c r="AK40" s="57" t="str">
        <f t="shared" si="1"/>
        <v>1010000011011000</v>
      </c>
      <c r="AL40" s="57" t="str">
        <f t="shared" si="2"/>
        <v>1011101100111001</v>
      </c>
      <c r="AM40" s="100">
        <f>MID(AK40,16,1)*POWER(2,0)+MID(AK40,15,1)*POWER(2,1)+MID(AK40,14,1)*POWER(2,2)+MID(AK40,13,1)*POWER(2,3)+MID(AK40,12,1)*POWER(2,4)+MID(AK40,11,1)*POWER(2,5)+MID(AK40,10,1)*POWER(2,6)+MID(AK40,9,1)*POWER(2,7)+MID(AK40,8,1)*POWER(2,8)+MID(AK40,7,1)*POWER(2,9)+MID(AK40,6,1)*POWER(2,10)+MID(AK40,5,1)*POWER(2,11)+MID(AK40,4,1)*POWER(2,12)+MID(AK40,3,1)*POWER(2,13)+MID(AK40,2,1)*POWER(2,14)+MID(AK40,1,1)*POWER(2,15)-(MID(AK41,16,1)*POWER(2,0)+MID(AK41,15,1)*POWER(2,1)+MID(AK41,14,1)*POWER(2,2)+MID(AK41,13,1)*POWER(2,3)+MID(AK41,12,1)*POWER(2,4)+MID(AK41,11,1)*POWER(2,5)+MID(AK41,10,1)*POWER(2,6)+MID(AK41,9,1)*POWER(2,7)+MID(AK41,8,1)*POWER(2,8)+MID(AK41,7,1)*POWER(2,9)+MID(AK41,6,1)*POWER(2,10)+MID(AK41,5,1)*POWER(2,11)+MID(AK41,4,1)*POWER(2,12)+MID(AK41,3,1)*POWER(2,13)+MID(AK41,2,1)*POWER(2,14)+MID(AK41,1,1)*POWER(2,15))</f>
        <v>-8064</v>
      </c>
      <c r="AN40" s="100">
        <f>MID(AL40,16,1)*POWER(2,0)+MID(AL40,15,1)*POWER(2,1)+MID(AL40,14,1)*POWER(2,2)+MID(AL40,13,1)*POWER(2,3)+MID(AL40,12,1)*POWER(2,4)+MID(AL40,11,1)*POWER(2,5)+MID(AL40,10,1)*POWER(2,6)+MID(AL40,9,1)*POWER(2,7)+MID(AL40,8,1)*POWER(2,8)+MID(AL40,7,1)*POWER(2,9)+MID(AL40,6,1)*POWER(2,10)+MID(AL40,5,1)*POWER(2,11)+MID(AL40,4,1)*POWER(2,12)+MID(AL40,3,1)*POWER(2,13)+MID(AL40,2,1)*POWER(2,14)+MID(AL40,1,1)*POWER(2,15)-(MID(AL41,16,1)*POWER(2,0)+MID(AL41,15,1)*POWER(2,1)+MID(AL41,14,1)*POWER(2,2)+MID(AL41,13,1)*POWER(2,3)+MID(AL41,12,1)*POWER(2,4)+MID(AL41,11,1)*POWER(2,5)+MID(AL41,10,1)*POWER(2,6)+MID(AL41,9,1)*POWER(2,7)+MID(AL41,8,1)*POWER(2,8)+MID(AL41,7,1)*POWER(2,9)+MID(AL41,6,1)*POWER(2,10)+MID(AL41,5,1)*POWER(2,11)+MID(AL41,4,1)*POWER(2,12)+MID(AL41,3,1)*POWER(2,13)+MID(AL41,2,1)*POWER(2,14)+MID(AL41,1,1)*POWER(2,15))</f>
        <v>-8224</v>
      </c>
      <c r="AO40" s="55" t="str">
        <f>CONCATENATE(MID(L40,1,1)*MID(K40,1,1),MID(L40,2,1)*MID(K40,2,1),MID(L40,3,1)*MID(K40,3,1),MID(L40,4,1)*MID(K40,4,1),MID(L40,5,1)*MID(K40,5,1),MID(L40,6,1)*MID(K40,6,1),MID(L40,7,1)*MID(K40,7,1),MID(L40,8,1)*MID(K40,8,1),MID(L40,9,1)*MID(K40,1,1),MID(L40,10,1)*MID(K40,2,1),MID(L40,11,1)*MID(K40,3,1),MID(L40,12,1)*MID(K40,4,1),MID(L40,13,1)*MID(K40,5,1),MID(L40,14,1)*MID(K40,6,1),MID(L40,15,1)*MID(K40,7,1),MID(L40,16,1)*MID(K40,8,1),MID(L40,17,1)*MID(K40,1,1),MID(L40,18,1)*MID(K40,2,1),MID(L40,19,1)*MID(K40,3,1),MID(L40,20,1)*MID(K40,4,1),MID(L40,21,1)*MID(K40,5,1),MID(L40,22,1)*MID(K40,6,1),MID(L40,23,1)*MID(K40,7,1),MID(L40,24,1)*MID(K40,8,1),MID(L40,25,1)*MID(K40,1,1),MID(L40,26,1)*MID(K40,2,1),MID(L40,27,1)*MID(K40,3,1),MID(L40,28,1)*MID(K40,4,1),MID(L40,29,1)*MID(K40,5,1),MID(L40,30,1)*MID(K40,6,1),MID(L40,31,1)*MID(K40,7,1),MID(L40,32,1)*MID(K40,8,1))</f>
        <v>10100000110110001011101100111001</v>
      </c>
      <c r="AP40" s="57" t="str">
        <f t="shared" si="36"/>
        <v>10100000</v>
      </c>
      <c r="AQ40" s="57" t="str">
        <f t="shared" si="37"/>
        <v>11011000</v>
      </c>
      <c r="AR40" s="57" t="str">
        <f t="shared" si="38"/>
        <v>10111011</v>
      </c>
      <c r="AS40" s="57" t="str">
        <f t="shared" si="39"/>
        <v>00111001</v>
      </c>
      <c r="AT40" s="100">
        <f>BIN2DEC(AP40)-BIN2DEC(AP41)</f>
        <v>-32</v>
      </c>
      <c r="AU40" s="100">
        <f>BIN2DEC(AQ40)-BIN2DEC(AQ41)</f>
        <v>128</v>
      </c>
      <c r="AV40" s="100">
        <f>BIN2DEC(AR40)-BIN2DEC(AR41)</f>
        <v>-32</v>
      </c>
      <c r="AW40" s="100">
        <f>BIN2DEC(AS40)-BIN2DEC(AS41)</f>
        <v>-32</v>
      </c>
      <c r="AX40" s="58" t="str">
        <f t="shared" si="40"/>
        <v>1010</v>
      </c>
      <c r="AY40" s="58" t="str">
        <f t="shared" si="41"/>
        <v>0000</v>
      </c>
      <c r="AZ40" s="58" t="str">
        <f t="shared" si="42"/>
        <v>1101</v>
      </c>
      <c r="BA40" s="58" t="str">
        <f t="shared" si="43"/>
        <v>1000</v>
      </c>
      <c r="BB40" s="58" t="str">
        <f t="shared" si="44"/>
        <v>1011</v>
      </c>
      <c r="BC40" s="58" t="str">
        <f t="shared" si="45"/>
        <v>1011</v>
      </c>
      <c r="BD40" s="58" t="str">
        <f t="shared" si="46"/>
        <v>0011</v>
      </c>
      <c r="BE40" s="58" t="str">
        <f t="shared" si="47"/>
        <v>1001</v>
      </c>
      <c r="BF40" s="100">
        <f t="shared" ref="BF40:BM40" si="273">BIN2DEC(AX40)-BIN2DEC(AX41)</f>
        <v>-2</v>
      </c>
      <c r="BG40" s="100">
        <f t="shared" si="273"/>
        <v>0</v>
      </c>
      <c r="BH40" s="100">
        <f t="shared" si="273"/>
        <v>8</v>
      </c>
      <c r="BI40" s="100">
        <f t="shared" si="273"/>
        <v>0</v>
      </c>
      <c r="BJ40" s="100">
        <f t="shared" si="273"/>
        <v>-2</v>
      </c>
      <c r="BK40" s="100">
        <f t="shared" si="273"/>
        <v>0</v>
      </c>
      <c r="BL40" s="100">
        <f t="shared" si="273"/>
        <v>-2</v>
      </c>
      <c r="BM40" s="100">
        <f t="shared" si="273"/>
        <v>0</v>
      </c>
      <c r="BN40" s="57" t="str">
        <f t="shared" si="4"/>
        <v>1010000011011000</v>
      </c>
      <c r="BO40" s="57" t="str">
        <f t="shared" si="5"/>
        <v>1011101100111001</v>
      </c>
      <c r="BP40" s="100">
        <f>MID(BN40,16,1)*POWER(2,0)+MID(BN40,15,1)*POWER(2,1)+MID(BN40,14,1)*POWER(2,2)+MID(BN40,13,1)*POWER(2,3)+MID(BN40,12,1)*POWER(2,4)+MID(BN40,11,1)*POWER(2,5)+MID(BN40,10,1)*POWER(2,6)+MID(BN40,9,1)*POWER(2,7)+MID(BN40,8,1)*POWER(2,8)+MID(BN40,7,1)*POWER(2,9)+MID(BN40,6,1)*POWER(2,10)+MID(BN40,5,1)*POWER(2,11)+MID(BN40,4,1)*POWER(2,12)+MID(BN40,3,1)*POWER(2,13)+MID(BN40,2,1)*POWER(2,14)+MID(BN40,1,1)*POWER(2,15)-(MID(BN41,16,1)*POWER(2,0)+MID(BN41,15,1)*POWER(2,1)+MID(BN41,14,1)*POWER(2,2)+MID(BN41,13,1)*POWER(2,3)+MID(BN41,12,1)*POWER(2,4)+MID(BN41,11,1)*POWER(2,5)+MID(BN41,10,1)*POWER(2,6)+MID(BN41,9,1)*POWER(2,7)+MID(BN41,8,1)*POWER(2,8)+MID(BN41,7,1)*POWER(2,9)+MID(BN41,6,1)*POWER(2,10)+MID(BN41,5,1)*POWER(2,11)+MID(BN41,4,1)*POWER(2,12)+MID(BN41,3,1)*POWER(2,13)+MID(BN41,2,1)*POWER(2,14)+MID(BN41,1,1)*POWER(2,15))</f>
        <v>-8064</v>
      </c>
      <c r="BQ40" s="100">
        <f>MID(BO40,16,1)*POWER(2,0)+MID(BO40,15,1)*POWER(2,1)+MID(BO40,14,1)*POWER(2,2)+MID(BO40,13,1)*POWER(2,3)+MID(BO40,12,1)*POWER(2,4)+MID(BO40,11,1)*POWER(2,5)+MID(BO40,10,1)*POWER(2,6)+MID(BO40,9,1)*POWER(2,7)+MID(BO40,8,1)*POWER(2,8)+MID(BO40,7,1)*POWER(2,9)+MID(BO40,6,1)*POWER(2,10)+MID(BO40,5,1)*POWER(2,11)+MID(BO40,4,1)*POWER(2,12)+MID(BO40,3,1)*POWER(2,13)+MID(BO40,2,1)*POWER(2,14)+MID(BO40,1,1)*POWER(2,15)-(MID(BO41,16,1)*POWER(2,0)+MID(BO41,15,1)*POWER(2,1)+MID(BO41,14,1)*POWER(2,2)+MID(BO41,13,1)*POWER(2,3)+MID(BO41,12,1)*POWER(2,4)+MID(BO41,11,1)*POWER(2,5)+MID(BO41,10,1)*POWER(2,6)+MID(BO41,9,1)*POWER(2,7)+MID(BO41,8,1)*POWER(2,8)+MID(BO41,7,1)*POWER(2,9)+MID(BO41,6,1)*POWER(2,10)+MID(BO41,5,1)*POWER(2,11)+MID(BO41,4,1)*POWER(2,12)+MID(BO41,3,1)*POWER(2,13)+MID(BO41,2,1)*POWER(2,14)+MID(BO41,1,1)*POWER(2,15))</f>
        <v>-8224</v>
      </c>
      <c r="BR40" s="58" t="str">
        <f>L40</f>
        <v>10100000110110001011101100111001</v>
      </c>
      <c r="BS40" s="57" t="str">
        <f t="shared" si="48"/>
        <v>10100000</v>
      </c>
      <c r="BT40" s="57" t="str">
        <f t="shared" si="49"/>
        <v>11011000</v>
      </c>
      <c r="BU40" s="57" t="str">
        <f t="shared" si="50"/>
        <v>10111011</v>
      </c>
      <c r="BV40" s="57" t="str">
        <f t="shared" si="51"/>
        <v>00111001</v>
      </c>
      <c r="BW40" s="100">
        <f>BIN2DEC(BS40)-BIN2DEC(BS41)</f>
        <v>-32</v>
      </c>
      <c r="BX40" s="100">
        <f>BIN2DEC(BT40)-BIN2DEC(BT41)</f>
        <v>128</v>
      </c>
      <c r="BY40" s="100">
        <f>BIN2DEC(BU40)-BIN2DEC(BU41)</f>
        <v>-32</v>
      </c>
      <c r="BZ40" s="100">
        <f>BIN2DEC(BV40)-BIN2DEC(BV41)</f>
        <v>-32</v>
      </c>
      <c r="CA40" s="58" t="str">
        <f t="shared" si="52"/>
        <v>1010</v>
      </c>
      <c r="CB40" s="58" t="str">
        <f t="shared" si="53"/>
        <v>0000</v>
      </c>
      <c r="CC40" s="58" t="str">
        <f t="shared" si="54"/>
        <v>1101</v>
      </c>
      <c r="CD40" s="58" t="str">
        <f t="shared" si="55"/>
        <v>1000</v>
      </c>
      <c r="CE40" s="58" t="str">
        <f t="shared" si="56"/>
        <v>1011</v>
      </c>
      <c r="CF40" s="58" t="str">
        <f t="shared" si="57"/>
        <v>1011</v>
      </c>
      <c r="CG40" s="58" t="str">
        <f t="shared" si="58"/>
        <v>0011</v>
      </c>
      <c r="CH40" s="58" t="str">
        <f t="shared" si="59"/>
        <v>1001</v>
      </c>
      <c r="CI40" s="100">
        <f t="shared" ref="CI40:CP40" si="274">BIN2DEC(CA40)-BIN2DEC(CA41)</f>
        <v>-2</v>
      </c>
      <c r="CJ40" s="100">
        <f t="shared" si="274"/>
        <v>0</v>
      </c>
      <c r="CK40" s="100">
        <f t="shared" si="274"/>
        <v>8</v>
      </c>
      <c r="CL40" s="100">
        <f t="shared" si="274"/>
        <v>0</v>
      </c>
      <c r="CM40" s="100">
        <f t="shared" si="274"/>
        <v>-2</v>
      </c>
      <c r="CN40" s="100">
        <f t="shared" si="274"/>
        <v>0</v>
      </c>
      <c r="CO40" s="100">
        <f t="shared" si="274"/>
        <v>-2</v>
      </c>
      <c r="CP40" s="100">
        <f t="shared" si="274"/>
        <v>0</v>
      </c>
      <c r="CQ40" s="57" t="str">
        <f t="shared" si="7"/>
        <v>1010000011011000</v>
      </c>
      <c r="CR40" s="57" t="str">
        <f t="shared" si="8"/>
        <v>1011101100111001</v>
      </c>
      <c r="CS40" s="100">
        <f>MID(CQ40,16,1)*POWER(2,0)+MID(CQ40,15,1)*POWER(2,1)+MID(CQ40,14,1)*POWER(2,2)+MID(CQ40,13,1)*POWER(2,3)+MID(CQ40,12,1)*POWER(2,4)+MID(CQ40,11,1)*POWER(2,5)+MID(CQ40,10,1)*POWER(2,6)+MID(CQ40,9,1)*POWER(2,7)+MID(CQ40,8,1)*POWER(2,8)+MID(CQ40,7,1)*POWER(2,9)+MID(CQ40,6,1)*POWER(2,10)+MID(CQ40,5,1)*POWER(2,11)+MID(CQ40,4,1)*POWER(2,12)+MID(CQ40,3,1)*POWER(2,13)+MID(CQ40,2,1)*POWER(2,14)+MID(CQ40,1,1)*POWER(2,15)-(MID(CQ41,16,1)*POWER(2,0)+MID(CQ41,15,1)*POWER(2,1)+MID(CQ41,14,1)*POWER(2,2)+MID(CQ41,13,1)*POWER(2,3)+MID(CQ41,12,1)*POWER(2,4)+MID(CQ41,11,1)*POWER(2,5)+MID(CQ41,10,1)*POWER(2,6)+MID(CQ41,9,1)*POWER(2,7)+MID(CQ41,8,1)*POWER(2,8)+MID(CQ41,7,1)*POWER(2,9)+MID(CQ41,6,1)*POWER(2,10)+MID(CQ41,5,1)*POWER(2,11)+MID(CQ41,4,1)*POWER(2,12)+MID(CQ41,3,1)*POWER(2,13)+MID(CQ41,2,1)*POWER(2,14)+MID(CQ41,1,1)*POWER(2,15))</f>
        <v>-8064</v>
      </c>
      <c r="CT40" s="100">
        <f>MID(CR40,16,1)*POWER(2,0)+MID(CR40,15,1)*POWER(2,1)+MID(CR40,14,1)*POWER(2,2)+MID(CR40,13,1)*POWER(2,3)+MID(CR40,12,1)*POWER(2,4)+MID(CR40,11,1)*POWER(2,5)+MID(CR40,10,1)*POWER(2,6)+MID(CR40,9,1)*POWER(2,7)+MID(CR40,8,1)*POWER(2,8)+MID(CR40,7,1)*POWER(2,9)+MID(CR40,6,1)*POWER(2,10)+MID(CR40,5,1)*POWER(2,11)+MID(CR40,4,1)*POWER(2,12)+MID(CR40,3,1)*POWER(2,13)+MID(CR40,2,1)*POWER(2,14)+MID(CR40,1,1)*POWER(2,15)-(MID(CR41,16,1)*POWER(2,0)+MID(CR41,15,1)*POWER(2,1)+MID(CR41,14,1)*POWER(2,2)+MID(CR41,13,1)*POWER(2,3)+MID(CR41,12,1)*POWER(2,4)+MID(CR41,11,1)*POWER(2,5)+MID(CR41,10,1)*POWER(2,6)+MID(CR41,9,1)*POWER(2,7)+MID(CR41,8,1)*POWER(2,8)+MID(CR41,7,1)*POWER(2,9)+MID(CR41,6,1)*POWER(2,10)+MID(CR41,5,1)*POWER(2,11)+MID(CR41,4,1)*POWER(2,12)+MID(CR41,3,1)*POWER(2,13)+MID(CR41,2,1)*POWER(2,14)+MID(CR41,1,1)*POWER(2,15))</f>
        <v>-8224</v>
      </c>
      <c r="CU40" s="55" t="str">
        <f>CONCATENATE(MID($L40,1,1)*MID($K40,1,1),MID($L40,2,1)*MID($K40,2,1),MID($L40,3,1)*MID($K40,3,1),MID($L40,4,1)*MID($K40,4,1),MID($L40,5,1)*MID($K40,5,1),MID($L40,6,1)*MID($K40,6,1),MID($L40,7,1)*MID($K40,7,1),MID($L40,8,1)*MID($K40,8,1),MID($L40,9,1)*MID($K40,1,1),MID($L40,10,1)*MID($K40,2,1),MID($L40,11,1)*MID($K40,3,1),MID($L40,12,1)*MID($K40,4,1),MID($L40,13,1)*MID($K40,5,1),MID($L40,14,1)*MID($K40,6,1),MID($L40,15,1)*MID($K40,7,1),MID($L40,16,1)*MID($K40,8,1),MID($L40,17,1)*MID($K40,1,1),MID($L40,18,1)*MID($K40,2,1),MID($L40,19,1)*MID($K40,3,1),MID($L40,20,1)*MID($K40,4,1),MID($L40,21,1)*MID($K40,5,1),MID($L40,22,1)*MID($K40,6,1),MID($L40,23,1)*MID($K40,7,1),MID($L40,24,1)*MID($K40,8,1),MID($L40,25,1)*MID($K40,1,1),MID($L40,26,1)*MID($K40,2,1),MID($L40,27,1)*MID($K40,3,1),MID($L40,28,1)*MID($K40,4,1),MID($L40,29,1)*MID($K40,5,1),MID($L40,30,1)*MID($K40,6,1),MID($L40,31,1)*MID($K40,7,1),MID($L40,32,1)*MID($K40,8,1))</f>
        <v>10100000110110001011101100111001</v>
      </c>
      <c r="CV40" s="57" t="str">
        <f t="shared" si="60"/>
        <v>10100000</v>
      </c>
      <c r="CW40" s="57" t="str">
        <f t="shared" si="61"/>
        <v>11011000</v>
      </c>
      <c r="CX40" s="57" t="str">
        <f t="shared" si="62"/>
        <v>10111011</v>
      </c>
      <c r="CY40" s="57" t="str">
        <f t="shared" si="63"/>
        <v>00111001</v>
      </c>
      <c r="CZ40" s="100">
        <f>BIN2DEC(CV40)-BIN2DEC(CV41)</f>
        <v>-32</v>
      </c>
      <c r="DA40" s="100">
        <f>BIN2DEC(CW40)-BIN2DEC(CW41)</f>
        <v>128</v>
      </c>
      <c r="DB40" s="100">
        <f>BIN2DEC(CX40)-BIN2DEC(CX41)</f>
        <v>-32</v>
      </c>
      <c r="DC40" s="100">
        <f>BIN2DEC(CY40)-BIN2DEC(CY41)</f>
        <v>-32</v>
      </c>
      <c r="DD40" s="58" t="str">
        <f t="shared" si="64"/>
        <v>1010</v>
      </c>
      <c r="DE40" s="58" t="str">
        <f t="shared" si="65"/>
        <v>0000</v>
      </c>
      <c r="DF40" s="58" t="str">
        <f t="shared" si="66"/>
        <v>1101</v>
      </c>
      <c r="DG40" s="58" t="str">
        <f t="shared" si="67"/>
        <v>1000</v>
      </c>
      <c r="DH40" s="58" t="str">
        <f t="shared" si="68"/>
        <v>1011</v>
      </c>
      <c r="DI40" s="58" t="str">
        <f t="shared" si="69"/>
        <v>1011</v>
      </c>
      <c r="DJ40" s="58" t="str">
        <f t="shared" si="70"/>
        <v>0011</v>
      </c>
      <c r="DK40" s="58" t="str">
        <f t="shared" si="71"/>
        <v>1001</v>
      </c>
      <c r="DL40" s="100">
        <f t="shared" ref="DL40:DS40" si="275">BIN2DEC(DD40)-BIN2DEC(DD41)</f>
        <v>-2</v>
      </c>
      <c r="DM40" s="100">
        <f t="shared" si="275"/>
        <v>0</v>
      </c>
      <c r="DN40" s="100">
        <f t="shared" si="275"/>
        <v>8</v>
      </c>
      <c r="DO40" s="100">
        <f t="shared" si="275"/>
        <v>0</v>
      </c>
      <c r="DP40" s="100">
        <f t="shared" si="275"/>
        <v>-2</v>
      </c>
      <c r="DQ40" s="100">
        <f t="shared" si="275"/>
        <v>0</v>
      </c>
      <c r="DR40" s="100">
        <f t="shared" si="275"/>
        <v>-2</v>
      </c>
      <c r="DS40" s="100">
        <f t="shared" si="275"/>
        <v>0</v>
      </c>
      <c r="DT40" s="57" t="str">
        <f t="shared" si="10"/>
        <v>1010000011011000</v>
      </c>
      <c r="DU40" s="57" t="str">
        <f t="shared" si="11"/>
        <v>1011101100111001</v>
      </c>
      <c r="DV40" s="100">
        <f>MID(DT40,16,1)*POWER(2,0)+MID(DT40,15,1)*POWER(2,1)+MID(DT40,14,1)*POWER(2,2)+MID(DT40,13,1)*POWER(2,3)+MID(DT40,12,1)*POWER(2,4)+MID(DT40,11,1)*POWER(2,5)+MID(DT40,10,1)*POWER(2,6)+MID(DT40,9,1)*POWER(2,7)+MID(DT40,8,1)*POWER(2,8)+MID(DT40,7,1)*POWER(2,9)+MID(DT40,6,1)*POWER(2,10)+MID(DT40,5,1)*POWER(2,11)+MID(DT40,4,1)*POWER(2,12)+MID(DT40,3,1)*POWER(2,13)+MID(DT40,2,1)*POWER(2,14)+MID(DT40,1,1)*POWER(2,15)-(MID(DT41,16,1)*POWER(2,0)+MID(DT41,15,1)*POWER(2,1)+MID(DT41,14,1)*POWER(2,2)+MID(DT41,13,1)*POWER(2,3)+MID(DT41,12,1)*POWER(2,4)+MID(DT41,11,1)*POWER(2,5)+MID(DT41,10,1)*POWER(2,6)+MID(DT41,9,1)*POWER(2,7)+MID(DT41,8,1)*POWER(2,8)+MID(DT41,7,1)*POWER(2,9)+MID(DT41,6,1)*POWER(2,10)+MID(DT41,5,1)*POWER(2,11)+MID(DT41,4,1)*POWER(2,12)+MID(DT41,3,1)*POWER(2,13)+MID(DT41,2,1)*POWER(2,14)+MID(DT41,1,1)*POWER(2,15))</f>
        <v>-8064</v>
      </c>
      <c r="DW40" s="100">
        <f>MID(DU40,16,1)*POWER(2,0)+MID(DU40,15,1)*POWER(2,1)+MID(DU40,14,1)*POWER(2,2)+MID(DU40,13,1)*POWER(2,3)+MID(DU40,12,1)*POWER(2,4)+MID(DU40,11,1)*POWER(2,5)+MID(DU40,10,1)*POWER(2,6)+MID(DU40,9,1)*POWER(2,7)+MID(DU40,8,1)*POWER(2,8)+MID(DU40,7,1)*POWER(2,9)+MID(DU40,6,1)*POWER(2,10)+MID(DU40,5,1)*POWER(2,11)+MID(DU40,4,1)*POWER(2,12)+MID(DU40,3,1)*POWER(2,13)+MID(DU40,2,1)*POWER(2,14)+MID(DU40,1,1)*POWER(2,15)-(MID(DU41,16,1)*POWER(2,0)+MID(DU41,15,1)*POWER(2,1)+MID(DU41,14,1)*POWER(2,2)+MID(DU41,13,1)*POWER(2,3)+MID(DU41,12,1)*POWER(2,4)+MID(DU41,11,1)*POWER(2,5)+MID(DU41,10,1)*POWER(2,6)+MID(DU41,9,1)*POWER(2,7)+MID(DU41,8,1)*POWER(2,8)+MID(DU41,7,1)*POWER(2,9)+MID(DU41,6,1)*POWER(2,10)+MID(DU41,5,1)*POWER(2,11)+MID(DU41,4,1)*POWER(2,12)+MID(DU41,3,1)*POWER(2,13)+MID(DU41,2,1)*POWER(2,14)+MID(DU41,1,1)*POWER(2,15))</f>
        <v>-8224</v>
      </c>
      <c r="DX40" s="55" t="str">
        <f>CONCATENATE(MID($H40,1,1)*MID($K40,1,1),MID($H40,2,1)*MID($K40,2,1),MID($H40,3,1)*MID($K40,3,1),MID($H40,4,1)*MID($K40,4,1),MID($H40,5,1)*MID($K40,5,1),MID($H40,6,1)*MID($K40,6,1),MID($H40,7,1)*MID($K40,7,1),MID($H40,8,1)*MID($K40,8,1),MID($H40,9,1)*MID($K40,1,1),MID($H40,10,1)*MID($K40,2,1),MID($H40,11,1)*MID($K40,3,1),MID($H40,12,1)*MID($K40,4,1),MID($H40,13,1)*MID($K40,5,1),MID($H40,14,1)*MID($K40,6,1),MID($H40,15,1)*MID($K40,7,1),MID($H40,16,1)*MID($K40,8,1),MID($H40,17,1)*MID($K40,1,1),MID($H40,18,1)*MID($K40,2,1),MID($H40,19,1)*MID($K40,3,1),MID($H40,20,1)*MID($K40,4,1),MID($H40,21,1)*MID($K40,5,1),MID($H40,22,1)*MID($K40,6,1),MID($H40,23,1)*MID($K40,7,1),MID($H40,24,1)*MID($K40,8,1),MID($H40,25,1)*MID($K40,1,1),MID($H40,26,1)*MID($K40,2,1),MID($H40,27,1)*MID($K40,3,1),MID($H40,28,1)*MID($K40,4,1),MID($H40,29,1)*MID($K40,5,1),MID($H40,30,1)*MID($K40,6,1),MID($H40,31,1)*MID($K40,7,1),MID($H40,32,1)*MID($K40,8,1))</f>
        <v>11011110110011010000000111000101</v>
      </c>
      <c r="DY40" s="57" t="str">
        <f>CONCATENATE(MID(DX40,30,3),MID(DX40,17,5),MID(DX40,6,3),MID(DX40,25,5),MID(DX40,14,3),MID(DX40,1,5),MID(DX40,22,3),MID(DX40,9,5))</f>
        <v>10100000110110001011101100111001</v>
      </c>
      <c r="DZ40" s="57" t="str">
        <f t="shared" si="122"/>
        <v>10100000</v>
      </c>
      <c r="EA40" s="57" t="str">
        <f t="shared" si="72"/>
        <v>11011000</v>
      </c>
      <c r="EB40" s="57" t="str">
        <f t="shared" si="73"/>
        <v>10111011</v>
      </c>
      <c r="EC40" s="57" t="str">
        <f t="shared" si="74"/>
        <v>00111001</v>
      </c>
      <c r="ED40" s="100">
        <f>BIN2DEC(DZ40)-BIN2DEC(DZ41)</f>
        <v>-32</v>
      </c>
      <c r="EE40" s="100">
        <f>BIN2DEC(EA40)-BIN2DEC(EA41)</f>
        <v>128</v>
      </c>
      <c r="EF40" s="100">
        <f>BIN2DEC(EB40)-BIN2DEC(EB41)</f>
        <v>-32</v>
      </c>
      <c r="EG40" s="100">
        <f>BIN2DEC(EC40)-BIN2DEC(EC41)</f>
        <v>-32</v>
      </c>
      <c r="EH40" s="58" t="str">
        <f t="shared" si="75"/>
        <v>1010</v>
      </c>
      <c r="EI40" s="58" t="str">
        <f t="shared" si="76"/>
        <v>0000</v>
      </c>
      <c r="EJ40" s="58" t="str">
        <f t="shared" si="77"/>
        <v>1101</v>
      </c>
      <c r="EK40" s="58" t="str">
        <f t="shared" si="78"/>
        <v>1000</v>
      </c>
      <c r="EL40" s="58" t="str">
        <f t="shared" si="79"/>
        <v>1011</v>
      </c>
      <c r="EM40" s="58" t="str">
        <f t="shared" si="80"/>
        <v>1011</v>
      </c>
      <c r="EN40" s="58" t="str">
        <f t="shared" si="81"/>
        <v>0011</v>
      </c>
      <c r="EO40" s="58" t="str">
        <f t="shared" si="82"/>
        <v>1001</v>
      </c>
      <c r="EP40" s="100">
        <f t="shared" ref="EP40:EW40" si="276">BIN2DEC(EH40)-BIN2DEC(EH41)</f>
        <v>-2</v>
      </c>
      <c r="EQ40" s="100">
        <f t="shared" si="276"/>
        <v>0</v>
      </c>
      <c r="ER40" s="100">
        <f t="shared" si="276"/>
        <v>8</v>
      </c>
      <c r="ES40" s="100">
        <f t="shared" si="276"/>
        <v>0</v>
      </c>
      <c r="ET40" s="100">
        <f t="shared" si="276"/>
        <v>-2</v>
      </c>
      <c r="EU40" s="100">
        <f t="shared" si="276"/>
        <v>0</v>
      </c>
      <c r="EV40" s="100">
        <f t="shared" si="276"/>
        <v>-2</v>
      </c>
      <c r="EW40" s="100">
        <f t="shared" si="276"/>
        <v>0</v>
      </c>
      <c r="EX40" s="57" t="str">
        <f t="shared" si="13"/>
        <v>1010000011011000</v>
      </c>
      <c r="EY40" s="57" t="str">
        <f t="shared" si="14"/>
        <v>1011101100111001</v>
      </c>
      <c r="EZ40" s="100">
        <f>MID(EX40,16,1)*POWER(2,0)+MID(EX40,15,1)*POWER(2,1)+MID(EX40,14,1)*POWER(2,2)+MID(EX40,13,1)*POWER(2,3)+MID(EX40,12,1)*POWER(2,4)+MID(EX40,11,1)*POWER(2,5)+MID(EX40,10,1)*POWER(2,6)+MID(EX40,9,1)*POWER(2,7)+MID(EX40,8,1)*POWER(2,8)+MID(EX40,7,1)*POWER(2,9)+MID(EX40,6,1)*POWER(2,10)+MID(EX40,5,1)*POWER(2,11)+MID(EX40,4,1)*POWER(2,12)+MID(EX40,3,1)*POWER(2,13)+MID(EX40,2,1)*POWER(2,14)+MID(EX40,1,1)*POWER(2,15)-(MID(EX41,16,1)*POWER(2,0)+MID(EX41,15,1)*POWER(2,1)+MID(EX41,14,1)*POWER(2,2)+MID(EX41,13,1)*POWER(2,3)+MID(EX41,12,1)*POWER(2,4)+MID(EX41,11,1)*POWER(2,5)+MID(EX41,10,1)*POWER(2,6)+MID(EX41,9,1)*POWER(2,7)+MID(EX41,8,1)*POWER(2,8)+MID(EX41,7,1)*POWER(2,9)+MID(EX41,6,1)*POWER(2,10)+MID(EX41,5,1)*POWER(2,11)+MID(EX41,4,1)*POWER(2,12)+MID(EX41,3,1)*POWER(2,13)+MID(EX41,2,1)*POWER(2,14)+MID(EX41,1,1)*POWER(2,15))</f>
        <v>-8064</v>
      </c>
      <c r="FA40" s="100">
        <f>MID(EY40,16,1)*POWER(2,0)+MID(EY40,15,1)*POWER(2,1)+MID(EY40,14,1)*POWER(2,2)+MID(EY40,13,1)*POWER(2,3)+MID(EY40,12,1)*POWER(2,4)+MID(EY40,11,1)*POWER(2,5)+MID(EY40,10,1)*POWER(2,6)+MID(EY40,9,1)*POWER(2,7)+MID(EY40,8,1)*POWER(2,8)+MID(EY40,7,1)*POWER(2,9)+MID(EY40,6,1)*POWER(2,10)+MID(EY40,5,1)*POWER(2,11)+MID(EY40,4,1)*POWER(2,12)+MID(EY40,3,1)*POWER(2,13)+MID(EY40,2,1)*POWER(2,14)+MID(EY40,1,1)*POWER(2,15)-(MID(EY41,16,1)*POWER(2,0)+MID(EY41,15,1)*POWER(2,1)+MID(EY41,14,1)*POWER(2,2)+MID(EY41,13,1)*POWER(2,3)+MID(EY41,12,1)*POWER(2,4)+MID(EY41,11,1)*POWER(2,5)+MID(EY41,10,1)*POWER(2,6)+MID(EY41,9,1)*POWER(2,7)+MID(EY41,8,1)*POWER(2,8)+MID(EY41,7,1)*POWER(2,9)+MID(EY41,6,1)*POWER(2,10)+MID(EY41,5,1)*POWER(2,11)+MID(EY41,4,1)*POWER(2,12)+MID(EY41,3,1)*POWER(2,13)+MID(EY41,2,1)*POWER(2,14)+MID(EY41,1,1)*POWER(2,15))</f>
        <v>-8224</v>
      </c>
      <c r="FB40" s="55" t="str">
        <f>CONCATENATE(MID(DY40,1,1)*MID($K40,1,1),MID(DY40,2,1)*MID($K40,2,1),MID(DY40,3,1)*MID($K40,3,1),MID(DY40,4,1)*MID($K40,4,1),MID(DY40,5,1)*MID($K40,5,1),MID(DY40,6,1)*MID($K40,6,1),MID(DY40,7,1)*MID($K40,7,1),MID(DY40,8,1)*MID($K40,8,1),MID(DY40,9,1)*MID($K40,1,1),MID(DY40,10,1)*MID($K40,2,1),MID(DY40,11,1)*MID($K40,3,1),MID(DY40,12,1)*MID($K40,4,1),MID(DY40,13,1)*MID($K40,5,1),MID(DY40,14,1)*MID($K40,6,1),MID(DY40,15,1)*MID($K40,7,1),MID(DY40,16,1)*MID($K40,8,1),MID(DY40,17,1)*MID($K40,1,1),MID(DY40,18,1)*MID($K40,2,1),MID(DY40,19,1)*MID($K40,3,1),MID(DY40,20,1)*MID($K40,4,1),MID(DY40,21,1)*MID($K40,5,1),MID(DY40,22,1)*MID($K40,6,1),MID(DY40,23,1)*MID($K40,7,1),MID(DY40,24,1)*MID($K40,8,1),MID(DY40,25,1)*MID($K40,1,1),MID(DY40,26,1)*MID($K40,2,1),MID(DY40,27,1)*MID($K40,3,1),MID(DY40,28,1)*MID($K40,4,1),MID(DY40,29,1)*MID($K40,5,1),MID(DY40,30,1)*MID($K40,6,1),MID(DY40,31,1)*MID($K40,7,1),MID(DY40,32,1)*MID($K40,8,1))</f>
        <v>10100000110110001011101100111001</v>
      </c>
      <c r="FC40" s="57" t="str">
        <f t="shared" si="124"/>
        <v>10100000</v>
      </c>
      <c r="FD40" s="57" t="str">
        <f t="shared" si="83"/>
        <v>11011000</v>
      </c>
      <c r="FE40" s="57" t="str">
        <f t="shared" si="84"/>
        <v>10111011</v>
      </c>
      <c r="FF40" s="57" t="str">
        <f t="shared" si="85"/>
        <v>00111001</v>
      </c>
      <c r="FG40" s="100">
        <f>BIN2DEC(FC40)-BIN2DEC(FC41)</f>
        <v>-32</v>
      </c>
      <c r="FH40" s="100">
        <f>BIN2DEC(FD40)-BIN2DEC(FD41)</f>
        <v>128</v>
      </c>
      <c r="FI40" s="100">
        <f>BIN2DEC(FE40)-BIN2DEC(FE41)</f>
        <v>-32</v>
      </c>
      <c r="FJ40" s="100">
        <f>BIN2DEC(FF40)-BIN2DEC(FF41)</f>
        <v>-32</v>
      </c>
      <c r="FK40" s="58" t="str">
        <f t="shared" si="86"/>
        <v>1010</v>
      </c>
      <c r="FL40" s="58" t="str">
        <f t="shared" si="87"/>
        <v>0000</v>
      </c>
      <c r="FM40" s="58" t="str">
        <f t="shared" si="88"/>
        <v>1101</v>
      </c>
      <c r="FN40" s="58" t="str">
        <f t="shared" si="89"/>
        <v>1000</v>
      </c>
      <c r="FO40" s="58" t="str">
        <f t="shared" si="90"/>
        <v>1011</v>
      </c>
      <c r="FP40" s="58" t="str">
        <f t="shared" si="91"/>
        <v>1011</v>
      </c>
      <c r="FQ40" s="58" t="str">
        <f t="shared" si="92"/>
        <v>0011</v>
      </c>
      <c r="FR40" s="58" t="str">
        <f t="shared" si="93"/>
        <v>1001</v>
      </c>
      <c r="FS40" s="100">
        <f t="shared" ref="FS40:FZ40" si="277">BIN2DEC(FK40)-BIN2DEC(FK41)</f>
        <v>-2</v>
      </c>
      <c r="FT40" s="100">
        <f t="shared" si="277"/>
        <v>0</v>
      </c>
      <c r="FU40" s="100">
        <f t="shared" si="277"/>
        <v>8</v>
      </c>
      <c r="FV40" s="100">
        <f t="shared" si="277"/>
        <v>0</v>
      </c>
      <c r="FW40" s="100">
        <f t="shared" si="277"/>
        <v>-2</v>
      </c>
      <c r="FX40" s="100">
        <f t="shared" si="277"/>
        <v>0</v>
      </c>
      <c r="FY40" s="100">
        <f t="shared" si="277"/>
        <v>-2</v>
      </c>
      <c r="FZ40" s="100">
        <f t="shared" si="277"/>
        <v>0</v>
      </c>
      <c r="GA40" s="57" t="str">
        <f t="shared" si="16"/>
        <v>1010000011011000</v>
      </c>
      <c r="GB40" s="57" t="str">
        <f t="shared" si="17"/>
        <v>1011101100111001</v>
      </c>
      <c r="GC40" s="100">
        <f>MID(GA40,16,1)*POWER(2,0)+MID(GA40,15,1)*POWER(2,1)+MID(GA40,14,1)*POWER(2,2)+MID(GA40,13,1)*POWER(2,3)+MID(GA40,12,1)*POWER(2,4)+MID(GA40,11,1)*POWER(2,5)+MID(GA40,10,1)*POWER(2,6)+MID(GA40,9,1)*POWER(2,7)+MID(GA40,8,1)*POWER(2,8)+MID(GA40,7,1)*POWER(2,9)+MID(GA40,6,1)*POWER(2,10)+MID(GA40,5,1)*POWER(2,11)+MID(GA40,4,1)*POWER(2,12)+MID(GA40,3,1)*POWER(2,13)+MID(GA40,2,1)*POWER(2,14)+MID(GA40,1,1)*POWER(2,15)-(MID(GA41,16,1)*POWER(2,0)+MID(GA41,15,1)*POWER(2,1)+MID(GA41,14,1)*POWER(2,2)+MID(GA41,13,1)*POWER(2,3)+MID(GA41,12,1)*POWER(2,4)+MID(GA41,11,1)*POWER(2,5)+MID(GA41,10,1)*POWER(2,6)+MID(GA41,9,1)*POWER(2,7)+MID(GA41,8,1)*POWER(2,8)+MID(GA41,7,1)*POWER(2,9)+MID(GA41,6,1)*POWER(2,10)+MID(GA41,5,1)*POWER(2,11)+MID(GA41,4,1)*POWER(2,12)+MID(GA41,3,1)*POWER(2,13)+MID(GA41,2,1)*POWER(2,14)+MID(GA41,1,1)*POWER(2,15))</f>
        <v>-8064</v>
      </c>
      <c r="GD40" s="100">
        <f>MID(GB40,16,1)*POWER(2,0)+MID(GB40,15,1)*POWER(2,1)+MID(GB40,14,1)*POWER(2,2)+MID(GB40,13,1)*POWER(2,3)+MID(GB40,12,1)*POWER(2,4)+MID(GB40,11,1)*POWER(2,5)+MID(GB40,10,1)*POWER(2,6)+MID(GB40,9,1)*POWER(2,7)+MID(GB40,8,1)*POWER(2,8)+MID(GB40,7,1)*POWER(2,9)+MID(GB40,6,1)*POWER(2,10)+MID(GB40,5,1)*POWER(2,11)+MID(GB40,4,1)*POWER(2,12)+MID(GB40,3,1)*POWER(2,13)+MID(GB40,2,1)*POWER(2,14)+MID(GB40,1,1)*POWER(2,15)-(MID(GB41,16,1)*POWER(2,0)+MID(GB41,15,1)*POWER(2,1)+MID(GB41,14,1)*POWER(2,2)+MID(GB41,13,1)*POWER(2,3)+MID(GB41,12,1)*POWER(2,4)+MID(GB41,11,1)*POWER(2,5)+MID(GB41,10,1)*POWER(2,6)+MID(GB41,9,1)*POWER(2,7)+MID(GB41,8,1)*POWER(2,8)+MID(GB41,7,1)*POWER(2,9)+MID(GB41,6,1)*POWER(2,10)+MID(GB41,5,1)*POWER(2,11)+MID(GB41,4,1)*POWER(2,12)+MID(GB41,3,1)*POWER(2,13)+MID(GB41,2,1)*POWER(2,14)+MID(GB41,1,1)*POWER(2,15))</f>
        <v>-8224</v>
      </c>
      <c r="GE40" s="58" t="str">
        <f>DY40</f>
        <v>10100000110110001011101100111001</v>
      </c>
      <c r="GF40" s="57" t="str">
        <f t="shared" si="126"/>
        <v>10100000</v>
      </c>
      <c r="GG40" s="57" t="str">
        <f t="shared" si="94"/>
        <v>11011000</v>
      </c>
      <c r="GH40" s="57" t="str">
        <f t="shared" si="95"/>
        <v>10111011</v>
      </c>
      <c r="GI40" s="57" t="str">
        <f t="shared" si="96"/>
        <v>00111001</v>
      </c>
      <c r="GJ40" s="100">
        <f>BIN2DEC(GF40)-BIN2DEC(GF41)</f>
        <v>-32</v>
      </c>
      <c r="GK40" s="100">
        <f>BIN2DEC(GG40)-BIN2DEC(GG41)</f>
        <v>128</v>
      </c>
      <c r="GL40" s="100">
        <f>BIN2DEC(GH40)-BIN2DEC(GH41)</f>
        <v>-32</v>
      </c>
      <c r="GM40" s="100">
        <f>BIN2DEC(GI40)-BIN2DEC(GI41)</f>
        <v>-32</v>
      </c>
      <c r="GN40" s="58" t="str">
        <f t="shared" si="97"/>
        <v>1010</v>
      </c>
      <c r="GO40" s="58" t="str">
        <f t="shared" si="98"/>
        <v>0000</v>
      </c>
      <c r="GP40" s="58" t="str">
        <f t="shared" si="99"/>
        <v>1101</v>
      </c>
      <c r="GQ40" s="58" t="str">
        <f t="shared" si="100"/>
        <v>1000</v>
      </c>
      <c r="GR40" s="58" t="str">
        <f t="shared" si="101"/>
        <v>1011</v>
      </c>
      <c r="GS40" s="58" t="str">
        <f t="shared" si="102"/>
        <v>1011</v>
      </c>
      <c r="GT40" s="58" t="str">
        <f t="shared" si="103"/>
        <v>0011</v>
      </c>
      <c r="GU40" s="58" t="str">
        <f t="shared" si="104"/>
        <v>1001</v>
      </c>
      <c r="GV40" s="100">
        <f t="shared" ref="GV40:HC40" si="278">BIN2DEC(GN40)-BIN2DEC(GN41)</f>
        <v>-2</v>
      </c>
      <c r="GW40" s="100">
        <f t="shared" si="278"/>
        <v>0</v>
      </c>
      <c r="GX40" s="100">
        <f t="shared" si="278"/>
        <v>8</v>
      </c>
      <c r="GY40" s="100">
        <f t="shared" si="278"/>
        <v>0</v>
      </c>
      <c r="GZ40" s="100">
        <f t="shared" si="278"/>
        <v>-2</v>
      </c>
      <c r="HA40" s="100">
        <f t="shared" si="278"/>
        <v>0</v>
      </c>
      <c r="HB40" s="100">
        <f t="shared" si="278"/>
        <v>-2</v>
      </c>
      <c r="HC40" s="100">
        <f t="shared" si="278"/>
        <v>0</v>
      </c>
      <c r="HD40" s="57" t="str">
        <f t="shared" si="19"/>
        <v>1010000011011000</v>
      </c>
      <c r="HE40" s="57" t="str">
        <f t="shared" si="20"/>
        <v>1011101100111001</v>
      </c>
      <c r="HF40" s="100">
        <f>MID(HD40,16,1)*POWER(2,0)+MID(HD40,15,1)*POWER(2,1)+MID(HD40,14,1)*POWER(2,2)+MID(HD40,13,1)*POWER(2,3)+MID(HD40,12,1)*POWER(2,4)+MID(HD40,11,1)*POWER(2,5)+MID(HD40,10,1)*POWER(2,6)+MID(HD40,9,1)*POWER(2,7)+MID(HD40,8,1)*POWER(2,8)+MID(HD40,7,1)*POWER(2,9)+MID(HD40,6,1)*POWER(2,10)+MID(HD40,5,1)*POWER(2,11)+MID(HD40,4,1)*POWER(2,12)+MID(HD40,3,1)*POWER(2,13)+MID(HD40,2,1)*POWER(2,14)+MID(HD40,1,1)*POWER(2,15)-(MID(HD41,16,1)*POWER(2,0)+MID(HD41,15,1)*POWER(2,1)+MID(HD41,14,1)*POWER(2,2)+MID(HD41,13,1)*POWER(2,3)+MID(HD41,12,1)*POWER(2,4)+MID(HD41,11,1)*POWER(2,5)+MID(HD41,10,1)*POWER(2,6)+MID(HD41,9,1)*POWER(2,7)+MID(HD41,8,1)*POWER(2,8)+MID(HD41,7,1)*POWER(2,9)+MID(HD41,6,1)*POWER(2,10)+MID(HD41,5,1)*POWER(2,11)+MID(HD41,4,1)*POWER(2,12)+MID(HD41,3,1)*POWER(2,13)+MID(HD41,2,1)*POWER(2,14)+MID(HD41,1,1)*POWER(2,15))</f>
        <v>-8064</v>
      </c>
      <c r="HG40" s="100">
        <f>MID(HE40,16,1)*POWER(2,0)+MID(HE40,15,1)*POWER(2,1)+MID(HE40,14,1)*POWER(2,2)+MID(HE40,13,1)*POWER(2,3)+MID(HE40,12,1)*POWER(2,4)+MID(HE40,11,1)*POWER(2,5)+MID(HE40,10,1)*POWER(2,6)+MID(HE40,9,1)*POWER(2,7)+MID(HE40,8,1)*POWER(2,8)+MID(HE40,7,1)*POWER(2,9)+MID(HE40,6,1)*POWER(2,10)+MID(HE40,5,1)*POWER(2,11)+MID(HE40,4,1)*POWER(2,12)+MID(HE40,3,1)*POWER(2,13)+MID(HE40,2,1)*POWER(2,14)+MID(HE40,1,1)*POWER(2,15)-(MID(HE41,16,1)*POWER(2,0)+MID(HE41,15,1)*POWER(2,1)+MID(HE41,14,1)*POWER(2,2)+MID(HE41,13,1)*POWER(2,3)+MID(HE41,12,1)*POWER(2,4)+MID(HE41,11,1)*POWER(2,5)+MID(HE41,10,1)*POWER(2,6)+MID(HE41,9,1)*POWER(2,7)+MID(HE41,8,1)*POWER(2,8)+MID(HE41,7,1)*POWER(2,9)+MID(HE41,6,1)*POWER(2,10)+MID(HE41,5,1)*POWER(2,11)+MID(HE41,4,1)*POWER(2,12)+MID(HE41,3,1)*POWER(2,13)+MID(HE41,2,1)*POWER(2,14)+MID(HE41,1,1)*POWER(2,15))</f>
        <v>-8224</v>
      </c>
      <c r="HH40" s="55" t="str">
        <f>CONCATENATE(MID(GE40,1,1)*MID($K40,1,1),MID(GE40,2,1)*MID($K40,2,1),MID(GE40,3,1)*MID($K40,3,1),MID(GE40,4,1)*MID($K40,4,1),MID(GE40,5,1)*MID($K40,5,1),MID(GE40,6,1)*MID($K40,6,1),MID(GE40,7,1)*MID($K40,7,1),MID(GE40,8,1)*MID($K40,8,1),MID(GE40,9,1)*MID($K40,1,1),MID(GE40,10,1)*MID($K40,2,1),MID(GE40,11,1)*MID($K40,3,1),MID(GE40,12,1)*MID($K40,4,1),MID(GE40,13,1)*MID($K40,5,1),MID(GE40,14,1)*MID($K40,6,1),MID(GE40,15,1)*MID($K40,7,1),MID(GE40,16,1)*MID($K40,8,1),MID(GE40,17,1)*MID($K40,1,1),MID(GE40,18,1)*MID($K40,2,1),MID(GE40,19,1)*MID($K40,3,1),MID(GE40,20,1)*MID($K40,4,1),MID(GE40,21,1)*MID($K40,5,1),MID(GE40,22,1)*MID($K40,6,1),MID(GE40,23,1)*MID($K40,7,1),MID(GE40,24,1)*MID($K40,8,1),MID(GE40,25,1)*MID($K40,1,1),MID(GE40,26,1)*MID($K40,2,1),MID(GE40,27,1)*MID($K40,3,1),MID(GE40,28,1)*MID($K40,4,1),MID(GE40,29,1)*MID($K40,5,1),MID(GE40,30,1)*MID($K40,6,1),MID(GE40,31,1)*MID($K40,7,1),MID(GE40,32,1)*MID($K40,8,1))</f>
        <v>10100000110110001011101100111001</v>
      </c>
      <c r="HI40" s="57" t="str">
        <f t="shared" si="128"/>
        <v>10100000</v>
      </c>
      <c r="HJ40" s="57" t="str">
        <f t="shared" si="105"/>
        <v>11011000</v>
      </c>
      <c r="HK40" s="57" t="str">
        <f t="shared" si="106"/>
        <v>10111011</v>
      </c>
      <c r="HL40" s="57" t="str">
        <f t="shared" si="107"/>
        <v>00111001</v>
      </c>
      <c r="HM40" s="100">
        <f>BIN2DEC(HI40)-BIN2DEC(HI41)</f>
        <v>-32</v>
      </c>
      <c r="HN40" s="100">
        <f>BIN2DEC(HJ40)-BIN2DEC(HJ41)</f>
        <v>128</v>
      </c>
      <c r="HO40" s="100">
        <f>BIN2DEC(HK40)-BIN2DEC(HK41)</f>
        <v>-32</v>
      </c>
      <c r="HP40" s="100">
        <f>BIN2DEC(HL40)-BIN2DEC(HL41)</f>
        <v>-32</v>
      </c>
      <c r="HQ40" s="58" t="str">
        <f t="shared" si="108"/>
        <v>1010</v>
      </c>
      <c r="HR40" s="58" t="str">
        <f t="shared" si="109"/>
        <v>0000</v>
      </c>
      <c r="HS40" s="58" t="str">
        <f t="shared" si="110"/>
        <v>1101</v>
      </c>
      <c r="HT40" s="58" t="str">
        <f t="shared" si="111"/>
        <v>1000</v>
      </c>
      <c r="HU40" s="58" t="str">
        <f t="shared" si="112"/>
        <v>1011</v>
      </c>
      <c r="HV40" s="58" t="str">
        <f t="shared" si="113"/>
        <v>1011</v>
      </c>
      <c r="HW40" s="58" t="str">
        <f t="shared" si="114"/>
        <v>0011</v>
      </c>
      <c r="HX40" s="58" t="str">
        <f t="shared" si="115"/>
        <v>1001</v>
      </c>
      <c r="HY40" s="100">
        <f t="shared" ref="HY40:IF40" si="279">BIN2DEC(HQ40)-BIN2DEC(HQ41)</f>
        <v>-2</v>
      </c>
      <c r="HZ40" s="100">
        <f t="shared" si="279"/>
        <v>0</v>
      </c>
      <c r="IA40" s="100">
        <f t="shared" si="279"/>
        <v>8</v>
      </c>
      <c r="IB40" s="100">
        <f t="shared" si="279"/>
        <v>0</v>
      </c>
      <c r="IC40" s="100">
        <f t="shared" si="279"/>
        <v>-2</v>
      </c>
      <c r="ID40" s="100">
        <f t="shared" si="279"/>
        <v>0</v>
      </c>
      <c r="IE40" s="100">
        <f t="shared" si="279"/>
        <v>-2</v>
      </c>
      <c r="IF40" s="100">
        <f t="shared" si="279"/>
        <v>0</v>
      </c>
      <c r="IG40" s="57" t="str">
        <f t="shared" si="22"/>
        <v>1010000011011000</v>
      </c>
      <c r="IH40" s="57" t="str">
        <f t="shared" si="23"/>
        <v>1011101100111001</v>
      </c>
      <c r="II40" s="100">
        <f>MID(IG40,16,1)*POWER(2,0)+MID(IG40,15,1)*POWER(2,1)+MID(IG40,14,1)*POWER(2,2)+MID(IG40,13,1)*POWER(2,3)+MID(IG40,12,1)*POWER(2,4)+MID(IG40,11,1)*POWER(2,5)+MID(IG40,10,1)*POWER(2,6)+MID(IG40,9,1)*POWER(2,7)+MID(IG40,8,1)*POWER(2,8)+MID(IG40,7,1)*POWER(2,9)+MID(IG40,6,1)*POWER(2,10)+MID(IG40,5,1)*POWER(2,11)+MID(IG40,4,1)*POWER(2,12)+MID(IG40,3,1)*POWER(2,13)+MID(IG40,2,1)*POWER(2,14)+MID(IG40,1,1)*POWER(2,15)-(MID(IG41,16,1)*POWER(2,0)+MID(IG41,15,1)*POWER(2,1)+MID(IG41,14,1)*POWER(2,2)+MID(IG41,13,1)*POWER(2,3)+MID(IG41,12,1)*POWER(2,4)+MID(IG41,11,1)*POWER(2,5)+MID(IG41,10,1)*POWER(2,6)+MID(IG41,9,1)*POWER(2,7)+MID(IG41,8,1)*POWER(2,8)+MID(IG41,7,1)*POWER(2,9)+MID(IG41,6,1)*POWER(2,10)+MID(IG41,5,1)*POWER(2,11)+MID(IG41,4,1)*POWER(2,12)+MID(IG41,3,1)*POWER(2,13)+MID(IG41,2,1)*POWER(2,14)+MID(IG41,1,1)*POWER(2,15))</f>
        <v>-8064</v>
      </c>
      <c r="IJ40" s="100">
        <f>MID(IH40,16,1)*POWER(2,0)+MID(IH40,15,1)*POWER(2,1)+MID(IH40,14,1)*POWER(2,2)+MID(IH40,13,1)*POWER(2,3)+MID(IH40,12,1)*POWER(2,4)+MID(IH40,11,1)*POWER(2,5)+MID(IH40,10,1)*POWER(2,6)+MID(IH40,9,1)*POWER(2,7)+MID(IH40,8,1)*POWER(2,8)+MID(IH40,7,1)*POWER(2,9)+MID(IH40,6,1)*POWER(2,10)+MID(IH40,5,1)*POWER(2,11)+MID(IH40,4,1)*POWER(2,12)+MID(IH40,3,1)*POWER(2,13)+MID(IH40,2,1)*POWER(2,14)+MID(IH40,1,1)*POWER(2,15)-(MID(IH41,16,1)*POWER(2,0)+MID(IH41,15,1)*POWER(2,1)+MID(IH41,14,1)*POWER(2,2)+MID(IH41,13,1)*POWER(2,3)+MID(IH41,12,1)*POWER(2,4)+MID(IH41,11,1)*POWER(2,5)+MID(IH41,10,1)*POWER(2,6)+MID(IH41,9,1)*POWER(2,7)+MID(IH41,8,1)*POWER(2,8)+MID(IH41,7,1)*POWER(2,9)+MID(IH41,6,1)*POWER(2,10)+MID(IH41,5,1)*POWER(2,11)+MID(IH41,4,1)*POWER(2,12)+MID(IH41,3,1)*POWER(2,13)+MID(IH41,2,1)*POWER(2,14)+MID(IH41,1,1)*POWER(2,15))</f>
        <v>-8224</v>
      </c>
      <c r="IL40" s="57"/>
      <c r="IM40" s="57"/>
      <c r="IN40" s="57"/>
      <c r="IO40" s="57"/>
      <c r="IP40" s="55"/>
      <c r="IQ40" s="55"/>
      <c r="IR40" s="55"/>
      <c r="IS40" s="55"/>
      <c r="JB40" s="55"/>
      <c r="JC40" s="55"/>
      <c r="JD40" s="55"/>
      <c r="JE40" s="55"/>
      <c r="JF40" s="55"/>
      <c r="JG40" s="55"/>
      <c r="JH40" s="55"/>
      <c r="JI40" s="55"/>
      <c r="JJ40" s="57"/>
      <c r="JK40" s="57"/>
      <c r="JL40" s="55"/>
      <c r="JM40" s="55"/>
    </row>
    <row r="41" spans="1:273" s="63" customFormat="1" ht="18.600000000000001" thickBot="1" x14ac:dyDescent="0.4">
      <c r="A41" s="59"/>
      <c r="B41" s="60"/>
      <c r="C41" s="61" t="s">
        <v>6</v>
      </c>
      <c r="D41" s="61" t="s">
        <v>67</v>
      </c>
      <c r="E41" s="61">
        <v>58</v>
      </c>
      <c r="F41" s="61" t="s">
        <v>19</v>
      </c>
      <c r="G41" s="61">
        <v>59</v>
      </c>
      <c r="H41" s="61" t="str">
        <f t="shared" si="198"/>
        <v>11000000010110001101101101011001</v>
      </c>
      <c r="I41" s="61">
        <f t="shared" si="199"/>
        <v>15</v>
      </c>
      <c r="J41" s="61"/>
      <c r="K41" s="61"/>
      <c r="L41" s="62" t="str">
        <f>H41</f>
        <v>11000000010110001101101101011001</v>
      </c>
      <c r="M41" s="62" t="str">
        <f t="shared" si="24"/>
        <v>11000000</v>
      </c>
      <c r="N41" s="62" t="str">
        <f t="shared" si="25"/>
        <v>01011000</v>
      </c>
      <c r="O41" s="62" t="str">
        <f t="shared" si="26"/>
        <v>11011011</v>
      </c>
      <c r="P41" s="62" t="str">
        <f t="shared" si="27"/>
        <v>01011001</v>
      </c>
      <c r="Q41" s="101"/>
      <c r="R41" s="101"/>
      <c r="S41" s="101"/>
      <c r="T41" s="101"/>
      <c r="U41" s="63" t="str">
        <f t="shared" si="28"/>
        <v>1100</v>
      </c>
      <c r="V41" s="63" t="str">
        <f t="shared" si="29"/>
        <v>0000</v>
      </c>
      <c r="W41" s="63" t="str">
        <f t="shared" si="30"/>
        <v>0101</v>
      </c>
      <c r="X41" s="63" t="str">
        <f t="shared" si="31"/>
        <v>1000</v>
      </c>
      <c r="Y41" s="63" t="str">
        <f t="shared" si="32"/>
        <v>1101</v>
      </c>
      <c r="Z41" s="63" t="str">
        <f t="shared" si="33"/>
        <v>1011</v>
      </c>
      <c r="AA41" s="63" t="str">
        <f t="shared" si="34"/>
        <v>0101</v>
      </c>
      <c r="AB41" s="63" t="str">
        <f t="shared" si="35"/>
        <v>1001</v>
      </c>
      <c r="AC41" s="101"/>
      <c r="AD41" s="101"/>
      <c r="AE41" s="101"/>
      <c r="AF41" s="101"/>
      <c r="AG41" s="101"/>
      <c r="AH41" s="101"/>
      <c r="AI41" s="101"/>
      <c r="AJ41" s="101"/>
      <c r="AK41" s="62" t="str">
        <f t="shared" si="1"/>
        <v>1100000001011000</v>
      </c>
      <c r="AL41" s="62" t="str">
        <f t="shared" si="2"/>
        <v>1101101101011001</v>
      </c>
      <c r="AM41" s="101"/>
      <c r="AN41" s="101"/>
      <c r="AO41" s="60" t="str">
        <f>L41</f>
        <v>11000000010110001101101101011001</v>
      </c>
      <c r="AP41" s="62" t="str">
        <f t="shared" si="36"/>
        <v>11000000</v>
      </c>
      <c r="AQ41" s="62" t="str">
        <f t="shared" si="37"/>
        <v>01011000</v>
      </c>
      <c r="AR41" s="62" t="str">
        <f t="shared" si="38"/>
        <v>11011011</v>
      </c>
      <c r="AS41" s="62" t="str">
        <f t="shared" si="39"/>
        <v>01011001</v>
      </c>
      <c r="AT41" s="101"/>
      <c r="AU41" s="101"/>
      <c r="AV41" s="101"/>
      <c r="AW41" s="101"/>
      <c r="AX41" s="63" t="str">
        <f t="shared" si="40"/>
        <v>1100</v>
      </c>
      <c r="AY41" s="63" t="str">
        <f t="shared" si="41"/>
        <v>0000</v>
      </c>
      <c r="AZ41" s="63" t="str">
        <f t="shared" si="42"/>
        <v>0101</v>
      </c>
      <c r="BA41" s="63" t="str">
        <f t="shared" si="43"/>
        <v>1000</v>
      </c>
      <c r="BB41" s="63" t="str">
        <f t="shared" si="44"/>
        <v>1101</v>
      </c>
      <c r="BC41" s="63" t="str">
        <f t="shared" si="45"/>
        <v>1011</v>
      </c>
      <c r="BD41" s="63" t="str">
        <f t="shared" si="46"/>
        <v>0101</v>
      </c>
      <c r="BE41" s="63" t="str">
        <f t="shared" si="47"/>
        <v>1001</v>
      </c>
      <c r="BF41" s="101"/>
      <c r="BG41" s="101"/>
      <c r="BH41" s="101"/>
      <c r="BI41" s="101"/>
      <c r="BJ41" s="101"/>
      <c r="BK41" s="101"/>
      <c r="BL41" s="101"/>
      <c r="BM41" s="101"/>
      <c r="BN41" s="62" t="str">
        <f t="shared" si="4"/>
        <v>1100000001011000</v>
      </c>
      <c r="BO41" s="62" t="str">
        <f t="shared" si="5"/>
        <v>1101101101011001</v>
      </c>
      <c r="BP41" s="101"/>
      <c r="BQ41" s="101"/>
      <c r="BR41" s="60" t="str">
        <f>CONCATENATE(MID(L41,1,1)*MID(K40,1,1),MID(L41,2,1)*MID(K40,2,1),MID(L41,3,1)*MID(K40,3,1),MID(L41,4,1)*MID(K40,4,1),MID(L41,5,1)*MID(K40,5,1),MID(L41,6,1)*MID(K40,6,1),MID(L41,7,1)*MID(K40,7,1),MID(L41,8,1)*MID(K40,8,1),MID(L41,9,1)*MID(K40,1,1),MID(L41,10,1)*MID(K40,2,1),MID(L41,11,1)*MID(K40,3,1),MID(L41,12,1)*MID(K40,4,1),MID(L41,13,1)*MID(K40,5,1),MID(L41,14,1)*MID(K40,6,1),MID(L41,15,1)*MID(K40,7,1),MID(L41,16,1)*MID(K40,8,1),MID(L41,17,1)*MID(K40,1,1),MID(L41,18,1)*MID(K40,2,1),MID(L41,19,1)*MID(K40,3,1),MID(L41,20,1)*MID(K40,4,1),MID(L41,21,1)*MID(K40,5,1),MID(L41,22,1)*MID(K40,6,1),MID(L41,23,1)*MID(K40,7,1),MID(L41,24,1)*MID(K40,8,1),MID(L41,25,1)*MID(K40,1,1),MID(L41,26,1)*MID(K40,2,1),MID(L41,27,1)*MID(K40,3,1),MID(L41,28,1)*MID(K40,4,1),MID(L41,29,1)*MID(K40,5,1),MID(L41,30,1)*MID(K40,6,1),MID(L41,31,1)*MID(K40,7,1),MID(L41,32,1)*MID(K40,8,1))</f>
        <v>11000000010110001101101101011001</v>
      </c>
      <c r="BS41" s="62" t="str">
        <f t="shared" si="48"/>
        <v>11000000</v>
      </c>
      <c r="BT41" s="62" t="str">
        <f t="shared" si="49"/>
        <v>01011000</v>
      </c>
      <c r="BU41" s="62" t="str">
        <f t="shared" si="50"/>
        <v>11011011</v>
      </c>
      <c r="BV41" s="62" t="str">
        <f t="shared" si="51"/>
        <v>01011001</v>
      </c>
      <c r="BW41" s="101"/>
      <c r="BX41" s="101"/>
      <c r="BY41" s="101"/>
      <c r="BZ41" s="101"/>
      <c r="CA41" s="63" t="str">
        <f t="shared" si="52"/>
        <v>1100</v>
      </c>
      <c r="CB41" s="63" t="str">
        <f t="shared" si="53"/>
        <v>0000</v>
      </c>
      <c r="CC41" s="63" t="str">
        <f t="shared" si="54"/>
        <v>0101</v>
      </c>
      <c r="CD41" s="63" t="str">
        <f t="shared" si="55"/>
        <v>1000</v>
      </c>
      <c r="CE41" s="63" t="str">
        <f t="shared" si="56"/>
        <v>1101</v>
      </c>
      <c r="CF41" s="63" t="str">
        <f t="shared" si="57"/>
        <v>1011</v>
      </c>
      <c r="CG41" s="63" t="str">
        <f t="shared" si="58"/>
        <v>0101</v>
      </c>
      <c r="CH41" s="63" t="str">
        <f t="shared" si="59"/>
        <v>1001</v>
      </c>
      <c r="CI41" s="101"/>
      <c r="CJ41" s="101"/>
      <c r="CK41" s="101"/>
      <c r="CL41" s="101"/>
      <c r="CM41" s="101"/>
      <c r="CN41" s="101"/>
      <c r="CO41" s="101"/>
      <c r="CP41" s="101"/>
      <c r="CQ41" s="62" t="str">
        <f t="shared" si="7"/>
        <v>1100000001011000</v>
      </c>
      <c r="CR41" s="62" t="str">
        <f t="shared" si="8"/>
        <v>1101101101011001</v>
      </c>
      <c r="CS41" s="101"/>
      <c r="CT41" s="101"/>
      <c r="CU41" s="60" t="str">
        <f>CONCATENATE(MID($L41,1,1)*MID($K40,1,1),MID($L41,2,1)*MID($K40,2,1),MID($L41,3,1)*MID($K40,3,1),MID($L41,4,1)*MID($K40,4,1),MID($L41,5,1)*MID($K40,5,1),MID($L41,6,1)*MID($K40,6,1),MID($L41,7,1)*MID($K40,7,1),MID($L41,8,1)*MID($K40,8,1),MID($L41,9,1)*MID($K40,1,1),MID($L41,10,1)*MID($K40,2,1),MID($L41,11,1)*MID($K40,3,1),MID($L41,12,1)*MID($K40,4,1),MID($L41,13,1)*MID($K40,5,1),MID($L41,14,1)*MID($K40,6,1),MID($L41,15,1)*MID($K40,7,1),MID($L41,16,1)*MID($K40,8,1),MID($L41,17,1)*MID($K40,1,1),MID($L41,18,1)*MID($K40,2,1),MID($L41,19,1)*MID($K40,3,1),MID($L41,20,1)*MID($K40,4,1),MID($L41,21,1)*MID($K40,5,1),MID($L41,22,1)*MID($K40,6,1),MID($L41,23,1)*MID($K40,7,1),MID($L41,24,1)*MID($K40,8,1),MID($L41,25,1)*MID($K40,1,1),MID($L41,26,1)*MID($K40,2,1),MID($L41,27,1)*MID($K40,3,1),MID($L41,28,1)*MID($K40,4,1),MID($L41,29,1)*MID($K40,5,1),MID($L41,30,1)*MID($K40,6,1),MID($L41,31,1)*MID($K40,7,1),MID($L41,32,1)*MID($K40,8,1))</f>
        <v>11000000010110001101101101011001</v>
      </c>
      <c r="CV41" s="62" t="str">
        <f t="shared" si="60"/>
        <v>11000000</v>
      </c>
      <c r="CW41" s="62" t="str">
        <f t="shared" si="61"/>
        <v>01011000</v>
      </c>
      <c r="CX41" s="62" t="str">
        <f t="shared" si="62"/>
        <v>11011011</v>
      </c>
      <c r="CY41" s="62" t="str">
        <f t="shared" si="63"/>
        <v>01011001</v>
      </c>
      <c r="CZ41" s="101"/>
      <c r="DA41" s="101"/>
      <c r="DB41" s="101"/>
      <c r="DC41" s="101"/>
      <c r="DD41" s="63" t="str">
        <f t="shared" si="64"/>
        <v>1100</v>
      </c>
      <c r="DE41" s="63" t="str">
        <f t="shared" si="65"/>
        <v>0000</v>
      </c>
      <c r="DF41" s="63" t="str">
        <f t="shared" si="66"/>
        <v>0101</v>
      </c>
      <c r="DG41" s="63" t="str">
        <f t="shared" si="67"/>
        <v>1000</v>
      </c>
      <c r="DH41" s="63" t="str">
        <f t="shared" si="68"/>
        <v>1101</v>
      </c>
      <c r="DI41" s="63" t="str">
        <f t="shared" si="69"/>
        <v>1011</v>
      </c>
      <c r="DJ41" s="63" t="str">
        <f t="shared" si="70"/>
        <v>0101</v>
      </c>
      <c r="DK41" s="63" t="str">
        <f t="shared" si="71"/>
        <v>1001</v>
      </c>
      <c r="DL41" s="101"/>
      <c r="DM41" s="101"/>
      <c r="DN41" s="101"/>
      <c r="DO41" s="101"/>
      <c r="DP41" s="101"/>
      <c r="DQ41" s="101"/>
      <c r="DR41" s="101"/>
      <c r="DS41" s="101"/>
      <c r="DT41" s="62" t="str">
        <f t="shared" si="10"/>
        <v>1100000001011000</v>
      </c>
      <c r="DU41" s="62" t="str">
        <f t="shared" si="11"/>
        <v>1101101101011001</v>
      </c>
      <c r="DV41" s="101"/>
      <c r="DW41" s="101"/>
      <c r="DX41" s="60"/>
      <c r="DY41" s="63" t="str">
        <f>H41</f>
        <v>11000000010110001101101101011001</v>
      </c>
      <c r="DZ41" s="62" t="str">
        <f t="shared" si="122"/>
        <v>11000000</v>
      </c>
      <c r="EA41" s="62" t="str">
        <f t="shared" si="72"/>
        <v>01011000</v>
      </c>
      <c r="EB41" s="62" t="str">
        <f t="shared" si="73"/>
        <v>11011011</v>
      </c>
      <c r="EC41" s="62" t="str">
        <f t="shared" si="74"/>
        <v>01011001</v>
      </c>
      <c r="ED41" s="101"/>
      <c r="EE41" s="101"/>
      <c r="EF41" s="101"/>
      <c r="EG41" s="101"/>
      <c r="EH41" s="63" t="str">
        <f t="shared" si="75"/>
        <v>1100</v>
      </c>
      <c r="EI41" s="63" t="str">
        <f t="shared" si="76"/>
        <v>0000</v>
      </c>
      <c r="EJ41" s="63" t="str">
        <f t="shared" si="77"/>
        <v>0101</v>
      </c>
      <c r="EK41" s="63" t="str">
        <f t="shared" si="78"/>
        <v>1000</v>
      </c>
      <c r="EL41" s="63" t="str">
        <f t="shared" si="79"/>
        <v>1101</v>
      </c>
      <c r="EM41" s="63" t="str">
        <f t="shared" si="80"/>
        <v>1011</v>
      </c>
      <c r="EN41" s="63" t="str">
        <f t="shared" si="81"/>
        <v>0101</v>
      </c>
      <c r="EO41" s="63" t="str">
        <f t="shared" si="82"/>
        <v>1001</v>
      </c>
      <c r="EP41" s="101"/>
      <c r="EQ41" s="101"/>
      <c r="ER41" s="101"/>
      <c r="ES41" s="101"/>
      <c r="ET41" s="101"/>
      <c r="EU41" s="101"/>
      <c r="EV41" s="101"/>
      <c r="EW41" s="101"/>
      <c r="EX41" s="62" t="str">
        <f t="shared" si="13"/>
        <v>1100000001011000</v>
      </c>
      <c r="EY41" s="62" t="str">
        <f t="shared" si="14"/>
        <v>1101101101011001</v>
      </c>
      <c r="EZ41" s="101"/>
      <c r="FA41" s="101"/>
      <c r="FB41" s="63" t="str">
        <f>H41</f>
        <v>11000000010110001101101101011001</v>
      </c>
      <c r="FC41" s="62" t="str">
        <f t="shared" si="124"/>
        <v>11000000</v>
      </c>
      <c r="FD41" s="62" t="str">
        <f t="shared" si="83"/>
        <v>01011000</v>
      </c>
      <c r="FE41" s="62" t="str">
        <f t="shared" si="84"/>
        <v>11011011</v>
      </c>
      <c r="FF41" s="62" t="str">
        <f t="shared" si="85"/>
        <v>01011001</v>
      </c>
      <c r="FG41" s="101"/>
      <c r="FH41" s="101"/>
      <c r="FI41" s="101"/>
      <c r="FJ41" s="101"/>
      <c r="FK41" s="63" t="str">
        <f t="shared" si="86"/>
        <v>1100</v>
      </c>
      <c r="FL41" s="63" t="str">
        <f t="shared" si="87"/>
        <v>0000</v>
      </c>
      <c r="FM41" s="63" t="str">
        <f t="shared" si="88"/>
        <v>0101</v>
      </c>
      <c r="FN41" s="63" t="str">
        <f t="shared" si="89"/>
        <v>1000</v>
      </c>
      <c r="FO41" s="63" t="str">
        <f t="shared" si="90"/>
        <v>1101</v>
      </c>
      <c r="FP41" s="63" t="str">
        <f t="shared" si="91"/>
        <v>1011</v>
      </c>
      <c r="FQ41" s="63" t="str">
        <f t="shared" si="92"/>
        <v>0101</v>
      </c>
      <c r="FR41" s="63" t="str">
        <f t="shared" si="93"/>
        <v>1001</v>
      </c>
      <c r="FS41" s="101"/>
      <c r="FT41" s="101"/>
      <c r="FU41" s="101"/>
      <c r="FV41" s="101"/>
      <c r="FW41" s="101"/>
      <c r="FX41" s="101"/>
      <c r="FY41" s="101"/>
      <c r="FZ41" s="101"/>
      <c r="GA41" s="62" t="str">
        <f t="shared" si="16"/>
        <v>1100000001011000</v>
      </c>
      <c r="GB41" s="62" t="str">
        <f t="shared" si="17"/>
        <v>1101101101011001</v>
      </c>
      <c r="GC41" s="101"/>
      <c r="GD41" s="101"/>
      <c r="GE41" s="63" t="str">
        <f>BR41</f>
        <v>11000000010110001101101101011001</v>
      </c>
      <c r="GF41" s="62" t="str">
        <f t="shared" si="126"/>
        <v>11000000</v>
      </c>
      <c r="GG41" s="62" t="str">
        <f t="shared" si="94"/>
        <v>01011000</v>
      </c>
      <c r="GH41" s="62" t="str">
        <f t="shared" si="95"/>
        <v>11011011</v>
      </c>
      <c r="GI41" s="62" t="str">
        <f t="shared" si="96"/>
        <v>01011001</v>
      </c>
      <c r="GJ41" s="101"/>
      <c r="GK41" s="101"/>
      <c r="GL41" s="101"/>
      <c r="GM41" s="101"/>
      <c r="GN41" s="63" t="str">
        <f t="shared" si="97"/>
        <v>1100</v>
      </c>
      <c r="GO41" s="63" t="str">
        <f t="shared" si="98"/>
        <v>0000</v>
      </c>
      <c r="GP41" s="63" t="str">
        <f t="shared" si="99"/>
        <v>0101</v>
      </c>
      <c r="GQ41" s="63" t="str">
        <f t="shared" si="100"/>
        <v>1000</v>
      </c>
      <c r="GR41" s="63" t="str">
        <f t="shared" si="101"/>
        <v>1101</v>
      </c>
      <c r="GS41" s="63" t="str">
        <f t="shared" si="102"/>
        <v>1011</v>
      </c>
      <c r="GT41" s="63" t="str">
        <f t="shared" si="103"/>
        <v>0101</v>
      </c>
      <c r="GU41" s="63" t="str">
        <f t="shared" si="104"/>
        <v>1001</v>
      </c>
      <c r="GV41" s="101"/>
      <c r="GW41" s="101"/>
      <c r="GX41" s="101"/>
      <c r="GY41" s="101"/>
      <c r="GZ41" s="101"/>
      <c r="HA41" s="101"/>
      <c r="HB41" s="101"/>
      <c r="HC41" s="101"/>
      <c r="HD41" s="62" t="str">
        <f t="shared" si="19"/>
        <v>1100000001011000</v>
      </c>
      <c r="HE41" s="62" t="str">
        <f t="shared" si="20"/>
        <v>1101101101011001</v>
      </c>
      <c r="HF41" s="101"/>
      <c r="HG41" s="101"/>
      <c r="HH41" s="63" t="str">
        <f>GE41</f>
        <v>11000000010110001101101101011001</v>
      </c>
      <c r="HI41" s="62" t="str">
        <f t="shared" si="128"/>
        <v>11000000</v>
      </c>
      <c r="HJ41" s="62" t="str">
        <f t="shared" si="105"/>
        <v>01011000</v>
      </c>
      <c r="HK41" s="62" t="str">
        <f t="shared" si="106"/>
        <v>11011011</v>
      </c>
      <c r="HL41" s="62" t="str">
        <f t="shared" si="107"/>
        <v>01011001</v>
      </c>
      <c r="HM41" s="101"/>
      <c r="HN41" s="101"/>
      <c r="HO41" s="101"/>
      <c r="HP41" s="101"/>
      <c r="HQ41" s="63" t="str">
        <f t="shared" si="108"/>
        <v>1100</v>
      </c>
      <c r="HR41" s="63" t="str">
        <f t="shared" si="109"/>
        <v>0000</v>
      </c>
      <c r="HS41" s="63" t="str">
        <f t="shared" si="110"/>
        <v>0101</v>
      </c>
      <c r="HT41" s="63" t="str">
        <f t="shared" si="111"/>
        <v>1000</v>
      </c>
      <c r="HU41" s="63" t="str">
        <f t="shared" si="112"/>
        <v>1101</v>
      </c>
      <c r="HV41" s="63" t="str">
        <f t="shared" si="113"/>
        <v>1011</v>
      </c>
      <c r="HW41" s="63" t="str">
        <f t="shared" si="114"/>
        <v>0101</v>
      </c>
      <c r="HX41" s="63" t="str">
        <f t="shared" si="115"/>
        <v>1001</v>
      </c>
      <c r="HY41" s="101"/>
      <c r="HZ41" s="101"/>
      <c r="IA41" s="101"/>
      <c r="IB41" s="101"/>
      <c r="IC41" s="101"/>
      <c r="ID41" s="101"/>
      <c r="IE41" s="101"/>
      <c r="IF41" s="101"/>
      <c r="IG41" s="62" t="str">
        <f t="shared" si="22"/>
        <v>1100000001011000</v>
      </c>
      <c r="IH41" s="62" t="str">
        <f t="shared" si="23"/>
        <v>1101101101011001</v>
      </c>
      <c r="II41" s="101"/>
      <c r="IJ41" s="101"/>
      <c r="IL41" s="62"/>
      <c r="IM41" s="62"/>
      <c r="IN41" s="62"/>
      <c r="IO41" s="62"/>
      <c r="IP41" s="60"/>
      <c r="IQ41" s="60"/>
      <c r="IR41" s="60"/>
      <c r="IS41" s="60"/>
      <c r="JB41" s="60"/>
      <c r="JC41" s="60"/>
      <c r="JD41" s="60"/>
      <c r="JE41" s="60"/>
      <c r="JF41" s="60"/>
      <c r="JG41" s="60"/>
      <c r="JH41" s="60"/>
      <c r="JI41" s="60"/>
      <c r="JJ41" s="62"/>
      <c r="JK41" s="62"/>
      <c r="JL41" s="60"/>
      <c r="JM41" s="60"/>
    </row>
  </sheetData>
  <mergeCells count="2290">
    <mergeCell ref="II34:II35"/>
    <mergeCell ref="II40:II41"/>
    <mergeCell ref="IJ40:IJ41"/>
    <mergeCell ref="IE38:IE39"/>
    <mergeCell ref="IF38:IF39"/>
    <mergeCell ref="II38:II39"/>
    <mergeCell ref="IJ38:IJ39"/>
    <mergeCell ref="HM40:HM41"/>
    <mergeCell ref="HN40:HN41"/>
    <mergeCell ref="HO40:HO41"/>
    <mergeCell ref="HP40:HP41"/>
    <mergeCell ref="HY40:HY41"/>
    <mergeCell ref="HZ40:HZ41"/>
    <mergeCell ref="IA40:IA41"/>
    <mergeCell ref="IB40:IB41"/>
    <mergeCell ref="IC40:IC41"/>
    <mergeCell ref="ID40:ID41"/>
    <mergeCell ref="IE40:IE41"/>
    <mergeCell ref="IF40:IF41"/>
    <mergeCell ref="HZ38:HZ39"/>
    <mergeCell ref="IA38:IA39"/>
    <mergeCell ref="IB38:IB39"/>
    <mergeCell ref="IC38:IC39"/>
    <mergeCell ref="ID38:ID39"/>
    <mergeCell ref="HM38:HM39"/>
    <mergeCell ref="HN38:HN39"/>
    <mergeCell ref="HO38:HO39"/>
    <mergeCell ref="HP38:HP39"/>
    <mergeCell ref="HY38:HY39"/>
    <mergeCell ref="IJ34:IJ35"/>
    <mergeCell ref="HM36:HM37"/>
    <mergeCell ref="HN36:HN37"/>
    <mergeCell ref="HO36:HO37"/>
    <mergeCell ref="HP36:HP37"/>
    <mergeCell ref="HY36:HY37"/>
    <mergeCell ref="HZ36:HZ37"/>
    <mergeCell ref="IA36:IA37"/>
    <mergeCell ref="IB36:IB37"/>
    <mergeCell ref="IC36:IC37"/>
    <mergeCell ref="ID36:ID37"/>
    <mergeCell ref="IE36:IE37"/>
    <mergeCell ref="IF36:IF37"/>
    <mergeCell ref="II36:II37"/>
    <mergeCell ref="IJ36:IJ37"/>
    <mergeCell ref="IE32:IE33"/>
    <mergeCell ref="IF32:IF33"/>
    <mergeCell ref="II32:II33"/>
    <mergeCell ref="IJ32:IJ33"/>
    <mergeCell ref="HM34:HM35"/>
    <mergeCell ref="HN34:HN35"/>
    <mergeCell ref="HO34:HO35"/>
    <mergeCell ref="HP34:HP35"/>
    <mergeCell ref="HY34:HY35"/>
    <mergeCell ref="HZ34:HZ35"/>
    <mergeCell ref="IA34:IA35"/>
    <mergeCell ref="IB34:IB35"/>
    <mergeCell ref="IC34:IC35"/>
    <mergeCell ref="ID34:ID35"/>
    <mergeCell ref="IE34:IE35"/>
    <mergeCell ref="IF34:IF35"/>
    <mergeCell ref="HZ32:HZ33"/>
    <mergeCell ref="IA32:IA33"/>
    <mergeCell ref="IB32:IB33"/>
    <mergeCell ref="IC32:IC33"/>
    <mergeCell ref="ID32:ID33"/>
    <mergeCell ref="HM32:HM33"/>
    <mergeCell ref="HN32:HN33"/>
    <mergeCell ref="HO32:HO33"/>
    <mergeCell ref="HP32:HP33"/>
    <mergeCell ref="HY32:HY33"/>
    <mergeCell ref="II28:II29"/>
    <mergeCell ref="IJ28:IJ29"/>
    <mergeCell ref="HM30:HM31"/>
    <mergeCell ref="HN30:HN31"/>
    <mergeCell ref="HO30:HO31"/>
    <mergeCell ref="HP30:HP31"/>
    <mergeCell ref="HY30:HY31"/>
    <mergeCell ref="HZ30:HZ31"/>
    <mergeCell ref="IA30:IA31"/>
    <mergeCell ref="IB30:IB31"/>
    <mergeCell ref="IC30:IC31"/>
    <mergeCell ref="ID30:ID31"/>
    <mergeCell ref="IE30:IE31"/>
    <mergeCell ref="IF30:IF31"/>
    <mergeCell ref="II30:II31"/>
    <mergeCell ref="IJ30:IJ31"/>
    <mergeCell ref="IE26:IE27"/>
    <mergeCell ref="IF26:IF27"/>
    <mergeCell ref="II26:II27"/>
    <mergeCell ref="IJ26:IJ27"/>
    <mergeCell ref="HM28:HM29"/>
    <mergeCell ref="HN28:HN29"/>
    <mergeCell ref="HO28:HO29"/>
    <mergeCell ref="HP28:HP29"/>
    <mergeCell ref="HY28:HY29"/>
    <mergeCell ref="HZ28:HZ29"/>
    <mergeCell ref="IA28:IA29"/>
    <mergeCell ref="IB28:IB29"/>
    <mergeCell ref="IC28:IC29"/>
    <mergeCell ref="ID28:ID29"/>
    <mergeCell ref="IE28:IE29"/>
    <mergeCell ref="IF28:IF29"/>
    <mergeCell ref="HZ26:HZ27"/>
    <mergeCell ref="IA26:IA27"/>
    <mergeCell ref="IB26:IB27"/>
    <mergeCell ref="IC26:IC27"/>
    <mergeCell ref="ID26:ID27"/>
    <mergeCell ref="HM26:HM27"/>
    <mergeCell ref="HN26:HN27"/>
    <mergeCell ref="HO26:HO27"/>
    <mergeCell ref="HP26:HP27"/>
    <mergeCell ref="HY26:HY27"/>
    <mergeCell ref="II22:II23"/>
    <mergeCell ref="IJ22:IJ23"/>
    <mergeCell ref="HM24:HM25"/>
    <mergeCell ref="HN24:HN25"/>
    <mergeCell ref="HO24:HO25"/>
    <mergeCell ref="HP24:HP25"/>
    <mergeCell ref="HY24:HY25"/>
    <mergeCell ref="HZ24:HZ25"/>
    <mergeCell ref="IA24:IA25"/>
    <mergeCell ref="IB24:IB25"/>
    <mergeCell ref="IC24:IC25"/>
    <mergeCell ref="ID24:ID25"/>
    <mergeCell ref="IE24:IE25"/>
    <mergeCell ref="IF24:IF25"/>
    <mergeCell ref="II24:II25"/>
    <mergeCell ref="IJ24:IJ25"/>
    <mergeCell ref="IE20:IE21"/>
    <mergeCell ref="IF20:IF21"/>
    <mergeCell ref="II20:II21"/>
    <mergeCell ref="IJ20:IJ21"/>
    <mergeCell ref="HM22:HM23"/>
    <mergeCell ref="HN22:HN23"/>
    <mergeCell ref="HO22:HO23"/>
    <mergeCell ref="HP22:HP23"/>
    <mergeCell ref="HY22:HY23"/>
    <mergeCell ref="HZ22:HZ23"/>
    <mergeCell ref="IA22:IA23"/>
    <mergeCell ref="IB22:IB23"/>
    <mergeCell ref="IC22:IC23"/>
    <mergeCell ref="ID22:ID23"/>
    <mergeCell ref="IE22:IE23"/>
    <mergeCell ref="IF22:IF23"/>
    <mergeCell ref="HZ20:HZ21"/>
    <mergeCell ref="IA20:IA21"/>
    <mergeCell ref="IB20:IB21"/>
    <mergeCell ref="IC20:IC21"/>
    <mergeCell ref="ID20:ID21"/>
    <mergeCell ref="HM20:HM21"/>
    <mergeCell ref="HN20:HN21"/>
    <mergeCell ref="HO20:HO21"/>
    <mergeCell ref="HP20:HP21"/>
    <mergeCell ref="HY20:HY21"/>
    <mergeCell ref="II16:II17"/>
    <mergeCell ref="IJ16:IJ17"/>
    <mergeCell ref="HM18:HM19"/>
    <mergeCell ref="HN18:HN19"/>
    <mergeCell ref="HO18:HO19"/>
    <mergeCell ref="HP18:HP19"/>
    <mergeCell ref="HY18:HY19"/>
    <mergeCell ref="HZ18:HZ19"/>
    <mergeCell ref="IA18:IA19"/>
    <mergeCell ref="IB18:IB19"/>
    <mergeCell ref="IC18:IC19"/>
    <mergeCell ref="ID18:ID19"/>
    <mergeCell ref="IE18:IE19"/>
    <mergeCell ref="IF18:IF19"/>
    <mergeCell ref="II18:II19"/>
    <mergeCell ref="IJ18:IJ19"/>
    <mergeCell ref="IE14:IE15"/>
    <mergeCell ref="IF14:IF15"/>
    <mergeCell ref="II14:II15"/>
    <mergeCell ref="IJ14:IJ15"/>
    <mergeCell ref="HM16:HM17"/>
    <mergeCell ref="HN16:HN17"/>
    <mergeCell ref="HO16:HO17"/>
    <mergeCell ref="HP16:HP17"/>
    <mergeCell ref="HY16:HY17"/>
    <mergeCell ref="HZ16:HZ17"/>
    <mergeCell ref="IA16:IA17"/>
    <mergeCell ref="IB16:IB17"/>
    <mergeCell ref="IC16:IC17"/>
    <mergeCell ref="ID16:ID17"/>
    <mergeCell ref="IE16:IE17"/>
    <mergeCell ref="IF16:IF17"/>
    <mergeCell ref="HZ14:HZ15"/>
    <mergeCell ref="IA14:IA15"/>
    <mergeCell ref="IB14:IB15"/>
    <mergeCell ref="IC14:IC15"/>
    <mergeCell ref="ID14:ID15"/>
    <mergeCell ref="HM14:HM15"/>
    <mergeCell ref="HN14:HN15"/>
    <mergeCell ref="HO14:HO15"/>
    <mergeCell ref="HP14:HP15"/>
    <mergeCell ref="HY14:HY15"/>
    <mergeCell ref="IJ10:IJ11"/>
    <mergeCell ref="HM12:HM13"/>
    <mergeCell ref="HN12:HN13"/>
    <mergeCell ref="HO12:HO13"/>
    <mergeCell ref="HP12:HP13"/>
    <mergeCell ref="HY12:HY13"/>
    <mergeCell ref="HZ12:HZ13"/>
    <mergeCell ref="IA12:IA13"/>
    <mergeCell ref="IB12:IB13"/>
    <mergeCell ref="IC12:IC13"/>
    <mergeCell ref="ID12:ID13"/>
    <mergeCell ref="IE12:IE13"/>
    <mergeCell ref="IF12:IF13"/>
    <mergeCell ref="II12:II13"/>
    <mergeCell ref="IJ12:IJ13"/>
    <mergeCell ref="IC10:IC11"/>
    <mergeCell ref="ID10:ID11"/>
    <mergeCell ref="IE10:IE11"/>
    <mergeCell ref="IF10:IF11"/>
    <mergeCell ref="II10:II11"/>
    <mergeCell ref="HP10:HP11"/>
    <mergeCell ref="HY10:HY11"/>
    <mergeCell ref="HZ10:HZ11"/>
    <mergeCell ref="IA10:IA11"/>
    <mergeCell ref="IB10:IB11"/>
    <mergeCell ref="ID8:ID9"/>
    <mergeCell ref="IE8:IE9"/>
    <mergeCell ref="IF8:IF9"/>
    <mergeCell ref="II8:II9"/>
    <mergeCell ref="IJ8:IJ9"/>
    <mergeCell ref="HY8:HY9"/>
    <mergeCell ref="HZ8:HZ9"/>
    <mergeCell ref="IA8:IA9"/>
    <mergeCell ref="IB8:IB9"/>
    <mergeCell ref="IC8:IC9"/>
    <mergeCell ref="ID6:ID7"/>
    <mergeCell ref="IE6:IE7"/>
    <mergeCell ref="IF6:IF7"/>
    <mergeCell ref="II6:II7"/>
    <mergeCell ref="IJ6:IJ7"/>
    <mergeCell ref="HY6:HY7"/>
    <mergeCell ref="HZ6:HZ7"/>
    <mergeCell ref="IA6:IA7"/>
    <mergeCell ref="IB6:IB7"/>
    <mergeCell ref="IC6:IC7"/>
    <mergeCell ref="IJ2:IJ3"/>
    <mergeCell ref="HM4:HM5"/>
    <mergeCell ref="HN4:HN5"/>
    <mergeCell ref="HO4:HO5"/>
    <mergeCell ref="HP4:HP5"/>
    <mergeCell ref="HY4:HY5"/>
    <mergeCell ref="HZ4:HZ5"/>
    <mergeCell ref="IA4:IA5"/>
    <mergeCell ref="IB4:IB5"/>
    <mergeCell ref="IC4:IC5"/>
    <mergeCell ref="ID4:ID5"/>
    <mergeCell ref="IE4:IE5"/>
    <mergeCell ref="IF4:IF5"/>
    <mergeCell ref="II4:II5"/>
    <mergeCell ref="IJ4:IJ5"/>
    <mergeCell ref="HY1:IF1"/>
    <mergeCell ref="IG1:IH1"/>
    <mergeCell ref="II1:IJ1"/>
    <mergeCell ref="HM2:HM3"/>
    <mergeCell ref="HN2:HN3"/>
    <mergeCell ref="HO2:HO3"/>
    <mergeCell ref="HP2:HP3"/>
    <mergeCell ref="HY2:HY3"/>
    <mergeCell ref="HZ2:HZ3"/>
    <mergeCell ref="IA2:IA3"/>
    <mergeCell ref="IB2:IB3"/>
    <mergeCell ref="IC2:IC3"/>
    <mergeCell ref="ID2:ID3"/>
    <mergeCell ref="IE2:IE3"/>
    <mergeCell ref="IF2:IF3"/>
    <mergeCell ref="II2:II3"/>
    <mergeCell ref="HF40:HF41"/>
    <mergeCell ref="HG40:HG41"/>
    <mergeCell ref="HI1:HL1"/>
    <mergeCell ref="HM1:HP1"/>
    <mergeCell ref="HQ1:HX1"/>
    <mergeCell ref="HM6:HM7"/>
    <mergeCell ref="HN6:HN7"/>
    <mergeCell ref="HO6:HO7"/>
    <mergeCell ref="HP6:HP7"/>
    <mergeCell ref="HM8:HM9"/>
    <mergeCell ref="HN8:HN9"/>
    <mergeCell ref="HO8:HO9"/>
    <mergeCell ref="HP8:HP9"/>
    <mergeCell ref="HM10:HM11"/>
    <mergeCell ref="HN10:HN11"/>
    <mergeCell ref="HO10:HO11"/>
    <mergeCell ref="HB38:HB39"/>
    <mergeCell ref="HC38:HC39"/>
    <mergeCell ref="HF38:HF39"/>
    <mergeCell ref="HG38:HG39"/>
    <mergeCell ref="HF34:HF35"/>
    <mergeCell ref="HG34:HG35"/>
    <mergeCell ref="HB26:HB27"/>
    <mergeCell ref="HC26:HC27"/>
    <mergeCell ref="HF26:HF27"/>
    <mergeCell ref="HG26:HG27"/>
    <mergeCell ref="HB20:HB21"/>
    <mergeCell ref="HC20:HC21"/>
    <mergeCell ref="HF20:HF21"/>
    <mergeCell ref="HG20:HG21"/>
    <mergeCell ref="HF16:HF17"/>
    <mergeCell ref="HG16:HG17"/>
    <mergeCell ref="GJ40:GJ41"/>
    <mergeCell ref="GK40:GK41"/>
    <mergeCell ref="GL40:GL41"/>
    <mergeCell ref="GM40:GM41"/>
    <mergeCell ref="GV40:GV41"/>
    <mergeCell ref="GW40:GW41"/>
    <mergeCell ref="GX40:GX41"/>
    <mergeCell ref="GY40:GY41"/>
    <mergeCell ref="GZ40:GZ41"/>
    <mergeCell ref="HA40:HA41"/>
    <mergeCell ref="HB40:HB41"/>
    <mergeCell ref="HC40:HC41"/>
    <mergeCell ref="GW38:GW39"/>
    <mergeCell ref="GX38:GX39"/>
    <mergeCell ref="GY38:GY39"/>
    <mergeCell ref="GZ38:GZ39"/>
    <mergeCell ref="HA38:HA39"/>
    <mergeCell ref="GJ38:GJ39"/>
    <mergeCell ref="GK38:GK39"/>
    <mergeCell ref="GL38:GL39"/>
    <mergeCell ref="GM38:GM39"/>
    <mergeCell ref="GV38:GV39"/>
    <mergeCell ref="GJ36:GJ37"/>
    <mergeCell ref="GK36:GK37"/>
    <mergeCell ref="GL36:GL37"/>
    <mergeCell ref="GM36:GM37"/>
    <mergeCell ref="GV36:GV37"/>
    <mergeCell ref="GW36:GW37"/>
    <mergeCell ref="GX36:GX37"/>
    <mergeCell ref="GY36:GY37"/>
    <mergeCell ref="GZ36:GZ37"/>
    <mergeCell ref="HA36:HA37"/>
    <mergeCell ref="HB36:HB37"/>
    <mergeCell ref="HC36:HC37"/>
    <mergeCell ref="HF36:HF37"/>
    <mergeCell ref="HG36:HG37"/>
    <mergeCell ref="HB32:HB33"/>
    <mergeCell ref="HC32:HC33"/>
    <mergeCell ref="HF32:HF33"/>
    <mergeCell ref="HG32:HG33"/>
    <mergeCell ref="GJ34:GJ35"/>
    <mergeCell ref="GK34:GK35"/>
    <mergeCell ref="GL34:GL35"/>
    <mergeCell ref="GM34:GM35"/>
    <mergeCell ref="GV34:GV35"/>
    <mergeCell ref="GW34:GW35"/>
    <mergeCell ref="GX34:GX35"/>
    <mergeCell ref="GY34:GY35"/>
    <mergeCell ref="GZ34:GZ35"/>
    <mergeCell ref="HA34:HA35"/>
    <mergeCell ref="HB34:HB35"/>
    <mergeCell ref="HC34:HC35"/>
    <mergeCell ref="GW32:GW33"/>
    <mergeCell ref="GX32:GX33"/>
    <mergeCell ref="GY32:GY33"/>
    <mergeCell ref="GZ32:GZ33"/>
    <mergeCell ref="HA32:HA33"/>
    <mergeCell ref="GJ32:GJ33"/>
    <mergeCell ref="GK32:GK33"/>
    <mergeCell ref="GL32:GL33"/>
    <mergeCell ref="GM32:GM33"/>
    <mergeCell ref="GV32:GV33"/>
    <mergeCell ref="HF28:HF29"/>
    <mergeCell ref="HG28:HG29"/>
    <mergeCell ref="GJ30:GJ31"/>
    <mergeCell ref="GK30:GK31"/>
    <mergeCell ref="GL30:GL31"/>
    <mergeCell ref="GM30:GM31"/>
    <mergeCell ref="GV30:GV31"/>
    <mergeCell ref="GW30:GW31"/>
    <mergeCell ref="GX30:GX31"/>
    <mergeCell ref="GY30:GY31"/>
    <mergeCell ref="GZ30:GZ31"/>
    <mergeCell ref="HA30:HA31"/>
    <mergeCell ref="HB30:HB31"/>
    <mergeCell ref="HC30:HC31"/>
    <mergeCell ref="HF30:HF31"/>
    <mergeCell ref="HG30:HG31"/>
    <mergeCell ref="GJ28:GJ29"/>
    <mergeCell ref="GK28:GK29"/>
    <mergeCell ref="GL28:GL29"/>
    <mergeCell ref="GM28:GM29"/>
    <mergeCell ref="GV28:GV29"/>
    <mergeCell ref="GW28:GW29"/>
    <mergeCell ref="GX28:GX29"/>
    <mergeCell ref="GY28:GY29"/>
    <mergeCell ref="GZ28:GZ29"/>
    <mergeCell ref="HA28:HA29"/>
    <mergeCell ref="HB28:HB29"/>
    <mergeCell ref="HC28:HC29"/>
    <mergeCell ref="GW26:GW27"/>
    <mergeCell ref="GX26:GX27"/>
    <mergeCell ref="GY26:GY27"/>
    <mergeCell ref="GZ26:GZ27"/>
    <mergeCell ref="HA26:HA27"/>
    <mergeCell ref="GJ26:GJ27"/>
    <mergeCell ref="GK26:GK27"/>
    <mergeCell ref="GL26:GL27"/>
    <mergeCell ref="GM26:GM27"/>
    <mergeCell ref="GV26:GV27"/>
    <mergeCell ref="HF22:HF23"/>
    <mergeCell ref="HG22:HG23"/>
    <mergeCell ref="GJ24:GJ25"/>
    <mergeCell ref="GK24:GK25"/>
    <mergeCell ref="GL24:GL25"/>
    <mergeCell ref="GM24:GM25"/>
    <mergeCell ref="GV24:GV25"/>
    <mergeCell ref="GW24:GW25"/>
    <mergeCell ref="GX24:GX25"/>
    <mergeCell ref="GY24:GY25"/>
    <mergeCell ref="GZ24:GZ25"/>
    <mergeCell ref="HA24:HA25"/>
    <mergeCell ref="HB24:HB25"/>
    <mergeCell ref="HC24:HC25"/>
    <mergeCell ref="HF24:HF25"/>
    <mergeCell ref="HG24:HG25"/>
    <mergeCell ref="GJ22:GJ23"/>
    <mergeCell ref="GK22:GK23"/>
    <mergeCell ref="GL22:GL23"/>
    <mergeCell ref="GM22:GM23"/>
    <mergeCell ref="GV22:GV23"/>
    <mergeCell ref="GW22:GW23"/>
    <mergeCell ref="GX22:GX23"/>
    <mergeCell ref="GY22:GY23"/>
    <mergeCell ref="GZ22:GZ23"/>
    <mergeCell ref="HA22:HA23"/>
    <mergeCell ref="HB22:HB23"/>
    <mergeCell ref="HC22:HC23"/>
    <mergeCell ref="GW20:GW21"/>
    <mergeCell ref="GX20:GX21"/>
    <mergeCell ref="GY20:GY21"/>
    <mergeCell ref="GZ20:GZ21"/>
    <mergeCell ref="HA20:HA21"/>
    <mergeCell ref="GJ20:GJ21"/>
    <mergeCell ref="GK20:GK21"/>
    <mergeCell ref="GL20:GL21"/>
    <mergeCell ref="GM20:GM21"/>
    <mergeCell ref="GV20:GV21"/>
    <mergeCell ref="GJ18:GJ19"/>
    <mergeCell ref="GK18:GK19"/>
    <mergeCell ref="GL18:GL19"/>
    <mergeCell ref="GM18:GM19"/>
    <mergeCell ref="GV18:GV19"/>
    <mergeCell ref="GW18:GW19"/>
    <mergeCell ref="GX18:GX19"/>
    <mergeCell ref="GY18:GY19"/>
    <mergeCell ref="GZ18:GZ19"/>
    <mergeCell ref="HA18:HA19"/>
    <mergeCell ref="HB18:HB19"/>
    <mergeCell ref="HC18:HC19"/>
    <mergeCell ref="HF18:HF19"/>
    <mergeCell ref="HG18:HG19"/>
    <mergeCell ref="HB14:HB15"/>
    <mergeCell ref="HC14:HC15"/>
    <mergeCell ref="HF14:HF15"/>
    <mergeCell ref="HG14:HG15"/>
    <mergeCell ref="GJ16:GJ17"/>
    <mergeCell ref="GK16:GK17"/>
    <mergeCell ref="GL16:GL17"/>
    <mergeCell ref="GM16:GM17"/>
    <mergeCell ref="GV16:GV17"/>
    <mergeCell ref="GW16:GW17"/>
    <mergeCell ref="GX16:GX17"/>
    <mergeCell ref="GY16:GY17"/>
    <mergeCell ref="GZ16:GZ17"/>
    <mergeCell ref="HA16:HA17"/>
    <mergeCell ref="HB16:HB17"/>
    <mergeCell ref="HC16:HC17"/>
    <mergeCell ref="GW14:GW15"/>
    <mergeCell ref="GX14:GX15"/>
    <mergeCell ref="GY14:GY15"/>
    <mergeCell ref="GZ14:GZ15"/>
    <mergeCell ref="HA14:HA15"/>
    <mergeCell ref="GJ14:GJ15"/>
    <mergeCell ref="GK14:GK15"/>
    <mergeCell ref="GL14:GL15"/>
    <mergeCell ref="GM14:GM15"/>
    <mergeCell ref="GV14:GV15"/>
    <mergeCell ref="HG10:HG11"/>
    <mergeCell ref="GJ12:GJ13"/>
    <mergeCell ref="GK12:GK13"/>
    <mergeCell ref="GL12:GL13"/>
    <mergeCell ref="GM12:GM13"/>
    <mergeCell ref="GV12:GV13"/>
    <mergeCell ref="GW12:GW13"/>
    <mergeCell ref="GX12:GX13"/>
    <mergeCell ref="GY12:GY13"/>
    <mergeCell ref="GZ12:GZ13"/>
    <mergeCell ref="HA12:HA13"/>
    <mergeCell ref="HB12:HB13"/>
    <mergeCell ref="HC12:HC13"/>
    <mergeCell ref="HF12:HF13"/>
    <mergeCell ref="HG12:HG13"/>
    <mergeCell ref="GZ10:GZ11"/>
    <mergeCell ref="HA10:HA11"/>
    <mergeCell ref="HB10:HB11"/>
    <mergeCell ref="HC10:HC11"/>
    <mergeCell ref="HF10:HF11"/>
    <mergeCell ref="GM10:GM11"/>
    <mergeCell ref="GV10:GV11"/>
    <mergeCell ref="GW10:GW11"/>
    <mergeCell ref="GX10:GX11"/>
    <mergeCell ref="GY10:GY11"/>
    <mergeCell ref="HA8:HA9"/>
    <mergeCell ref="HB8:HB9"/>
    <mergeCell ref="HC8:HC9"/>
    <mergeCell ref="HF8:HF9"/>
    <mergeCell ref="HG8:HG9"/>
    <mergeCell ref="GV8:GV9"/>
    <mergeCell ref="GW8:GW9"/>
    <mergeCell ref="GX8:GX9"/>
    <mergeCell ref="GY8:GY9"/>
    <mergeCell ref="GZ8:GZ9"/>
    <mergeCell ref="HA6:HA7"/>
    <mergeCell ref="HB6:HB7"/>
    <mergeCell ref="HC6:HC7"/>
    <mergeCell ref="HF6:HF7"/>
    <mergeCell ref="HG6:HG7"/>
    <mergeCell ref="GV6:GV7"/>
    <mergeCell ref="GW6:GW7"/>
    <mergeCell ref="GX6:GX7"/>
    <mergeCell ref="GY6:GY7"/>
    <mergeCell ref="GZ6:GZ7"/>
    <mergeCell ref="HG2:HG3"/>
    <mergeCell ref="GJ4:GJ5"/>
    <mergeCell ref="GK4:GK5"/>
    <mergeCell ref="GL4:GL5"/>
    <mergeCell ref="GM4:GM5"/>
    <mergeCell ref="GV4:GV5"/>
    <mergeCell ref="GW4:GW5"/>
    <mergeCell ref="GX4:GX5"/>
    <mergeCell ref="GY4:GY5"/>
    <mergeCell ref="GZ4:GZ5"/>
    <mergeCell ref="HA4:HA5"/>
    <mergeCell ref="HB4:HB5"/>
    <mergeCell ref="HC4:HC5"/>
    <mergeCell ref="HF4:HF5"/>
    <mergeCell ref="HG4:HG5"/>
    <mergeCell ref="GV1:HC1"/>
    <mergeCell ref="HD1:HE1"/>
    <mergeCell ref="HF1:HG1"/>
    <mergeCell ref="GJ2:GJ3"/>
    <mergeCell ref="GK2:GK3"/>
    <mergeCell ref="GL2:GL3"/>
    <mergeCell ref="GM2:GM3"/>
    <mergeCell ref="GV2:GV3"/>
    <mergeCell ref="GW2:GW3"/>
    <mergeCell ref="GX2:GX3"/>
    <mergeCell ref="GY2:GY3"/>
    <mergeCell ref="GZ2:GZ3"/>
    <mergeCell ref="HA2:HA3"/>
    <mergeCell ref="HB2:HB3"/>
    <mergeCell ref="HC2:HC3"/>
    <mergeCell ref="HF2:HF3"/>
    <mergeCell ref="GC40:GC41"/>
    <mergeCell ref="GD40:GD41"/>
    <mergeCell ref="GF1:GI1"/>
    <mergeCell ref="GJ1:GM1"/>
    <mergeCell ref="GN1:GU1"/>
    <mergeCell ref="GJ6:GJ7"/>
    <mergeCell ref="GK6:GK7"/>
    <mergeCell ref="GL6:GL7"/>
    <mergeCell ref="GM6:GM7"/>
    <mergeCell ref="GJ8:GJ9"/>
    <mergeCell ref="GK8:GK9"/>
    <mergeCell ref="GL8:GL9"/>
    <mergeCell ref="GM8:GM9"/>
    <mergeCell ref="GJ10:GJ11"/>
    <mergeCell ref="GK10:GK11"/>
    <mergeCell ref="GL10:GL11"/>
    <mergeCell ref="FY38:FY39"/>
    <mergeCell ref="FZ38:FZ39"/>
    <mergeCell ref="GC38:GC39"/>
    <mergeCell ref="GD38:GD39"/>
    <mergeCell ref="GC34:GC35"/>
    <mergeCell ref="GD34:GD35"/>
    <mergeCell ref="FY26:FY27"/>
    <mergeCell ref="FZ26:FZ27"/>
    <mergeCell ref="GC26:GC27"/>
    <mergeCell ref="GD26:GD27"/>
    <mergeCell ref="FY20:FY21"/>
    <mergeCell ref="FZ20:FZ21"/>
    <mergeCell ref="GC20:GC21"/>
    <mergeCell ref="GD20:GD21"/>
    <mergeCell ref="GC16:GC17"/>
    <mergeCell ref="GD16:GD17"/>
    <mergeCell ref="FG40:FG41"/>
    <mergeCell ref="FH40:FH41"/>
    <mergeCell ref="FI40:FI41"/>
    <mergeCell ref="FJ40:FJ41"/>
    <mergeCell ref="FS40:FS41"/>
    <mergeCell ref="FT40:FT41"/>
    <mergeCell ref="FU40:FU41"/>
    <mergeCell ref="FV40:FV41"/>
    <mergeCell ref="FW40:FW41"/>
    <mergeCell ref="FX40:FX41"/>
    <mergeCell ref="FY40:FY41"/>
    <mergeCell ref="FZ40:FZ41"/>
    <mergeCell ref="FT38:FT39"/>
    <mergeCell ref="FU38:FU39"/>
    <mergeCell ref="FV38:FV39"/>
    <mergeCell ref="FW38:FW39"/>
    <mergeCell ref="FX38:FX39"/>
    <mergeCell ref="FG38:FG39"/>
    <mergeCell ref="FH38:FH39"/>
    <mergeCell ref="FI38:FI39"/>
    <mergeCell ref="FJ38:FJ39"/>
    <mergeCell ref="FS38:FS39"/>
    <mergeCell ref="FG36:FG37"/>
    <mergeCell ref="FH36:FH37"/>
    <mergeCell ref="FI36:FI37"/>
    <mergeCell ref="FJ36:FJ37"/>
    <mergeCell ref="FS36:FS37"/>
    <mergeCell ref="FT36:FT37"/>
    <mergeCell ref="FU36:FU37"/>
    <mergeCell ref="FV36:FV37"/>
    <mergeCell ref="FW36:FW37"/>
    <mergeCell ref="FX36:FX37"/>
    <mergeCell ref="FY36:FY37"/>
    <mergeCell ref="FZ36:FZ37"/>
    <mergeCell ref="GC36:GC37"/>
    <mergeCell ref="GD36:GD37"/>
    <mergeCell ref="FY32:FY33"/>
    <mergeCell ref="FZ32:FZ33"/>
    <mergeCell ref="GC32:GC33"/>
    <mergeCell ref="GD32:GD33"/>
    <mergeCell ref="FG34:FG35"/>
    <mergeCell ref="FH34:FH35"/>
    <mergeCell ref="FI34:FI35"/>
    <mergeCell ref="FJ34:FJ35"/>
    <mergeCell ref="FS34:FS35"/>
    <mergeCell ref="FT34:FT35"/>
    <mergeCell ref="FU34:FU35"/>
    <mergeCell ref="FV34:FV35"/>
    <mergeCell ref="FW34:FW35"/>
    <mergeCell ref="FX34:FX35"/>
    <mergeCell ref="FY34:FY35"/>
    <mergeCell ref="FZ34:FZ35"/>
    <mergeCell ref="FT32:FT33"/>
    <mergeCell ref="FU32:FU33"/>
    <mergeCell ref="FV32:FV33"/>
    <mergeCell ref="FW32:FW33"/>
    <mergeCell ref="FX32:FX33"/>
    <mergeCell ref="FG32:FG33"/>
    <mergeCell ref="FH32:FH33"/>
    <mergeCell ref="FI32:FI33"/>
    <mergeCell ref="FJ32:FJ33"/>
    <mergeCell ref="FS32:FS33"/>
    <mergeCell ref="GC28:GC29"/>
    <mergeCell ref="GD28:GD29"/>
    <mergeCell ref="FG30:FG31"/>
    <mergeCell ref="FH30:FH31"/>
    <mergeCell ref="FI30:FI31"/>
    <mergeCell ref="FJ30:FJ31"/>
    <mergeCell ref="FS30:FS31"/>
    <mergeCell ref="FT30:FT31"/>
    <mergeCell ref="FU30:FU31"/>
    <mergeCell ref="FV30:FV31"/>
    <mergeCell ref="FW30:FW31"/>
    <mergeCell ref="FX30:FX31"/>
    <mergeCell ref="FY30:FY31"/>
    <mergeCell ref="FZ30:FZ31"/>
    <mergeCell ref="GC30:GC31"/>
    <mergeCell ref="GD30:GD31"/>
    <mergeCell ref="FG28:FG29"/>
    <mergeCell ref="FH28:FH29"/>
    <mergeCell ref="FI28:FI29"/>
    <mergeCell ref="FJ28:FJ29"/>
    <mergeCell ref="FS28:FS29"/>
    <mergeCell ref="FT28:FT29"/>
    <mergeCell ref="FU28:FU29"/>
    <mergeCell ref="FV28:FV29"/>
    <mergeCell ref="FW28:FW29"/>
    <mergeCell ref="FX28:FX29"/>
    <mergeCell ref="FY28:FY29"/>
    <mergeCell ref="FZ28:FZ29"/>
    <mergeCell ref="FT26:FT27"/>
    <mergeCell ref="FU26:FU27"/>
    <mergeCell ref="FV26:FV27"/>
    <mergeCell ref="FW26:FW27"/>
    <mergeCell ref="FX26:FX27"/>
    <mergeCell ref="FG26:FG27"/>
    <mergeCell ref="FH26:FH27"/>
    <mergeCell ref="FI26:FI27"/>
    <mergeCell ref="FJ26:FJ27"/>
    <mergeCell ref="FS26:FS27"/>
    <mergeCell ref="GC22:GC23"/>
    <mergeCell ref="GD22:GD23"/>
    <mergeCell ref="FG24:FG25"/>
    <mergeCell ref="FH24:FH25"/>
    <mergeCell ref="FI24:FI25"/>
    <mergeCell ref="FJ24:FJ25"/>
    <mergeCell ref="FS24:FS25"/>
    <mergeCell ref="FT24:FT25"/>
    <mergeCell ref="FU24:FU25"/>
    <mergeCell ref="FV24:FV25"/>
    <mergeCell ref="FW24:FW25"/>
    <mergeCell ref="FX24:FX25"/>
    <mergeCell ref="FY24:FY25"/>
    <mergeCell ref="FZ24:FZ25"/>
    <mergeCell ref="GC24:GC25"/>
    <mergeCell ref="GD24:GD25"/>
    <mergeCell ref="FG22:FG23"/>
    <mergeCell ref="FH22:FH23"/>
    <mergeCell ref="FI22:FI23"/>
    <mergeCell ref="FJ22:FJ23"/>
    <mergeCell ref="FS22:FS23"/>
    <mergeCell ref="FT22:FT23"/>
    <mergeCell ref="FU22:FU23"/>
    <mergeCell ref="FV22:FV23"/>
    <mergeCell ref="FW22:FW23"/>
    <mergeCell ref="FX22:FX23"/>
    <mergeCell ref="FY22:FY23"/>
    <mergeCell ref="FZ22:FZ23"/>
    <mergeCell ref="FT20:FT21"/>
    <mergeCell ref="FU20:FU21"/>
    <mergeCell ref="FV20:FV21"/>
    <mergeCell ref="FW20:FW21"/>
    <mergeCell ref="FX20:FX21"/>
    <mergeCell ref="FG20:FG21"/>
    <mergeCell ref="FH20:FH21"/>
    <mergeCell ref="FI20:FI21"/>
    <mergeCell ref="FJ20:FJ21"/>
    <mergeCell ref="FS20:FS21"/>
    <mergeCell ref="FG18:FG19"/>
    <mergeCell ref="FH18:FH19"/>
    <mergeCell ref="FI18:FI19"/>
    <mergeCell ref="FJ18:FJ19"/>
    <mergeCell ref="FS18:FS19"/>
    <mergeCell ref="FT18:FT19"/>
    <mergeCell ref="FU18:FU19"/>
    <mergeCell ref="FV18:FV19"/>
    <mergeCell ref="FW18:FW19"/>
    <mergeCell ref="FX18:FX19"/>
    <mergeCell ref="FY18:FY19"/>
    <mergeCell ref="FZ18:FZ19"/>
    <mergeCell ref="GC18:GC19"/>
    <mergeCell ref="GD18:GD19"/>
    <mergeCell ref="FY14:FY15"/>
    <mergeCell ref="FZ14:FZ15"/>
    <mergeCell ref="GC14:GC15"/>
    <mergeCell ref="GD14:GD15"/>
    <mergeCell ref="FG16:FG17"/>
    <mergeCell ref="FH16:FH17"/>
    <mergeCell ref="FI16:FI17"/>
    <mergeCell ref="FJ16:FJ17"/>
    <mergeCell ref="FS16:FS17"/>
    <mergeCell ref="FT16:FT17"/>
    <mergeCell ref="FU16:FU17"/>
    <mergeCell ref="FV16:FV17"/>
    <mergeCell ref="FW16:FW17"/>
    <mergeCell ref="FX16:FX17"/>
    <mergeCell ref="FY16:FY17"/>
    <mergeCell ref="FZ16:FZ17"/>
    <mergeCell ref="FT14:FT15"/>
    <mergeCell ref="FU14:FU15"/>
    <mergeCell ref="FV14:FV15"/>
    <mergeCell ref="FW14:FW15"/>
    <mergeCell ref="FX14:FX15"/>
    <mergeCell ref="FG14:FG15"/>
    <mergeCell ref="FH14:FH15"/>
    <mergeCell ref="FI14:FI15"/>
    <mergeCell ref="FJ14:FJ15"/>
    <mergeCell ref="FS14:FS15"/>
    <mergeCell ref="GD10:GD11"/>
    <mergeCell ref="FG12:FG13"/>
    <mergeCell ref="FH12:FH13"/>
    <mergeCell ref="FI12:FI13"/>
    <mergeCell ref="FJ12:FJ13"/>
    <mergeCell ref="FS12:FS13"/>
    <mergeCell ref="FT12:FT13"/>
    <mergeCell ref="FU12:FU13"/>
    <mergeCell ref="FV12:FV13"/>
    <mergeCell ref="FW12:FW13"/>
    <mergeCell ref="FX12:FX13"/>
    <mergeCell ref="FY12:FY13"/>
    <mergeCell ref="FZ12:FZ13"/>
    <mergeCell ref="GC12:GC13"/>
    <mergeCell ref="GD12:GD13"/>
    <mergeCell ref="FW10:FW11"/>
    <mergeCell ref="FX10:FX11"/>
    <mergeCell ref="FY10:FY11"/>
    <mergeCell ref="FZ10:FZ11"/>
    <mergeCell ref="GC10:GC11"/>
    <mergeCell ref="FJ10:FJ11"/>
    <mergeCell ref="FS10:FS11"/>
    <mergeCell ref="FT10:FT11"/>
    <mergeCell ref="FU10:FU11"/>
    <mergeCell ref="FV10:FV11"/>
    <mergeCell ref="FX8:FX9"/>
    <mergeCell ref="FY8:FY9"/>
    <mergeCell ref="FZ8:FZ9"/>
    <mergeCell ref="GC8:GC9"/>
    <mergeCell ref="GD8:GD9"/>
    <mergeCell ref="FS8:FS9"/>
    <mergeCell ref="FT8:FT9"/>
    <mergeCell ref="FU8:FU9"/>
    <mergeCell ref="FV8:FV9"/>
    <mergeCell ref="FW8:FW9"/>
    <mergeCell ref="FX6:FX7"/>
    <mergeCell ref="FY6:FY7"/>
    <mergeCell ref="FZ6:FZ7"/>
    <mergeCell ref="GC6:GC7"/>
    <mergeCell ref="GD6:GD7"/>
    <mergeCell ref="FS6:FS7"/>
    <mergeCell ref="FT6:FT7"/>
    <mergeCell ref="FU6:FU7"/>
    <mergeCell ref="FV6:FV7"/>
    <mergeCell ref="FW6:FW7"/>
    <mergeCell ref="GD2:GD3"/>
    <mergeCell ref="FG4:FG5"/>
    <mergeCell ref="FH4:FH5"/>
    <mergeCell ref="FI4:FI5"/>
    <mergeCell ref="FJ4:FJ5"/>
    <mergeCell ref="FS4:FS5"/>
    <mergeCell ref="FT4:FT5"/>
    <mergeCell ref="FU4:FU5"/>
    <mergeCell ref="FV4:FV5"/>
    <mergeCell ref="FW4:FW5"/>
    <mergeCell ref="FX4:FX5"/>
    <mergeCell ref="FY4:FY5"/>
    <mergeCell ref="FZ4:FZ5"/>
    <mergeCell ref="GC4:GC5"/>
    <mergeCell ref="GD4:GD5"/>
    <mergeCell ref="FS1:FZ1"/>
    <mergeCell ref="GA1:GB1"/>
    <mergeCell ref="GC1:GD1"/>
    <mergeCell ref="FG2:FG3"/>
    <mergeCell ref="FH2:FH3"/>
    <mergeCell ref="FI2:FI3"/>
    <mergeCell ref="FJ2:FJ3"/>
    <mergeCell ref="FS2:FS3"/>
    <mergeCell ref="FT2:FT3"/>
    <mergeCell ref="FU2:FU3"/>
    <mergeCell ref="FV2:FV3"/>
    <mergeCell ref="FW2:FW3"/>
    <mergeCell ref="FX2:FX3"/>
    <mergeCell ref="FY2:FY3"/>
    <mergeCell ref="FZ2:FZ3"/>
    <mergeCell ref="GC2:GC3"/>
    <mergeCell ref="EZ40:EZ41"/>
    <mergeCell ref="FA40:FA41"/>
    <mergeCell ref="FC1:FF1"/>
    <mergeCell ref="FG1:FJ1"/>
    <mergeCell ref="FK1:FR1"/>
    <mergeCell ref="FG6:FG7"/>
    <mergeCell ref="FH6:FH7"/>
    <mergeCell ref="FI6:FI7"/>
    <mergeCell ref="FJ6:FJ7"/>
    <mergeCell ref="FG8:FG9"/>
    <mergeCell ref="FH8:FH9"/>
    <mergeCell ref="FI8:FI9"/>
    <mergeCell ref="FJ8:FJ9"/>
    <mergeCell ref="FG10:FG11"/>
    <mergeCell ref="FH10:FH11"/>
    <mergeCell ref="FI10:FI11"/>
    <mergeCell ref="EV38:EV39"/>
    <mergeCell ref="EW38:EW39"/>
    <mergeCell ref="EZ38:EZ39"/>
    <mergeCell ref="FA38:FA39"/>
    <mergeCell ref="EZ34:EZ35"/>
    <mergeCell ref="FA34:FA35"/>
    <mergeCell ref="EV26:EV27"/>
    <mergeCell ref="EW26:EW27"/>
    <mergeCell ref="EZ26:EZ27"/>
    <mergeCell ref="FA26:FA27"/>
    <mergeCell ref="EV20:EV21"/>
    <mergeCell ref="EW20:EW21"/>
    <mergeCell ref="EZ20:EZ21"/>
    <mergeCell ref="FA20:FA21"/>
    <mergeCell ref="EZ16:EZ17"/>
    <mergeCell ref="FA16:FA17"/>
    <mergeCell ref="ED40:ED41"/>
    <mergeCell ref="EE40:EE41"/>
    <mergeCell ref="EF40:EF41"/>
    <mergeCell ref="EG40:EG41"/>
    <mergeCell ref="EP40:EP41"/>
    <mergeCell ref="EQ40:EQ41"/>
    <mergeCell ref="ER40:ER41"/>
    <mergeCell ref="ES40:ES41"/>
    <mergeCell ref="ET40:ET41"/>
    <mergeCell ref="EU40:EU41"/>
    <mergeCell ref="EV40:EV41"/>
    <mergeCell ref="EW40:EW41"/>
    <mergeCell ref="EQ38:EQ39"/>
    <mergeCell ref="ER38:ER39"/>
    <mergeCell ref="ES38:ES39"/>
    <mergeCell ref="ET38:ET39"/>
    <mergeCell ref="EU38:EU39"/>
    <mergeCell ref="ED38:ED39"/>
    <mergeCell ref="EE38:EE39"/>
    <mergeCell ref="EF38:EF39"/>
    <mergeCell ref="EG38:EG39"/>
    <mergeCell ref="EP38:EP39"/>
    <mergeCell ref="ED36:ED37"/>
    <mergeCell ref="EE36:EE37"/>
    <mergeCell ref="EF36:EF37"/>
    <mergeCell ref="EG36:EG37"/>
    <mergeCell ref="EP36:EP37"/>
    <mergeCell ref="EQ36:EQ37"/>
    <mergeCell ref="ER36:ER37"/>
    <mergeCell ref="ES36:ES37"/>
    <mergeCell ref="ET36:ET37"/>
    <mergeCell ref="EU36:EU37"/>
    <mergeCell ref="EV36:EV37"/>
    <mergeCell ref="EW36:EW37"/>
    <mergeCell ref="EZ36:EZ37"/>
    <mergeCell ref="FA36:FA37"/>
    <mergeCell ref="EV32:EV33"/>
    <mergeCell ref="EW32:EW33"/>
    <mergeCell ref="EZ32:EZ33"/>
    <mergeCell ref="FA32:FA33"/>
    <mergeCell ref="ED34:ED35"/>
    <mergeCell ref="EE34:EE35"/>
    <mergeCell ref="EF34:EF35"/>
    <mergeCell ref="EG34:EG35"/>
    <mergeCell ref="EP34:EP35"/>
    <mergeCell ref="EQ34:EQ35"/>
    <mergeCell ref="ER34:ER35"/>
    <mergeCell ref="ES34:ES35"/>
    <mergeCell ref="ET34:ET35"/>
    <mergeCell ref="EU34:EU35"/>
    <mergeCell ref="EV34:EV35"/>
    <mergeCell ref="EW34:EW35"/>
    <mergeCell ref="EQ32:EQ33"/>
    <mergeCell ref="ER32:ER33"/>
    <mergeCell ref="ES32:ES33"/>
    <mergeCell ref="ET32:ET33"/>
    <mergeCell ref="EU32:EU33"/>
    <mergeCell ref="ED32:ED33"/>
    <mergeCell ref="EE32:EE33"/>
    <mergeCell ref="EF32:EF33"/>
    <mergeCell ref="EG32:EG33"/>
    <mergeCell ref="EP32:EP33"/>
    <mergeCell ref="EZ28:EZ29"/>
    <mergeCell ref="FA28:FA29"/>
    <mergeCell ref="ED30:ED31"/>
    <mergeCell ref="EE30:EE31"/>
    <mergeCell ref="EF30:EF31"/>
    <mergeCell ref="EG30:EG31"/>
    <mergeCell ref="EP30:EP31"/>
    <mergeCell ref="EQ30:EQ31"/>
    <mergeCell ref="ER30:ER31"/>
    <mergeCell ref="ES30:ES31"/>
    <mergeCell ref="ET30:ET31"/>
    <mergeCell ref="EU30:EU31"/>
    <mergeCell ref="EV30:EV31"/>
    <mergeCell ref="EW30:EW31"/>
    <mergeCell ref="EZ30:EZ31"/>
    <mergeCell ref="FA30:FA31"/>
    <mergeCell ref="ED28:ED29"/>
    <mergeCell ref="EE28:EE29"/>
    <mergeCell ref="EF28:EF29"/>
    <mergeCell ref="EG28:EG29"/>
    <mergeCell ref="EP28:EP29"/>
    <mergeCell ref="EQ28:EQ29"/>
    <mergeCell ref="ER28:ER29"/>
    <mergeCell ref="ES28:ES29"/>
    <mergeCell ref="ET28:ET29"/>
    <mergeCell ref="EU28:EU29"/>
    <mergeCell ref="EV28:EV29"/>
    <mergeCell ref="EW28:EW29"/>
    <mergeCell ref="EQ26:EQ27"/>
    <mergeCell ref="ER26:ER27"/>
    <mergeCell ref="ES26:ES27"/>
    <mergeCell ref="ET26:ET27"/>
    <mergeCell ref="EU26:EU27"/>
    <mergeCell ref="ED26:ED27"/>
    <mergeCell ref="EE26:EE27"/>
    <mergeCell ref="EF26:EF27"/>
    <mergeCell ref="EG26:EG27"/>
    <mergeCell ref="EP26:EP27"/>
    <mergeCell ref="EZ22:EZ23"/>
    <mergeCell ref="FA22:FA23"/>
    <mergeCell ref="ED24:ED25"/>
    <mergeCell ref="EE24:EE25"/>
    <mergeCell ref="EF24:EF25"/>
    <mergeCell ref="EG24:EG25"/>
    <mergeCell ref="EP24:EP25"/>
    <mergeCell ref="EQ24:EQ25"/>
    <mergeCell ref="ER24:ER25"/>
    <mergeCell ref="ES24:ES25"/>
    <mergeCell ref="ET24:ET25"/>
    <mergeCell ref="EU24:EU25"/>
    <mergeCell ref="EV24:EV25"/>
    <mergeCell ref="EW24:EW25"/>
    <mergeCell ref="EZ24:EZ25"/>
    <mergeCell ref="FA24:FA25"/>
    <mergeCell ref="ED22:ED23"/>
    <mergeCell ref="EE22:EE23"/>
    <mergeCell ref="EF22:EF23"/>
    <mergeCell ref="EG22:EG23"/>
    <mergeCell ref="EP22:EP23"/>
    <mergeCell ref="EQ22:EQ23"/>
    <mergeCell ref="ER22:ER23"/>
    <mergeCell ref="ES22:ES23"/>
    <mergeCell ref="ET22:ET23"/>
    <mergeCell ref="EU22:EU23"/>
    <mergeCell ref="EV22:EV23"/>
    <mergeCell ref="EW22:EW23"/>
    <mergeCell ref="EQ20:EQ21"/>
    <mergeCell ref="ER20:ER21"/>
    <mergeCell ref="ES20:ES21"/>
    <mergeCell ref="ET20:ET21"/>
    <mergeCell ref="EU20:EU21"/>
    <mergeCell ref="ED20:ED21"/>
    <mergeCell ref="EE20:EE21"/>
    <mergeCell ref="EF20:EF21"/>
    <mergeCell ref="EG20:EG21"/>
    <mergeCell ref="EP20:EP21"/>
    <mergeCell ref="ED18:ED19"/>
    <mergeCell ref="EE18:EE19"/>
    <mergeCell ref="EF18:EF19"/>
    <mergeCell ref="EG18:EG19"/>
    <mergeCell ref="EP18:EP19"/>
    <mergeCell ref="EQ18:EQ19"/>
    <mergeCell ref="ER18:ER19"/>
    <mergeCell ref="ES18:ES19"/>
    <mergeCell ref="ET18:ET19"/>
    <mergeCell ref="EU18:EU19"/>
    <mergeCell ref="EV18:EV19"/>
    <mergeCell ref="EW18:EW19"/>
    <mergeCell ref="EZ18:EZ19"/>
    <mergeCell ref="FA18:FA19"/>
    <mergeCell ref="EV14:EV15"/>
    <mergeCell ref="EW14:EW15"/>
    <mergeCell ref="EZ14:EZ15"/>
    <mergeCell ref="FA14:FA15"/>
    <mergeCell ref="ED16:ED17"/>
    <mergeCell ref="EE16:EE17"/>
    <mergeCell ref="EF16:EF17"/>
    <mergeCell ref="EG16:EG17"/>
    <mergeCell ref="EP16:EP17"/>
    <mergeCell ref="EQ16:EQ17"/>
    <mergeCell ref="ER16:ER17"/>
    <mergeCell ref="ES16:ES17"/>
    <mergeCell ref="ET16:ET17"/>
    <mergeCell ref="EU16:EU17"/>
    <mergeCell ref="EV16:EV17"/>
    <mergeCell ref="EW16:EW17"/>
    <mergeCell ref="EQ14:EQ15"/>
    <mergeCell ref="ER14:ER15"/>
    <mergeCell ref="ES14:ES15"/>
    <mergeCell ref="ET14:ET15"/>
    <mergeCell ref="EU14:EU15"/>
    <mergeCell ref="ED14:ED15"/>
    <mergeCell ref="EE14:EE15"/>
    <mergeCell ref="EF14:EF15"/>
    <mergeCell ref="EG14:EG15"/>
    <mergeCell ref="EP14:EP15"/>
    <mergeCell ref="FA10:FA11"/>
    <mergeCell ref="ED12:ED13"/>
    <mergeCell ref="EE12:EE13"/>
    <mergeCell ref="EF12:EF13"/>
    <mergeCell ref="EG12:EG13"/>
    <mergeCell ref="EP12:EP13"/>
    <mergeCell ref="EQ12:EQ13"/>
    <mergeCell ref="ER12:ER13"/>
    <mergeCell ref="ES12:ES13"/>
    <mergeCell ref="ET12:ET13"/>
    <mergeCell ref="EU12:EU13"/>
    <mergeCell ref="EV12:EV13"/>
    <mergeCell ref="EW12:EW13"/>
    <mergeCell ref="EZ12:EZ13"/>
    <mergeCell ref="FA12:FA13"/>
    <mergeCell ref="ET10:ET11"/>
    <mergeCell ref="EU10:EU11"/>
    <mergeCell ref="EV10:EV11"/>
    <mergeCell ref="EW10:EW11"/>
    <mergeCell ref="EZ10:EZ11"/>
    <mergeCell ref="EG10:EG11"/>
    <mergeCell ref="EP10:EP11"/>
    <mergeCell ref="EQ10:EQ11"/>
    <mergeCell ref="ER10:ER11"/>
    <mergeCell ref="ES10:ES11"/>
    <mergeCell ref="EU8:EU9"/>
    <mergeCell ref="EV8:EV9"/>
    <mergeCell ref="EW8:EW9"/>
    <mergeCell ref="EZ8:EZ9"/>
    <mergeCell ref="FA8:FA9"/>
    <mergeCell ref="EP8:EP9"/>
    <mergeCell ref="EQ8:EQ9"/>
    <mergeCell ref="ER8:ER9"/>
    <mergeCell ref="ES8:ES9"/>
    <mergeCell ref="ET8:ET9"/>
    <mergeCell ref="EU6:EU7"/>
    <mergeCell ref="EV6:EV7"/>
    <mergeCell ref="EW6:EW7"/>
    <mergeCell ref="EZ6:EZ7"/>
    <mergeCell ref="FA6:FA7"/>
    <mergeCell ref="EP6:EP7"/>
    <mergeCell ref="EQ6:EQ7"/>
    <mergeCell ref="ER6:ER7"/>
    <mergeCell ref="ES6:ES7"/>
    <mergeCell ref="ET6:ET7"/>
    <mergeCell ref="FA2:FA3"/>
    <mergeCell ref="ED4:ED5"/>
    <mergeCell ref="EE4:EE5"/>
    <mergeCell ref="EF4:EF5"/>
    <mergeCell ref="EG4:EG5"/>
    <mergeCell ref="EP4:EP5"/>
    <mergeCell ref="EQ4:EQ5"/>
    <mergeCell ref="ER4:ER5"/>
    <mergeCell ref="ES4:ES5"/>
    <mergeCell ref="ET4:ET5"/>
    <mergeCell ref="EU4:EU5"/>
    <mergeCell ref="EV4:EV5"/>
    <mergeCell ref="EW4:EW5"/>
    <mergeCell ref="EZ4:EZ5"/>
    <mergeCell ref="FA4:FA5"/>
    <mergeCell ref="EP1:EW1"/>
    <mergeCell ref="EX1:EY1"/>
    <mergeCell ref="EZ1:FA1"/>
    <mergeCell ref="ED2:ED3"/>
    <mergeCell ref="EE2:EE3"/>
    <mergeCell ref="EF2:EF3"/>
    <mergeCell ref="EG2:EG3"/>
    <mergeCell ref="EP2:EP3"/>
    <mergeCell ref="EQ2:EQ3"/>
    <mergeCell ref="ER2:ER3"/>
    <mergeCell ref="ES2:ES3"/>
    <mergeCell ref="ET2:ET3"/>
    <mergeCell ref="EU2:EU3"/>
    <mergeCell ref="EV2:EV3"/>
    <mergeCell ref="EW2:EW3"/>
    <mergeCell ref="EZ2:EZ3"/>
    <mergeCell ref="DV40:DV41"/>
    <mergeCell ref="DW40:DW41"/>
    <mergeCell ref="DZ1:EC1"/>
    <mergeCell ref="ED1:EG1"/>
    <mergeCell ref="EH1:EO1"/>
    <mergeCell ref="ED6:ED7"/>
    <mergeCell ref="EE6:EE7"/>
    <mergeCell ref="EF6:EF7"/>
    <mergeCell ref="EG6:EG7"/>
    <mergeCell ref="ED8:ED9"/>
    <mergeCell ref="EE8:EE9"/>
    <mergeCell ref="EF8:EF9"/>
    <mergeCell ref="EG8:EG9"/>
    <mergeCell ref="ED10:ED11"/>
    <mergeCell ref="EE10:EE11"/>
    <mergeCell ref="EF10:EF11"/>
    <mergeCell ref="DR38:DR39"/>
    <mergeCell ref="DS38:DS39"/>
    <mergeCell ref="DV38:DV39"/>
    <mergeCell ref="DW38:DW39"/>
    <mergeCell ref="DV34:DV35"/>
    <mergeCell ref="DW34:DW35"/>
    <mergeCell ref="DR26:DR27"/>
    <mergeCell ref="DS26:DS27"/>
    <mergeCell ref="DV26:DV27"/>
    <mergeCell ref="DW26:DW27"/>
    <mergeCell ref="DR20:DR21"/>
    <mergeCell ref="DS20:DS21"/>
    <mergeCell ref="DV20:DV21"/>
    <mergeCell ref="DW20:DW21"/>
    <mergeCell ref="DV16:DV17"/>
    <mergeCell ref="DW16:DW17"/>
    <mergeCell ref="CZ40:CZ41"/>
    <mergeCell ref="DA40:DA41"/>
    <mergeCell ref="DB40:DB41"/>
    <mergeCell ref="DC40:DC41"/>
    <mergeCell ref="DL40:DL41"/>
    <mergeCell ref="DM40:DM41"/>
    <mergeCell ref="DN40:DN41"/>
    <mergeCell ref="DO40:DO41"/>
    <mergeCell ref="DP40:DP41"/>
    <mergeCell ref="DQ40:DQ41"/>
    <mergeCell ref="DR40:DR41"/>
    <mergeCell ref="DS40:DS41"/>
    <mergeCell ref="DM38:DM39"/>
    <mergeCell ref="DN38:DN39"/>
    <mergeCell ref="DO38:DO39"/>
    <mergeCell ref="DP38:DP39"/>
    <mergeCell ref="DQ38:DQ39"/>
    <mergeCell ref="CZ38:CZ39"/>
    <mergeCell ref="DA38:DA39"/>
    <mergeCell ref="DB38:DB39"/>
    <mergeCell ref="DC38:DC39"/>
    <mergeCell ref="DL38:DL39"/>
    <mergeCell ref="CZ36:CZ37"/>
    <mergeCell ref="DA36:DA37"/>
    <mergeCell ref="DB36:DB37"/>
    <mergeCell ref="DC36:DC37"/>
    <mergeCell ref="DL36:DL37"/>
    <mergeCell ref="DM36:DM37"/>
    <mergeCell ref="DN36:DN37"/>
    <mergeCell ref="DO36:DO37"/>
    <mergeCell ref="DP36:DP37"/>
    <mergeCell ref="DQ36:DQ37"/>
    <mergeCell ref="DR36:DR37"/>
    <mergeCell ref="DS36:DS37"/>
    <mergeCell ref="DV36:DV37"/>
    <mergeCell ref="DW36:DW37"/>
    <mergeCell ref="DR32:DR33"/>
    <mergeCell ref="DS32:DS33"/>
    <mergeCell ref="DV32:DV33"/>
    <mergeCell ref="DW32:DW33"/>
    <mergeCell ref="CZ34:CZ35"/>
    <mergeCell ref="DA34:DA35"/>
    <mergeCell ref="DB34:DB35"/>
    <mergeCell ref="DC34:DC35"/>
    <mergeCell ref="DL34:DL35"/>
    <mergeCell ref="DM34:DM35"/>
    <mergeCell ref="DN34:DN35"/>
    <mergeCell ref="DO34:DO35"/>
    <mergeCell ref="DP34:DP35"/>
    <mergeCell ref="DQ34:DQ35"/>
    <mergeCell ref="DR34:DR35"/>
    <mergeCell ref="DS34:DS35"/>
    <mergeCell ref="DM32:DM33"/>
    <mergeCell ref="DN32:DN33"/>
    <mergeCell ref="DO32:DO33"/>
    <mergeCell ref="DP32:DP33"/>
    <mergeCell ref="DQ32:DQ33"/>
    <mergeCell ref="CZ32:CZ33"/>
    <mergeCell ref="DA32:DA33"/>
    <mergeCell ref="DB32:DB33"/>
    <mergeCell ref="DC32:DC33"/>
    <mergeCell ref="DL32:DL33"/>
    <mergeCell ref="DV28:DV29"/>
    <mergeCell ref="DW28:DW29"/>
    <mergeCell ref="CZ30:CZ31"/>
    <mergeCell ref="DA30:DA31"/>
    <mergeCell ref="DB30:DB31"/>
    <mergeCell ref="DC30:DC31"/>
    <mergeCell ref="DL30:DL31"/>
    <mergeCell ref="DM30:DM31"/>
    <mergeCell ref="DN30:DN31"/>
    <mergeCell ref="DO30:DO31"/>
    <mergeCell ref="DP30:DP31"/>
    <mergeCell ref="DQ30:DQ31"/>
    <mergeCell ref="DR30:DR31"/>
    <mergeCell ref="DS30:DS31"/>
    <mergeCell ref="DV30:DV31"/>
    <mergeCell ref="DW30:DW31"/>
    <mergeCell ref="CZ28:CZ29"/>
    <mergeCell ref="DA28:DA29"/>
    <mergeCell ref="DB28:DB29"/>
    <mergeCell ref="DC28:DC29"/>
    <mergeCell ref="DL28:DL29"/>
    <mergeCell ref="DM28:DM29"/>
    <mergeCell ref="DN28:DN29"/>
    <mergeCell ref="DO28:DO29"/>
    <mergeCell ref="DP28:DP29"/>
    <mergeCell ref="DQ28:DQ29"/>
    <mergeCell ref="DR28:DR29"/>
    <mergeCell ref="DS28:DS29"/>
    <mergeCell ref="DM26:DM27"/>
    <mergeCell ref="DN26:DN27"/>
    <mergeCell ref="DO26:DO27"/>
    <mergeCell ref="DP26:DP27"/>
    <mergeCell ref="DQ26:DQ27"/>
    <mergeCell ref="CZ26:CZ27"/>
    <mergeCell ref="DA26:DA27"/>
    <mergeCell ref="DB26:DB27"/>
    <mergeCell ref="DC26:DC27"/>
    <mergeCell ref="DL26:DL27"/>
    <mergeCell ref="DV22:DV23"/>
    <mergeCell ref="DW22:DW23"/>
    <mergeCell ref="CZ24:CZ25"/>
    <mergeCell ref="DA24:DA25"/>
    <mergeCell ref="DB24:DB25"/>
    <mergeCell ref="DC24:DC25"/>
    <mergeCell ref="DL24:DL25"/>
    <mergeCell ref="DM24:DM25"/>
    <mergeCell ref="DN24:DN25"/>
    <mergeCell ref="DO24:DO25"/>
    <mergeCell ref="DP24:DP25"/>
    <mergeCell ref="DQ24:DQ25"/>
    <mergeCell ref="DR24:DR25"/>
    <mergeCell ref="DS24:DS25"/>
    <mergeCell ref="DV24:DV25"/>
    <mergeCell ref="DW24:DW25"/>
    <mergeCell ref="CZ22:CZ23"/>
    <mergeCell ref="DA22:DA23"/>
    <mergeCell ref="DB22:DB23"/>
    <mergeCell ref="DC22:DC23"/>
    <mergeCell ref="DL22:DL23"/>
    <mergeCell ref="DM22:DM23"/>
    <mergeCell ref="DN22:DN23"/>
    <mergeCell ref="DO22:DO23"/>
    <mergeCell ref="DP22:DP23"/>
    <mergeCell ref="DQ22:DQ23"/>
    <mergeCell ref="DR22:DR23"/>
    <mergeCell ref="DS22:DS23"/>
    <mergeCell ref="DM20:DM21"/>
    <mergeCell ref="DN20:DN21"/>
    <mergeCell ref="DO20:DO21"/>
    <mergeCell ref="DP20:DP21"/>
    <mergeCell ref="DQ20:DQ21"/>
    <mergeCell ref="CZ20:CZ21"/>
    <mergeCell ref="DA20:DA21"/>
    <mergeCell ref="DB20:DB21"/>
    <mergeCell ref="DC20:DC21"/>
    <mergeCell ref="DL20:DL21"/>
    <mergeCell ref="CZ18:CZ19"/>
    <mergeCell ref="DA18:DA19"/>
    <mergeCell ref="DB18:DB19"/>
    <mergeCell ref="DC18:DC19"/>
    <mergeCell ref="DL18:DL19"/>
    <mergeCell ref="DM18:DM19"/>
    <mergeCell ref="DN18:DN19"/>
    <mergeCell ref="DO18:DO19"/>
    <mergeCell ref="DP18:DP19"/>
    <mergeCell ref="DQ18:DQ19"/>
    <mergeCell ref="DR18:DR19"/>
    <mergeCell ref="DS18:DS19"/>
    <mergeCell ref="DV18:DV19"/>
    <mergeCell ref="DW18:DW19"/>
    <mergeCell ref="DR14:DR15"/>
    <mergeCell ref="DS14:DS15"/>
    <mergeCell ref="DV14:DV15"/>
    <mergeCell ref="DW14:DW15"/>
    <mergeCell ref="CZ16:CZ17"/>
    <mergeCell ref="DA16:DA17"/>
    <mergeCell ref="DB16:DB17"/>
    <mergeCell ref="DC16:DC17"/>
    <mergeCell ref="DL16:DL17"/>
    <mergeCell ref="DM16:DM17"/>
    <mergeCell ref="DN16:DN17"/>
    <mergeCell ref="DO16:DO17"/>
    <mergeCell ref="DP16:DP17"/>
    <mergeCell ref="DQ16:DQ17"/>
    <mergeCell ref="DR16:DR17"/>
    <mergeCell ref="DS16:DS17"/>
    <mergeCell ref="DM14:DM15"/>
    <mergeCell ref="DN14:DN15"/>
    <mergeCell ref="DO14:DO15"/>
    <mergeCell ref="DP14:DP15"/>
    <mergeCell ref="DQ14:DQ15"/>
    <mergeCell ref="CZ14:CZ15"/>
    <mergeCell ref="DA14:DA15"/>
    <mergeCell ref="DB14:DB15"/>
    <mergeCell ref="DC14:DC15"/>
    <mergeCell ref="DL14:DL15"/>
    <mergeCell ref="DW10:DW11"/>
    <mergeCell ref="CZ12:CZ13"/>
    <mergeCell ref="DA12:DA13"/>
    <mergeCell ref="DB12:DB13"/>
    <mergeCell ref="DC12:DC13"/>
    <mergeCell ref="DL12:DL13"/>
    <mergeCell ref="DM12:DM13"/>
    <mergeCell ref="DN12:DN13"/>
    <mergeCell ref="DO12:DO13"/>
    <mergeCell ref="DP12:DP13"/>
    <mergeCell ref="DQ12:DQ13"/>
    <mergeCell ref="DR12:DR13"/>
    <mergeCell ref="DS12:DS13"/>
    <mergeCell ref="DV12:DV13"/>
    <mergeCell ref="DW12:DW13"/>
    <mergeCell ref="DP10:DP11"/>
    <mergeCell ref="DQ10:DQ11"/>
    <mergeCell ref="DR10:DR11"/>
    <mergeCell ref="DS10:DS11"/>
    <mergeCell ref="DV10:DV11"/>
    <mergeCell ref="DC10:DC11"/>
    <mergeCell ref="DL10:DL11"/>
    <mergeCell ref="DM10:DM11"/>
    <mergeCell ref="DN10:DN11"/>
    <mergeCell ref="DO10:DO11"/>
    <mergeCell ref="DQ8:DQ9"/>
    <mergeCell ref="DR8:DR9"/>
    <mergeCell ref="DS8:DS9"/>
    <mergeCell ref="DV8:DV9"/>
    <mergeCell ref="DW8:DW9"/>
    <mergeCell ref="DL8:DL9"/>
    <mergeCell ref="DM8:DM9"/>
    <mergeCell ref="DN8:DN9"/>
    <mergeCell ref="DO8:DO9"/>
    <mergeCell ref="DP8:DP9"/>
    <mergeCell ref="DQ6:DQ7"/>
    <mergeCell ref="DR6:DR7"/>
    <mergeCell ref="DS6:DS7"/>
    <mergeCell ref="DV6:DV7"/>
    <mergeCell ref="DW6:DW7"/>
    <mergeCell ref="DL6:DL7"/>
    <mergeCell ref="DM6:DM7"/>
    <mergeCell ref="DN6:DN7"/>
    <mergeCell ref="DO6:DO7"/>
    <mergeCell ref="DP6:DP7"/>
    <mergeCell ref="DW2:DW3"/>
    <mergeCell ref="CZ4:CZ5"/>
    <mergeCell ref="DA4:DA5"/>
    <mergeCell ref="DB4:DB5"/>
    <mergeCell ref="DC4:DC5"/>
    <mergeCell ref="DL4:DL5"/>
    <mergeCell ref="DM4:DM5"/>
    <mergeCell ref="DN4:DN5"/>
    <mergeCell ref="DO4:DO5"/>
    <mergeCell ref="DP4:DP5"/>
    <mergeCell ref="DQ4:DQ5"/>
    <mergeCell ref="DR4:DR5"/>
    <mergeCell ref="DS4:DS5"/>
    <mergeCell ref="DV4:DV5"/>
    <mergeCell ref="DW4:DW5"/>
    <mergeCell ref="DL1:DS1"/>
    <mergeCell ref="DT1:DU1"/>
    <mergeCell ref="DV1:DW1"/>
    <mergeCell ref="CZ2:CZ3"/>
    <mergeCell ref="DA2:DA3"/>
    <mergeCell ref="DB2:DB3"/>
    <mergeCell ref="DC2:DC3"/>
    <mergeCell ref="DL2:DL3"/>
    <mergeCell ref="DM2:DM3"/>
    <mergeCell ref="DN2:DN3"/>
    <mergeCell ref="DO2:DO3"/>
    <mergeCell ref="DP2:DP3"/>
    <mergeCell ref="DQ2:DQ3"/>
    <mergeCell ref="DR2:DR3"/>
    <mergeCell ref="DS2:DS3"/>
    <mergeCell ref="DV2:DV3"/>
    <mergeCell ref="CS40:CS41"/>
    <mergeCell ref="CT40:CT41"/>
    <mergeCell ref="CV1:CY1"/>
    <mergeCell ref="CZ1:DC1"/>
    <mergeCell ref="DD1:DK1"/>
    <mergeCell ref="CZ6:CZ7"/>
    <mergeCell ref="DA6:DA7"/>
    <mergeCell ref="DB6:DB7"/>
    <mergeCell ref="DC6:DC7"/>
    <mergeCell ref="CZ8:CZ9"/>
    <mergeCell ref="DA8:DA9"/>
    <mergeCell ref="DB8:DB9"/>
    <mergeCell ref="DC8:DC9"/>
    <mergeCell ref="CZ10:CZ11"/>
    <mergeCell ref="DA10:DA11"/>
    <mergeCell ref="DB10:DB11"/>
    <mergeCell ref="CO38:CO39"/>
    <mergeCell ref="CP38:CP39"/>
    <mergeCell ref="CS38:CS39"/>
    <mergeCell ref="CT38:CT39"/>
    <mergeCell ref="CS34:CS35"/>
    <mergeCell ref="CT34:CT35"/>
    <mergeCell ref="CO26:CO27"/>
    <mergeCell ref="CP26:CP27"/>
    <mergeCell ref="CS26:CS27"/>
    <mergeCell ref="CT26:CT27"/>
    <mergeCell ref="CO20:CO21"/>
    <mergeCell ref="CP20:CP21"/>
    <mergeCell ref="CS20:CS21"/>
    <mergeCell ref="CT20:CT21"/>
    <mergeCell ref="CS16:CS17"/>
    <mergeCell ref="CT16:CT17"/>
    <mergeCell ref="BW40:BW41"/>
    <mergeCell ref="BX40:BX41"/>
    <mergeCell ref="BY40:BY41"/>
    <mergeCell ref="BZ40:BZ41"/>
    <mergeCell ref="CI40:CI41"/>
    <mergeCell ref="CJ40:CJ41"/>
    <mergeCell ref="CK40:CK41"/>
    <mergeCell ref="CL40:CL41"/>
    <mergeCell ref="CM40:CM41"/>
    <mergeCell ref="CN40:CN41"/>
    <mergeCell ref="CO40:CO41"/>
    <mergeCell ref="CP40:CP41"/>
    <mergeCell ref="CJ38:CJ39"/>
    <mergeCell ref="CK38:CK39"/>
    <mergeCell ref="CL38:CL39"/>
    <mergeCell ref="CM38:CM39"/>
    <mergeCell ref="CN38:CN39"/>
    <mergeCell ref="BW38:BW39"/>
    <mergeCell ref="BX38:BX39"/>
    <mergeCell ref="BY38:BY39"/>
    <mergeCell ref="BZ38:BZ39"/>
    <mergeCell ref="CI38:CI39"/>
    <mergeCell ref="BW36:BW37"/>
    <mergeCell ref="BX36:BX37"/>
    <mergeCell ref="BY36:BY37"/>
    <mergeCell ref="BZ36:BZ37"/>
    <mergeCell ref="CI36:CI37"/>
    <mergeCell ref="CJ36:CJ37"/>
    <mergeCell ref="CK36:CK37"/>
    <mergeCell ref="CL36:CL37"/>
    <mergeCell ref="CM36:CM37"/>
    <mergeCell ref="CN36:CN37"/>
    <mergeCell ref="CO36:CO37"/>
    <mergeCell ref="CP36:CP37"/>
    <mergeCell ref="CS36:CS37"/>
    <mergeCell ref="CT36:CT37"/>
    <mergeCell ref="CO32:CO33"/>
    <mergeCell ref="CP32:CP33"/>
    <mergeCell ref="CS32:CS33"/>
    <mergeCell ref="CT32:CT33"/>
    <mergeCell ref="BW34:BW35"/>
    <mergeCell ref="BX34:BX35"/>
    <mergeCell ref="BY34:BY35"/>
    <mergeCell ref="BZ34:BZ35"/>
    <mergeCell ref="CI34:CI35"/>
    <mergeCell ref="CJ34:CJ35"/>
    <mergeCell ref="CK34:CK35"/>
    <mergeCell ref="CL34:CL35"/>
    <mergeCell ref="CM34:CM35"/>
    <mergeCell ref="CN34:CN35"/>
    <mergeCell ref="CO34:CO35"/>
    <mergeCell ref="CP34:CP35"/>
    <mergeCell ref="CJ32:CJ33"/>
    <mergeCell ref="CK32:CK33"/>
    <mergeCell ref="CL32:CL33"/>
    <mergeCell ref="CM32:CM33"/>
    <mergeCell ref="CN32:CN33"/>
    <mergeCell ref="BW32:BW33"/>
    <mergeCell ref="BX32:BX33"/>
    <mergeCell ref="BY32:BY33"/>
    <mergeCell ref="BZ32:BZ33"/>
    <mergeCell ref="CI32:CI33"/>
    <mergeCell ref="CS28:CS29"/>
    <mergeCell ref="CT28:CT29"/>
    <mergeCell ref="BW30:BW31"/>
    <mergeCell ref="BX30:BX31"/>
    <mergeCell ref="BY30:BY31"/>
    <mergeCell ref="BZ30:BZ31"/>
    <mergeCell ref="CI30:CI31"/>
    <mergeCell ref="CJ30:CJ31"/>
    <mergeCell ref="CK30:CK31"/>
    <mergeCell ref="CL30:CL31"/>
    <mergeCell ref="CM30:CM31"/>
    <mergeCell ref="CN30:CN31"/>
    <mergeCell ref="CO30:CO31"/>
    <mergeCell ref="CP30:CP31"/>
    <mergeCell ref="CS30:CS31"/>
    <mergeCell ref="CT30:CT31"/>
    <mergeCell ref="BW28:BW29"/>
    <mergeCell ref="BX28:BX29"/>
    <mergeCell ref="BY28:BY29"/>
    <mergeCell ref="BZ28:BZ29"/>
    <mergeCell ref="CI28:CI29"/>
    <mergeCell ref="CJ28:CJ29"/>
    <mergeCell ref="CK28:CK29"/>
    <mergeCell ref="CL28:CL29"/>
    <mergeCell ref="CM28:CM29"/>
    <mergeCell ref="CN28:CN29"/>
    <mergeCell ref="CO28:CO29"/>
    <mergeCell ref="CP28:CP29"/>
    <mergeCell ref="CJ26:CJ27"/>
    <mergeCell ref="CK26:CK27"/>
    <mergeCell ref="CL26:CL27"/>
    <mergeCell ref="CM26:CM27"/>
    <mergeCell ref="CN26:CN27"/>
    <mergeCell ref="BW26:BW27"/>
    <mergeCell ref="BX26:BX27"/>
    <mergeCell ref="BY26:BY27"/>
    <mergeCell ref="BZ26:BZ27"/>
    <mergeCell ref="CI26:CI27"/>
    <mergeCell ref="CS22:CS23"/>
    <mergeCell ref="CT22:CT23"/>
    <mergeCell ref="BW24:BW25"/>
    <mergeCell ref="BX24:BX25"/>
    <mergeCell ref="BY24:BY25"/>
    <mergeCell ref="BZ24:BZ25"/>
    <mergeCell ref="CI24:CI25"/>
    <mergeCell ref="CJ24:CJ25"/>
    <mergeCell ref="CK24:CK25"/>
    <mergeCell ref="CL24:CL25"/>
    <mergeCell ref="CM24:CM25"/>
    <mergeCell ref="CN24:CN25"/>
    <mergeCell ref="CO24:CO25"/>
    <mergeCell ref="CP24:CP25"/>
    <mergeCell ref="CS24:CS25"/>
    <mergeCell ref="CT24:CT25"/>
    <mergeCell ref="BW22:BW23"/>
    <mergeCell ref="BX22:BX23"/>
    <mergeCell ref="BY22:BY23"/>
    <mergeCell ref="BZ22:BZ23"/>
    <mergeCell ref="CI22:CI23"/>
    <mergeCell ref="CJ22:CJ23"/>
    <mergeCell ref="CK22:CK23"/>
    <mergeCell ref="CL22:CL23"/>
    <mergeCell ref="CM22:CM23"/>
    <mergeCell ref="CN22:CN23"/>
    <mergeCell ref="CO22:CO23"/>
    <mergeCell ref="CP22:CP23"/>
    <mergeCell ref="CJ20:CJ21"/>
    <mergeCell ref="CK20:CK21"/>
    <mergeCell ref="CL20:CL21"/>
    <mergeCell ref="CM20:CM21"/>
    <mergeCell ref="CN20:CN21"/>
    <mergeCell ref="BW20:BW21"/>
    <mergeCell ref="BX20:BX21"/>
    <mergeCell ref="BY20:BY21"/>
    <mergeCell ref="BZ20:BZ21"/>
    <mergeCell ref="CI20:CI21"/>
    <mergeCell ref="BW18:BW19"/>
    <mergeCell ref="BX18:BX19"/>
    <mergeCell ref="BY18:BY19"/>
    <mergeCell ref="BZ18:BZ19"/>
    <mergeCell ref="CI18:CI19"/>
    <mergeCell ref="CJ18:CJ19"/>
    <mergeCell ref="CK18:CK19"/>
    <mergeCell ref="CL18:CL19"/>
    <mergeCell ref="CM18:CM19"/>
    <mergeCell ref="CN18:CN19"/>
    <mergeCell ref="CO18:CO19"/>
    <mergeCell ref="CP18:CP19"/>
    <mergeCell ref="CS18:CS19"/>
    <mergeCell ref="CT18:CT19"/>
    <mergeCell ref="CO14:CO15"/>
    <mergeCell ref="CP14:CP15"/>
    <mergeCell ref="CS14:CS15"/>
    <mergeCell ref="CT14:CT15"/>
    <mergeCell ref="BW16:BW17"/>
    <mergeCell ref="BX16:BX17"/>
    <mergeCell ref="BY16:BY17"/>
    <mergeCell ref="BZ16:BZ17"/>
    <mergeCell ref="CI16:CI17"/>
    <mergeCell ref="CJ16:CJ17"/>
    <mergeCell ref="CK16:CK17"/>
    <mergeCell ref="CL16:CL17"/>
    <mergeCell ref="CM16:CM17"/>
    <mergeCell ref="CN16:CN17"/>
    <mergeCell ref="CO16:CO17"/>
    <mergeCell ref="CP16:CP17"/>
    <mergeCell ref="CJ14:CJ15"/>
    <mergeCell ref="CK14:CK15"/>
    <mergeCell ref="CL14:CL15"/>
    <mergeCell ref="CM14:CM15"/>
    <mergeCell ref="CN14:CN15"/>
    <mergeCell ref="BW14:BW15"/>
    <mergeCell ref="BX14:BX15"/>
    <mergeCell ref="BY14:BY15"/>
    <mergeCell ref="BZ14:BZ15"/>
    <mergeCell ref="CI14:CI15"/>
    <mergeCell ref="CS10:CS11"/>
    <mergeCell ref="CT10:CT11"/>
    <mergeCell ref="BW12:BW13"/>
    <mergeCell ref="BX12:BX13"/>
    <mergeCell ref="BY12:BY13"/>
    <mergeCell ref="BZ12:BZ13"/>
    <mergeCell ref="CI12:CI13"/>
    <mergeCell ref="CJ12:CJ13"/>
    <mergeCell ref="CK12:CK13"/>
    <mergeCell ref="CL12:CL13"/>
    <mergeCell ref="CM12:CM13"/>
    <mergeCell ref="CN12:CN13"/>
    <mergeCell ref="CO12:CO13"/>
    <mergeCell ref="CP12:CP13"/>
    <mergeCell ref="CS12:CS13"/>
    <mergeCell ref="CT12:CT13"/>
    <mergeCell ref="CO8:CO9"/>
    <mergeCell ref="CP8:CP9"/>
    <mergeCell ref="CS8:CS9"/>
    <mergeCell ref="CT8:CT9"/>
    <mergeCell ref="BW10:BW11"/>
    <mergeCell ref="BX10:BX11"/>
    <mergeCell ref="BY10:BY11"/>
    <mergeCell ref="BZ10:BZ11"/>
    <mergeCell ref="CI10:CI11"/>
    <mergeCell ref="CJ10:CJ11"/>
    <mergeCell ref="CK10:CK11"/>
    <mergeCell ref="CL10:CL11"/>
    <mergeCell ref="CM10:CM11"/>
    <mergeCell ref="CN10:CN11"/>
    <mergeCell ref="CO10:CO11"/>
    <mergeCell ref="CP10:CP11"/>
    <mergeCell ref="CJ8:CJ9"/>
    <mergeCell ref="CK8:CK9"/>
    <mergeCell ref="CL8:CL9"/>
    <mergeCell ref="CM8:CM9"/>
    <mergeCell ref="CN8:CN9"/>
    <mergeCell ref="BW8:BW9"/>
    <mergeCell ref="BX8:BX9"/>
    <mergeCell ref="BY8:BY9"/>
    <mergeCell ref="BZ8:BZ9"/>
    <mergeCell ref="CI8:CI9"/>
    <mergeCell ref="CS4:CS5"/>
    <mergeCell ref="CT4:CT5"/>
    <mergeCell ref="BW6:BW7"/>
    <mergeCell ref="BX6:BX7"/>
    <mergeCell ref="BY6:BY7"/>
    <mergeCell ref="BZ6:BZ7"/>
    <mergeCell ref="CI6:CI7"/>
    <mergeCell ref="CJ6:CJ7"/>
    <mergeCell ref="CK6:CK7"/>
    <mergeCell ref="CL6:CL7"/>
    <mergeCell ref="CM6:CM7"/>
    <mergeCell ref="CN6:CN7"/>
    <mergeCell ref="CO6:CO7"/>
    <mergeCell ref="CP6:CP7"/>
    <mergeCell ref="CS6:CS7"/>
    <mergeCell ref="CT6:CT7"/>
    <mergeCell ref="CO2:CO3"/>
    <mergeCell ref="CP2:CP3"/>
    <mergeCell ref="CS2:CS3"/>
    <mergeCell ref="CT2:CT3"/>
    <mergeCell ref="BW4:BW5"/>
    <mergeCell ref="BX4:BX5"/>
    <mergeCell ref="BY4:BY5"/>
    <mergeCell ref="BZ4:BZ5"/>
    <mergeCell ref="CI4:CI5"/>
    <mergeCell ref="CJ4:CJ5"/>
    <mergeCell ref="CK4:CK5"/>
    <mergeCell ref="CL4:CL5"/>
    <mergeCell ref="CM4:CM5"/>
    <mergeCell ref="CN4:CN5"/>
    <mergeCell ref="CO4:CO5"/>
    <mergeCell ref="CP4:CP5"/>
    <mergeCell ref="CJ2:CJ3"/>
    <mergeCell ref="CK2:CK3"/>
    <mergeCell ref="CL2:CL3"/>
    <mergeCell ref="CM2:CM3"/>
    <mergeCell ref="CN2:CN3"/>
    <mergeCell ref="BW2:BW3"/>
    <mergeCell ref="BX2:BX3"/>
    <mergeCell ref="BY2:BY3"/>
    <mergeCell ref="BZ2:BZ3"/>
    <mergeCell ref="CI2:CI3"/>
    <mergeCell ref="BW1:BZ1"/>
    <mergeCell ref="CA1:CH1"/>
    <mergeCell ref="CI1:CP1"/>
    <mergeCell ref="CQ1:CR1"/>
    <mergeCell ref="CS1:CT1"/>
    <mergeCell ref="BL40:BL41"/>
    <mergeCell ref="BM40:BM41"/>
    <mergeCell ref="BP40:BP41"/>
    <mergeCell ref="BQ40:BQ41"/>
    <mergeCell ref="BS1:BV1"/>
    <mergeCell ref="BL34:BL35"/>
    <mergeCell ref="BM34:BM35"/>
    <mergeCell ref="BP34:BP35"/>
    <mergeCell ref="BQ34:BQ35"/>
    <mergeCell ref="BQ30:BQ31"/>
    <mergeCell ref="BQ32:BQ33"/>
    <mergeCell ref="BL28:BL29"/>
    <mergeCell ref="BM28:BM29"/>
    <mergeCell ref="BP28:BP29"/>
    <mergeCell ref="BQ28:BQ29"/>
    <mergeCell ref="BQ24:BQ25"/>
    <mergeCell ref="BQ20:BQ21"/>
    <mergeCell ref="BG40:BG41"/>
    <mergeCell ref="BH40:BH41"/>
    <mergeCell ref="BI40:BI41"/>
    <mergeCell ref="BJ40:BJ41"/>
    <mergeCell ref="BK40:BK41"/>
    <mergeCell ref="AT40:AT41"/>
    <mergeCell ref="AU40:AU41"/>
    <mergeCell ref="AV40:AV41"/>
    <mergeCell ref="AW40:AW41"/>
    <mergeCell ref="BF40:BF41"/>
    <mergeCell ref="BP36:BP37"/>
    <mergeCell ref="BQ36:BQ37"/>
    <mergeCell ref="AT38:AT39"/>
    <mergeCell ref="AU38:AU39"/>
    <mergeCell ref="AV38:AV39"/>
    <mergeCell ref="AW38:AW39"/>
    <mergeCell ref="BF38:BF39"/>
    <mergeCell ref="BG38:BG39"/>
    <mergeCell ref="BH38:BH39"/>
    <mergeCell ref="BI38:BI39"/>
    <mergeCell ref="BJ38:BJ39"/>
    <mergeCell ref="BK38:BK39"/>
    <mergeCell ref="BL38:BL39"/>
    <mergeCell ref="BM38:BM39"/>
    <mergeCell ref="BP38:BP39"/>
    <mergeCell ref="BQ38:BQ39"/>
    <mergeCell ref="AT36:AT37"/>
    <mergeCell ref="AU36:AU37"/>
    <mergeCell ref="AV36:AV37"/>
    <mergeCell ref="AW36:AW37"/>
    <mergeCell ref="BF36:BF37"/>
    <mergeCell ref="BG36:BG37"/>
    <mergeCell ref="BH36:BH37"/>
    <mergeCell ref="BI36:BI37"/>
    <mergeCell ref="BJ36:BJ37"/>
    <mergeCell ref="BK36:BK37"/>
    <mergeCell ref="BL36:BL37"/>
    <mergeCell ref="BM36:BM37"/>
    <mergeCell ref="BG34:BG35"/>
    <mergeCell ref="BH34:BH35"/>
    <mergeCell ref="BI34:BI35"/>
    <mergeCell ref="BJ34:BJ35"/>
    <mergeCell ref="BK34:BK35"/>
    <mergeCell ref="AT34:AT35"/>
    <mergeCell ref="AU34:AU35"/>
    <mergeCell ref="AV34:AV35"/>
    <mergeCell ref="AW34:AW35"/>
    <mergeCell ref="BF34:BF35"/>
    <mergeCell ref="BP30:BP31"/>
    <mergeCell ref="AT32:AT33"/>
    <mergeCell ref="AU32:AU33"/>
    <mergeCell ref="AV32:AV33"/>
    <mergeCell ref="AW32:AW33"/>
    <mergeCell ref="BF32:BF33"/>
    <mergeCell ref="BG32:BG33"/>
    <mergeCell ref="BH32:BH33"/>
    <mergeCell ref="BI32:BI33"/>
    <mergeCell ref="BJ32:BJ33"/>
    <mergeCell ref="BK32:BK33"/>
    <mergeCell ref="BL32:BL33"/>
    <mergeCell ref="BM32:BM33"/>
    <mergeCell ref="BP32:BP33"/>
    <mergeCell ref="AT30:AT31"/>
    <mergeCell ref="AU30:AU31"/>
    <mergeCell ref="AV30:AV31"/>
    <mergeCell ref="AW30:AW31"/>
    <mergeCell ref="BF30:BF31"/>
    <mergeCell ref="BG30:BG31"/>
    <mergeCell ref="BH30:BH31"/>
    <mergeCell ref="BI30:BI31"/>
    <mergeCell ref="BJ30:BJ31"/>
    <mergeCell ref="BK30:BK31"/>
    <mergeCell ref="BL30:BL31"/>
    <mergeCell ref="BM30:BM31"/>
    <mergeCell ref="BG28:BG29"/>
    <mergeCell ref="BH28:BH29"/>
    <mergeCell ref="BI28:BI29"/>
    <mergeCell ref="BJ28:BJ29"/>
    <mergeCell ref="BK28:BK29"/>
    <mergeCell ref="AT28:AT29"/>
    <mergeCell ref="AU28:AU29"/>
    <mergeCell ref="AV28:AV29"/>
    <mergeCell ref="AW28:AW29"/>
    <mergeCell ref="BF28:BF29"/>
    <mergeCell ref="AT26:AT27"/>
    <mergeCell ref="AU26:AU27"/>
    <mergeCell ref="AV26:AV27"/>
    <mergeCell ref="AW26:AW27"/>
    <mergeCell ref="BF26:BF27"/>
    <mergeCell ref="BG26:BG27"/>
    <mergeCell ref="BH26:BH27"/>
    <mergeCell ref="BI26:BI27"/>
    <mergeCell ref="BJ26:BJ27"/>
    <mergeCell ref="BK26:BK27"/>
    <mergeCell ref="BL26:BL27"/>
    <mergeCell ref="BM26:BM27"/>
    <mergeCell ref="BP26:BP27"/>
    <mergeCell ref="BQ26:BQ27"/>
    <mergeCell ref="BJ24:BJ25"/>
    <mergeCell ref="BK24:BK25"/>
    <mergeCell ref="BL24:BL25"/>
    <mergeCell ref="BM24:BM25"/>
    <mergeCell ref="BP24:BP25"/>
    <mergeCell ref="AW24:AW25"/>
    <mergeCell ref="BF24:BF25"/>
    <mergeCell ref="BG24:BG25"/>
    <mergeCell ref="BH24:BH25"/>
    <mergeCell ref="BI24:BI25"/>
    <mergeCell ref="AW22:AW23"/>
    <mergeCell ref="BF22:BF23"/>
    <mergeCell ref="BG22:BG23"/>
    <mergeCell ref="BH22:BH23"/>
    <mergeCell ref="BI22:BI23"/>
    <mergeCell ref="BJ22:BJ23"/>
    <mergeCell ref="BK22:BK23"/>
    <mergeCell ref="BL22:BL23"/>
    <mergeCell ref="BM22:BM23"/>
    <mergeCell ref="BP22:BP23"/>
    <mergeCell ref="BQ22:BQ23"/>
    <mergeCell ref="BJ20:BJ21"/>
    <mergeCell ref="BK20:BK21"/>
    <mergeCell ref="BL20:BL21"/>
    <mergeCell ref="BM20:BM21"/>
    <mergeCell ref="BP20:BP21"/>
    <mergeCell ref="AW20:AW21"/>
    <mergeCell ref="BF20:BF21"/>
    <mergeCell ref="BG20:BG21"/>
    <mergeCell ref="BH20:BH21"/>
    <mergeCell ref="BI20:BI21"/>
    <mergeCell ref="BQ16:BQ17"/>
    <mergeCell ref="AW18:AW19"/>
    <mergeCell ref="BF18:BF19"/>
    <mergeCell ref="BG18:BG19"/>
    <mergeCell ref="BH18:BH19"/>
    <mergeCell ref="BI18:BI19"/>
    <mergeCell ref="BJ18:BJ19"/>
    <mergeCell ref="BK18:BK19"/>
    <mergeCell ref="BL18:BL19"/>
    <mergeCell ref="BM18:BM19"/>
    <mergeCell ref="BP18:BP19"/>
    <mergeCell ref="BQ18:BQ19"/>
    <mergeCell ref="BJ16:BJ17"/>
    <mergeCell ref="BK16:BK17"/>
    <mergeCell ref="BL16:BL17"/>
    <mergeCell ref="BM16:BM17"/>
    <mergeCell ref="BP16:BP17"/>
    <mergeCell ref="AW16:AW17"/>
    <mergeCell ref="BF16:BF17"/>
    <mergeCell ref="BG16:BG17"/>
    <mergeCell ref="BH16:BH17"/>
    <mergeCell ref="BI16:BI17"/>
    <mergeCell ref="BQ12:BQ13"/>
    <mergeCell ref="AW14:AW15"/>
    <mergeCell ref="BF14:BF15"/>
    <mergeCell ref="BG14:BG15"/>
    <mergeCell ref="BH14:BH15"/>
    <mergeCell ref="BI14:BI15"/>
    <mergeCell ref="BJ14:BJ15"/>
    <mergeCell ref="BK14:BK15"/>
    <mergeCell ref="BL14:BL15"/>
    <mergeCell ref="BM14:BM15"/>
    <mergeCell ref="BP14:BP15"/>
    <mergeCell ref="BQ14:BQ15"/>
    <mergeCell ref="BJ12:BJ13"/>
    <mergeCell ref="BK12:BK13"/>
    <mergeCell ref="BL12:BL13"/>
    <mergeCell ref="BM12:BM13"/>
    <mergeCell ref="BP12:BP13"/>
    <mergeCell ref="AW12:AW13"/>
    <mergeCell ref="BF12:BF13"/>
    <mergeCell ref="BG12:BG13"/>
    <mergeCell ref="BH12:BH13"/>
    <mergeCell ref="BI12:BI13"/>
    <mergeCell ref="BQ8:BQ9"/>
    <mergeCell ref="AW10:AW11"/>
    <mergeCell ref="BF10:BF11"/>
    <mergeCell ref="BG10:BG11"/>
    <mergeCell ref="BH10:BH11"/>
    <mergeCell ref="BI10:BI11"/>
    <mergeCell ref="BJ10:BJ11"/>
    <mergeCell ref="BK10:BK11"/>
    <mergeCell ref="BL10:BL11"/>
    <mergeCell ref="BM10:BM11"/>
    <mergeCell ref="BP10:BP11"/>
    <mergeCell ref="BQ10:BQ11"/>
    <mergeCell ref="BJ8:BJ9"/>
    <mergeCell ref="BK8:BK9"/>
    <mergeCell ref="BL8:BL9"/>
    <mergeCell ref="BM8:BM9"/>
    <mergeCell ref="BP8:BP9"/>
    <mergeCell ref="AW8:AW9"/>
    <mergeCell ref="BF8:BF9"/>
    <mergeCell ref="BG8:BG9"/>
    <mergeCell ref="BH8:BH9"/>
    <mergeCell ref="BI8:BI9"/>
    <mergeCell ref="BQ4:BQ5"/>
    <mergeCell ref="AW6:AW7"/>
    <mergeCell ref="BF6:BF7"/>
    <mergeCell ref="BG6:BG7"/>
    <mergeCell ref="BH6:BH7"/>
    <mergeCell ref="BI6:BI7"/>
    <mergeCell ref="BJ6:BJ7"/>
    <mergeCell ref="BK6:BK7"/>
    <mergeCell ref="BL6:BL7"/>
    <mergeCell ref="BM6:BM7"/>
    <mergeCell ref="BP6:BP7"/>
    <mergeCell ref="BQ6:BQ7"/>
    <mergeCell ref="BJ4:BJ5"/>
    <mergeCell ref="BK4:BK5"/>
    <mergeCell ref="BL4:BL5"/>
    <mergeCell ref="BM4:BM5"/>
    <mergeCell ref="BP4:BP5"/>
    <mergeCell ref="AW4:AW5"/>
    <mergeCell ref="BF4:BF5"/>
    <mergeCell ref="BG4:BG5"/>
    <mergeCell ref="BH4:BH5"/>
    <mergeCell ref="BI4:BI5"/>
    <mergeCell ref="BP1:BQ1"/>
    <mergeCell ref="AW2:AW3"/>
    <mergeCell ref="BF2:BF3"/>
    <mergeCell ref="BG2:BG3"/>
    <mergeCell ref="BH2:BH3"/>
    <mergeCell ref="BI2:BI3"/>
    <mergeCell ref="BJ2:BJ3"/>
    <mergeCell ref="BK2:BK3"/>
    <mergeCell ref="BL2:BL3"/>
    <mergeCell ref="BM2:BM3"/>
    <mergeCell ref="BP2:BP3"/>
    <mergeCell ref="BQ2:BQ3"/>
    <mergeCell ref="AP1:AS1"/>
    <mergeCell ref="AT1:AW1"/>
    <mergeCell ref="AX1:BE1"/>
    <mergeCell ref="BF1:BM1"/>
    <mergeCell ref="BN1:BO1"/>
    <mergeCell ref="AN36:AN37"/>
    <mergeCell ref="AM38:AM39"/>
    <mergeCell ref="AN38:AN39"/>
    <mergeCell ref="AM40:AM41"/>
    <mergeCell ref="AN40:AN41"/>
    <mergeCell ref="AH40:AH41"/>
    <mergeCell ref="AI40:AI41"/>
    <mergeCell ref="AJ40:AJ41"/>
    <mergeCell ref="AM24:AM25"/>
    <mergeCell ref="AN24:AN25"/>
    <mergeCell ref="AM26:AM27"/>
    <mergeCell ref="AN26:AN27"/>
    <mergeCell ref="AM28:AM29"/>
    <mergeCell ref="AN28:AN29"/>
    <mergeCell ref="AM30:AM31"/>
    <mergeCell ref="AN30:AN31"/>
    <mergeCell ref="AM32:AM33"/>
    <mergeCell ref="AN32:AN33"/>
    <mergeCell ref="AM34:AM35"/>
    <mergeCell ref="AN34:AN35"/>
    <mergeCell ref="AM36:AM37"/>
    <mergeCell ref="AH32:AH33"/>
    <mergeCell ref="AI32:AI33"/>
    <mergeCell ref="AJ32:AJ33"/>
    <mergeCell ref="AH24:AH25"/>
    <mergeCell ref="AI24:AI25"/>
    <mergeCell ref="AJ24:AJ25"/>
    <mergeCell ref="AC40:AC41"/>
    <mergeCell ref="AD40:AD41"/>
    <mergeCell ref="AE40:AE41"/>
    <mergeCell ref="AF40:AF41"/>
    <mergeCell ref="AG40:AG41"/>
    <mergeCell ref="AH36:AH37"/>
    <mergeCell ref="AI36:AI37"/>
    <mergeCell ref="AJ36:AJ37"/>
    <mergeCell ref="AC38:AC39"/>
    <mergeCell ref="AD38:AD39"/>
    <mergeCell ref="AE38:AE39"/>
    <mergeCell ref="AF38:AF39"/>
    <mergeCell ref="AG38:AG39"/>
    <mergeCell ref="AH38:AH39"/>
    <mergeCell ref="AI38:AI39"/>
    <mergeCell ref="AJ38:AJ39"/>
    <mergeCell ref="AC36:AC37"/>
    <mergeCell ref="AD36:AD37"/>
    <mergeCell ref="AE36:AE37"/>
    <mergeCell ref="AF36:AF37"/>
    <mergeCell ref="AG36:AG37"/>
    <mergeCell ref="AC34:AC35"/>
    <mergeCell ref="AD34:AD35"/>
    <mergeCell ref="AE34:AE35"/>
    <mergeCell ref="AF34:AF35"/>
    <mergeCell ref="AG34:AG35"/>
    <mergeCell ref="AH34:AH35"/>
    <mergeCell ref="AI34:AI35"/>
    <mergeCell ref="AJ34:AJ35"/>
    <mergeCell ref="AC32:AC33"/>
    <mergeCell ref="AD32:AD33"/>
    <mergeCell ref="AE32:AE33"/>
    <mergeCell ref="AF32:AF33"/>
    <mergeCell ref="AG32:AG33"/>
    <mergeCell ref="AH28:AH29"/>
    <mergeCell ref="AI28:AI29"/>
    <mergeCell ref="AJ28:AJ29"/>
    <mergeCell ref="AC30:AC31"/>
    <mergeCell ref="AD30:AD31"/>
    <mergeCell ref="AE30:AE31"/>
    <mergeCell ref="AF30:AF31"/>
    <mergeCell ref="AG30:AG31"/>
    <mergeCell ref="AH30:AH31"/>
    <mergeCell ref="AI30:AI31"/>
    <mergeCell ref="AJ30:AJ31"/>
    <mergeCell ref="AC28:AC29"/>
    <mergeCell ref="AD28:AD29"/>
    <mergeCell ref="AE28:AE29"/>
    <mergeCell ref="AF28:AF29"/>
    <mergeCell ref="AG28:AG29"/>
    <mergeCell ref="AC26:AC27"/>
    <mergeCell ref="AD26:AD27"/>
    <mergeCell ref="AE26:AE27"/>
    <mergeCell ref="AF26:AF27"/>
    <mergeCell ref="AG26:AG27"/>
    <mergeCell ref="AH26:AH27"/>
    <mergeCell ref="AI26:AI27"/>
    <mergeCell ref="AJ26:AJ27"/>
    <mergeCell ref="AC24:AC25"/>
    <mergeCell ref="AD24:AD25"/>
    <mergeCell ref="AE24:AE25"/>
    <mergeCell ref="AF24:AF25"/>
    <mergeCell ref="AG24:AG25"/>
    <mergeCell ref="AH20:AH21"/>
    <mergeCell ref="AI20:AI21"/>
    <mergeCell ref="AJ20:AJ21"/>
    <mergeCell ref="AC22:AC23"/>
    <mergeCell ref="AD22:AD23"/>
    <mergeCell ref="AE22:AE23"/>
    <mergeCell ref="AF22:AF23"/>
    <mergeCell ref="AG22:AG23"/>
    <mergeCell ref="AH22:AH23"/>
    <mergeCell ref="AI22:AI23"/>
    <mergeCell ref="AJ22:AJ23"/>
    <mergeCell ref="AC20:AC21"/>
    <mergeCell ref="AD20:AD21"/>
    <mergeCell ref="AE20:AE21"/>
    <mergeCell ref="AF20:AF21"/>
    <mergeCell ref="AG20:AG21"/>
    <mergeCell ref="AH16:AH17"/>
    <mergeCell ref="AI16:AI17"/>
    <mergeCell ref="AJ16:AJ17"/>
    <mergeCell ref="AC18:AC19"/>
    <mergeCell ref="AD18:AD19"/>
    <mergeCell ref="AE18:AE19"/>
    <mergeCell ref="AF18:AF19"/>
    <mergeCell ref="AG18:AG19"/>
    <mergeCell ref="AH18:AH19"/>
    <mergeCell ref="AI18:AI19"/>
    <mergeCell ref="AJ18:AJ19"/>
    <mergeCell ref="AC16:AC17"/>
    <mergeCell ref="AD16:AD17"/>
    <mergeCell ref="AE16:AE17"/>
    <mergeCell ref="AF16:AF17"/>
    <mergeCell ref="AG16:AG17"/>
    <mergeCell ref="AH12:AH13"/>
    <mergeCell ref="AI12:AI13"/>
    <mergeCell ref="AJ12:AJ13"/>
    <mergeCell ref="AC14:AC15"/>
    <mergeCell ref="AD14:AD15"/>
    <mergeCell ref="AE14:AE15"/>
    <mergeCell ref="AF14:AF15"/>
    <mergeCell ref="AG14:AG15"/>
    <mergeCell ref="AH14:AH15"/>
    <mergeCell ref="AI14:AI15"/>
    <mergeCell ref="AJ14:AJ15"/>
    <mergeCell ref="AC12:AC13"/>
    <mergeCell ref="AD12:AD13"/>
    <mergeCell ref="AE12:AE13"/>
    <mergeCell ref="AF12:AF13"/>
    <mergeCell ref="AG12:AG13"/>
    <mergeCell ref="AH8:AH9"/>
    <mergeCell ref="AI8:AI9"/>
    <mergeCell ref="AJ8:AJ9"/>
    <mergeCell ref="AC10:AC11"/>
    <mergeCell ref="AD10:AD11"/>
    <mergeCell ref="AE10:AE11"/>
    <mergeCell ref="AF10:AF11"/>
    <mergeCell ref="AG10:AG11"/>
    <mergeCell ref="AH10:AH11"/>
    <mergeCell ref="AI10:AI11"/>
    <mergeCell ref="AJ10:AJ11"/>
    <mergeCell ref="AC8:AC9"/>
    <mergeCell ref="AD8:AD9"/>
    <mergeCell ref="AE8:AE9"/>
    <mergeCell ref="AF8:AF9"/>
    <mergeCell ref="AG8:AG9"/>
    <mergeCell ref="AH4:AH5"/>
    <mergeCell ref="AI4:AI5"/>
    <mergeCell ref="AJ4:AJ5"/>
    <mergeCell ref="AC6:AC7"/>
    <mergeCell ref="AD6:AD7"/>
    <mergeCell ref="AE6:AE7"/>
    <mergeCell ref="AF6:AF7"/>
    <mergeCell ref="AG6:AG7"/>
    <mergeCell ref="AH6:AH7"/>
    <mergeCell ref="AI6:AI7"/>
    <mergeCell ref="AJ6:AJ7"/>
    <mergeCell ref="AC4:AC5"/>
    <mergeCell ref="AD4:AD5"/>
    <mergeCell ref="AE4:AE5"/>
    <mergeCell ref="AF4:AF5"/>
    <mergeCell ref="AG4:AG5"/>
    <mergeCell ref="Q38:Q39"/>
    <mergeCell ref="R38:R39"/>
    <mergeCell ref="S38:S39"/>
    <mergeCell ref="T38:T39"/>
    <mergeCell ref="Q40:Q41"/>
    <mergeCell ref="R40:R41"/>
    <mergeCell ref="S40:S41"/>
    <mergeCell ref="T40:T41"/>
    <mergeCell ref="Q34:Q35"/>
    <mergeCell ref="R34:R35"/>
    <mergeCell ref="S34:S35"/>
    <mergeCell ref="T34:T35"/>
    <mergeCell ref="Q36:Q37"/>
    <mergeCell ref="R36:R37"/>
    <mergeCell ref="S36:S37"/>
    <mergeCell ref="T36:T37"/>
    <mergeCell ref="Q30:Q31"/>
    <mergeCell ref="R30:R31"/>
    <mergeCell ref="S30:S31"/>
    <mergeCell ref="T30:T31"/>
    <mergeCell ref="Q32:Q33"/>
    <mergeCell ref="R32:R33"/>
    <mergeCell ref="S32:S33"/>
    <mergeCell ref="T32:T33"/>
    <mergeCell ref="Q26:Q27"/>
    <mergeCell ref="R26:R27"/>
    <mergeCell ref="S26:S27"/>
    <mergeCell ref="T26:T27"/>
    <mergeCell ref="Q28:Q29"/>
    <mergeCell ref="R28:R29"/>
    <mergeCell ref="S28:S29"/>
    <mergeCell ref="T28:T29"/>
    <mergeCell ref="Q22:Q23"/>
    <mergeCell ref="R22:R23"/>
    <mergeCell ref="S22:S23"/>
    <mergeCell ref="T22:T23"/>
    <mergeCell ref="Q24:Q25"/>
    <mergeCell ref="R24:R25"/>
    <mergeCell ref="S24:S25"/>
    <mergeCell ref="T24:T25"/>
    <mergeCell ref="Q18:Q19"/>
    <mergeCell ref="R18:R19"/>
    <mergeCell ref="S18:S19"/>
    <mergeCell ref="T18:T19"/>
    <mergeCell ref="Q20:Q21"/>
    <mergeCell ref="R20:R21"/>
    <mergeCell ref="S20:S21"/>
    <mergeCell ref="T20:T21"/>
    <mergeCell ref="Q14:Q15"/>
    <mergeCell ref="R14:R15"/>
    <mergeCell ref="S14:S15"/>
    <mergeCell ref="T14:T15"/>
    <mergeCell ref="Q16:Q17"/>
    <mergeCell ref="R16:R17"/>
    <mergeCell ref="S16:S17"/>
    <mergeCell ref="T16:T17"/>
    <mergeCell ref="Q10:Q11"/>
    <mergeCell ref="R10:R11"/>
    <mergeCell ref="S10:S11"/>
    <mergeCell ref="T10:T11"/>
    <mergeCell ref="Q12:Q13"/>
    <mergeCell ref="R12:R13"/>
    <mergeCell ref="S12:S13"/>
    <mergeCell ref="T12:T13"/>
    <mergeCell ref="T6:T7"/>
    <mergeCell ref="Q8:Q9"/>
    <mergeCell ref="R8:R9"/>
    <mergeCell ref="S8:S9"/>
    <mergeCell ref="T8:T9"/>
    <mergeCell ref="AT22:AT23"/>
    <mergeCell ref="AU22:AU23"/>
    <mergeCell ref="AV22:AV23"/>
    <mergeCell ref="AT24:AT25"/>
    <mergeCell ref="AU24:AU25"/>
    <mergeCell ref="AV24:AV25"/>
    <mergeCell ref="AT18:AT19"/>
    <mergeCell ref="AU18:AU19"/>
    <mergeCell ref="AV18:AV19"/>
    <mergeCell ref="AT20:AT21"/>
    <mergeCell ref="AU20:AU21"/>
    <mergeCell ref="AV20:AV21"/>
    <mergeCell ref="AT14:AT15"/>
    <mergeCell ref="AU14:AU15"/>
    <mergeCell ref="AV14:AV15"/>
    <mergeCell ref="AT16:AT17"/>
    <mergeCell ref="AU16:AU17"/>
    <mergeCell ref="AV16:AV17"/>
    <mergeCell ref="AT10:AT11"/>
    <mergeCell ref="AU10:AU11"/>
    <mergeCell ref="AV10:AV11"/>
    <mergeCell ref="AT12:AT13"/>
    <mergeCell ref="AU12:AU13"/>
    <mergeCell ref="AV12:AV13"/>
    <mergeCell ref="AT6:AT7"/>
    <mergeCell ref="AU6:AU7"/>
    <mergeCell ref="AV6:AV7"/>
    <mergeCell ref="AT8:AT9"/>
    <mergeCell ref="AU8:AU9"/>
    <mergeCell ref="AV8:AV9"/>
    <mergeCell ref="AT2:AT3"/>
    <mergeCell ref="AU2:AU3"/>
    <mergeCell ref="AV2:AV3"/>
    <mergeCell ref="AT4:AT5"/>
    <mergeCell ref="AU4:AU5"/>
    <mergeCell ref="AV4:AV5"/>
    <mergeCell ref="AM20:AM21"/>
    <mergeCell ref="AN20:AN21"/>
    <mergeCell ref="AM22:AM23"/>
    <mergeCell ref="AN22:AN23"/>
    <mergeCell ref="AM16:AM17"/>
    <mergeCell ref="AN16:AN17"/>
    <mergeCell ref="AM18:AM19"/>
    <mergeCell ref="AN18:AN19"/>
    <mergeCell ref="AM12:AM13"/>
    <mergeCell ref="AN12:AN13"/>
    <mergeCell ref="AM14:AM15"/>
    <mergeCell ref="AN14:AN15"/>
    <mergeCell ref="AM8:AM9"/>
    <mergeCell ref="AN8:AN9"/>
    <mergeCell ref="AM10:AM11"/>
    <mergeCell ref="AN10:AN11"/>
    <mergeCell ref="AM4:AM5"/>
    <mergeCell ref="AN4:AN5"/>
    <mergeCell ref="AM6:AM7"/>
    <mergeCell ref="AN6:AN7"/>
    <mergeCell ref="Q4:Q5"/>
    <mergeCell ref="R4:R5"/>
    <mergeCell ref="S4:S5"/>
    <mergeCell ref="T4:T5"/>
    <mergeCell ref="Q6:Q7"/>
    <mergeCell ref="R6:R7"/>
    <mergeCell ref="S6:S7"/>
    <mergeCell ref="J2:J3"/>
    <mergeCell ref="K2:K3"/>
    <mergeCell ref="AC1:AJ1"/>
    <mergeCell ref="AM2:AM3"/>
    <mergeCell ref="AN2:AN3"/>
    <mergeCell ref="AK1:AL1"/>
    <mergeCell ref="AM1:AN1"/>
    <mergeCell ref="AC2:AC3"/>
    <mergeCell ref="AD2:AD3"/>
    <mergeCell ref="AE2:AE3"/>
    <mergeCell ref="AF2:AF3"/>
    <mergeCell ref="AG2:AG3"/>
    <mergeCell ref="AH2:AH3"/>
    <mergeCell ref="AI2:AI3"/>
    <mergeCell ref="AJ2:AJ3"/>
    <mergeCell ref="M1:P1"/>
    <mergeCell ref="Q1:T1"/>
    <mergeCell ref="U1:AB1"/>
    <mergeCell ref="Q2:Q3"/>
    <mergeCell ref="R2:R3"/>
    <mergeCell ref="S2:S3"/>
    <mergeCell ref="T2:T3"/>
  </mergeCells>
  <conditionalFormatting sqref="O42:O257">
    <cfRule type="expression" dxfId="150" priority="74">
      <formula>O42=125</formula>
    </cfRule>
  </conditionalFormatting>
  <conditionalFormatting sqref="I4">
    <cfRule type="expression" dxfId="149" priority="40">
      <formula>I4=I5</formula>
    </cfRule>
  </conditionalFormatting>
  <conditionalFormatting sqref="I5">
    <cfRule type="expression" dxfId="148" priority="39">
      <formula>I5=I4</formula>
    </cfRule>
  </conditionalFormatting>
  <conditionalFormatting sqref="I8">
    <cfRule type="expression" dxfId="147" priority="36">
      <formula>I8=I9</formula>
    </cfRule>
  </conditionalFormatting>
  <conditionalFormatting sqref="I9">
    <cfRule type="expression" dxfId="146" priority="35">
      <formula>I9=I8</formula>
    </cfRule>
  </conditionalFormatting>
  <conditionalFormatting sqref="I16">
    <cfRule type="expression" dxfId="145" priority="28">
      <formula>I16=I17</formula>
    </cfRule>
  </conditionalFormatting>
  <conditionalFormatting sqref="I17">
    <cfRule type="expression" dxfId="144" priority="27">
      <formula>I17=I16</formula>
    </cfRule>
  </conditionalFormatting>
  <conditionalFormatting sqref="I24">
    <cfRule type="expression" dxfId="143" priority="20">
      <formula>I24=I25</formula>
    </cfRule>
  </conditionalFormatting>
  <conditionalFormatting sqref="I25">
    <cfRule type="expression" dxfId="142" priority="19">
      <formula>I25=I24</formula>
    </cfRule>
  </conditionalFormatting>
  <conditionalFormatting sqref="I6">
    <cfRule type="expression" dxfId="141" priority="38">
      <formula>I6=I7</formula>
    </cfRule>
  </conditionalFormatting>
  <conditionalFormatting sqref="I7">
    <cfRule type="expression" dxfId="140" priority="37">
      <formula>I7=I6</formula>
    </cfRule>
  </conditionalFormatting>
  <conditionalFormatting sqref="I10">
    <cfRule type="expression" dxfId="139" priority="34">
      <formula>I10=I11</formula>
    </cfRule>
  </conditionalFormatting>
  <conditionalFormatting sqref="I11">
    <cfRule type="expression" dxfId="138" priority="33">
      <formula>I11=I10</formula>
    </cfRule>
  </conditionalFormatting>
  <conditionalFormatting sqref="I12">
    <cfRule type="expression" dxfId="137" priority="32">
      <formula>I12=I13</formula>
    </cfRule>
  </conditionalFormatting>
  <conditionalFormatting sqref="I13">
    <cfRule type="expression" dxfId="136" priority="31">
      <formula>I13=I12</formula>
    </cfRule>
  </conditionalFormatting>
  <conditionalFormatting sqref="I14">
    <cfRule type="expression" dxfId="135" priority="30">
      <formula>I14=I15</formula>
    </cfRule>
  </conditionalFormatting>
  <conditionalFormatting sqref="I15">
    <cfRule type="expression" dxfId="134" priority="29">
      <formula>I15=I14</formula>
    </cfRule>
  </conditionalFormatting>
  <conditionalFormatting sqref="I18">
    <cfRule type="expression" dxfId="133" priority="26">
      <formula>I18=I19</formula>
    </cfRule>
  </conditionalFormatting>
  <conditionalFormatting sqref="I19">
    <cfRule type="expression" dxfId="132" priority="25">
      <formula>I19=I18</formula>
    </cfRule>
  </conditionalFormatting>
  <conditionalFormatting sqref="I20">
    <cfRule type="expression" dxfId="131" priority="24">
      <formula>I20=I21</formula>
    </cfRule>
  </conditionalFormatting>
  <conditionalFormatting sqref="I21">
    <cfRule type="expression" dxfId="130" priority="23">
      <formula>I21=I20</formula>
    </cfRule>
  </conditionalFormatting>
  <conditionalFormatting sqref="I22">
    <cfRule type="expression" dxfId="129" priority="22">
      <formula>I22=I23</formula>
    </cfRule>
  </conditionalFormatting>
  <conditionalFormatting sqref="I23">
    <cfRule type="expression" dxfId="128" priority="21">
      <formula>I23=I22</formula>
    </cfRule>
  </conditionalFormatting>
  <conditionalFormatting sqref="I26">
    <cfRule type="expression" dxfId="127" priority="18">
      <formula>I26=I27</formula>
    </cfRule>
  </conditionalFormatting>
  <conditionalFormatting sqref="I27">
    <cfRule type="expression" dxfId="126" priority="17">
      <formula>I27=I26</formula>
    </cfRule>
  </conditionalFormatting>
  <conditionalFormatting sqref="I28">
    <cfRule type="expression" dxfId="125" priority="16">
      <formula>I28=I29</formula>
    </cfRule>
  </conditionalFormatting>
  <conditionalFormatting sqref="I29">
    <cfRule type="expression" dxfId="124" priority="15">
      <formula>I29=I28</formula>
    </cfRule>
  </conditionalFormatting>
  <conditionalFormatting sqref="I30">
    <cfRule type="expression" dxfId="123" priority="14">
      <formula>I30=I31</formula>
    </cfRule>
  </conditionalFormatting>
  <conditionalFormatting sqref="I31">
    <cfRule type="expression" dxfId="122" priority="13">
      <formula>I31=I30</formula>
    </cfRule>
  </conditionalFormatting>
  <conditionalFormatting sqref="I32">
    <cfRule type="expression" dxfId="121" priority="12">
      <formula>I32=I33</formula>
    </cfRule>
  </conditionalFormatting>
  <conditionalFormatting sqref="I33">
    <cfRule type="expression" dxfId="120" priority="11">
      <formula>I33=I32</formula>
    </cfRule>
  </conditionalFormatting>
  <conditionalFormatting sqref="I34">
    <cfRule type="expression" dxfId="119" priority="10">
      <formula>I34=I35</formula>
    </cfRule>
  </conditionalFormatting>
  <conditionalFormatting sqref="I35">
    <cfRule type="expression" dxfId="118" priority="9">
      <formula>I35=I34</formula>
    </cfRule>
  </conditionalFormatting>
  <conditionalFormatting sqref="I36">
    <cfRule type="expression" dxfId="117" priority="8">
      <formula>I36=I37</formula>
    </cfRule>
  </conditionalFormatting>
  <conditionalFormatting sqref="I37">
    <cfRule type="expression" dxfId="116" priority="7">
      <formula>I37=I36</formula>
    </cfRule>
  </conditionalFormatting>
  <conditionalFormatting sqref="I38">
    <cfRule type="expression" dxfId="115" priority="6">
      <formula>I38=I39</formula>
    </cfRule>
  </conditionalFormatting>
  <conditionalFormatting sqref="I39">
    <cfRule type="expression" dxfId="114" priority="5">
      <formula>I39=I38</formula>
    </cfRule>
  </conditionalFormatting>
  <conditionalFormatting sqref="I40">
    <cfRule type="expression" dxfId="113" priority="4">
      <formula>I40=I41</formula>
    </cfRule>
  </conditionalFormatting>
  <conditionalFormatting sqref="I41">
    <cfRule type="expression" dxfId="112" priority="3">
      <formula>I41=I40</formula>
    </cfRule>
  </conditionalFormatting>
  <conditionalFormatting sqref="I2">
    <cfRule type="expression" dxfId="111" priority="2">
      <formula>I2=I3</formula>
    </cfRule>
  </conditionalFormatting>
  <conditionalFormatting sqref="I3">
    <cfRule type="expression" dxfId="110" priority="1">
      <formula>I3=I2</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JM41"/>
  <sheetViews>
    <sheetView topLeftCell="DN1" workbookViewId="0">
      <selection activeCell="DX3" sqref="DX3"/>
    </sheetView>
  </sheetViews>
  <sheetFormatPr defaultRowHeight="18" x14ac:dyDescent="0.35"/>
  <cols>
    <col min="1" max="7" width="8.88671875" style="1"/>
    <col min="8" max="8" width="40.88671875" style="1" bestFit="1" customWidth="1"/>
    <col min="9" max="10" width="8.88671875" style="1"/>
    <col min="11" max="11" width="10.77734375" style="1" bestFit="1" customWidth="1"/>
    <col min="12" max="12" width="40.88671875" style="42" bestFit="1" customWidth="1"/>
    <col min="13" max="16" width="10.77734375" style="1" bestFit="1" customWidth="1"/>
    <col min="17" max="20" width="5.5546875" style="1" bestFit="1" customWidth="1"/>
    <col min="21" max="28" width="5.88671875" style="1" bestFit="1" customWidth="1"/>
    <col min="29" max="31" width="3.109375" style="1" bestFit="1" customWidth="1"/>
    <col min="32" max="33" width="4.33203125" style="1" bestFit="1" customWidth="1"/>
    <col min="34" max="34" width="3.44140625" style="1" bestFit="1" customWidth="1"/>
    <col min="35" max="35" width="3.109375" style="1" bestFit="1" customWidth="1"/>
    <col min="36" max="36" width="3.44140625" style="1" bestFit="1" customWidth="1"/>
    <col min="37" max="38" width="20.77734375" style="1" bestFit="1" customWidth="1"/>
    <col min="39" max="40" width="8" style="1" bestFit="1" customWidth="1"/>
    <col min="41" max="41" width="40.88671875" style="42" bestFit="1" customWidth="1"/>
    <col min="42" max="45" width="10.77734375" style="1" bestFit="1" customWidth="1"/>
    <col min="46" max="49" width="5.5546875" style="1" bestFit="1" customWidth="1"/>
    <col min="50" max="57" width="5.88671875" style="1" bestFit="1" customWidth="1"/>
    <col min="58" max="59" width="3.109375" style="1" bestFit="1" customWidth="1"/>
    <col min="60" max="60" width="3.44140625" style="1" bestFit="1" customWidth="1"/>
    <col min="61" max="63" width="4.33203125" style="1" bestFit="1" customWidth="1"/>
    <col min="64" max="64" width="3.109375" style="1" bestFit="1" customWidth="1"/>
    <col min="65" max="65" width="3.44140625" style="1" bestFit="1" customWidth="1"/>
    <col min="66" max="67" width="20.77734375" style="1" bestFit="1" customWidth="1"/>
    <col min="68" max="69" width="8" style="1" bestFit="1" customWidth="1"/>
    <col min="70" max="70" width="40.88671875" style="42" bestFit="1" customWidth="1"/>
    <col min="71" max="74" width="10.77734375" style="1" bestFit="1" customWidth="1"/>
    <col min="75" max="78" width="5.5546875" style="1" bestFit="1" customWidth="1"/>
    <col min="79" max="86" width="5.88671875" style="1" bestFit="1" customWidth="1"/>
    <col min="87" max="88" width="3.109375" style="1" bestFit="1" customWidth="1"/>
    <col min="89" max="89" width="3.44140625" style="1" bestFit="1" customWidth="1"/>
    <col min="90" max="92" width="4.33203125" style="1" bestFit="1" customWidth="1"/>
    <col min="93" max="93" width="3.109375" style="1" bestFit="1" customWidth="1"/>
    <col min="94" max="94" width="3.44140625" style="1" bestFit="1" customWidth="1"/>
    <col min="95" max="96" width="20.77734375" style="1" bestFit="1" customWidth="1"/>
    <col min="97" max="98" width="8" style="1" bestFit="1" customWidth="1"/>
    <col min="99" max="99" width="40.88671875" style="42" bestFit="1" customWidth="1"/>
    <col min="100" max="103" width="10.77734375" style="1" bestFit="1" customWidth="1"/>
    <col min="104" max="104" width="4.33203125" style="1" bestFit="1" customWidth="1"/>
    <col min="105" max="106" width="4.6640625" style="1" bestFit="1" customWidth="1"/>
    <col min="107" max="107" width="5.5546875" style="1" bestFit="1" customWidth="1"/>
    <col min="108" max="115" width="5.88671875" style="1" bestFit="1" customWidth="1"/>
    <col min="116" max="118" width="3.109375" style="1" bestFit="1" customWidth="1"/>
    <col min="119" max="120" width="4.33203125" style="1" bestFit="1" customWidth="1"/>
    <col min="121" max="121" width="3.44140625" style="1" bestFit="1" customWidth="1"/>
    <col min="122" max="122" width="3.109375" style="1" bestFit="1" customWidth="1"/>
    <col min="123" max="123" width="3.44140625" style="1" bestFit="1" customWidth="1"/>
    <col min="124" max="125" width="20.77734375" style="1" bestFit="1" customWidth="1"/>
    <col min="126" max="127" width="8" style="1" bestFit="1" customWidth="1"/>
    <col min="128" max="128" width="40.88671875" style="1" bestFit="1" customWidth="1"/>
    <col min="129" max="129" width="40.88671875" style="42" bestFit="1" customWidth="1"/>
    <col min="130" max="133" width="10.77734375" style="1" bestFit="1" customWidth="1"/>
    <col min="134" max="137" width="5.5546875" style="1" bestFit="1" customWidth="1"/>
    <col min="138" max="145" width="5.88671875" style="1" bestFit="1" customWidth="1"/>
    <col min="146" max="148" width="3.109375" style="1" bestFit="1" customWidth="1"/>
    <col min="149" max="150" width="4.33203125" style="1" bestFit="1" customWidth="1"/>
    <col min="151" max="151" width="3.44140625" style="1" bestFit="1" customWidth="1"/>
    <col min="152" max="152" width="3.109375" style="1" bestFit="1" customWidth="1"/>
    <col min="153" max="153" width="3.44140625" style="1" bestFit="1" customWidth="1"/>
    <col min="154" max="155" width="20.77734375" style="1" bestFit="1" customWidth="1"/>
    <col min="156" max="157" width="8" style="1" bestFit="1" customWidth="1"/>
    <col min="158" max="158" width="40.88671875" style="42" bestFit="1" customWidth="1"/>
    <col min="159" max="162" width="10.77734375" style="1" bestFit="1" customWidth="1"/>
    <col min="163" max="166" width="5.5546875" style="1" bestFit="1" customWidth="1"/>
    <col min="167" max="174" width="5.88671875" style="1" bestFit="1" customWidth="1"/>
    <col min="175" max="177" width="3.109375" style="1" bestFit="1" customWidth="1"/>
    <col min="178" max="179" width="4.33203125" style="1" bestFit="1" customWidth="1"/>
    <col min="180" max="180" width="3.44140625" style="1" bestFit="1" customWidth="1"/>
    <col min="181" max="181" width="3.109375" style="1" bestFit="1" customWidth="1"/>
    <col min="182" max="182" width="3.44140625" style="1" bestFit="1" customWidth="1"/>
    <col min="183" max="184" width="20.77734375" style="1" bestFit="1" customWidth="1"/>
    <col min="185" max="185" width="8.88671875" style="1"/>
    <col min="186" max="186" width="8" style="1" bestFit="1" customWidth="1"/>
    <col min="187" max="187" width="40.88671875" style="42" bestFit="1" customWidth="1"/>
    <col min="188" max="191" width="10.77734375" style="1" bestFit="1" customWidth="1"/>
    <col min="192" max="194" width="5.5546875" style="1" bestFit="1" customWidth="1"/>
    <col min="195" max="195" width="4.6640625" style="1" bestFit="1" customWidth="1"/>
    <col min="196" max="203" width="5.88671875" style="1" bestFit="1" customWidth="1"/>
    <col min="204" max="206" width="3.109375" style="1" bestFit="1" customWidth="1"/>
    <col min="207" max="208" width="4.33203125" style="1" bestFit="1" customWidth="1"/>
    <col min="209" max="209" width="3.44140625" style="1" bestFit="1" customWidth="1"/>
    <col min="210" max="210" width="3.109375" style="1" bestFit="1" customWidth="1"/>
    <col min="211" max="211" width="3.44140625" style="1" bestFit="1" customWidth="1"/>
    <col min="212" max="213" width="20.77734375" style="1" bestFit="1" customWidth="1"/>
    <col min="214" max="215" width="8" style="1" bestFit="1" customWidth="1"/>
    <col min="216" max="216" width="44.5546875" style="42" bestFit="1" customWidth="1"/>
    <col min="217" max="220" width="10.77734375" style="1" bestFit="1" customWidth="1"/>
    <col min="221" max="223" width="5.5546875" style="1" bestFit="1" customWidth="1"/>
    <col min="224" max="224" width="4.33203125" style="1" bestFit="1" customWidth="1"/>
    <col min="225" max="232" width="5.88671875" style="1" bestFit="1" customWidth="1"/>
    <col min="233" max="235" width="3.109375" style="1" bestFit="1" customWidth="1"/>
    <col min="236" max="237" width="4.33203125" style="1" bestFit="1" customWidth="1"/>
    <col min="238" max="238" width="3.44140625" style="1" bestFit="1" customWidth="1"/>
    <col min="239" max="239" width="3.109375" style="1" bestFit="1" customWidth="1"/>
    <col min="240" max="240" width="3.44140625" style="1" bestFit="1" customWidth="1"/>
    <col min="241" max="242" width="20.77734375" style="1" bestFit="1" customWidth="1"/>
    <col min="243" max="244" width="8" style="1" bestFit="1" customWidth="1"/>
    <col min="245" max="245" width="40.88671875" style="1" bestFit="1" customWidth="1"/>
    <col min="246" max="249" width="10.77734375" style="1" bestFit="1" customWidth="1"/>
    <col min="250" max="253" width="5.5546875" style="1" bestFit="1" customWidth="1"/>
    <col min="254" max="261" width="5.88671875" style="1" bestFit="1" customWidth="1"/>
    <col min="262" max="264" width="3.109375" style="1" bestFit="1" customWidth="1"/>
    <col min="265" max="266" width="4.33203125" style="1" bestFit="1" customWidth="1"/>
    <col min="267" max="267" width="3.44140625" style="1" bestFit="1" customWidth="1"/>
    <col min="268" max="268" width="3.109375" style="1" bestFit="1" customWidth="1"/>
    <col min="269" max="269" width="3.44140625" style="1" bestFit="1" customWidth="1"/>
    <col min="270" max="271" width="20.77734375" style="1" bestFit="1" customWidth="1"/>
    <col min="272" max="273" width="8" style="1" bestFit="1" customWidth="1"/>
    <col min="274" max="16384" width="8.88671875" style="1"/>
  </cols>
  <sheetData>
    <row r="1" spans="1:273" ht="18.600000000000001" thickBot="1" x14ac:dyDescent="0.4">
      <c r="L1" s="42" t="s">
        <v>227</v>
      </c>
      <c r="M1" s="94" t="s">
        <v>215</v>
      </c>
      <c r="N1" s="94"/>
      <c r="O1" s="94"/>
      <c r="P1" s="94"/>
      <c r="Q1" s="94" t="s">
        <v>219</v>
      </c>
      <c r="R1" s="94"/>
      <c r="S1" s="94"/>
      <c r="T1" s="94"/>
      <c r="U1" s="94" t="s">
        <v>216</v>
      </c>
      <c r="V1" s="94"/>
      <c r="W1" s="94"/>
      <c r="X1" s="94"/>
      <c r="Y1" s="94"/>
      <c r="Z1" s="94"/>
      <c r="AA1" s="94"/>
      <c r="AB1" s="94"/>
      <c r="AC1" s="94" t="s">
        <v>219</v>
      </c>
      <c r="AD1" s="94"/>
      <c r="AE1" s="94"/>
      <c r="AF1" s="94"/>
      <c r="AG1" s="94"/>
      <c r="AH1" s="94"/>
      <c r="AI1" s="94"/>
      <c r="AJ1" s="94"/>
      <c r="AK1" s="98" t="s">
        <v>217</v>
      </c>
      <c r="AL1" s="98"/>
      <c r="AM1" s="99" t="s">
        <v>219</v>
      </c>
      <c r="AN1" s="99"/>
      <c r="AO1" s="42" t="s">
        <v>228</v>
      </c>
      <c r="AP1" s="94" t="s">
        <v>215</v>
      </c>
      <c r="AQ1" s="94"/>
      <c r="AR1" s="94"/>
      <c r="AS1" s="94"/>
      <c r="AT1" s="94" t="s">
        <v>219</v>
      </c>
      <c r="AU1" s="94"/>
      <c r="AV1" s="94"/>
      <c r="AW1" s="94"/>
      <c r="AX1" s="94" t="s">
        <v>216</v>
      </c>
      <c r="AY1" s="94"/>
      <c r="AZ1" s="94"/>
      <c r="BA1" s="94"/>
      <c r="BB1" s="94"/>
      <c r="BC1" s="94"/>
      <c r="BD1" s="94"/>
      <c r="BE1" s="94"/>
      <c r="BF1" s="94" t="s">
        <v>219</v>
      </c>
      <c r="BG1" s="94"/>
      <c r="BH1" s="94"/>
      <c r="BI1" s="94"/>
      <c r="BJ1" s="94"/>
      <c r="BK1" s="94"/>
      <c r="BL1" s="94"/>
      <c r="BM1" s="94"/>
      <c r="BN1" s="98" t="s">
        <v>217</v>
      </c>
      <c r="BO1" s="98"/>
      <c r="BP1" s="99" t="s">
        <v>219</v>
      </c>
      <c r="BQ1" s="99"/>
      <c r="BR1" s="42" t="s">
        <v>229</v>
      </c>
      <c r="BS1" s="94" t="s">
        <v>215</v>
      </c>
      <c r="BT1" s="94"/>
      <c r="BU1" s="94"/>
      <c r="BV1" s="94"/>
      <c r="BW1" s="94" t="s">
        <v>219</v>
      </c>
      <c r="BX1" s="94"/>
      <c r="BY1" s="94"/>
      <c r="BZ1" s="94"/>
      <c r="CA1" s="94" t="s">
        <v>216</v>
      </c>
      <c r="CB1" s="94"/>
      <c r="CC1" s="94"/>
      <c r="CD1" s="94"/>
      <c r="CE1" s="94"/>
      <c r="CF1" s="94"/>
      <c r="CG1" s="94"/>
      <c r="CH1" s="94"/>
      <c r="CI1" s="94" t="s">
        <v>219</v>
      </c>
      <c r="CJ1" s="94"/>
      <c r="CK1" s="94"/>
      <c r="CL1" s="94"/>
      <c r="CM1" s="94"/>
      <c r="CN1" s="94"/>
      <c r="CO1" s="94"/>
      <c r="CP1" s="94"/>
      <c r="CQ1" s="98" t="s">
        <v>217</v>
      </c>
      <c r="CR1" s="98"/>
      <c r="CS1" s="99" t="s">
        <v>219</v>
      </c>
      <c r="CT1" s="99"/>
      <c r="CU1" s="42" t="s">
        <v>230</v>
      </c>
      <c r="CV1" s="94" t="s">
        <v>215</v>
      </c>
      <c r="CW1" s="94"/>
      <c r="CX1" s="94"/>
      <c r="CY1" s="94"/>
      <c r="CZ1" s="94" t="s">
        <v>219</v>
      </c>
      <c r="DA1" s="94"/>
      <c r="DB1" s="94"/>
      <c r="DC1" s="94"/>
      <c r="DD1" s="94" t="s">
        <v>216</v>
      </c>
      <c r="DE1" s="94"/>
      <c r="DF1" s="94"/>
      <c r="DG1" s="94"/>
      <c r="DH1" s="94"/>
      <c r="DI1" s="94"/>
      <c r="DJ1" s="94"/>
      <c r="DK1" s="94"/>
      <c r="DL1" s="94" t="s">
        <v>219</v>
      </c>
      <c r="DM1" s="94"/>
      <c r="DN1" s="94"/>
      <c r="DO1" s="94"/>
      <c r="DP1" s="94"/>
      <c r="DQ1" s="94"/>
      <c r="DR1" s="94"/>
      <c r="DS1" s="94"/>
      <c r="DT1" s="98" t="s">
        <v>217</v>
      </c>
      <c r="DU1" s="98"/>
      <c r="DV1" s="99" t="s">
        <v>219</v>
      </c>
      <c r="DW1" s="99"/>
      <c r="DX1" s="1" t="s">
        <v>231</v>
      </c>
      <c r="DY1" s="42" t="s">
        <v>232</v>
      </c>
      <c r="DZ1" s="94" t="s">
        <v>215</v>
      </c>
      <c r="EA1" s="94"/>
      <c r="EB1" s="94"/>
      <c r="EC1" s="94"/>
      <c r="ED1" s="94" t="s">
        <v>219</v>
      </c>
      <c r="EE1" s="94"/>
      <c r="EF1" s="94"/>
      <c r="EG1" s="94"/>
      <c r="EH1" s="94" t="s">
        <v>216</v>
      </c>
      <c r="EI1" s="94"/>
      <c r="EJ1" s="94"/>
      <c r="EK1" s="94"/>
      <c r="EL1" s="94"/>
      <c r="EM1" s="94"/>
      <c r="EN1" s="94"/>
      <c r="EO1" s="94"/>
      <c r="EP1" s="94" t="s">
        <v>219</v>
      </c>
      <c r="EQ1" s="94"/>
      <c r="ER1" s="94"/>
      <c r="ES1" s="94"/>
      <c r="ET1" s="94"/>
      <c r="EU1" s="94"/>
      <c r="EV1" s="94"/>
      <c r="EW1" s="94"/>
      <c r="EX1" s="98" t="s">
        <v>217</v>
      </c>
      <c r="EY1" s="98"/>
      <c r="EZ1" s="99" t="s">
        <v>219</v>
      </c>
      <c r="FA1" s="99"/>
      <c r="FB1" s="42" t="s">
        <v>233</v>
      </c>
      <c r="FC1" s="94" t="s">
        <v>215</v>
      </c>
      <c r="FD1" s="94"/>
      <c r="FE1" s="94"/>
      <c r="FF1" s="94"/>
      <c r="FG1" s="94" t="s">
        <v>219</v>
      </c>
      <c r="FH1" s="94"/>
      <c r="FI1" s="94"/>
      <c r="FJ1" s="94"/>
      <c r="FK1" s="94" t="s">
        <v>216</v>
      </c>
      <c r="FL1" s="94"/>
      <c r="FM1" s="94"/>
      <c r="FN1" s="94"/>
      <c r="FO1" s="94"/>
      <c r="FP1" s="94"/>
      <c r="FQ1" s="94"/>
      <c r="FR1" s="94"/>
      <c r="FS1" s="94" t="s">
        <v>219</v>
      </c>
      <c r="FT1" s="94"/>
      <c r="FU1" s="94"/>
      <c r="FV1" s="94"/>
      <c r="FW1" s="94"/>
      <c r="FX1" s="94"/>
      <c r="FY1" s="94"/>
      <c r="FZ1" s="94"/>
      <c r="GA1" s="98" t="s">
        <v>217</v>
      </c>
      <c r="GB1" s="98"/>
      <c r="GC1" s="99" t="s">
        <v>219</v>
      </c>
      <c r="GD1" s="99"/>
      <c r="GE1" s="42" t="s">
        <v>234</v>
      </c>
      <c r="GF1" s="94" t="s">
        <v>215</v>
      </c>
      <c r="GG1" s="94"/>
      <c r="GH1" s="94"/>
      <c r="GI1" s="94"/>
      <c r="GJ1" s="94" t="s">
        <v>219</v>
      </c>
      <c r="GK1" s="94"/>
      <c r="GL1" s="94"/>
      <c r="GM1" s="94"/>
      <c r="GN1" s="94" t="s">
        <v>216</v>
      </c>
      <c r="GO1" s="94"/>
      <c r="GP1" s="94"/>
      <c r="GQ1" s="94"/>
      <c r="GR1" s="94"/>
      <c r="GS1" s="94"/>
      <c r="GT1" s="94"/>
      <c r="GU1" s="94"/>
      <c r="GV1" s="94" t="s">
        <v>219</v>
      </c>
      <c r="GW1" s="94"/>
      <c r="GX1" s="94"/>
      <c r="GY1" s="94"/>
      <c r="GZ1" s="94"/>
      <c r="HA1" s="94"/>
      <c r="HB1" s="94"/>
      <c r="HC1" s="94"/>
      <c r="HD1" s="98" t="s">
        <v>217</v>
      </c>
      <c r="HE1" s="98"/>
      <c r="HF1" s="99" t="s">
        <v>219</v>
      </c>
      <c r="HG1" s="99"/>
      <c r="HH1" s="42" t="s">
        <v>235</v>
      </c>
      <c r="HI1" s="94" t="s">
        <v>215</v>
      </c>
      <c r="HJ1" s="94"/>
      <c r="HK1" s="94"/>
      <c r="HL1" s="94"/>
      <c r="HM1" s="94" t="s">
        <v>219</v>
      </c>
      <c r="HN1" s="94"/>
      <c r="HO1" s="94"/>
      <c r="HP1" s="94"/>
      <c r="HQ1" s="94" t="s">
        <v>216</v>
      </c>
      <c r="HR1" s="94"/>
      <c r="HS1" s="94"/>
      <c r="HT1" s="94"/>
      <c r="HU1" s="94"/>
      <c r="HV1" s="94"/>
      <c r="HW1" s="94"/>
      <c r="HX1" s="94"/>
      <c r="HY1" s="94" t="s">
        <v>219</v>
      </c>
      <c r="HZ1" s="94"/>
      <c r="IA1" s="94"/>
      <c r="IB1" s="94"/>
      <c r="IC1" s="94"/>
      <c r="ID1" s="94"/>
      <c r="IE1" s="94"/>
      <c r="IF1" s="94"/>
      <c r="IG1" s="98" t="s">
        <v>217</v>
      </c>
      <c r="IH1" s="98"/>
      <c r="II1" s="99" t="s">
        <v>219</v>
      </c>
      <c r="IJ1" s="99"/>
      <c r="IL1" s="14"/>
      <c r="IM1" s="14"/>
      <c r="IN1" s="14"/>
      <c r="IO1" s="14"/>
      <c r="IP1" s="14"/>
      <c r="IQ1" s="14"/>
      <c r="IR1" s="14"/>
      <c r="IS1" s="14"/>
      <c r="IT1" s="14"/>
      <c r="IU1" s="14"/>
      <c r="IV1" s="14"/>
      <c r="IW1" s="14"/>
      <c r="IX1" s="14"/>
      <c r="IY1" s="14"/>
      <c r="IZ1" s="14"/>
      <c r="JA1" s="14"/>
      <c r="JB1" s="14"/>
      <c r="JC1" s="14"/>
      <c r="JD1" s="14"/>
      <c r="JE1" s="14"/>
      <c r="JF1" s="14"/>
      <c r="JG1" s="14"/>
      <c r="JH1" s="14"/>
      <c r="JI1" s="14"/>
      <c r="JJ1" s="49"/>
      <c r="JK1" s="49"/>
      <c r="JL1" s="30"/>
      <c r="JM1" s="30"/>
    </row>
    <row r="2" spans="1:273" s="27" customFormat="1" x14ac:dyDescent="0.35">
      <c r="A2" s="24"/>
      <c r="B2" s="25"/>
      <c r="C2" s="20" t="s">
        <v>0</v>
      </c>
      <c r="D2" s="20" t="s">
        <v>133</v>
      </c>
      <c r="E2" s="20" t="s">
        <v>99</v>
      </c>
      <c r="F2" s="20">
        <v>23</v>
      </c>
      <c r="G2" s="20" t="s">
        <v>136</v>
      </c>
      <c r="H2" s="20" t="str">
        <f t="shared" ref="H2:H15" si="0">CONCATENATE(HEX2BIN(D2,8),HEX2BIN(E2,8),HEX2BIN(F2,8),HEX2BIN(G2,8))</f>
        <v>11000111101000100010001101001111</v>
      </c>
      <c r="I2" s="20">
        <f t="shared" ref="I2:I15" si="1">MID(H2,1,1)+MID(H2,2,1)+MID(H2,3,1)+MID(H2,4,1)+MID(H2,5,1)+MID(H2,6,1)+MID(H2,7,1)+MID(H2,8,1)+MID(H2,9,1)+MID(H2,10,1)+MID(H2,11,1)+MID(H2,12,1)+MID(H2,13,1)+MID(H2,14,1)+MID(H2,15,1)+MID(H2,16,1)+MID(H2,17,1)+MID(H2,18,1)+MID(H2,19,1)+MID(H2,20,1)+MID(H2,21,1)+MID(H2,22,1)+MID(H2,23,1)+MID(H2,24,1)+MID(H2,25,1)+MID(H2,26,1)+MID(H2,27,1)+MID(H2,28,1)+MID(H2,29,1)+MID(H2,30,1)+MID(H2,31,1)+MID(H2,32,1)</f>
        <v>16</v>
      </c>
      <c r="J2" s="77">
        <v>64</v>
      </c>
      <c r="K2" s="77" t="str">
        <f>HEX2BIN(J2,8)</f>
        <v>01100100</v>
      </c>
      <c r="L2" s="43" t="str">
        <f>H2</f>
        <v>11000111101000100010001101001111</v>
      </c>
      <c r="M2" s="26" t="str">
        <f>MID(L2,1,8)</f>
        <v>11000111</v>
      </c>
      <c r="N2" s="26" t="str">
        <f>MID(L2,9,8)</f>
        <v>10100010</v>
      </c>
      <c r="O2" s="26" t="str">
        <f>MID(L2,17,8)</f>
        <v>00100011</v>
      </c>
      <c r="P2" s="26" t="str">
        <f>MID(L2,25,8)</f>
        <v>01001111</v>
      </c>
      <c r="Q2" s="77">
        <f>BIN2DEC(M2)-BIN2DEC(M3)</f>
        <v>112</v>
      </c>
      <c r="R2" s="77">
        <f>BIN2DEC(N2)-BIN2DEC(N3)</f>
        <v>-46</v>
      </c>
      <c r="S2" s="77">
        <f>BIN2DEC(O2)-BIN2DEC(O3)</f>
        <v>-201</v>
      </c>
      <c r="T2" s="77">
        <f>BIN2DEC(P2)-BIN2DEC(P3)</f>
        <v>-100</v>
      </c>
      <c r="U2" s="27" t="str">
        <f>MID($L2,1,4)</f>
        <v>1100</v>
      </c>
      <c r="V2" s="27" t="str">
        <f>MID($L2,5,4)</f>
        <v>0111</v>
      </c>
      <c r="W2" s="27" t="str">
        <f>MID($L2,9,4)</f>
        <v>1010</v>
      </c>
      <c r="X2" s="27" t="str">
        <f>MID($L2,13,4)</f>
        <v>0010</v>
      </c>
      <c r="Y2" s="27" t="str">
        <f>MID($L2,17,4)</f>
        <v>0010</v>
      </c>
      <c r="Z2" s="27" t="str">
        <f>MID($L2,21,4)</f>
        <v>0011</v>
      </c>
      <c r="AA2" s="27" t="str">
        <f>MID($L2,25,4)</f>
        <v>0100</v>
      </c>
      <c r="AB2" s="27" t="str">
        <f>MID($L2,29,4)</f>
        <v>1111</v>
      </c>
      <c r="AC2" s="77">
        <f>BIN2DEC(U2)-BIN2DEC(U3)</f>
        <v>7</v>
      </c>
      <c r="AD2" s="77">
        <f t="shared" ref="AD2:AI2" si="2">BIN2DEC(V2)-BIN2DEC(V3)</f>
        <v>0</v>
      </c>
      <c r="AE2" s="77">
        <f t="shared" si="2"/>
        <v>-3</v>
      </c>
      <c r="AF2" s="77">
        <f t="shared" si="2"/>
        <v>2</v>
      </c>
      <c r="AG2" s="77">
        <f t="shared" si="2"/>
        <v>-12</v>
      </c>
      <c r="AH2" s="77">
        <f t="shared" si="2"/>
        <v>-9</v>
      </c>
      <c r="AI2" s="77">
        <f t="shared" si="2"/>
        <v>-7</v>
      </c>
      <c r="AJ2" s="77">
        <f>BIN2DEC(AB2)-BIN2DEC(AB3)</f>
        <v>12</v>
      </c>
      <c r="AK2" s="26" t="str">
        <f t="shared" ref="AK2:AK41" si="3">MID(L2,1,16)</f>
        <v>1100011110100010</v>
      </c>
      <c r="AL2" s="26" t="str">
        <f t="shared" ref="AL2:AL41" si="4">MID(L2,17,16)</f>
        <v>0010001101001111</v>
      </c>
      <c r="AM2" s="77">
        <f>MID(AK2,16,1)*POWER(2,0)+MID(AK2,15,1)*POWER(2,1)+MID(AK2,14,1)*POWER(2,2)+MID(AK2,13,1)*POWER(2,3)+MID(AK2,12,1)*POWER(2,4)+MID(AK2,11,1)*POWER(2,5)+MID(AK2,10,1)*POWER(2,6)+MID(AK2,9,1)*POWER(2,7)+MID(AK2,8,1)*POWER(2,8)+MID(AK2,7,1)*POWER(2,9)+MID(AK2,6,1)*POWER(2,10)+MID(AK2,5,1)*POWER(2,11)+MID(AK2,4,1)*POWER(2,12)+MID(AK2,3,1)*POWER(2,13)+MID(AK2,2,1)*POWER(2,14)+MID(AK2,1,1)*POWER(2,15)-(MID(AK3,16,1)*POWER(2,0)+MID(AK3,15,1)*POWER(2,1)+MID(AK3,14,1)*POWER(2,2)+MID(AK3,13,1)*POWER(2,3)+MID(AK3,12,1)*POWER(2,4)+MID(AK3,11,1)*POWER(2,5)+MID(AK3,10,1)*POWER(2,6)+MID(AK3,9,1)*POWER(2,7)+MID(AK3,8,1)*POWER(2,8)+MID(AK3,7,1)*POWER(2,9)+MID(AK3,6,1)*POWER(2,10)+MID(AK3,5,1)*POWER(2,11)+MID(AK3,4,1)*POWER(2,12)+MID(AK3,3,1)*POWER(2,13)+MID(AK3,2,1)*POWER(2,14)+MID(AK3,1,1)*POWER(2,15))</f>
        <v>28626</v>
      </c>
      <c r="AN2" s="77">
        <f>MID(AL2,16,1)*POWER(2,0)+MID(AL2,15,1)*POWER(2,1)+MID(AL2,14,1)*POWER(2,2)+MID(AL2,13,1)*POWER(2,3)+MID(AL2,12,1)*POWER(2,4)+MID(AL2,11,1)*POWER(2,5)+MID(AL2,10,1)*POWER(2,6)+MID(AL2,9,1)*POWER(2,7)+MID(AL2,8,1)*POWER(2,8)+MID(AL2,7,1)*POWER(2,9)+MID(AL2,6,1)*POWER(2,10)+MID(AL2,5,1)*POWER(2,11)+MID(AL2,4,1)*POWER(2,12)+MID(AL2,3,1)*POWER(2,13)+MID(AL2,2,1)*POWER(2,14)+MID(AL2,1,1)*POWER(2,15)-(MID(AL3,16,1)*POWER(2,0)+MID(AL3,15,1)*POWER(2,1)+MID(AL3,14,1)*POWER(2,2)+MID(AL3,13,1)*POWER(2,3)+MID(AL3,12,1)*POWER(2,4)+MID(AL3,11,1)*POWER(2,5)+MID(AL3,10,1)*POWER(2,6)+MID(AL3,9,1)*POWER(2,7)+MID(AL3,8,1)*POWER(2,8)+MID(AL3,7,1)*POWER(2,9)+MID(AL3,6,1)*POWER(2,10)+MID(AL3,5,1)*POWER(2,11)+MID(AL3,4,1)*POWER(2,12)+MID(AL3,3,1)*POWER(2,13)+MID(AL3,2,1)*POWER(2,14)+MID(AL3,1,1)*POWER(2,15))</f>
        <v>-51556</v>
      </c>
      <c r="AO2" s="45" t="str">
        <f>H2</f>
        <v>11000111101000100010001101001111</v>
      </c>
      <c r="AP2" s="26" t="str">
        <f>MID(AO2,1,8)</f>
        <v>11000111</v>
      </c>
      <c r="AQ2" s="26" t="str">
        <f>MID(AO2,9,8)</f>
        <v>10100010</v>
      </c>
      <c r="AR2" s="26" t="str">
        <f>MID(AO2,17,8)</f>
        <v>00100011</v>
      </c>
      <c r="AS2" s="26" t="str">
        <f>MID(AO2,25,8)</f>
        <v>01001111</v>
      </c>
      <c r="AT2" s="77">
        <f>BIN2DEC(AP2)-BIN2DEC(AP3)</f>
        <v>131</v>
      </c>
      <c r="AU2" s="77">
        <f>BIN2DEC(AQ2)-BIN2DEC(AQ3)</f>
        <v>98</v>
      </c>
      <c r="AV2" s="77">
        <f>BIN2DEC(AR2)-BIN2DEC(AR3)</f>
        <v>-65</v>
      </c>
      <c r="AW2" s="77">
        <f>BIN2DEC(AS2)-BIN2DEC(AS3)</f>
        <v>47</v>
      </c>
      <c r="AX2" s="27" t="str">
        <f>MID($L2,1,4)</f>
        <v>1100</v>
      </c>
      <c r="AY2" s="27" t="str">
        <f>MID($L2,5,4)</f>
        <v>0111</v>
      </c>
      <c r="AZ2" s="27" t="str">
        <f>MID($L2,9,4)</f>
        <v>1010</v>
      </c>
      <c r="BA2" s="27" t="str">
        <f>MID($L2,13,4)</f>
        <v>0010</v>
      </c>
      <c r="BB2" s="27" t="str">
        <f>MID($L2,17,4)</f>
        <v>0010</v>
      </c>
      <c r="BC2" s="27" t="str">
        <f>MID($L2,21,4)</f>
        <v>0011</v>
      </c>
      <c r="BD2" s="27" t="str">
        <f>MID($L2,25,4)</f>
        <v>0100</v>
      </c>
      <c r="BE2" s="27" t="str">
        <f>MID($L2,29,4)</f>
        <v>1111</v>
      </c>
      <c r="BF2" s="77">
        <f>BIN2DEC(AX2)-BIN2DEC(AX3)</f>
        <v>7</v>
      </c>
      <c r="BG2" s="77">
        <f t="shared" ref="BG2:BL2" si="5">BIN2DEC(AY2)-BIN2DEC(AY3)</f>
        <v>0</v>
      </c>
      <c r="BH2" s="77">
        <f t="shared" si="5"/>
        <v>-3</v>
      </c>
      <c r="BI2" s="77">
        <f t="shared" si="5"/>
        <v>2</v>
      </c>
      <c r="BJ2" s="77">
        <f t="shared" si="5"/>
        <v>-12</v>
      </c>
      <c r="BK2" s="77">
        <f t="shared" si="5"/>
        <v>-9</v>
      </c>
      <c r="BL2" s="77">
        <f t="shared" si="5"/>
        <v>-7</v>
      </c>
      <c r="BM2" s="77">
        <f>BIN2DEC(BE2)-BIN2DEC(BE3)</f>
        <v>12</v>
      </c>
      <c r="BN2" s="26" t="str">
        <f t="shared" ref="BN2:BN41" si="6">MID(AO2,1,16)</f>
        <v>1100011110100010</v>
      </c>
      <c r="BO2" s="26" t="str">
        <f t="shared" ref="BO2:BO41" si="7">MID(AO2,17,16)</f>
        <v>0010001101001111</v>
      </c>
      <c r="BP2" s="77">
        <f>MID(BN2,16,1)*POWER(2,0)+MID(BN2,15,1)*POWER(2,1)+MID(BN2,14,1)*POWER(2,2)+MID(BN2,13,1)*POWER(2,3)+MID(BN2,12,1)*POWER(2,4)+MID(BN2,11,1)*POWER(2,5)+MID(BN2,10,1)*POWER(2,6)+MID(BN2,9,1)*POWER(2,7)+MID(BN2,8,1)*POWER(2,8)+MID(BN2,7,1)*POWER(2,9)+MID(BN2,6,1)*POWER(2,10)+MID(BN2,5,1)*POWER(2,11)+MID(BN2,4,1)*POWER(2,12)+MID(BN2,3,1)*POWER(2,13)+MID(BN2,2,1)*POWER(2,14)+MID(BN2,1,1)*POWER(2,15)-(MID(BN3,16,1)*POWER(2,0)+MID(BN3,15,1)*POWER(2,1)+MID(BN3,14,1)*POWER(2,2)+MID(BN3,13,1)*POWER(2,3)+MID(BN3,12,1)*POWER(2,4)+MID(BN3,11,1)*POWER(2,5)+MID(BN3,10,1)*POWER(2,6)+MID(BN3,9,1)*POWER(2,7)+MID(BN3,8,1)*POWER(2,8)+MID(BN3,7,1)*POWER(2,9)+MID(BN3,6,1)*POWER(2,10)+MID(BN3,5,1)*POWER(2,11)+MID(BN3,4,1)*POWER(2,12)+MID(BN3,3,1)*POWER(2,13)+MID(BN3,2,1)*POWER(2,14)+MID(BN3,1,1)*POWER(2,15))</f>
        <v>33634</v>
      </c>
      <c r="BQ2" s="77">
        <f>MID(BO2,16,1)*POWER(2,0)+MID(BO2,15,1)*POWER(2,1)+MID(BO2,14,1)*POWER(2,2)+MID(BO2,13,1)*POWER(2,3)+MID(BO2,12,1)*POWER(2,4)+MID(BO2,11,1)*POWER(2,5)+MID(BO2,10,1)*POWER(2,6)+MID(BO2,9,1)*POWER(2,7)+MID(BO2,8,1)*POWER(2,8)+MID(BO2,7,1)*POWER(2,9)+MID(BO2,6,1)*POWER(2,10)+MID(BO2,5,1)*POWER(2,11)+MID(BO2,4,1)*POWER(2,12)+MID(BO2,3,1)*POWER(2,13)+MID(BO2,2,1)*POWER(2,14)+MID(BO2,1,1)*POWER(2,15)-(MID(BO3,16,1)*POWER(2,0)+MID(BO3,15,1)*POWER(2,1)+MID(BO3,14,1)*POWER(2,2)+MID(BO3,13,1)*POWER(2,3)+MID(BO3,12,1)*POWER(2,4)+MID(BO3,11,1)*POWER(2,5)+MID(BO3,10,1)*POWER(2,6)+MID(BO3,9,1)*POWER(2,7)+MID(BO3,8,1)*POWER(2,8)+MID(BO3,7,1)*POWER(2,9)+MID(BO3,6,1)*POWER(2,10)+MID(BO3,5,1)*POWER(2,11)+MID(BO3,4,1)*POWER(2,12)+MID(BO3,3,1)*POWER(2,13)+MID(BO3,2,1)*POWER(2,14)+MID(BO3,1,1)*POWER(2,15))</f>
        <v>-16593</v>
      </c>
      <c r="BR2" s="45" t="str">
        <f>CONCATENATE(MID($L2,1,1)*MID($K2,1,1),MID($L2,2,1)*MID($K2,2,1),MID($L2,3,1)*MID($K2,3,1),MID($L2,4,1)*MID($K2,4,1),MID($L2,5,1)*MID($K2,5,1),MID($L2,6,1)*MID($K2,6,1),MID($L2,7,1)*MID($K2,7,1),MID($L2,8,1)*MID($K2,8,1),MID($L2,9,1)*MID($K2,1,1),MID($L2,10,1)*MID($K2,2,1),MID($L2,11,1)*MID($K2,3,1),MID($L2,12,1)*MID($K2,4,1),MID($L2,13,1)*MID($K2,5,1),MID($L2,14,1)*MID($K2,6,1),MID($L2,15,1)*MID($K2,7,1),MID($L2,16,1)*MID($K2,8,1),MID($L2,17,1)*MID($K2,1,1),MID($L2,18,1)*MID($K2,2,1),MID($L2,19,1)*MID($K2,3,1),MID($L2,20,1)*MID($K2,4,1),MID($L2,21,1)*MID($K2,5,1),MID($L2,22,1)*MID($K2,6,1),MID($L2,23,1)*MID($K2,7,1),MID($L2,24,1)*MID($K2,8,1),MID($L2,25,1)*MID($K2,1,1),MID($L2,26,1)*MID($K2,2,1),MID($L2,27,1)*MID($K2,3,1),MID($L2,28,1)*MID($K2,4,1),MID($L2,29,1)*MID($K2,5,1),MID($L2,30,1)*MID($K2,6,1),MID($L2,31,1)*MID($K2,7,1),MID($L2,32,1)*MID($K2,8,1))</f>
        <v>01000100001000000010000001000100</v>
      </c>
      <c r="BS2" s="26" t="str">
        <f>MID(BR2,1,8)</f>
        <v>01000100</v>
      </c>
      <c r="BT2" s="26" t="str">
        <f>MID(BR2,9,8)</f>
        <v>00100000</v>
      </c>
      <c r="BU2" s="26" t="str">
        <f>MID(BR2,17,8)</f>
        <v>00100000</v>
      </c>
      <c r="BV2" s="26" t="str">
        <f>MID(BR2,25,8)</f>
        <v>01000100</v>
      </c>
      <c r="BW2" s="77">
        <f>BIN2DEC(BS2)-BIN2DEC(BS3)</f>
        <v>-19</v>
      </c>
      <c r="BX2" s="77">
        <f>BIN2DEC(BT2)-BIN2DEC(BT3)</f>
        <v>-176</v>
      </c>
      <c r="BY2" s="77">
        <f>BIN2DEC(BU2)-BIN2DEC(BU3)</f>
        <v>-204</v>
      </c>
      <c r="BZ2" s="77">
        <f>BIN2DEC(BV2)-BIN2DEC(BV3)</f>
        <v>-111</v>
      </c>
      <c r="CA2" s="27" t="str">
        <f>MID($L2,1,4)</f>
        <v>1100</v>
      </c>
      <c r="CB2" s="27" t="str">
        <f>MID($L2,5,4)</f>
        <v>0111</v>
      </c>
      <c r="CC2" s="27" t="str">
        <f>MID($L2,9,4)</f>
        <v>1010</v>
      </c>
      <c r="CD2" s="27" t="str">
        <f>MID($L2,13,4)</f>
        <v>0010</v>
      </c>
      <c r="CE2" s="27" t="str">
        <f>MID($L2,17,4)</f>
        <v>0010</v>
      </c>
      <c r="CF2" s="27" t="str">
        <f>MID($L2,21,4)</f>
        <v>0011</v>
      </c>
      <c r="CG2" s="27" t="str">
        <f>MID($L2,25,4)</f>
        <v>0100</v>
      </c>
      <c r="CH2" s="27" t="str">
        <f>MID($L2,29,4)</f>
        <v>1111</v>
      </c>
      <c r="CI2" s="77">
        <f>BIN2DEC(CA2)-BIN2DEC(CA3)</f>
        <v>7</v>
      </c>
      <c r="CJ2" s="77">
        <f t="shared" ref="CJ2:CO2" si="8">BIN2DEC(CB2)-BIN2DEC(CB3)</f>
        <v>0</v>
      </c>
      <c r="CK2" s="77">
        <f t="shared" si="8"/>
        <v>-3</v>
      </c>
      <c r="CL2" s="77">
        <f t="shared" si="8"/>
        <v>2</v>
      </c>
      <c r="CM2" s="77">
        <f t="shared" si="8"/>
        <v>-12</v>
      </c>
      <c r="CN2" s="77">
        <f t="shared" si="8"/>
        <v>-9</v>
      </c>
      <c r="CO2" s="77">
        <f t="shared" si="8"/>
        <v>-7</v>
      </c>
      <c r="CP2" s="77">
        <f>BIN2DEC(CH2)-BIN2DEC(CH3)</f>
        <v>12</v>
      </c>
      <c r="CQ2" s="26" t="str">
        <f t="shared" ref="CQ2:CQ41" si="9">MID(BR2,1,16)</f>
        <v>0100010000100000</v>
      </c>
      <c r="CR2" s="26" t="str">
        <f t="shared" ref="CR2:CR41" si="10">MID(BR2,17,16)</f>
        <v>0010000001000100</v>
      </c>
      <c r="CS2" s="77">
        <f>MID(CQ2,16,1)*POWER(2,0)+MID(CQ2,15,1)*POWER(2,1)+MID(CQ2,14,1)*POWER(2,2)+MID(CQ2,13,1)*POWER(2,3)+MID(CQ2,12,1)*POWER(2,4)+MID(CQ2,11,1)*POWER(2,5)+MID(CQ2,10,1)*POWER(2,6)+MID(CQ2,9,1)*POWER(2,7)+MID(CQ2,8,1)*POWER(2,8)+MID(CQ2,7,1)*POWER(2,9)+MID(CQ2,6,1)*POWER(2,10)+MID(CQ2,5,1)*POWER(2,11)+MID(CQ2,4,1)*POWER(2,12)+MID(CQ2,3,1)*POWER(2,13)+MID(CQ2,2,1)*POWER(2,14)+MID(CQ2,1,1)*POWER(2,15)-(MID(CQ3,16,1)*POWER(2,0)+MID(CQ3,15,1)*POWER(2,1)+MID(CQ3,14,1)*POWER(2,2)+MID(CQ3,13,1)*POWER(2,3)+MID(CQ3,12,1)*POWER(2,4)+MID(CQ3,11,1)*POWER(2,5)+MID(CQ3,10,1)*POWER(2,6)+MID(CQ3,9,1)*POWER(2,7)+MID(CQ3,8,1)*POWER(2,8)+MID(CQ3,7,1)*POWER(2,9)+MID(CQ3,6,1)*POWER(2,10)+MID(CQ3,5,1)*POWER(2,11)+MID(CQ3,4,1)*POWER(2,12)+MID(CQ3,3,1)*POWER(2,13)+MID(CQ3,2,1)*POWER(2,14)+MID(CQ3,1,1)*POWER(2,15))</f>
        <v>-5040</v>
      </c>
      <c r="CT2" s="77">
        <f>MID(CR2,16,1)*POWER(2,0)+MID(CR2,15,1)*POWER(2,1)+MID(CR2,14,1)*POWER(2,2)+MID(CR2,13,1)*POWER(2,3)+MID(CR2,12,1)*POWER(2,4)+MID(CR2,11,1)*POWER(2,5)+MID(CR2,10,1)*POWER(2,6)+MID(CR2,9,1)*POWER(2,7)+MID(CR2,8,1)*POWER(2,8)+MID(CR2,7,1)*POWER(2,9)+MID(CR2,6,1)*POWER(2,10)+MID(CR2,5,1)*POWER(2,11)+MID(CR2,4,1)*POWER(2,12)+MID(CR2,3,1)*POWER(2,13)+MID(CR2,2,1)*POWER(2,14)+MID(CR2,1,1)*POWER(2,15)-(MID(CR3,16,1)*POWER(2,0)+MID(CR3,15,1)*POWER(2,1)+MID(CR3,14,1)*POWER(2,2)+MID(CR3,13,1)*POWER(2,3)+MID(CR3,12,1)*POWER(2,4)+MID(CR3,11,1)*POWER(2,5)+MID(CR3,10,1)*POWER(2,6)+MID(CR3,9,1)*POWER(2,7)+MID(CR3,8,1)*POWER(2,8)+MID(CR3,7,1)*POWER(2,9)+MID(CR3,6,1)*POWER(2,10)+MID(CR3,5,1)*POWER(2,11)+MID(CR3,4,1)*POWER(2,12)+MID(CR3,3,1)*POWER(2,13)+MID(CR3,2,1)*POWER(2,14)+MID(CR3,1,1)*POWER(2,15))</f>
        <v>-52335</v>
      </c>
      <c r="CU2" s="45" t="str">
        <f>BR2</f>
        <v>01000100001000000010000001000100</v>
      </c>
      <c r="CV2" s="26" t="str">
        <f>MID(CU2,1,8)</f>
        <v>01000100</v>
      </c>
      <c r="CW2" s="26" t="str">
        <f>MID(CU2,9,8)</f>
        <v>00100000</v>
      </c>
      <c r="CX2" s="26" t="str">
        <f>MID(CU2,17,8)</f>
        <v>00100000</v>
      </c>
      <c r="CY2" s="26" t="str">
        <f>MID(CU2,25,8)</f>
        <v>01000100</v>
      </c>
      <c r="CZ2" s="77">
        <f>BIN2DEC(CV2)-BIN2DEC(CV3)</f>
        <v>0</v>
      </c>
      <c r="DA2" s="77">
        <f>BIN2DEC(CW2)-BIN2DEC(CW3)</f>
        <v>-32</v>
      </c>
      <c r="DB2" s="77">
        <f>BIN2DEC(CX2)-BIN2DEC(CX3)</f>
        <v>-68</v>
      </c>
      <c r="DC2" s="77">
        <f>BIN2DEC(CY2)-BIN2DEC(CY3)</f>
        <v>36</v>
      </c>
      <c r="DD2" s="27" t="str">
        <f>MID($L2,1,4)</f>
        <v>1100</v>
      </c>
      <c r="DE2" s="27" t="str">
        <f>MID($L2,5,4)</f>
        <v>0111</v>
      </c>
      <c r="DF2" s="27" t="str">
        <f>MID($L2,9,4)</f>
        <v>1010</v>
      </c>
      <c r="DG2" s="27" t="str">
        <f>MID($L2,13,4)</f>
        <v>0010</v>
      </c>
      <c r="DH2" s="27" t="str">
        <f>MID($L2,17,4)</f>
        <v>0010</v>
      </c>
      <c r="DI2" s="27" t="str">
        <f>MID($L2,21,4)</f>
        <v>0011</v>
      </c>
      <c r="DJ2" s="27" t="str">
        <f>MID($L2,25,4)</f>
        <v>0100</v>
      </c>
      <c r="DK2" s="27" t="str">
        <f>MID($L2,29,4)</f>
        <v>1111</v>
      </c>
      <c r="DL2" s="77">
        <f>BIN2DEC(DD2)-BIN2DEC(DD3)</f>
        <v>7</v>
      </c>
      <c r="DM2" s="77">
        <f t="shared" ref="DM2:DR2" si="11">BIN2DEC(DE2)-BIN2DEC(DE3)</f>
        <v>0</v>
      </c>
      <c r="DN2" s="77">
        <f t="shared" si="11"/>
        <v>-3</v>
      </c>
      <c r="DO2" s="77">
        <f t="shared" si="11"/>
        <v>2</v>
      </c>
      <c r="DP2" s="77">
        <f t="shared" si="11"/>
        <v>-12</v>
      </c>
      <c r="DQ2" s="77">
        <f t="shared" si="11"/>
        <v>-9</v>
      </c>
      <c r="DR2" s="77">
        <f t="shared" si="11"/>
        <v>-7</v>
      </c>
      <c r="DS2" s="77">
        <f>BIN2DEC(DK2)-BIN2DEC(DK3)</f>
        <v>12</v>
      </c>
      <c r="DT2" s="26" t="str">
        <f t="shared" ref="DT2:DT41" si="12">MID(CU2,1,16)</f>
        <v>0100010000100000</v>
      </c>
      <c r="DU2" s="26" t="str">
        <f t="shared" ref="DU2:DU41" si="13">MID(CU2,17,16)</f>
        <v>0010000001000100</v>
      </c>
      <c r="DV2" s="77">
        <f>MID(DT2,16,1)*POWER(2,0)+MID(DT2,15,1)*POWER(2,1)+MID(DT2,14,1)*POWER(2,2)+MID(DT2,13,1)*POWER(2,3)+MID(DT2,12,1)*POWER(2,4)+MID(DT2,11,1)*POWER(2,5)+MID(DT2,10,1)*POWER(2,6)+MID(DT2,9,1)*POWER(2,7)+MID(DT2,8,1)*POWER(2,8)+MID(DT2,7,1)*POWER(2,9)+MID(DT2,6,1)*POWER(2,10)+MID(DT2,5,1)*POWER(2,11)+MID(DT2,4,1)*POWER(2,12)+MID(DT2,3,1)*POWER(2,13)+MID(DT2,2,1)*POWER(2,14)+MID(DT2,1,1)*POWER(2,15)-(MID(DT3,16,1)*POWER(2,0)+MID(DT3,15,1)*POWER(2,1)+MID(DT3,14,1)*POWER(2,2)+MID(DT3,13,1)*POWER(2,3)+MID(DT3,12,1)*POWER(2,4)+MID(DT3,11,1)*POWER(2,5)+MID(DT3,10,1)*POWER(2,6)+MID(DT3,9,1)*POWER(2,7)+MID(DT3,8,1)*POWER(2,8)+MID(DT3,7,1)*POWER(2,9)+MID(DT3,6,1)*POWER(2,10)+MID(DT3,5,1)*POWER(2,11)+MID(DT3,4,1)*POWER(2,12)+MID(DT3,3,1)*POWER(2,13)+MID(DT3,2,1)*POWER(2,14)+MID(DT3,1,1)*POWER(2,15))</f>
        <v>-32</v>
      </c>
      <c r="DW2" s="77">
        <f>MID(DU2,16,1)*POWER(2,0)+MID(DU2,15,1)*POWER(2,1)+MID(DU2,14,1)*POWER(2,2)+MID(DU2,13,1)*POWER(2,3)+MID(DU2,12,1)*POWER(2,4)+MID(DU2,11,1)*POWER(2,5)+MID(DU2,10,1)*POWER(2,6)+MID(DU2,9,1)*POWER(2,7)+MID(DU2,8,1)*POWER(2,8)+MID(DU2,7,1)*POWER(2,9)+MID(DU2,6,1)*POWER(2,10)+MID(DU2,5,1)*POWER(2,11)+MID(DU2,4,1)*POWER(2,12)+MID(DU2,3,1)*POWER(2,13)+MID(DU2,2,1)*POWER(2,14)+MID(DU2,1,1)*POWER(2,15)-(MID(DU3,16,1)*POWER(2,0)+MID(DU3,15,1)*POWER(2,1)+MID(DU3,14,1)*POWER(2,2)+MID(DU3,13,1)*POWER(2,3)+MID(DU3,12,1)*POWER(2,4)+MID(DU3,11,1)*POWER(2,5)+MID(DU3,10,1)*POWER(2,6)+MID(DU3,9,1)*POWER(2,7)+MID(DU3,8,1)*POWER(2,8)+MID(DU3,7,1)*POWER(2,9)+MID(DU3,6,1)*POWER(2,10)+MID(DU3,5,1)*POWER(2,11)+MID(DU3,4,1)*POWER(2,12)+MID(DU3,3,1)*POWER(2,13)+MID(DU3,2,1)*POWER(2,14)+MID(DU3,1,1)*POWER(2,15))</f>
        <v>-17372</v>
      </c>
      <c r="DX2" s="22"/>
      <c r="DY2" s="43" t="str">
        <f>H2</f>
        <v>11000111101000100010001101001111</v>
      </c>
      <c r="DZ2" s="26" t="str">
        <f>MID(DY2,1,8)</f>
        <v>11000111</v>
      </c>
      <c r="EA2" s="26" t="str">
        <f>MID(DY2,9,8)</f>
        <v>10100010</v>
      </c>
      <c r="EB2" s="26" t="str">
        <f>MID(DY2,17,8)</f>
        <v>00100011</v>
      </c>
      <c r="EC2" s="26" t="str">
        <f>MID(DY2,25,8)</f>
        <v>01001111</v>
      </c>
      <c r="ED2" s="77">
        <f>BIN2DEC(DZ2)-BIN2DEC(DZ3)</f>
        <v>196</v>
      </c>
      <c r="EE2" s="77">
        <f>BIN2DEC(EA2)-BIN2DEC(EA3)</f>
        <v>162</v>
      </c>
      <c r="EF2" s="77">
        <f>BIN2DEC(EB2)-BIN2DEC(EB3)</f>
        <v>3</v>
      </c>
      <c r="EG2" s="77">
        <f>BIN2DEC(EC2)-BIN2DEC(EC3)</f>
        <v>44</v>
      </c>
      <c r="EH2" s="27" t="str">
        <f>MID($L2,1,4)</f>
        <v>1100</v>
      </c>
      <c r="EI2" s="27" t="str">
        <f>MID($L2,5,4)</f>
        <v>0111</v>
      </c>
      <c r="EJ2" s="27" t="str">
        <f>MID($L2,9,4)</f>
        <v>1010</v>
      </c>
      <c r="EK2" s="27" t="str">
        <f>MID($L2,13,4)</f>
        <v>0010</v>
      </c>
      <c r="EL2" s="27" t="str">
        <f>MID($L2,17,4)</f>
        <v>0010</v>
      </c>
      <c r="EM2" s="27" t="str">
        <f>MID($L2,21,4)</f>
        <v>0011</v>
      </c>
      <c r="EN2" s="27" t="str">
        <f>MID($L2,25,4)</f>
        <v>0100</v>
      </c>
      <c r="EO2" s="27" t="str">
        <f>MID($L2,29,4)</f>
        <v>1111</v>
      </c>
      <c r="EP2" s="77">
        <f>BIN2DEC(EH2)-BIN2DEC(EH3)</f>
        <v>7</v>
      </c>
      <c r="EQ2" s="77">
        <f t="shared" ref="EQ2:EV2" si="14">BIN2DEC(EI2)-BIN2DEC(EI3)</f>
        <v>0</v>
      </c>
      <c r="ER2" s="77">
        <f t="shared" si="14"/>
        <v>-3</v>
      </c>
      <c r="ES2" s="77">
        <f t="shared" si="14"/>
        <v>2</v>
      </c>
      <c r="ET2" s="77">
        <f t="shared" si="14"/>
        <v>-12</v>
      </c>
      <c r="EU2" s="77">
        <f t="shared" si="14"/>
        <v>-9</v>
      </c>
      <c r="EV2" s="77">
        <f t="shared" si="14"/>
        <v>-7</v>
      </c>
      <c r="EW2" s="77">
        <f>BIN2DEC(EO2)-BIN2DEC(EO3)</f>
        <v>12</v>
      </c>
      <c r="EX2" s="26" t="str">
        <f t="shared" ref="EX2:EX41" si="15">MID(DY2,1,16)</f>
        <v>1100011110100010</v>
      </c>
      <c r="EY2" s="26" t="str">
        <f t="shared" ref="EY2:EY41" si="16">MID(DY2,17,16)</f>
        <v>0010001101001111</v>
      </c>
      <c r="EZ2" s="77">
        <f>MID(EX2,16,1)*POWER(2,0)+MID(EX2,15,1)*POWER(2,1)+MID(EX2,14,1)*POWER(2,2)+MID(EX2,13,1)*POWER(2,3)+MID(EX2,12,1)*POWER(2,4)+MID(EX2,11,1)*POWER(2,5)+MID(EX2,10,1)*POWER(2,6)+MID(EX2,9,1)*POWER(2,7)+MID(EX2,8,1)*POWER(2,8)+MID(EX2,7,1)*POWER(2,9)+MID(EX2,6,1)*POWER(2,10)+MID(EX2,5,1)*POWER(2,11)+MID(EX2,4,1)*POWER(2,12)+MID(EX2,3,1)*POWER(2,13)+MID(EX2,2,1)*POWER(2,14)+MID(EX2,1,1)*POWER(2,15)-(MID(EX3,16,1)*POWER(2,0)+MID(EX3,15,1)*POWER(2,1)+MID(EX3,14,1)*POWER(2,2)+MID(EX3,13,1)*POWER(2,3)+MID(EX3,12,1)*POWER(2,4)+MID(EX3,11,1)*POWER(2,5)+MID(EX3,10,1)*POWER(2,6)+MID(EX3,9,1)*POWER(2,7)+MID(EX3,8,1)*POWER(2,8)+MID(EX3,7,1)*POWER(2,9)+MID(EX3,6,1)*POWER(2,10)+MID(EX3,5,1)*POWER(2,11)+MID(EX3,4,1)*POWER(2,12)+MID(EX3,3,1)*POWER(2,13)+MID(EX3,2,1)*POWER(2,14)+MID(EX3,1,1)*POWER(2,15))</f>
        <v>50338</v>
      </c>
      <c r="FA2" s="77">
        <f>MID(EY2,16,1)*POWER(2,0)+MID(EY2,15,1)*POWER(2,1)+MID(EY2,14,1)*POWER(2,2)+MID(EY2,13,1)*POWER(2,3)+MID(EY2,12,1)*POWER(2,4)+MID(EY2,11,1)*POWER(2,5)+MID(EY2,10,1)*POWER(2,6)+MID(EY2,9,1)*POWER(2,7)+MID(EY2,8,1)*POWER(2,8)+MID(EY2,7,1)*POWER(2,9)+MID(EY2,6,1)*POWER(2,10)+MID(EY2,5,1)*POWER(2,11)+MID(EY2,4,1)*POWER(2,12)+MID(EY2,3,1)*POWER(2,13)+MID(EY2,2,1)*POWER(2,14)+MID(EY2,1,1)*POWER(2,15)-(MID(EY3,16,1)*POWER(2,0)+MID(EY3,15,1)*POWER(2,1)+MID(EY3,14,1)*POWER(2,2)+MID(EY3,13,1)*POWER(2,3)+MID(EY3,12,1)*POWER(2,4)+MID(EY3,11,1)*POWER(2,5)+MID(EY3,10,1)*POWER(2,6)+MID(EY3,9,1)*POWER(2,7)+MID(EY3,8,1)*POWER(2,8)+MID(EY3,7,1)*POWER(2,9)+MID(EY3,6,1)*POWER(2,10)+MID(EY3,5,1)*POWER(2,11)+MID(EY3,4,1)*POWER(2,12)+MID(EY3,3,1)*POWER(2,13)+MID(EY3,2,1)*POWER(2,14)+MID(EY3,1,1)*POWER(2,15))</f>
        <v>812</v>
      </c>
      <c r="FB2" s="45" t="str">
        <f>H2</f>
        <v>11000111101000100010001101001111</v>
      </c>
      <c r="FC2" s="26" t="str">
        <f>MID(FB2,1,8)</f>
        <v>11000111</v>
      </c>
      <c r="FD2" s="26" t="str">
        <f>MID(FB2,9,8)</f>
        <v>10100010</v>
      </c>
      <c r="FE2" s="26" t="str">
        <f>MID(FB2,17,8)</f>
        <v>00100011</v>
      </c>
      <c r="FF2" s="26" t="str">
        <f>MID(FB2,25,8)</f>
        <v>01001111</v>
      </c>
      <c r="FG2" s="77">
        <f>BIN2DEC(FC2)-BIN2DEC(FC3)</f>
        <v>199</v>
      </c>
      <c r="FH2" s="77">
        <f>BIN2DEC(FD2)-BIN2DEC(FD3)</f>
        <v>162</v>
      </c>
      <c r="FI2" s="77">
        <f>BIN2DEC(FE2)-BIN2DEC(FE3)</f>
        <v>3</v>
      </c>
      <c r="FJ2" s="77">
        <f>BIN2DEC(FF2)-BIN2DEC(FF3)</f>
        <v>47</v>
      </c>
      <c r="FK2" s="27" t="str">
        <f>MID($L2,1,4)</f>
        <v>1100</v>
      </c>
      <c r="FL2" s="27" t="str">
        <f>MID($L2,5,4)</f>
        <v>0111</v>
      </c>
      <c r="FM2" s="27" t="str">
        <f>MID($L2,9,4)</f>
        <v>1010</v>
      </c>
      <c r="FN2" s="27" t="str">
        <f>MID($L2,13,4)</f>
        <v>0010</v>
      </c>
      <c r="FO2" s="27" t="str">
        <f>MID($L2,17,4)</f>
        <v>0010</v>
      </c>
      <c r="FP2" s="27" t="str">
        <f>MID($L2,21,4)</f>
        <v>0011</v>
      </c>
      <c r="FQ2" s="27" t="str">
        <f>MID($L2,25,4)</f>
        <v>0100</v>
      </c>
      <c r="FR2" s="27" t="str">
        <f>MID($L2,29,4)</f>
        <v>1111</v>
      </c>
      <c r="FS2" s="77">
        <f>BIN2DEC(FK2)-BIN2DEC(FK3)</f>
        <v>7</v>
      </c>
      <c r="FT2" s="77">
        <f t="shared" ref="FT2:FY2" si="17">BIN2DEC(FL2)-BIN2DEC(FL3)</f>
        <v>0</v>
      </c>
      <c r="FU2" s="77">
        <f t="shared" si="17"/>
        <v>-3</v>
      </c>
      <c r="FV2" s="77">
        <f t="shared" si="17"/>
        <v>2</v>
      </c>
      <c r="FW2" s="77">
        <f t="shared" si="17"/>
        <v>-12</v>
      </c>
      <c r="FX2" s="77">
        <f t="shared" si="17"/>
        <v>-9</v>
      </c>
      <c r="FY2" s="77">
        <f t="shared" si="17"/>
        <v>-7</v>
      </c>
      <c r="FZ2" s="77">
        <f>BIN2DEC(FR2)-BIN2DEC(FR3)</f>
        <v>12</v>
      </c>
      <c r="GA2" s="26" t="str">
        <f t="shared" ref="GA2:GA41" si="18">MID(FB2,1,16)</f>
        <v>1100011110100010</v>
      </c>
      <c r="GB2" s="26" t="str">
        <f t="shared" ref="GB2:GB41" si="19">MID(FB2,17,16)</f>
        <v>0010001101001111</v>
      </c>
      <c r="GC2" s="77">
        <f>MID(GA2,16,1)*POWER(2,0)+MID(GA2,15,1)*POWER(2,1)+MID(GA2,14,1)*POWER(2,2)+MID(GA2,13,1)*POWER(2,3)+MID(GA2,12,1)*POWER(2,4)+MID(GA2,11,1)*POWER(2,5)+MID(GA2,10,1)*POWER(2,6)+MID(GA2,9,1)*POWER(2,7)+MID(GA2,8,1)*POWER(2,8)+MID(GA2,7,1)*POWER(2,9)+MID(GA2,6,1)*POWER(2,10)+MID(GA2,5,1)*POWER(2,11)+MID(GA2,4,1)*POWER(2,12)+MID(GA2,3,1)*POWER(2,13)+MID(GA2,2,1)*POWER(2,14)+MID(GA2,1,1)*POWER(2,15)-(MID(GA3,16,1)*POWER(2,0)+MID(GA3,15,1)*POWER(2,1)+MID(GA3,14,1)*POWER(2,2)+MID(GA3,13,1)*POWER(2,3)+MID(GA3,12,1)*POWER(2,4)+MID(GA3,11,1)*POWER(2,5)+MID(GA3,10,1)*POWER(2,6)+MID(GA3,9,1)*POWER(2,7)+MID(GA3,8,1)*POWER(2,8)+MID(GA3,7,1)*POWER(2,9)+MID(GA3,6,1)*POWER(2,10)+MID(GA3,5,1)*POWER(2,11)+MID(GA3,4,1)*POWER(2,12)+MID(GA3,3,1)*POWER(2,13)+MID(GA3,2,1)*POWER(2,14)+MID(GA3,1,1)*POWER(2,15))</f>
        <v>51106</v>
      </c>
      <c r="GD2" s="77">
        <f>MID(GB2,16,1)*POWER(2,0)+MID(GB2,15,1)*POWER(2,1)+MID(GB2,14,1)*POWER(2,2)+MID(GB2,13,1)*POWER(2,3)+MID(GB2,12,1)*POWER(2,4)+MID(GB2,11,1)*POWER(2,5)+MID(GB2,10,1)*POWER(2,6)+MID(GB2,9,1)*POWER(2,7)+MID(GB2,8,1)*POWER(2,8)+MID(GB2,7,1)*POWER(2,9)+MID(GB2,6,1)*POWER(2,10)+MID(GB2,5,1)*POWER(2,11)+MID(GB2,4,1)*POWER(2,12)+MID(GB2,3,1)*POWER(2,13)+MID(GB2,2,1)*POWER(2,14)+MID(GB2,1,1)*POWER(2,15)-(MID(GB3,16,1)*POWER(2,0)+MID(GB3,15,1)*POWER(2,1)+MID(GB3,14,1)*POWER(2,2)+MID(GB3,13,1)*POWER(2,3)+MID(GB3,12,1)*POWER(2,4)+MID(GB3,11,1)*POWER(2,5)+MID(GB3,10,1)*POWER(2,6)+MID(GB3,9,1)*POWER(2,7)+MID(GB3,8,1)*POWER(2,8)+MID(GB3,7,1)*POWER(2,9)+MID(GB3,6,1)*POWER(2,10)+MID(GB3,5,1)*POWER(2,11)+MID(GB3,4,1)*POWER(2,12)+MID(GB3,3,1)*POWER(2,13)+MID(GB3,2,1)*POWER(2,14)+MID(GB3,1,1)*POWER(2,15))</f>
        <v>815</v>
      </c>
      <c r="GE2" s="47" t="str">
        <f>CU2</f>
        <v>01000100001000000010000001000100</v>
      </c>
      <c r="GF2" s="26" t="str">
        <f>MID(GE2,1,8)</f>
        <v>01000100</v>
      </c>
      <c r="GG2" s="26" t="str">
        <f>MID(GE2,9,8)</f>
        <v>00100000</v>
      </c>
      <c r="GH2" s="26" t="str">
        <f>MID(GE2,17,8)</f>
        <v>00100000</v>
      </c>
      <c r="GI2" s="26" t="str">
        <f>MID(GE2,25,8)</f>
        <v>01000100</v>
      </c>
      <c r="GJ2" s="77">
        <f>BIN2DEC(GF2)-BIN2DEC(GF3)</f>
        <v>65</v>
      </c>
      <c r="GK2" s="77">
        <f>BIN2DEC(GG2)-BIN2DEC(GG3)</f>
        <v>32</v>
      </c>
      <c r="GL2" s="77">
        <f>BIN2DEC(GH2)-BIN2DEC(GH3)</f>
        <v>0</v>
      </c>
      <c r="GM2" s="77">
        <f>BIN2DEC(GI2)-BIN2DEC(GI3)</f>
        <v>33</v>
      </c>
      <c r="GN2" s="27" t="str">
        <f>MID($L2,1,4)</f>
        <v>1100</v>
      </c>
      <c r="GO2" s="27" t="str">
        <f>MID($L2,5,4)</f>
        <v>0111</v>
      </c>
      <c r="GP2" s="27" t="str">
        <f>MID($L2,9,4)</f>
        <v>1010</v>
      </c>
      <c r="GQ2" s="27" t="str">
        <f>MID($L2,13,4)</f>
        <v>0010</v>
      </c>
      <c r="GR2" s="27" t="str">
        <f>MID($L2,17,4)</f>
        <v>0010</v>
      </c>
      <c r="GS2" s="27" t="str">
        <f>MID($L2,21,4)</f>
        <v>0011</v>
      </c>
      <c r="GT2" s="27" t="str">
        <f>MID($L2,25,4)</f>
        <v>0100</v>
      </c>
      <c r="GU2" s="27" t="str">
        <f>MID($L2,29,4)</f>
        <v>1111</v>
      </c>
      <c r="GV2" s="77">
        <f>BIN2DEC(GN2)-BIN2DEC(GN3)</f>
        <v>7</v>
      </c>
      <c r="GW2" s="77">
        <f t="shared" ref="GW2:HB2" si="20">BIN2DEC(GO2)-BIN2DEC(GO3)</f>
        <v>0</v>
      </c>
      <c r="GX2" s="77">
        <f t="shared" si="20"/>
        <v>-3</v>
      </c>
      <c r="GY2" s="77">
        <f t="shared" si="20"/>
        <v>2</v>
      </c>
      <c r="GZ2" s="77">
        <f t="shared" si="20"/>
        <v>-12</v>
      </c>
      <c r="HA2" s="77">
        <f t="shared" si="20"/>
        <v>-9</v>
      </c>
      <c r="HB2" s="77">
        <f t="shared" si="20"/>
        <v>-7</v>
      </c>
      <c r="HC2" s="77">
        <f>BIN2DEC(GU2)-BIN2DEC(GU3)</f>
        <v>12</v>
      </c>
      <c r="HD2" s="26" t="str">
        <f t="shared" ref="HD2:HD41" si="21">MID(GE2,1,16)</f>
        <v>0100010000100000</v>
      </c>
      <c r="HE2" s="26" t="str">
        <f t="shared" ref="HE2:HE41" si="22">MID(GE2,17,16)</f>
        <v>0010000001000100</v>
      </c>
      <c r="HF2" s="77">
        <f>MID(HD2,16,1)*POWER(2,0)+MID(HD2,15,1)*POWER(2,1)+MID(HD2,14,1)*POWER(2,2)+MID(HD2,13,1)*POWER(2,3)+MID(HD2,12,1)*POWER(2,4)+MID(HD2,11,1)*POWER(2,5)+MID(HD2,10,1)*POWER(2,6)+MID(HD2,9,1)*POWER(2,7)+MID(HD2,8,1)*POWER(2,8)+MID(HD2,7,1)*POWER(2,9)+MID(HD2,6,1)*POWER(2,10)+MID(HD2,5,1)*POWER(2,11)+MID(HD2,4,1)*POWER(2,12)+MID(HD2,3,1)*POWER(2,13)+MID(HD2,2,1)*POWER(2,14)+MID(HD2,1,1)*POWER(2,15)-(MID(HD3,16,1)*POWER(2,0)+MID(HD3,15,1)*POWER(2,1)+MID(HD3,14,1)*POWER(2,2)+MID(HD3,13,1)*POWER(2,3)+MID(HD3,12,1)*POWER(2,4)+MID(HD3,11,1)*POWER(2,5)+MID(HD3,10,1)*POWER(2,6)+MID(HD3,9,1)*POWER(2,7)+MID(HD3,8,1)*POWER(2,8)+MID(HD3,7,1)*POWER(2,9)+MID(HD3,6,1)*POWER(2,10)+MID(HD3,5,1)*POWER(2,11)+MID(HD3,4,1)*POWER(2,12)+MID(HD3,3,1)*POWER(2,13)+MID(HD3,2,1)*POWER(2,14)+MID(HD3,1,1)*POWER(2,15))</f>
        <v>16672</v>
      </c>
      <c r="HG2" s="77">
        <f>MID(HE2,16,1)*POWER(2,0)+MID(HE2,15,1)*POWER(2,1)+MID(HE2,14,1)*POWER(2,2)+MID(HE2,13,1)*POWER(2,3)+MID(HE2,12,1)*POWER(2,4)+MID(HE2,11,1)*POWER(2,5)+MID(HE2,10,1)*POWER(2,6)+MID(HE2,9,1)*POWER(2,7)+MID(HE2,8,1)*POWER(2,8)+MID(HE2,7,1)*POWER(2,9)+MID(HE2,6,1)*POWER(2,10)+MID(HE2,5,1)*POWER(2,11)+MID(HE2,4,1)*POWER(2,12)+MID(HE2,3,1)*POWER(2,13)+MID(HE2,2,1)*POWER(2,14)+MID(HE2,1,1)*POWER(2,15)-(MID(HE3,16,1)*POWER(2,0)+MID(HE3,15,1)*POWER(2,1)+MID(HE3,14,1)*POWER(2,2)+MID(HE3,13,1)*POWER(2,3)+MID(HE3,12,1)*POWER(2,4)+MID(HE3,11,1)*POWER(2,5)+MID(HE3,10,1)*POWER(2,6)+MID(HE3,9,1)*POWER(2,7)+MID(HE3,8,1)*POWER(2,8)+MID(HE3,7,1)*POWER(2,9)+MID(HE3,6,1)*POWER(2,10)+MID(HE3,5,1)*POWER(2,11)+MID(HE3,4,1)*POWER(2,12)+MID(HE3,3,1)*POWER(2,13)+MID(HE3,2,1)*POWER(2,14)+MID(HE3,1,1)*POWER(2,15))</f>
        <v>33</v>
      </c>
      <c r="HH2" s="45" t="str">
        <f>GE2</f>
        <v>01000100001000000010000001000100</v>
      </c>
      <c r="HI2" s="26" t="str">
        <f>MID(HH2,1,8)</f>
        <v>01000100</v>
      </c>
      <c r="HJ2" s="26" t="str">
        <f>MID(HH2,9,8)</f>
        <v>00100000</v>
      </c>
      <c r="HK2" s="26" t="str">
        <f>MID(HH2,17,8)</f>
        <v>00100000</v>
      </c>
      <c r="HL2" s="26" t="str">
        <f>MID(HH2,25,8)</f>
        <v>01000100</v>
      </c>
      <c r="HM2" s="77">
        <f>BIN2DEC(HI2)-BIN2DEC(HI3)</f>
        <v>68</v>
      </c>
      <c r="HN2" s="77">
        <f>BIN2DEC(HJ2)-BIN2DEC(HJ3)</f>
        <v>32</v>
      </c>
      <c r="HO2" s="77">
        <f>BIN2DEC(HK2)-BIN2DEC(HK3)</f>
        <v>0</v>
      </c>
      <c r="HP2" s="77">
        <f>BIN2DEC(HL2)-BIN2DEC(HL3)</f>
        <v>36</v>
      </c>
      <c r="HQ2" s="27" t="str">
        <f>MID($L2,1,4)</f>
        <v>1100</v>
      </c>
      <c r="HR2" s="27" t="str">
        <f>MID($L2,5,4)</f>
        <v>0111</v>
      </c>
      <c r="HS2" s="27" t="str">
        <f>MID($L2,9,4)</f>
        <v>1010</v>
      </c>
      <c r="HT2" s="27" t="str">
        <f>MID($L2,13,4)</f>
        <v>0010</v>
      </c>
      <c r="HU2" s="27" t="str">
        <f>MID($L2,17,4)</f>
        <v>0010</v>
      </c>
      <c r="HV2" s="27" t="str">
        <f>MID($L2,21,4)</f>
        <v>0011</v>
      </c>
      <c r="HW2" s="27" t="str">
        <f>MID($L2,25,4)</f>
        <v>0100</v>
      </c>
      <c r="HX2" s="27" t="str">
        <f>MID($L2,29,4)</f>
        <v>1111</v>
      </c>
      <c r="HY2" s="77">
        <f>BIN2DEC(HQ2)-BIN2DEC(HQ3)</f>
        <v>7</v>
      </c>
      <c r="HZ2" s="77">
        <f t="shared" ref="HZ2:IE2" si="23">BIN2DEC(HR2)-BIN2DEC(HR3)</f>
        <v>0</v>
      </c>
      <c r="IA2" s="77">
        <f t="shared" si="23"/>
        <v>-3</v>
      </c>
      <c r="IB2" s="77">
        <f t="shared" si="23"/>
        <v>2</v>
      </c>
      <c r="IC2" s="77">
        <f t="shared" si="23"/>
        <v>-12</v>
      </c>
      <c r="ID2" s="77">
        <f t="shared" si="23"/>
        <v>-9</v>
      </c>
      <c r="IE2" s="77">
        <f t="shared" si="23"/>
        <v>-7</v>
      </c>
      <c r="IF2" s="77">
        <f>BIN2DEC(HX2)-BIN2DEC(HX3)</f>
        <v>12</v>
      </c>
      <c r="IG2" s="26" t="str">
        <f t="shared" ref="IG2:IG41" si="24">MID(HH2,1,16)</f>
        <v>0100010000100000</v>
      </c>
      <c r="IH2" s="26" t="str">
        <f t="shared" ref="IH2:IH41" si="25">MID(HH2,17,16)</f>
        <v>0010000001000100</v>
      </c>
      <c r="II2" s="77">
        <f>MID(IG2,16,1)*POWER(2,0)+MID(IG2,15,1)*POWER(2,1)+MID(IG2,14,1)*POWER(2,2)+MID(IG2,13,1)*POWER(2,3)+MID(IG2,12,1)*POWER(2,4)+MID(IG2,11,1)*POWER(2,5)+MID(IG2,10,1)*POWER(2,6)+MID(IG2,9,1)*POWER(2,7)+MID(IG2,8,1)*POWER(2,8)+MID(IG2,7,1)*POWER(2,9)+MID(IG2,6,1)*POWER(2,10)+MID(IG2,5,1)*POWER(2,11)+MID(IG2,4,1)*POWER(2,12)+MID(IG2,3,1)*POWER(2,13)+MID(IG2,2,1)*POWER(2,14)+MID(IG2,1,1)*POWER(2,15)-(MID(IG3,16,1)*POWER(2,0)+MID(IG3,15,1)*POWER(2,1)+MID(IG3,14,1)*POWER(2,2)+MID(IG3,13,1)*POWER(2,3)+MID(IG3,12,1)*POWER(2,4)+MID(IG3,11,1)*POWER(2,5)+MID(IG3,10,1)*POWER(2,6)+MID(IG3,9,1)*POWER(2,7)+MID(IG3,8,1)*POWER(2,8)+MID(IG3,7,1)*POWER(2,9)+MID(IG3,6,1)*POWER(2,10)+MID(IG3,5,1)*POWER(2,11)+MID(IG3,4,1)*POWER(2,12)+MID(IG3,3,1)*POWER(2,13)+MID(IG3,2,1)*POWER(2,14)+MID(IG3,1,1)*POWER(2,15))</f>
        <v>17440</v>
      </c>
      <c r="IJ2" s="77">
        <f>MID(IH2,16,1)*POWER(2,0)+MID(IH2,15,1)*POWER(2,1)+MID(IH2,14,1)*POWER(2,2)+MID(IH2,13,1)*POWER(2,3)+MID(IH2,12,1)*POWER(2,4)+MID(IH2,11,1)*POWER(2,5)+MID(IH2,10,1)*POWER(2,6)+MID(IH2,9,1)*POWER(2,7)+MID(IH2,8,1)*POWER(2,8)+MID(IH2,7,1)*POWER(2,9)+MID(IH2,6,1)*POWER(2,10)+MID(IH2,5,1)*POWER(2,11)+MID(IH2,4,1)*POWER(2,12)+MID(IH2,3,1)*POWER(2,13)+MID(IH2,2,1)*POWER(2,14)+MID(IH2,1,1)*POWER(2,15)-(MID(IH3,16,1)*POWER(2,0)+MID(IH3,15,1)*POWER(2,1)+MID(IH3,14,1)*POWER(2,2)+MID(IH3,13,1)*POWER(2,3)+MID(IH3,12,1)*POWER(2,4)+MID(IH3,11,1)*POWER(2,5)+MID(IH3,10,1)*POWER(2,6)+MID(IH3,9,1)*POWER(2,7)+MID(IH3,8,1)*POWER(2,8)+MID(IH3,7,1)*POWER(2,9)+MID(IH3,6,1)*POWER(2,10)+MID(IH3,5,1)*POWER(2,11)+MID(IH3,4,1)*POWER(2,12)+MID(IH3,3,1)*POWER(2,13)+MID(IH3,2,1)*POWER(2,14)+MID(IH3,1,1)*POWER(2,15))</f>
        <v>36</v>
      </c>
      <c r="IL2" s="26"/>
      <c r="IM2" s="26"/>
      <c r="IN2" s="26"/>
      <c r="IO2" s="26"/>
      <c r="IP2" s="22"/>
      <c r="IQ2" s="22"/>
      <c r="IR2" s="22"/>
      <c r="IS2" s="22"/>
      <c r="JB2" s="22"/>
      <c r="JC2" s="22"/>
      <c r="JD2" s="22"/>
      <c r="JE2" s="22"/>
      <c r="JF2" s="22"/>
      <c r="JG2" s="22"/>
      <c r="JH2" s="22"/>
      <c r="JI2" s="22"/>
      <c r="JJ2" s="26"/>
      <c r="JK2" s="26"/>
      <c r="JL2" s="22"/>
      <c r="JM2" s="22"/>
    </row>
    <row r="3" spans="1:273" s="31" customFormat="1" ht="18.600000000000001" thickBot="1" x14ac:dyDescent="0.4">
      <c r="A3" s="28"/>
      <c r="B3" s="29"/>
      <c r="C3" s="21" t="s">
        <v>6</v>
      </c>
      <c r="D3" s="21" t="s">
        <v>28</v>
      </c>
      <c r="E3" s="21" t="s">
        <v>63</v>
      </c>
      <c r="F3" s="21" t="s">
        <v>20</v>
      </c>
      <c r="G3" s="21" t="s">
        <v>137</v>
      </c>
      <c r="H3" s="21" t="str">
        <f t="shared" si="0"/>
        <v>01111101111101100000101010011010</v>
      </c>
      <c r="I3" s="21">
        <f t="shared" si="1"/>
        <v>18</v>
      </c>
      <c r="J3" s="78"/>
      <c r="K3" s="78"/>
      <c r="L3" s="44" t="str">
        <f>CONCATENATE(MID(H3,20,5),MID(H3,9,3),MID(H3,28,5),MID(H3,17,3),MID(H3,4,5),MID(H3,25,3),MID(H3,12,5),MID(H3,1,3))</f>
        <v>01010111110100001110110010110011</v>
      </c>
      <c r="M3" s="30" t="str">
        <f t="shared" ref="M3:M41" si="26">MID(L3,1,8)</f>
        <v>01010111</v>
      </c>
      <c r="N3" s="30" t="str">
        <f t="shared" ref="N3:N41" si="27">MID(L3,9,8)</f>
        <v>11010000</v>
      </c>
      <c r="O3" s="30" t="str">
        <f t="shared" ref="O3:O41" si="28">MID(L3,17,8)</f>
        <v>11101100</v>
      </c>
      <c r="P3" s="30" t="str">
        <f t="shared" ref="P3:P41" si="29">MID(L3,25,8)</f>
        <v>10110011</v>
      </c>
      <c r="Q3" s="78"/>
      <c r="R3" s="78"/>
      <c r="S3" s="78"/>
      <c r="T3" s="78"/>
      <c r="U3" s="31" t="str">
        <f t="shared" ref="U3:U41" si="30">MID($L3,1,4)</f>
        <v>0101</v>
      </c>
      <c r="V3" s="31" t="str">
        <f t="shared" ref="V3:V41" si="31">MID($L3,5,4)</f>
        <v>0111</v>
      </c>
      <c r="W3" s="31" t="str">
        <f t="shared" ref="W3:W41" si="32">MID($L3,9,4)</f>
        <v>1101</v>
      </c>
      <c r="X3" s="31" t="str">
        <f t="shared" ref="X3:X41" si="33">MID($L3,13,4)</f>
        <v>0000</v>
      </c>
      <c r="Y3" s="31" t="str">
        <f t="shared" ref="Y3:Y41" si="34">MID($L3,17,4)</f>
        <v>1110</v>
      </c>
      <c r="Z3" s="31" t="str">
        <f t="shared" ref="Z3:Z41" si="35">MID($L3,21,4)</f>
        <v>1100</v>
      </c>
      <c r="AA3" s="31" t="str">
        <f t="shared" ref="AA3:AA41" si="36">MID($L3,25,4)</f>
        <v>1011</v>
      </c>
      <c r="AB3" s="31" t="str">
        <f t="shared" ref="AB3:AB41" si="37">MID($L3,29,4)</f>
        <v>0011</v>
      </c>
      <c r="AC3" s="78"/>
      <c r="AD3" s="78"/>
      <c r="AE3" s="78"/>
      <c r="AF3" s="78"/>
      <c r="AG3" s="78"/>
      <c r="AH3" s="78"/>
      <c r="AI3" s="78"/>
      <c r="AJ3" s="78"/>
      <c r="AK3" s="30" t="str">
        <f t="shared" si="3"/>
        <v>0101011111010000</v>
      </c>
      <c r="AL3" s="30" t="str">
        <f t="shared" si="4"/>
        <v>1110110010110011</v>
      </c>
      <c r="AM3" s="78"/>
      <c r="AN3" s="78"/>
      <c r="AO3" s="46" t="str">
        <f>CONCATENATE(MID($L3,1,1)*MID($K2,1,1),MID($L3,2,1)*MID($K2,2,1),MID($L3,3,1)*MID($K2,3,1),MID($L3,4,1)*MID($K2,4,1),MID($L3,5,1)*MID($K2,5,1),MID($L3,6,1)*MID($K2,6,1),MID($L3,7,1)*MID($K2,7,1),MID($L3,8,1)*MID($K2,8,1),MID($L3,9,1)*MID($K2,1,1),MID($L3,10,1)*MID($K2,2,1),MID($L3,11,1)*MID($K2,3,1),MID($L3,12,1)*MID($K2,4,1),MID($L3,13,1)*MID($K2,5,1),MID($L3,14,1)*MID($K2,6,1),MID($L3,15,1)*MID($K2,7,1),MID($L3,16,1)*MID($K2,8,1),MID($L3,17,1)*MID($K2,1,1),MID($L3,18,1)*MID($K2,2,1),MID($L3,19,1)*MID($K2,3,1),MID($L3,20,1)*MID($K2,4,1),MID($L3,21,1)*MID($K2,5,1),MID($L3,22,1)*MID($K2,6,1),MID($L3,23,1)*MID($K2,7,1),MID($L3,24,1)*MID($K2,8,1),MID($L3,25,1)*MID($K2,1,1),MID($L3,26,1)*MID($K2,2,1),MID($L3,27,1)*MID($K2,3,1),MID($L3,28,1)*MID($K2,4,1),MID($L3,29,1)*MID($K2,5,1),MID($L3,30,1)*MID($K2,6,1),MID($L3,31,1)*MID($K2,7,1),MID($L3,32,1)*MID($K2,8,1))</f>
        <v>01000100010000000110010000100000</v>
      </c>
      <c r="AP3" s="30" t="str">
        <f t="shared" ref="AP3:AP41" si="38">MID(AO3,1,8)</f>
        <v>01000100</v>
      </c>
      <c r="AQ3" s="30" t="str">
        <f t="shared" ref="AQ3:AQ41" si="39">MID(AO3,9,8)</f>
        <v>01000000</v>
      </c>
      <c r="AR3" s="30" t="str">
        <f t="shared" ref="AR3:AR41" si="40">MID(AO3,17,8)</f>
        <v>01100100</v>
      </c>
      <c r="AS3" s="30" t="str">
        <f t="shared" ref="AS3:AS41" si="41">MID(AO3,25,8)</f>
        <v>00100000</v>
      </c>
      <c r="AT3" s="78"/>
      <c r="AU3" s="78"/>
      <c r="AV3" s="78"/>
      <c r="AW3" s="78"/>
      <c r="AX3" s="31" t="str">
        <f t="shared" ref="AX3:AX41" si="42">MID($L3,1,4)</f>
        <v>0101</v>
      </c>
      <c r="AY3" s="31" t="str">
        <f t="shared" ref="AY3:AY41" si="43">MID($L3,5,4)</f>
        <v>0111</v>
      </c>
      <c r="AZ3" s="31" t="str">
        <f t="shared" ref="AZ3:AZ41" si="44">MID($L3,9,4)</f>
        <v>1101</v>
      </c>
      <c r="BA3" s="31" t="str">
        <f t="shared" ref="BA3:BA41" si="45">MID($L3,13,4)</f>
        <v>0000</v>
      </c>
      <c r="BB3" s="31" t="str">
        <f t="shared" ref="BB3:BB41" si="46">MID($L3,17,4)</f>
        <v>1110</v>
      </c>
      <c r="BC3" s="31" t="str">
        <f t="shared" ref="BC3:BC41" si="47">MID($L3,21,4)</f>
        <v>1100</v>
      </c>
      <c r="BD3" s="31" t="str">
        <f t="shared" ref="BD3:BD41" si="48">MID($L3,25,4)</f>
        <v>1011</v>
      </c>
      <c r="BE3" s="31" t="str">
        <f t="shared" ref="BE3:BE41" si="49">MID($L3,29,4)</f>
        <v>0011</v>
      </c>
      <c r="BF3" s="78"/>
      <c r="BG3" s="78"/>
      <c r="BH3" s="78"/>
      <c r="BI3" s="78"/>
      <c r="BJ3" s="78"/>
      <c r="BK3" s="78"/>
      <c r="BL3" s="78"/>
      <c r="BM3" s="78"/>
      <c r="BN3" s="30" t="str">
        <f t="shared" si="6"/>
        <v>0100010001000000</v>
      </c>
      <c r="BO3" s="30" t="str">
        <f t="shared" si="7"/>
        <v>0110010000100000</v>
      </c>
      <c r="BP3" s="78"/>
      <c r="BQ3" s="78"/>
      <c r="BR3" s="46" t="str">
        <f>L3</f>
        <v>01010111110100001110110010110011</v>
      </c>
      <c r="BS3" s="30" t="str">
        <f t="shared" ref="BS3:BS41" si="50">MID(BR3,1,8)</f>
        <v>01010111</v>
      </c>
      <c r="BT3" s="30" t="str">
        <f t="shared" ref="BT3:BT41" si="51">MID(BR3,9,8)</f>
        <v>11010000</v>
      </c>
      <c r="BU3" s="30" t="str">
        <f t="shared" ref="BU3:BU41" si="52">MID(BR3,17,8)</f>
        <v>11101100</v>
      </c>
      <c r="BV3" s="30" t="str">
        <f t="shared" ref="BV3:BV41" si="53">MID(BR3,25,8)</f>
        <v>10110011</v>
      </c>
      <c r="BW3" s="78"/>
      <c r="BX3" s="78"/>
      <c r="BY3" s="78"/>
      <c r="BZ3" s="78"/>
      <c r="CA3" s="31" t="str">
        <f t="shared" ref="CA3:CA41" si="54">MID($L3,1,4)</f>
        <v>0101</v>
      </c>
      <c r="CB3" s="31" t="str">
        <f t="shared" ref="CB3:CB41" si="55">MID($L3,5,4)</f>
        <v>0111</v>
      </c>
      <c r="CC3" s="31" t="str">
        <f t="shared" ref="CC3:CC41" si="56">MID($L3,9,4)</f>
        <v>1101</v>
      </c>
      <c r="CD3" s="31" t="str">
        <f t="shared" ref="CD3:CD41" si="57">MID($L3,13,4)</f>
        <v>0000</v>
      </c>
      <c r="CE3" s="31" t="str">
        <f t="shared" ref="CE3:CE41" si="58">MID($L3,17,4)</f>
        <v>1110</v>
      </c>
      <c r="CF3" s="31" t="str">
        <f t="shared" ref="CF3:CF41" si="59">MID($L3,21,4)</f>
        <v>1100</v>
      </c>
      <c r="CG3" s="31" t="str">
        <f t="shared" ref="CG3:CG41" si="60">MID($L3,25,4)</f>
        <v>1011</v>
      </c>
      <c r="CH3" s="31" t="str">
        <f t="shared" ref="CH3:CH41" si="61">MID($L3,29,4)</f>
        <v>0011</v>
      </c>
      <c r="CI3" s="78"/>
      <c r="CJ3" s="78"/>
      <c r="CK3" s="78"/>
      <c r="CL3" s="78"/>
      <c r="CM3" s="78"/>
      <c r="CN3" s="78"/>
      <c r="CO3" s="78"/>
      <c r="CP3" s="78"/>
      <c r="CQ3" s="30" t="str">
        <f t="shared" si="9"/>
        <v>0101011111010000</v>
      </c>
      <c r="CR3" s="30" t="str">
        <f t="shared" si="10"/>
        <v>1110110010110011</v>
      </c>
      <c r="CS3" s="78"/>
      <c r="CT3" s="78"/>
      <c r="CU3" s="46" t="str">
        <f>AO3</f>
        <v>01000100010000000110010000100000</v>
      </c>
      <c r="CV3" s="30" t="str">
        <f t="shared" ref="CV3:CV41" si="62">MID(CU3,1,8)</f>
        <v>01000100</v>
      </c>
      <c r="CW3" s="30" t="str">
        <f t="shared" ref="CW3:CW41" si="63">MID(CU3,9,8)</f>
        <v>01000000</v>
      </c>
      <c r="CX3" s="30" t="str">
        <f t="shared" ref="CX3:CX41" si="64">MID(CU3,17,8)</f>
        <v>01100100</v>
      </c>
      <c r="CY3" s="30" t="str">
        <f t="shared" ref="CY3:CY41" si="65">MID(CU3,25,8)</f>
        <v>00100000</v>
      </c>
      <c r="CZ3" s="78"/>
      <c r="DA3" s="78"/>
      <c r="DB3" s="78"/>
      <c r="DC3" s="78"/>
      <c r="DD3" s="31" t="str">
        <f t="shared" ref="DD3:DD41" si="66">MID($L3,1,4)</f>
        <v>0101</v>
      </c>
      <c r="DE3" s="31" t="str">
        <f t="shared" ref="DE3:DE41" si="67">MID($L3,5,4)</f>
        <v>0111</v>
      </c>
      <c r="DF3" s="31" t="str">
        <f t="shared" ref="DF3:DF41" si="68">MID($L3,9,4)</f>
        <v>1101</v>
      </c>
      <c r="DG3" s="31" t="str">
        <f t="shared" ref="DG3:DG41" si="69">MID($L3,13,4)</f>
        <v>0000</v>
      </c>
      <c r="DH3" s="31" t="str">
        <f t="shared" ref="DH3:DH41" si="70">MID($L3,17,4)</f>
        <v>1110</v>
      </c>
      <c r="DI3" s="31" t="str">
        <f t="shared" ref="DI3:DI41" si="71">MID($L3,21,4)</f>
        <v>1100</v>
      </c>
      <c r="DJ3" s="31" t="str">
        <f t="shared" ref="DJ3:DJ41" si="72">MID($L3,25,4)</f>
        <v>1011</v>
      </c>
      <c r="DK3" s="31" t="str">
        <f t="shared" ref="DK3:DK41" si="73">MID($L3,29,4)</f>
        <v>0011</v>
      </c>
      <c r="DL3" s="78"/>
      <c r="DM3" s="78"/>
      <c r="DN3" s="78"/>
      <c r="DO3" s="78"/>
      <c r="DP3" s="78"/>
      <c r="DQ3" s="78"/>
      <c r="DR3" s="78"/>
      <c r="DS3" s="78"/>
      <c r="DT3" s="30" t="str">
        <f t="shared" si="12"/>
        <v>0100010001000000</v>
      </c>
      <c r="DU3" s="30" t="str">
        <f t="shared" si="13"/>
        <v>0110010000100000</v>
      </c>
      <c r="DV3" s="78"/>
      <c r="DW3" s="78"/>
      <c r="DX3" s="23" t="str">
        <f>CONCATENATE(MID($H3,1,1)*MID($K2,1,1),MID($H3,2,1)*MID($K2,2,1),MID($H3,3,1)*MID($K2,3,1),MID($H3,4,1)*MID($K2,4,1),MID($H3,5,1)*MID($K2,5,1),MID($H3,6,1)*MID($K2,6,1),MID($H3,7,1)*MID($K2,7,1),MID($H3,8,1)*MID($K2,8,1),MID($H3,9,1)*MID($K2,1,1),MID($H3,10,1)*MID($K2,2,1),MID($H3,11,1)*MID($K2,3,1),MID($H3,12,1)*MID($K2,4,1),MID($H3,13,1)*MID($K2,5,1),MID($H3,14,1)*MID($K2,6,1),MID($H3,15,1)*MID($K2,7,1),MID($H3,16,1)*MID($K2,8,1),MID($H3,17,1)*MID($K2,1,1),MID($H3,18,1)*MID($K2,2,1),MID($H3,19,1)*MID($K2,3,1),MID($H3,20,1)*MID($K2,4,1),MID($H3,21,1)*MID($K2,5,1),MID($H3,22,1)*MID($K2,6,1),MID($H3,23,1)*MID($K2,7,1),MID($H3,24,1)*MID($K2,8,1),MID($H3,25,1)*MID($K2,1,1),MID($H3,26,1)*MID($K2,2,1),MID($H3,27,1)*MID($K2,3,1),MID($H3,28,1)*MID($K2,4,1),MID($H3,29,1)*MID($K2,5,1),MID($H3,30,1)*MID($K2,6,1),MID($H3,31,1)*MID($K2,7,1),MID($H3,32,1)*MID($K2,8,1))</f>
        <v>01100100011001000000000000000000</v>
      </c>
      <c r="DY3" s="44" t="str">
        <f>CONCATENATE(MID(DX3,20,5),MID(DX3,9,3),MID(DX3,28,5),MID(DX3,17,3),MID(DX3,4,5),MID(DX3,25,3),MID(DX3,12,5),MID(DX3,1,3))</f>
        <v>00000011000000000010000000100011</v>
      </c>
      <c r="DZ3" s="30" t="str">
        <f>MID(DY3,1,8)</f>
        <v>00000011</v>
      </c>
      <c r="EA3" s="30" t="str">
        <f t="shared" ref="EA3:EA41" si="74">MID(DY3,9,8)</f>
        <v>00000000</v>
      </c>
      <c r="EB3" s="30" t="str">
        <f t="shared" ref="EB3:EB41" si="75">MID(DY3,17,8)</f>
        <v>00100000</v>
      </c>
      <c r="EC3" s="30" t="str">
        <f t="shared" ref="EC3:EC41" si="76">MID(DY3,25,8)</f>
        <v>00100011</v>
      </c>
      <c r="ED3" s="78"/>
      <c r="EE3" s="78"/>
      <c r="EF3" s="78"/>
      <c r="EG3" s="78"/>
      <c r="EH3" s="31" t="str">
        <f t="shared" ref="EH3:EH41" si="77">MID($L3,1,4)</f>
        <v>0101</v>
      </c>
      <c r="EI3" s="31" t="str">
        <f t="shared" ref="EI3:EI41" si="78">MID($L3,5,4)</f>
        <v>0111</v>
      </c>
      <c r="EJ3" s="31" t="str">
        <f t="shared" ref="EJ3:EJ41" si="79">MID($L3,9,4)</f>
        <v>1101</v>
      </c>
      <c r="EK3" s="31" t="str">
        <f t="shared" ref="EK3:EK41" si="80">MID($L3,13,4)</f>
        <v>0000</v>
      </c>
      <c r="EL3" s="31" t="str">
        <f t="shared" ref="EL3:EL41" si="81">MID($L3,17,4)</f>
        <v>1110</v>
      </c>
      <c r="EM3" s="31" t="str">
        <f t="shared" ref="EM3:EM41" si="82">MID($L3,21,4)</f>
        <v>1100</v>
      </c>
      <c r="EN3" s="31" t="str">
        <f t="shared" ref="EN3:EN41" si="83">MID($L3,25,4)</f>
        <v>1011</v>
      </c>
      <c r="EO3" s="31" t="str">
        <f t="shared" ref="EO3:EO41" si="84">MID($L3,29,4)</f>
        <v>0011</v>
      </c>
      <c r="EP3" s="78"/>
      <c r="EQ3" s="78"/>
      <c r="ER3" s="78"/>
      <c r="ES3" s="78"/>
      <c r="ET3" s="78"/>
      <c r="EU3" s="78"/>
      <c r="EV3" s="78"/>
      <c r="EW3" s="78"/>
      <c r="EX3" s="30" t="str">
        <f t="shared" si="15"/>
        <v>0000001100000000</v>
      </c>
      <c r="EY3" s="30" t="str">
        <f t="shared" si="16"/>
        <v>0010000000100011</v>
      </c>
      <c r="EZ3" s="78"/>
      <c r="FA3" s="78"/>
      <c r="FB3" s="46" t="str">
        <f>CONCATENATE(MID(DY3,1,1)*MID($K2,1,1),MID(DY3,2,1)*MID($K2,2,1),MID(DY3,3,1)*MID($K2,3,1),MID(DY3,4,1)*MID($K2,4,1),MID(DY3,5,1)*MID($K2,5,1),MID(DY3,6,1)*MID($K2,6,1),MID(DY3,7,1)*MID($K2,7,1),MID(DY3,8,1)*MID($K2,8,1),MID(DY3,9,1)*MID($K2,1,1),MID(DY3,10,1)*MID($K2,2,1),MID(DY3,11,1)*MID($K2,3,1),MID(DY3,12,1)*MID($K2,4,1),MID(DY3,13,1)*MID($K2,5,1),MID(DY3,14,1)*MID($K2,6,1),MID(DY3,15,1)*MID($K2,7,1),MID(DY3,16,1)*MID($K2,8,1),MID(DY3,17,1)*MID($K2,1,1),MID(DY3,18,1)*MID($K2,2,1),MID(DY3,19,1)*MID($K2,3,1),MID(DY3,20,1)*MID($K2,4,1),MID(DY3,21,1)*MID($K2,5,1),MID(DY3,22,1)*MID($K2,6,1),MID(DY3,23,1)*MID($K2,7,1),MID(DY3,24,1)*MID($K2,8,1),MID(DY3,25,1)*MID($K2,1,1),MID(DY3,26,1)*MID($K2,2,1),MID(DY3,27,1)*MID($K2,3,1),MID(DY3,28,1)*MID($K2,4,1),MID(DY3,29,1)*MID($K2,5,1),MID(DY3,30,1)*MID($K2,6,1),MID(DY3,31,1)*MID($K2,7,1),MID(DY3,32,1)*MID($K2,8,1))</f>
        <v>00000000000000000010000000100000</v>
      </c>
      <c r="FC3" s="30" t="str">
        <f>MID(FB3,1,8)</f>
        <v>00000000</v>
      </c>
      <c r="FD3" s="30" t="str">
        <f t="shared" ref="FD3:FD41" si="85">MID(FB3,9,8)</f>
        <v>00000000</v>
      </c>
      <c r="FE3" s="30" t="str">
        <f t="shared" ref="FE3:FE41" si="86">MID(FB3,17,8)</f>
        <v>00100000</v>
      </c>
      <c r="FF3" s="30" t="str">
        <f t="shared" ref="FF3:FF41" si="87">MID(FB3,25,8)</f>
        <v>00100000</v>
      </c>
      <c r="FG3" s="78"/>
      <c r="FH3" s="78"/>
      <c r="FI3" s="78"/>
      <c r="FJ3" s="78"/>
      <c r="FK3" s="31" t="str">
        <f t="shared" ref="FK3:FK41" si="88">MID($L3,1,4)</f>
        <v>0101</v>
      </c>
      <c r="FL3" s="31" t="str">
        <f t="shared" ref="FL3:FL41" si="89">MID($L3,5,4)</f>
        <v>0111</v>
      </c>
      <c r="FM3" s="31" t="str">
        <f t="shared" ref="FM3:FM41" si="90">MID($L3,9,4)</f>
        <v>1101</v>
      </c>
      <c r="FN3" s="31" t="str">
        <f t="shared" ref="FN3:FN41" si="91">MID($L3,13,4)</f>
        <v>0000</v>
      </c>
      <c r="FO3" s="31" t="str">
        <f t="shared" ref="FO3:FO41" si="92">MID($L3,17,4)</f>
        <v>1110</v>
      </c>
      <c r="FP3" s="31" t="str">
        <f t="shared" ref="FP3:FP41" si="93">MID($L3,21,4)</f>
        <v>1100</v>
      </c>
      <c r="FQ3" s="31" t="str">
        <f t="shared" ref="FQ3:FQ41" si="94">MID($L3,25,4)</f>
        <v>1011</v>
      </c>
      <c r="FR3" s="31" t="str">
        <f t="shared" ref="FR3:FR41" si="95">MID($L3,29,4)</f>
        <v>0011</v>
      </c>
      <c r="FS3" s="78"/>
      <c r="FT3" s="78"/>
      <c r="FU3" s="78"/>
      <c r="FV3" s="78"/>
      <c r="FW3" s="78"/>
      <c r="FX3" s="78"/>
      <c r="FY3" s="78"/>
      <c r="FZ3" s="78"/>
      <c r="GA3" s="30" t="str">
        <f t="shared" si="18"/>
        <v>0000000000000000</v>
      </c>
      <c r="GB3" s="30" t="str">
        <f t="shared" si="19"/>
        <v>0010000000100000</v>
      </c>
      <c r="GC3" s="78"/>
      <c r="GD3" s="78"/>
      <c r="GE3" s="48" t="str">
        <f>DY3</f>
        <v>00000011000000000010000000100011</v>
      </c>
      <c r="GF3" s="30" t="str">
        <f>MID(GE3,1,8)</f>
        <v>00000011</v>
      </c>
      <c r="GG3" s="30" t="str">
        <f t="shared" ref="GG3:GG41" si="96">MID(GE3,9,8)</f>
        <v>00000000</v>
      </c>
      <c r="GH3" s="30" t="str">
        <f t="shared" ref="GH3:GH41" si="97">MID(GE3,17,8)</f>
        <v>00100000</v>
      </c>
      <c r="GI3" s="30" t="str">
        <f t="shared" ref="GI3:GI41" si="98">MID(GE3,25,8)</f>
        <v>00100011</v>
      </c>
      <c r="GJ3" s="78"/>
      <c r="GK3" s="78"/>
      <c r="GL3" s="78"/>
      <c r="GM3" s="78"/>
      <c r="GN3" s="31" t="str">
        <f t="shared" ref="GN3:GN41" si="99">MID($L3,1,4)</f>
        <v>0101</v>
      </c>
      <c r="GO3" s="31" t="str">
        <f t="shared" ref="GO3:GO41" si="100">MID($L3,5,4)</f>
        <v>0111</v>
      </c>
      <c r="GP3" s="31" t="str">
        <f t="shared" ref="GP3:GP41" si="101">MID($L3,9,4)</f>
        <v>1101</v>
      </c>
      <c r="GQ3" s="31" t="str">
        <f t="shared" ref="GQ3:GQ41" si="102">MID($L3,13,4)</f>
        <v>0000</v>
      </c>
      <c r="GR3" s="31" t="str">
        <f t="shared" ref="GR3:GR41" si="103">MID($L3,17,4)</f>
        <v>1110</v>
      </c>
      <c r="GS3" s="31" t="str">
        <f t="shared" ref="GS3:GS41" si="104">MID($L3,21,4)</f>
        <v>1100</v>
      </c>
      <c r="GT3" s="31" t="str">
        <f t="shared" ref="GT3:GT41" si="105">MID($L3,25,4)</f>
        <v>1011</v>
      </c>
      <c r="GU3" s="31" t="str">
        <f t="shared" ref="GU3:GU41" si="106">MID($L3,29,4)</f>
        <v>0011</v>
      </c>
      <c r="GV3" s="78"/>
      <c r="GW3" s="78"/>
      <c r="GX3" s="78"/>
      <c r="GY3" s="78"/>
      <c r="GZ3" s="78"/>
      <c r="HA3" s="78"/>
      <c r="HB3" s="78"/>
      <c r="HC3" s="78"/>
      <c r="HD3" s="30" t="str">
        <f t="shared" si="21"/>
        <v>0000001100000000</v>
      </c>
      <c r="HE3" s="30" t="str">
        <f t="shared" si="22"/>
        <v>0010000000100011</v>
      </c>
      <c r="HF3" s="78"/>
      <c r="HG3" s="78"/>
      <c r="HH3" s="48" t="str">
        <f>FB3</f>
        <v>00000000000000000010000000100000</v>
      </c>
      <c r="HI3" s="30" t="str">
        <f>MID(HH3,1,8)</f>
        <v>00000000</v>
      </c>
      <c r="HJ3" s="30" t="str">
        <f t="shared" ref="HJ3:HJ41" si="107">MID(HH3,9,8)</f>
        <v>00000000</v>
      </c>
      <c r="HK3" s="30" t="str">
        <f t="shared" ref="HK3:HK41" si="108">MID(HH3,17,8)</f>
        <v>00100000</v>
      </c>
      <c r="HL3" s="30" t="str">
        <f t="shared" ref="HL3:HL41" si="109">MID(HH3,25,8)</f>
        <v>00100000</v>
      </c>
      <c r="HM3" s="78"/>
      <c r="HN3" s="78"/>
      <c r="HO3" s="78"/>
      <c r="HP3" s="78"/>
      <c r="HQ3" s="31" t="str">
        <f t="shared" ref="HQ3:HQ41" si="110">MID($L3,1,4)</f>
        <v>0101</v>
      </c>
      <c r="HR3" s="31" t="str">
        <f t="shared" ref="HR3:HR41" si="111">MID($L3,5,4)</f>
        <v>0111</v>
      </c>
      <c r="HS3" s="31" t="str">
        <f t="shared" ref="HS3:HS41" si="112">MID($L3,9,4)</f>
        <v>1101</v>
      </c>
      <c r="HT3" s="31" t="str">
        <f t="shared" ref="HT3:HT41" si="113">MID($L3,13,4)</f>
        <v>0000</v>
      </c>
      <c r="HU3" s="31" t="str">
        <f t="shared" ref="HU3:HU41" si="114">MID($L3,17,4)</f>
        <v>1110</v>
      </c>
      <c r="HV3" s="31" t="str">
        <f t="shared" ref="HV3:HV41" si="115">MID($L3,21,4)</f>
        <v>1100</v>
      </c>
      <c r="HW3" s="31" t="str">
        <f t="shared" ref="HW3:HW41" si="116">MID($L3,25,4)</f>
        <v>1011</v>
      </c>
      <c r="HX3" s="31" t="str">
        <f t="shared" ref="HX3:HX41" si="117">MID($L3,29,4)</f>
        <v>0011</v>
      </c>
      <c r="HY3" s="78"/>
      <c r="HZ3" s="78"/>
      <c r="IA3" s="78"/>
      <c r="IB3" s="78"/>
      <c r="IC3" s="78"/>
      <c r="ID3" s="78"/>
      <c r="IE3" s="78"/>
      <c r="IF3" s="78"/>
      <c r="IG3" s="30" t="str">
        <f t="shared" si="24"/>
        <v>0000000000000000</v>
      </c>
      <c r="IH3" s="30" t="str">
        <f t="shared" si="25"/>
        <v>0010000000100000</v>
      </c>
      <c r="II3" s="78"/>
      <c r="IJ3" s="78"/>
      <c r="IL3" s="30"/>
      <c r="IM3" s="30"/>
      <c r="IN3" s="30"/>
      <c r="IO3" s="30"/>
      <c r="IP3" s="23"/>
      <c r="IQ3" s="23"/>
      <c r="IR3" s="23"/>
      <c r="IS3" s="23"/>
      <c r="JB3" s="23"/>
      <c r="JC3" s="23"/>
      <c r="JD3" s="23"/>
      <c r="JE3" s="23"/>
      <c r="JF3" s="23"/>
      <c r="JG3" s="23"/>
      <c r="JH3" s="23"/>
      <c r="JI3" s="23"/>
      <c r="JJ3" s="30"/>
      <c r="JK3" s="30"/>
      <c r="JL3" s="23"/>
      <c r="JM3" s="23"/>
    </row>
    <row r="4" spans="1:273" s="27" customFormat="1" x14ac:dyDescent="0.35">
      <c r="A4" s="24"/>
      <c r="B4" s="25"/>
      <c r="C4" s="20" t="s">
        <v>0</v>
      </c>
      <c r="D4" s="20" t="s">
        <v>93</v>
      </c>
      <c r="E4" s="20">
        <v>82</v>
      </c>
      <c r="F4" s="20">
        <v>4</v>
      </c>
      <c r="G4" s="20" t="s">
        <v>58</v>
      </c>
      <c r="H4" s="20" t="str">
        <f t="shared" si="0"/>
        <v>00001101100000100000010001011100</v>
      </c>
      <c r="I4" s="20">
        <f t="shared" si="1"/>
        <v>10</v>
      </c>
      <c r="J4" s="20">
        <v>64</v>
      </c>
      <c r="K4" s="20" t="str">
        <f>HEX2BIN(J4,8)</f>
        <v>01100100</v>
      </c>
      <c r="L4" s="43" t="str">
        <f>H4</f>
        <v>00001101100000100000010001011100</v>
      </c>
      <c r="M4" s="26" t="str">
        <f t="shared" si="26"/>
        <v>00001101</v>
      </c>
      <c r="N4" s="26" t="str">
        <f t="shared" si="27"/>
        <v>10000010</v>
      </c>
      <c r="O4" s="26" t="str">
        <f t="shared" si="28"/>
        <v>00000100</v>
      </c>
      <c r="P4" s="26" t="str">
        <f t="shared" si="29"/>
        <v>01011100</v>
      </c>
      <c r="Q4" s="77">
        <f>BIN2DEC(M4)-BIN2DEC(M5)</f>
        <v>-144</v>
      </c>
      <c r="R4" s="77">
        <f>BIN2DEC(N4)-BIN2DEC(N5)</f>
        <v>-45</v>
      </c>
      <c r="S4" s="77">
        <f>BIN2DEC(O4)-BIN2DEC(O5)</f>
        <v>-201</v>
      </c>
      <c r="T4" s="77">
        <f>BIN2DEC(P4)-BIN2DEC(P5)</f>
        <v>-100</v>
      </c>
      <c r="U4" s="27" t="str">
        <f t="shared" si="30"/>
        <v>0000</v>
      </c>
      <c r="V4" s="27" t="str">
        <f t="shared" si="31"/>
        <v>1101</v>
      </c>
      <c r="W4" s="27" t="str">
        <f t="shared" si="32"/>
        <v>1000</v>
      </c>
      <c r="X4" s="27" t="str">
        <f t="shared" si="33"/>
        <v>0010</v>
      </c>
      <c r="Y4" s="27" t="str">
        <f t="shared" si="34"/>
        <v>0000</v>
      </c>
      <c r="Z4" s="27" t="str">
        <f t="shared" si="35"/>
        <v>0100</v>
      </c>
      <c r="AA4" s="27" t="str">
        <f t="shared" si="36"/>
        <v>0101</v>
      </c>
      <c r="AB4" s="27" t="str">
        <f t="shared" si="37"/>
        <v>1100</v>
      </c>
      <c r="AC4" s="77">
        <f>BIN2DEC(U4)-BIN2DEC(U5)</f>
        <v>-9</v>
      </c>
      <c r="AD4" s="77">
        <f t="shared" ref="AD4:AI4" si="118">BIN2DEC(V4)-BIN2DEC(V5)</f>
        <v>0</v>
      </c>
      <c r="AE4" s="77">
        <f t="shared" si="118"/>
        <v>-2</v>
      </c>
      <c r="AF4" s="77">
        <f t="shared" si="118"/>
        <v>-13</v>
      </c>
      <c r="AG4" s="77">
        <f t="shared" si="118"/>
        <v>-12</v>
      </c>
      <c r="AH4" s="77">
        <f t="shared" si="118"/>
        <v>-9</v>
      </c>
      <c r="AI4" s="77">
        <f t="shared" si="118"/>
        <v>-7</v>
      </c>
      <c r="AJ4" s="77">
        <f>BIN2DEC(AB4)-BIN2DEC(AB5)</f>
        <v>12</v>
      </c>
      <c r="AK4" s="26" t="str">
        <f t="shared" si="3"/>
        <v>0000110110000010</v>
      </c>
      <c r="AL4" s="26" t="str">
        <f t="shared" si="4"/>
        <v>0000010001011100</v>
      </c>
      <c r="AM4" s="77">
        <f>MID(AK4,16,1)*POWER(2,0)+MID(AK4,15,1)*POWER(2,1)+MID(AK4,14,1)*POWER(2,2)+MID(AK4,13,1)*POWER(2,3)+MID(AK4,12,1)*POWER(2,4)+MID(AK4,11,1)*POWER(2,5)+MID(AK4,10,1)*POWER(2,6)+MID(AK4,9,1)*POWER(2,7)+MID(AK4,8,1)*POWER(2,8)+MID(AK4,7,1)*POWER(2,9)+MID(AK4,6,1)*POWER(2,10)+MID(AK4,5,1)*POWER(2,11)+MID(AK4,4,1)*POWER(2,12)+MID(AK4,3,1)*POWER(2,13)+MID(AK4,2,1)*POWER(2,14)+MID(AK4,1,1)*POWER(2,15)-(MID(AK5,16,1)*POWER(2,0)+MID(AK5,15,1)*POWER(2,1)+MID(AK5,14,1)*POWER(2,2)+MID(AK5,13,1)*POWER(2,3)+MID(AK5,12,1)*POWER(2,4)+MID(AK5,11,1)*POWER(2,5)+MID(AK5,10,1)*POWER(2,6)+MID(AK5,9,1)*POWER(2,7)+MID(AK5,8,1)*POWER(2,8)+MID(AK5,7,1)*POWER(2,9)+MID(AK5,6,1)*POWER(2,10)+MID(AK5,5,1)*POWER(2,11)+MID(AK5,4,1)*POWER(2,12)+MID(AK5,3,1)*POWER(2,13)+MID(AK5,2,1)*POWER(2,14)+MID(AK5,1,1)*POWER(2,15))</f>
        <v>-36909</v>
      </c>
      <c r="AN4" s="77">
        <f>MID(AL4,16,1)*POWER(2,0)+MID(AL4,15,1)*POWER(2,1)+MID(AL4,14,1)*POWER(2,2)+MID(AL4,13,1)*POWER(2,3)+MID(AL4,12,1)*POWER(2,4)+MID(AL4,11,1)*POWER(2,5)+MID(AL4,10,1)*POWER(2,6)+MID(AL4,9,1)*POWER(2,7)+MID(AL4,8,1)*POWER(2,8)+MID(AL4,7,1)*POWER(2,9)+MID(AL4,6,1)*POWER(2,10)+MID(AL4,5,1)*POWER(2,11)+MID(AL4,4,1)*POWER(2,12)+MID(AL4,3,1)*POWER(2,13)+MID(AL4,2,1)*POWER(2,14)+MID(AL4,1,1)*POWER(2,15)-(MID(AL5,16,1)*POWER(2,0)+MID(AL5,15,1)*POWER(2,1)+MID(AL5,14,1)*POWER(2,2)+MID(AL5,13,1)*POWER(2,3)+MID(AL5,12,1)*POWER(2,4)+MID(AL5,11,1)*POWER(2,5)+MID(AL5,10,1)*POWER(2,6)+MID(AL5,9,1)*POWER(2,7)+MID(AL5,8,1)*POWER(2,8)+MID(AL5,7,1)*POWER(2,9)+MID(AL5,6,1)*POWER(2,10)+MID(AL5,5,1)*POWER(2,11)+MID(AL5,4,1)*POWER(2,12)+MID(AL5,3,1)*POWER(2,13)+MID(AL5,2,1)*POWER(2,14)+MID(AL5,1,1)*POWER(2,15))</f>
        <v>-51556</v>
      </c>
      <c r="AO4" s="45" t="str">
        <f>H4</f>
        <v>00001101100000100000010001011100</v>
      </c>
      <c r="AP4" s="26" t="str">
        <f t="shared" si="38"/>
        <v>00001101</v>
      </c>
      <c r="AQ4" s="26" t="str">
        <f t="shared" si="39"/>
        <v>10000010</v>
      </c>
      <c r="AR4" s="26" t="str">
        <f t="shared" si="40"/>
        <v>00000100</v>
      </c>
      <c r="AS4" s="26" t="str">
        <f t="shared" si="41"/>
        <v>01011100</v>
      </c>
      <c r="AT4" s="77">
        <f>BIN2DEC(AP4)-BIN2DEC(AP5)</f>
        <v>9</v>
      </c>
      <c r="AU4" s="77">
        <f>BIN2DEC(AQ4)-BIN2DEC(AQ5)</f>
        <v>94</v>
      </c>
      <c r="AV4" s="77">
        <f>BIN2DEC(AR4)-BIN2DEC(AR5)</f>
        <v>-64</v>
      </c>
      <c r="AW4" s="77">
        <f>BIN2DEC(AS4)-BIN2DEC(AS5)</f>
        <v>28</v>
      </c>
      <c r="AX4" s="27" t="str">
        <f t="shared" si="42"/>
        <v>0000</v>
      </c>
      <c r="AY4" s="27" t="str">
        <f t="shared" si="43"/>
        <v>1101</v>
      </c>
      <c r="AZ4" s="27" t="str">
        <f t="shared" si="44"/>
        <v>1000</v>
      </c>
      <c r="BA4" s="27" t="str">
        <f t="shared" si="45"/>
        <v>0010</v>
      </c>
      <c r="BB4" s="27" t="str">
        <f t="shared" si="46"/>
        <v>0000</v>
      </c>
      <c r="BC4" s="27" t="str">
        <f t="shared" si="47"/>
        <v>0100</v>
      </c>
      <c r="BD4" s="27" t="str">
        <f t="shared" si="48"/>
        <v>0101</v>
      </c>
      <c r="BE4" s="27" t="str">
        <f t="shared" si="49"/>
        <v>1100</v>
      </c>
      <c r="BF4" s="77">
        <f>BIN2DEC(AX4)-BIN2DEC(AX5)</f>
        <v>-9</v>
      </c>
      <c r="BG4" s="77">
        <f t="shared" ref="BG4:BL4" si="119">BIN2DEC(AY4)-BIN2DEC(AY5)</f>
        <v>0</v>
      </c>
      <c r="BH4" s="77">
        <f t="shared" si="119"/>
        <v>-2</v>
      </c>
      <c r="BI4" s="77">
        <f t="shared" si="119"/>
        <v>-13</v>
      </c>
      <c r="BJ4" s="77">
        <f t="shared" si="119"/>
        <v>-12</v>
      </c>
      <c r="BK4" s="77">
        <f t="shared" si="119"/>
        <v>-9</v>
      </c>
      <c r="BL4" s="77">
        <f t="shared" si="119"/>
        <v>-7</v>
      </c>
      <c r="BM4" s="77">
        <f>BIN2DEC(BE4)-BIN2DEC(BE5)</f>
        <v>12</v>
      </c>
      <c r="BN4" s="26" t="str">
        <f t="shared" si="6"/>
        <v>0000110110000010</v>
      </c>
      <c r="BO4" s="26" t="str">
        <f t="shared" si="7"/>
        <v>0000010001011100</v>
      </c>
      <c r="BP4" s="77">
        <f>MID(BN4,16,1)*POWER(2,0)+MID(BN4,15,1)*POWER(2,1)+MID(BN4,14,1)*POWER(2,2)+MID(BN4,13,1)*POWER(2,3)+MID(BN4,12,1)*POWER(2,4)+MID(BN4,11,1)*POWER(2,5)+MID(BN4,10,1)*POWER(2,6)+MID(BN4,9,1)*POWER(2,7)+MID(BN4,8,1)*POWER(2,8)+MID(BN4,7,1)*POWER(2,9)+MID(BN4,6,1)*POWER(2,10)+MID(BN4,5,1)*POWER(2,11)+MID(BN4,4,1)*POWER(2,12)+MID(BN4,3,1)*POWER(2,13)+MID(BN4,2,1)*POWER(2,14)+MID(BN4,1,1)*POWER(2,15)-(MID(BN5,16,1)*POWER(2,0)+MID(BN5,15,1)*POWER(2,1)+MID(BN5,14,1)*POWER(2,2)+MID(BN5,13,1)*POWER(2,3)+MID(BN5,12,1)*POWER(2,4)+MID(BN5,11,1)*POWER(2,5)+MID(BN5,10,1)*POWER(2,6)+MID(BN5,9,1)*POWER(2,7)+MID(BN5,8,1)*POWER(2,8)+MID(BN5,7,1)*POWER(2,9)+MID(BN5,6,1)*POWER(2,10)+MID(BN5,5,1)*POWER(2,11)+MID(BN5,4,1)*POWER(2,12)+MID(BN5,3,1)*POWER(2,13)+MID(BN5,2,1)*POWER(2,14)+MID(BN5,1,1)*POWER(2,15))</f>
        <v>2398</v>
      </c>
      <c r="BQ4" s="77">
        <f>MID(BO4,16,1)*POWER(2,0)+MID(BO4,15,1)*POWER(2,1)+MID(BO4,14,1)*POWER(2,2)+MID(BO4,13,1)*POWER(2,3)+MID(BO4,12,1)*POWER(2,4)+MID(BO4,11,1)*POWER(2,5)+MID(BO4,10,1)*POWER(2,6)+MID(BO4,9,1)*POWER(2,7)+MID(BO4,8,1)*POWER(2,8)+MID(BO4,7,1)*POWER(2,9)+MID(BO4,6,1)*POWER(2,10)+MID(BO4,5,1)*POWER(2,11)+MID(BO4,4,1)*POWER(2,12)+MID(BO4,3,1)*POWER(2,13)+MID(BO4,2,1)*POWER(2,14)+MID(BO4,1,1)*POWER(2,15)-(MID(BO5,16,1)*POWER(2,0)+MID(BO5,15,1)*POWER(2,1)+MID(BO5,14,1)*POWER(2,2)+MID(BO5,13,1)*POWER(2,3)+MID(BO5,12,1)*POWER(2,4)+MID(BO5,11,1)*POWER(2,5)+MID(BO5,10,1)*POWER(2,6)+MID(BO5,9,1)*POWER(2,7)+MID(BO5,8,1)*POWER(2,8)+MID(BO5,7,1)*POWER(2,9)+MID(BO5,6,1)*POWER(2,10)+MID(BO5,5,1)*POWER(2,11)+MID(BO5,4,1)*POWER(2,12)+MID(BO5,3,1)*POWER(2,13)+MID(BO5,2,1)*POWER(2,14)+MID(BO5,1,1)*POWER(2,15))</f>
        <v>-16356</v>
      </c>
      <c r="BR4" s="45" t="str">
        <f>CONCATENATE(MID($L4,1,1)*MID($K4,1,1),MID($L4,2,1)*MID($K4,2,1),MID($L4,3,1)*MID($K4,3,1),MID($L4,4,1)*MID($K4,4,1),MID($L4,5,1)*MID($K4,5,1),MID($L4,6,1)*MID($K4,6,1),MID($L4,7,1)*MID($K4,7,1),MID($L4,8,1)*MID($K4,8,1),MID($L4,9,1)*MID($K4,1,1),MID($L4,10,1)*MID($K4,2,1),MID($L4,11,1)*MID($K4,3,1),MID($L4,12,1)*MID($K4,4,1),MID($L4,13,1)*MID($K4,5,1),MID($L4,14,1)*MID($K4,6,1),MID($L4,15,1)*MID($K4,7,1),MID($L4,16,1)*MID($K4,8,1),MID($L4,17,1)*MID($K4,1,1),MID($L4,18,1)*MID($K4,2,1),MID($L4,19,1)*MID($K4,3,1),MID($L4,20,1)*MID($K4,4,1),MID($L4,21,1)*MID($K4,5,1),MID($L4,22,1)*MID($K4,6,1),MID($L4,23,1)*MID($K4,7,1),MID($L4,24,1)*MID($K4,8,1),MID($L4,25,1)*MID($K4,1,1),MID($L4,26,1)*MID($K4,2,1),MID($L4,27,1)*MID($K4,3,1),MID($L4,28,1)*MID($K4,4,1),MID($L4,29,1)*MID($K4,5,1),MID($L4,30,1)*MID($K4,6,1),MID($L4,31,1)*MID($K4,7,1),MID($L4,32,1)*MID($K4,8,1))</f>
        <v>00000100000000000000010001000100</v>
      </c>
      <c r="BS4" s="26" t="str">
        <f t="shared" si="50"/>
        <v>00000100</v>
      </c>
      <c r="BT4" s="26" t="str">
        <f t="shared" si="51"/>
        <v>00000000</v>
      </c>
      <c r="BU4" s="26" t="str">
        <f t="shared" si="52"/>
        <v>00000100</v>
      </c>
      <c r="BV4" s="26" t="str">
        <f t="shared" si="53"/>
        <v>01000100</v>
      </c>
      <c r="BW4" s="77">
        <f>BIN2DEC(BS4)-BIN2DEC(BS5)</f>
        <v>-153</v>
      </c>
      <c r="BX4" s="77">
        <f>BIN2DEC(BT4)-BIN2DEC(BT5)</f>
        <v>-175</v>
      </c>
      <c r="BY4" s="77">
        <f>BIN2DEC(BU4)-BIN2DEC(BU5)</f>
        <v>-201</v>
      </c>
      <c r="BZ4" s="77">
        <f>BIN2DEC(BV4)-BIN2DEC(BV5)</f>
        <v>-124</v>
      </c>
      <c r="CA4" s="27" t="str">
        <f t="shared" si="54"/>
        <v>0000</v>
      </c>
      <c r="CB4" s="27" t="str">
        <f t="shared" si="55"/>
        <v>1101</v>
      </c>
      <c r="CC4" s="27" t="str">
        <f t="shared" si="56"/>
        <v>1000</v>
      </c>
      <c r="CD4" s="27" t="str">
        <f t="shared" si="57"/>
        <v>0010</v>
      </c>
      <c r="CE4" s="27" t="str">
        <f t="shared" si="58"/>
        <v>0000</v>
      </c>
      <c r="CF4" s="27" t="str">
        <f t="shared" si="59"/>
        <v>0100</v>
      </c>
      <c r="CG4" s="27" t="str">
        <f t="shared" si="60"/>
        <v>0101</v>
      </c>
      <c r="CH4" s="27" t="str">
        <f t="shared" si="61"/>
        <v>1100</v>
      </c>
      <c r="CI4" s="77">
        <f>BIN2DEC(CA4)-BIN2DEC(CA5)</f>
        <v>-9</v>
      </c>
      <c r="CJ4" s="77">
        <f t="shared" ref="CJ4:CO4" si="120">BIN2DEC(CB4)-BIN2DEC(CB5)</f>
        <v>0</v>
      </c>
      <c r="CK4" s="77">
        <f t="shared" si="120"/>
        <v>-2</v>
      </c>
      <c r="CL4" s="77">
        <f t="shared" si="120"/>
        <v>-13</v>
      </c>
      <c r="CM4" s="77">
        <f t="shared" si="120"/>
        <v>-12</v>
      </c>
      <c r="CN4" s="77">
        <f t="shared" si="120"/>
        <v>-9</v>
      </c>
      <c r="CO4" s="77">
        <f t="shared" si="120"/>
        <v>-7</v>
      </c>
      <c r="CP4" s="77">
        <f>BIN2DEC(CH4)-BIN2DEC(CH5)</f>
        <v>12</v>
      </c>
      <c r="CQ4" s="26" t="str">
        <f t="shared" si="9"/>
        <v>0000010000000000</v>
      </c>
      <c r="CR4" s="26" t="str">
        <f t="shared" si="10"/>
        <v>0000010001000100</v>
      </c>
      <c r="CS4" s="77">
        <f>MID(CQ4,16,1)*POWER(2,0)+MID(CQ4,15,1)*POWER(2,1)+MID(CQ4,14,1)*POWER(2,2)+MID(CQ4,13,1)*POWER(2,3)+MID(CQ4,12,1)*POWER(2,4)+MID(CQ4,11,1)*POWER(2,5)+MID(CQ4,10,1)*POWER(2,6)+MID(CQ4,9,1)*POWER(2,7)+MID(CQ4,8,1)*POWER(2,8)+MID(CQ4,7,1)*POWER(2,9)+MID(CQ4,6,1)*POWER(2,10)+MID(CQ4,5,1)*POWER(2,11)+MID(CQ4,4,1)*POWER(2,12)+MID(CQ4,3,1)*POWER(2,13)+MID(CQ4,2,1)*POWER(2,14)+MID(CQ4,1,1)*POWER(2,15)-(MID(CQ5,16,1)*POWER(2,0)+MID(CQ5,15,1)*POWER(2,1)+MID(CQ5,14,1)*POWER(2,2)+MID(CQ5,13,1)*POWER(2,3)+MID(CQ5,12,1)*POWER(2,4)+MID(CQ5,11,1)*POWER(2,5)+MID(CQ5,10,1)*POWER(2,6)+MID(CQ5,9,1)*POWER(2,7)+MID(CQ5,8,1)*POWER(2,8)+MID(CQ5,7,1)*POWER(2,9)+MID(CQ5,6,1)*POWER(2,10)+MID(CQ5,5,1)*POWER(2,11)+MID(CQ5,4,1)*POWER(2,12)+MID(CQ5,3,1)*POWER(2,13)+MID(CQ5,2,1)*POWER(2,14)+MID(CQ5,1,1)*POWER(2,15))</f>
        <v>-39343</v>
      </c>
      <c r="CT4" s="77">
        <f>MID(CR4,16,1)*POWER(2,0)+MID(CR4,15,1)*POWER(2,1)+MID(CR4,14,1)*POWER(2,2)+MID(CR4,13,1)*POWER(2,3)+MID(CR4,12,1)*POWER(2,4)+MID(CR4,11,1)*POWER(2,5)+MID(CR4,10,1)*POWER(2,6)+MID(CR4,9,1)*POWER(2,7)+MID(CR4,8,1)*POWER(2,8)+MID(CR4,7,1)*POWER(2,9)+MID(CR4,6,1)*POWER(2,10)+MID(CR4,5,1)*POWER(2,11)+MID(CR4,4,1)*POWER(2,12)+MID(CR4,3,1)*POWER(2,13)+MID(CR4,2,1)*POWER(2,14)+MID(CR4,1,1)*POWER(2,15)-(MID(CR5,16,1)*POWER(2,0)+MID(CR5,15,1)*POWER(2,1)+MID(CR5,14,1)*POWER(2,2)+MID(CR5,13,1)*POWER(2,3)+MID(CR5,12,1)*POWER(2,4)+MID(CR5,11,1)*POWER(2,5)+MID(CR5,10,1)*POWER(2,6)+MID(CR5,9,1)*POWER(2,7)+MID(CR5,8,1)*POWER(2,8)+MID(CR5,7,1)*POWER(2,9)+MID(CR5,6,1)*POWER(2,10)+MID(CR5,5,1)*POWER(2,11)+MID(CR5,4,1)*POWER(2,12)+MID(CR5,3,1)*POWER(2,13)+MID(CR5,2,1)*POWER(2,14)+MID(CR5,1,1)*POWER(2,15))</f>
        <v>-51580</v>
      </c>
      <c r="CU4" s="45" t="str">
        <f>BR4</f>
        <v>00000100000000000000010001000100</v>
      </c>
      <c r="CV4" s="26" t="str">
        <f t="shared" si="62"/>
        <v>00000100</v>
      </c>
      <c r="CW4" s="26" t="str">
        <f t="shared" si="63"/>
        <v>00000000</v>
      </c>
      <c r="CX4" s="26" t="str">
        <f t="shared" si="64"/>
        <v>00000100</v>
      </c>
      <c r="CY4" s="26" t="str">
        <f t="shared" si="65"/>
        <v>01000100</v>
      </c>
      <c r="CZ4" s="77">
        <f>BIN2DEC(CV4)-BIN2DEC(CV5)</f>
        <v>0</v>
      </c>
      <c r="DA4" s="77">
        <f>BIN2DEC(CW4)-BIN2DEC(CW5)</f>
        <v>-36</v>
      </c>
      <c r="DB4" s="77">
        <f>BIN2DEC(CX4)-BIN2DEC(CX5)</f>
        <v>-64</v>
      </c>
      <c r="DC4" s="77">
        <f>BIN2DEC(CY4)-BIN2DEC(CY5)</f>
        <v>4</v>
      </c>
      <c r="DD4" s="27" t="str">
        <f t="shared" si="66"/>
        <v>0000</v>
      </c>
      <c r="DE4" s="27" t="str">
        <f t="shared" si="67"/>
        <v>1101</v>
      </c>
      <c r="DF4" s="27" t="str">
        <f t="shared" si="68"/>
        <v>1000</v>
      </c>
      <c r="DG4" s="27" t="str">
        <f t="shared" si="69"/>
        <v>0010</v>
      </c>
      <c r="DH4" s="27" t="str">
        <f t="shared" si="70"/>
        <v>0000</v>
      </c>
      <c r="DI4" s="27" t="str">
        <f t="shared" si="71"/>
        <v>0100</v>
      </c>
      <c r="DJ4" s="27" t="str">
        <f t="shared" si="72"/>
        <v>0101</v>
      </c>
      <c r="DK4" s="27" t="str">
        <f t="shared" si="73"/>
        <v>1100</v>
      </c>
      <c r="DL4" s="77">
        <f>BIN2DEC(DD4)-BIN2DEC(DD5)</f>
        <v>-9</v>
      </c>
      <c r="DM4" s="77">
        <f t="shared" ref="DM4:DR4" si="121">BIN2DEC(DE4)-BIN2DEC(DE5)</f>
        <v>0</v>
      </c>
      <c r="DN4" s="77">
        <f t="shared" si="121"/>
        <v>-2</v>
      </c>
      <c r="DO4" s="77">
        <f t="shared" si="121"/>
        <v>-13</v>
      </c>
      <c r="DP4" s="77">
        <f t="shared" si="121"/>
        <v>-12</v>
      </c>
      <c r="DQ4" s="77">
        <f t="shared" si="121"/>
        <v>-9</v>
      </c>
      <c r="DR4" s="77">
        <f t="shared" si="121"/>
        <v>-7</v>
      </c>
      <c r="DS4" s="77">
        <f>BIN2DEC(DK4)-BIN2DEC(DK5)</f>
        <v>12</v>
      </c>
      <c r="DT4" s="26" t="str">
        <f t="shared" si="12"/>
        <v>0000010000000000</v>
      </c>
      <c r="DU4" s="26" t="str">
        <f t="shared" si="13"/>
        <v>0000010001000100</v>
      </c>
      <c r="DV4" s="77">
        <f>MID(DT4,16,1)*POWER(2,0)+MID(DT4,15,1)*POWER(2,1)+MID(DT4,14,1)*POWER(2,2)+MID(DT4,13,1)*POWER(2,3)+MID(DT4,12,1)*POWER(2,4)+MID(DT4,11,1)*POWER(2,5)+MID(DT4,10,1)*POWER(2,6)+MID(DT4,9,1)*POWER(2,7)+MID(DT4,8,1)*POWER(2,8)+MID(DT4,7,1)*POWER(2,9)+MID(DT4,6,1)*POWER(2,10)+MID(DT4,5,1)*POWER(2,11)+MID(DT4,4,1)*POWER(2,12)+MID(DT4,3,1)*POWER(2,13)+MID(DT4,2,1)*POWER(2,14)+MID(DT4,1,1)*POWER(2,15)-(MID(DT5,16,1)*POWER(2,0)+MID(DT5,15,1)*POWER(2,1)+MID(DT5,14,1)*POWER(2,2)+MID(DT5,13,1)*POWER(2,3)+MID(DT5,12,1)*POWER(2,4)+MID(DT5,11,1)*POWER(2,5)+MID(DT5,10,1)*POWER(2,6)+MID(DT5,9,1)*POWER(2,7)+MID(DT5,8,1)*POWER(2,8)+MID(DT5,7,1)*POWER(2,9)+MID(DT5,6,1)*POWER(2,10)+MID(DT5,5,1)*POWER(2,11)+MID(DT5,4,1)*POWER(2,12)+MID(DT5,3,1)*POWER(2,13)+MID(DT5,2,1)*POWER(2,14)+MID(DT5,1,1)*POWER(2,15))</f>
        <v>-36</v>
      </c>
      <c r="DW4" s="77">
        <f>MID(DU4,16,1)*POWER(2,0)+MID(DU4,15,1)*POWER(2,1)+MID(DU4,14,1)*POWER(2,2)+MID(DU4,13,1)*POWER(2,3)+MID(DU4,12,1)*POWER(2,4)+MID(DU4,11,1)*POWER(2,5)+MID(DU4,10,1)*POWER(2,6)+MID(DU4,9,1)*POWER(2,7)+MID(DU4,8,1)*POWER(2,8)+MID(DU4,7,1)*POWER(2,9)+MID(DU4,6,1)*POWER(2,10)+MID(DU4,5,1)*POWER(2,11)+MID(DU4,4,1)*POWER(2,12)+MID(DU4,3,1)*POWER(2,13)+MID(DU4,2,1)*POWER(2,14)+MID(DU4,1,1)*POWER(2,15)-(MID(DU5,16,1)*POWER(2,0)+MID(DU5,15,1)*POWER(2,1)+MID(DU5,14,1)*POWER(2,2)+MID(DU5,13,1)*POWER(2,3)+MID(DU5,12,1)*POWER(2,4)+MID(DU5,11,1)*POWER(2,5)+MID(DU5,10,1)*POWER(2,6)+MID(DU5,9,1)*POWER(2,7)+MID(DU5,8,1)*POWER(2,8)+MID(DU5,7,1)*POWER(2,9)+MID(DU5,6,1)*POWER(2,10)+MID(DU5,5,1)*POWER(2,11)+MID(DU5,4,1)*POWER(2,12)+MID(DU5,3,1)*POWER(2,13)+MID(DU5,2,1)*POWER(2,14)+MID(DU5,1,1)*POWER(2,15))</f>
        <v>-16380</v>
      </c>
      <c r="DX4" s="22"/>
      <c r="DY4" s="43" t="str">
        <f>H4</f>
        <v>00001101100000100000010001011100</v>
      </c>
      <c r="DZ4" s="26" t="str">
        <f t="shared" ref="DZ4:DZ41" si="122">MID(DY4,1,8)</f>
        <v>00001101</v>
      </c>
      <c r="EA4" s="26" t="str">
        <f t="shared" si="74"/>
        <v>10000010</v>
      </c>
      <c r="EB4" s="26" t="str">
        <f t="shared" si="75"/>
        <v>00000100</v>
      </c>
      <c r="EC4" s="26" t="str">
        <f t="shared" si="76"/>
        <v>01011100</v>
      </c>
      <c r="ED4" s="77">
        <f>BIN2DEC(DZ4)-BIN2DEC(DZ5)</f>
        <v>12</v>
      </c>
      <c r="EE4" s="77">
        <f>BIN2DEC(EA4)-BIN2DEC(EA5)</f>
        <v>95</v>
      </c>
      <c r="EF4" s="77">
        <f>BIN2DEC(EB4)-BIN2DEC(EB5)</f>
        <v>3</v>
      </c>
      <c r="EG4" s="77">
        <f>BIN2DEC(EC4)-BIN2DEC(EC5)</f>
        <v>92</v>
      </c>
      <c r="EH4" s="27" t="str">
        <f t="shared" si="77"/>
        <v>0000</v>
      </c>
      <c r="EI4" s="27" t="str">
        <f t="shared" si="78"/>
        <v>1101</v>
      </c>
      <c r="EJ4" s="27" t="str">
        <f t="shared" si="79"/>
        <v>1000</v>
      </c>
      <c r="EK4" s="27" t="str">
        <f t="shared" si="80"/>
        <v>0010</v>
      </c>
      <c r="EL4" s="27" t="str">
        <f t="shared" si="81"/>
        <v>0000</v>
      </c>
      <c r="EM4" s="27" t="str">
        <f t="shared" si="82"/>
        <v>0100</v>
      </c>
      <c r="EN4" s="27" t="str">
        <f t="shared" si="83"/>
        <v>0101</v>
      </c>
      <c r="EO4" s="27" t="str">
        <f t="shared" si="84"/>
        <v>1100</v>
      </c>
      <c r="EP4" s="77">
        <f>BIN2DEC(EH4)-BIN2DEC(EH5)</f>
        <v>-9</v>
      </c>
      <c r="EQ4" s="77">
        <f t="shared" ref="EQ4:EV4" si="123">BIN2DEC(EI4)-BIN2DEC(EI5)</f>
        <v>0</v>
      </c>
      <c r="ER4" s="77">
        <f t="shared" si="123"/>
        <v>-2</v>
      </c>
      <c r="ES4" s="77">
        <f t="shared" si="123"/>
        <v>-13</v>
      </c>
      <c r="ET4" s="77">
        <f t="shared" si="123"/>
        <v>-12</v>
      </c>
      <c r="EU4" s="77">
        <f t="shared" si="123"/>
        <v>-9</v>
      </c>
      <c r="EV4" s="77">
        <f t="shared" si="123"/>
        <v>-7</v>
      </c>
      <c r="EW4" s="77">
        <f>BIN2DEC(EO4)-BIN2DEC(EO5)</f>
        <v>12</v>
      </c>
      <c r="EX4" s="26" t="str">
        <f t="shared" si="15"/>
        <v>0000110110000010</v>
      </c>
      <c r="EY4" s="26" t="str">
        <f t="shared" si="16"/>
        <v>0000010001011100</v>
      </c>
      <c r="EZ4" s="77">
        <f>MID(EX4,16,1)*POWER(2,0)+MID(EX4,15,1)*POWER(2,1)+MID(EX4,14,1)*POWER(2,2)+MID(EX4,13,1)*POWER(2,3)+MID(EX4,12,1)*POWER(2,4)+MID(EX4,11,1)*POWER(2,5)+MID(EX4,10,1)*POWER(2,6)+MID(EX4,9,1)*POWER(2,7)+MID(EX4,8,1)*POWER(2,8)+MID(EX4,7,1)*POWER(2,9)+MID(EX4,6,1)*POWER(2,10)+MID(EX4,5,1)*POWER(2,11)+MID(EX4,4,1)*POWER(2,12)+MID(EX4,3,1)*POWER(2,13)+MID(EX4,2,1)*POWER(2,14)+MID(EX4,1,1)*POWER(2,15)-(MID(EX5,16,1)*POWER(2,0)+MID(EX5,15,1)*POWER(2,1)+MID(EX5,14,1)*POWER(2,2)+MID(EX5,13,1)*POWER(2,3)+MID(EX5,12,1)*POWER(2,4)+MID(EX5,11,1)*POWER(2,5)+MID(EX5,10,1)*POWER(2,6)+MID(EX5,9,1)*POWER(2,7)+MID(EX5,8,1)*POWER(2,8)+MID(EX5,7,1)*POWER(2,9)+MID(EX5,6,1)*POWER(2,10)+MID(EX5,5,1)*POWER(2,11)+MID(EX5,4,1)*POWER(2,12)+MID(EX5,3,1)*POWER(2,13)+MID(EX5,2,1)*POWER(2,14)+MID(EX5,1,1)*POWER(2,15))</f>
        <v>3167</v>
      </c>
      <c r="FA4" s="77">
        <f>MID(EY4,16,1)*POWER(2,0)+MID(EY4,15,1)*POWER(2,1)+MID(EY4,14,1)*POWER(2,2)+MID(EY4,13,1)*POWER(2,3)+MID(EY4,12,1)*POWER(2,4)+MID(EY4,11,1)*POWER(2,5)+MID(EY4,10,1)*POWER(2,6)+MID(EY4,9,1)*POWER(2,7)+MID(EY4,8,1)*POWER(2,8)+MID(EY4,7,1)*POWER(2,9)+MID(EY4,6,1)*POWER(2,10)+MID(EY4,5,1)*POWER(2,11)+MID(EY4,4,1)*POWER(2,12)+MID(EY4,3,1)*POWER(2,13)+MID(EY4,2,1)*POWER(2,14)+MID(EY4,1,1)*POWER(2,15)-(MID(EY5,16,1)*POWER(2,0)+MID(EY5,15,1)*POWER(2,1)+MID(EY5,14,1)*POWER(2,2)+MID(EY5,13,1)*POWER(2,3)+MID(EY5,12,1)*POWER(2,4)+MID(EY5,11,1)*POWER(2,5)+MID(EY5,10,1)*POWER(2,6)+MID(EY5,9,1)*POWER(2,7)+MID(EY5,8,1)*POWER(2,8)+MID(EY5,7,1)*POWER(2,9)+MID(EY5,6,1)*POWER(2,10)+MID(EY5,5,1)*POWER(2,11)+MID(EY5,4,1)*POWER(2,12)+MID(EY5,3,1)*POWER(2,13)+MID(EY5,2,1)*POWER(2,14)+MID(EY5,1,1)*POWER(2,15))</f>
        <v>860</v>
      </c>
      <c r="FB4" s="45" t="str">
        <f>H4</f>
        <v>00001101100000100000010001011100</v>
      </c>
      <c r="FC4" s="26" t="str">
        <f t="shared" ref="FC4:FC41" si="124">MID(FB4,1,8)</f>
        <v>00001101</v>
      </c>
      <c r="FD4" s="26" t="str">
        <f t="shared" si="85"/>
        <v>10000010</v>
      </c>
      <c r="FE4" s="26" t="str">
        <f t="shared" si="86"/>
        <v>00000100</v>
      </c>
      <c r="FF4" s="26" t="str">
        <f t="shared" si="87"/>
        <v>01011100</v>
      </c>
      <c r="FG4" s="77">
        <f>BIN2DEC(FC4)-BIN2DEC(FC5)</f>
        <v>13</v>
      </c>
      <c r="FH4" s="77">
        <f>BIN2DEC(FD4)-BIN2DEC(FD5)</f>
        <v>98</v>
      </c>
      <c r="FI4" s="77">
        <f>BIN2DEC(FE4)-BIN2DEC(FE5)</f>
        <v>4</v>
      </c>
      <c r="FJ4" s="77">
        <f>BIN2DEC(FF4)-BIN2DEC(FF5)</f>
        <v>92</v>
      </c>
      <c r="FK4" s="27" t="str">
        <f t="shared" si="88"/>
        <v>0000</v>
      </c>
      <c r="FL4" s="27" t="str">
        <f t="shared" si="89"/>
        <v>1101</v>
      </c>
      <c r="FM4" s="27" t="str">
        <f t="shared" si="90"/>
        <v>1000</v>
      </c>
      <c r="FN4" s="27" t="str">
        <f t="shared" si="91"/>
        <v>0010</v>
      </c>
      <c r="FO4" s="27" t="str">
        <f t="shared" si="92"/>
        <v>0000</v>
      </c>
      <c r="FP4" s="27" t="str">
        <f t="shared" si="93"/>
        <v>0100</v>
      </c>
      <c r="FQ4" s="27" t="str">
        <f t="shared" si="94"/>
        <v>0101</v>
      </c>
      <c r="FR4" s="27" t="str">
        <f t="shared" si="95"/>
        <v>1100</v>
      </c>
      <c r="FS4" s="77">
        <f>BIN2DEC(FK4)-BIN2DEC(FK5)</f>
        <v>-9</v>
      </c>
      <c r="FT4" s="77">
        <f t="shared" ref="FT4:FY4" si="125">BIN2DEC(FL4)-BIN2DEC(FL5)</f>
        <v>0</v>
      </c>
      <c r="FU4" s="77">
        <f t="shared" si="125"/>
        <v>-2</v>
      </c>
      <c r="FV4" s="77">
        <f t="shared" si="125"/>
        <v>-13</v>
      </c>
      <c r="FW4" s="77">
        <f t="shared" si="125"/>
        <v>-12</v>
      </c>
      <c r="FX4" s="77">
        <f t="shared" si="125"/>
        <v>-9</v>
      </c>
      <c r="FY4" s="77">
        <f t="shared" si="125"/>
        <v>-7</v>
      </c>
      <c r="FZ4" s="77">
        <f>BIN2DEC(FR4)-BIN2DEC(FR5)</f>
        <v>12</v>
      </c>
      <c r="GA4" s="26" t="str">
        <f t="shared" si="18"/>
        <v>0000110110000010</v>
      </c>
      <c r="GB4" s="26" t="str">
        <f t="shared" si="19"/>
        <v>0000010001011100</v>
      </c>
      <c r="GC4" s="77">
        <f>MID(GA4,16,1)*POWER(2,0)+MID(GA4,15,1)*POWER(2,1)+MID(GA4,14,1)*POWER(2,2)+MID(GA4,13,1)*POWER(2,3)+MID(GA4,12,1)*POWER(2,4)+MID(GA4,11,1)*POWER(2,5)+MID(GA4,10,1)*POWER(2,6)+MID(GA4,9,1)*POWER(2,7)+MID(GA4,8,1)*POWER(2,8)+MID(GA4,7,1)*POWER(2,9)+MID(GA4,6,1)*POWER(2,10)+MID(GA4,5,1)*POWER(2,11)+MID(GA4,4,1)*POWER(2,12)+MID(GA4,3,1)*POWER(2,13)+MID(GA4,2,1)*POWER(2,14)+MID(GA4,1,1)*POWER(2,15)-(MID(GA5,16,1)*POWER(2,0)+MID(GA5,15,1)*POWER(2,1)+MID(GA5,14,1)*POWER(2,2)+MID(GA5,13,1)*POWER(2,3)+MID(GA5,12,1)*POWER(2,4)+MID(GA5,11,1)*POWER(2,5)+MID(GA5,10,1)*POWER(2,6)+MID(GA5,9,1)*POWER(2,7)+MID(GA5,8,1)*POWER(2,8)+MID(GA5,7,1)*POWER(2,9)+MID(GA5,6,1)*POWER(2,10)+MID(GA5,5,1)*POWER(2,11)+MID(GA5,4,1)*POWER(2,12)+MID(GA5,3,1)*POWER(2,13)+MID(GA5,2,1)*POWER(2,14)+MID(GA5,1,1)*POWER(2,15))</f>
        <v>3426</v>
      </c>
      <c r="GD4" s="77">
        <f>MID(GB4,16,1)*POWER(2,0)+MID(GB4,15,1)*POWER(2,1)+MID(GB4,14,1)*POWER(2,2)+MID(GB4,13,1)*POWER(2,3)+MID(GB4,12,1)*POWER(2,4)+MID(GB4,11,1)*POWER(2,5)+MID(GB4,10,1)*POWER(2,6)+MID(GB4,9,1)*POWER(2,7)+MID(GB4,8,1)*POWER(2,8)+MID(GB4,7,1)*POWER(2,9)+MID(GB4,6,1)*POWER(2,10)+MID(GB4,5,1)*POWER(2,11)+MID(GB4,4,1)*POWER(2,12)+MID(GB4,3,1)*POWER(2,13)+MID(GB4,2,1)*POWER(2,14)+MID(GB4,1,1)*POWER(2,15)-(MID(GB5,16,1)*POWER(2,0)+MID(GB5,15,1)*POWER(2,1)+MID(GB5,14,1)*POWER(2,2)+MID(GB5,13,1)*POWER(2,3)+MID(GB5,12,1)*POWER(2,4)+MID(GB5,11,1)*POWER(2,5)+MID(GB5,10,1)*POWER(2,6)+MID(GB5,9,1)*POWER(2,7)+MID(GB5,8,1)*POWER(2,8)+MID(GB5,7,1)*POWER(2,9)+MID(GB5,6,1)*POWER(2,10)+MID(GB5,5,1)*POWER(2,11)+MID(GB5,4,1)*POWER(2,12)+MID(GB5,3,1)*POWER(2,13)+MID(GB5,2,1)*POWER(2,14)+MID(GB5,1,1)*POWER(2,15))</f>
        <v>1116</v>
      </c>
      <c r="GE4" s="47" t="str">
        <f>CU4</f>
        <v>00000100000000000000010001000100</v>
      </c>
      <c r="GF4" s="26" t="str">
        <f t="shared" ref="GF4:GF41" si="126">MID(GE4,1,8)</f>
        <v>00000100</v>
      </c>
      <c r="GG4" s="26" t="str">
        <f t="shared" si="96"/>
        <v>00000000</v>
      </c>
      <c r="GH4" s="26" t="str">
        <f t="shared" si="97"/>
        <v>00000100</v>
      </c>
      <c r="GI4" s="26" t="str">
        <f t="shared" si="98"/>
        <v>01000100</v>
      </c>
      <c r="GJ4" s="77">
        <f>BIN2DEC(GF4)-BIN2DEC(GF5)</f>
        <v>3</v>
      </c>
      <c r="GK4" s="77">
        <f>BIN2DEC(GG4)-BIN2DEC(GG5)</f>
        <v>-35</v>
      </c>
      <c r="GL4" s="77">
        <f>BIN2DEC(GH4)-BIN2DEC(GH5)</f>
        <v>3</v>
      </c>
      <c r="GM4" s="77">
        <f>BIN2DEC(GI4)-BIN2DEC(GI5)</f>
        <v>68</v>
      </c>
      <c r="GN4" s="27" t="str">
        <f t="shared" si="99"/>
        <v>0000</v>
      </c>
      <c r="GO4" s="27" t="str">
        <f t="shared" si="100"/>
        <v>1101</v>
      </c>
      <c r="GP4" s="27" t="str">
        <f t="shared" si="101"/>
        <v>1000</v>
      </c>
      <c r="GQ4" s="27" t="str">
        <f t="shared" si="102"/>
        <v>0010</v>
      </c>
      <c r="GR4" s="27" t="str">
        <f t="shared" si="103"/>
        <v>0000</v>
      </c>
      <c r="GS4" s="27" t="str">
        <f t="shared" si="104"/>
        <v>0100</v>
      </c>
      <c r="GT4" s="27" t="str">
        <f t="shared" si="105"/>
        <v>0101</v>
      </c>
      <c r="GU4" s="27" t="str">
        <f t="shared" si="106"/>
        <v>1100</v>
      </c>
      <c r="GV4" s="77">
        <f>BIN2DEC(GN4)-BIN2DEC(GN5)</f>
        <v>-9</v>
      </c>
      <c r="GW4" s="77">
        <f t="shared" ref="GW4:HB4" si="127">BIN2DEC(GO4)-BIN2DEC(GO5)</f>
        <v>0</v>
      </c>
      <c r="GX4" s="77">
        <f t="shared" si="127"/>
        <v>-2</v>
      </c>
      <c r="GY4" s="77">
        <f t="shared" si="127"/>
        <v>-13</v>
      </c>
      <c r="GZ4" s="77">
        <f t="shared" si="127"/>
        <v>-12</v>
      </c>
      <c r="HA4" s="77">
        <f t="shared" si="127"/>
        <v>-9</v>
      </c>
      <c r="HB4" s="77">
        <f t="shared" si="127"/>
        <v>-7</v>
      </c>
      <c r="HC4" s="77">
        <f>BIN2DEC(GU4)-BIN2DEC(GU5)</f>
        <v>12</v>
      </c>
      <c r="HD4" s="26" t="str">
        <f t="shared" si="21"/>
        <v>0000010000000000</v>
      </c>
      <c r="HE4" s="26" t="str">
        <f t="shared" si="22"/>
        <v>0000010001000100</v>
      </c>
      <c r="HF4" s="77">
        <f>MID(HD4,16,1)*POWER(2,0)+MID(HD4,15,1)*POWER(2,1)+MID(HD4,14,1)*POWER(2,2)+MID(HD4,13,1)*POWER(2,3)+MID(HD4,12,1)*POWER(2,4)+MID(HD4,11,1)*POWER(2,5)+MID(HD4,10,1)*POWER(2,6)+MID(HD4,9,1)*POWER(2,7)+MID(HD4,8,1)*POWER(2,8)+MID(HD4,7,1)*POWER(2,9)+MID(HD4,6,1)*POWER(2,10)+MID(HD4,5,1)*POWER(2,11)+MID(HD4,4,1)*POWER(2,12)+MID(HD4,3,1)*POWER(2,13)+MID(HD4,2,1)*POWER(2,14)+MID(HD4,1,1)*POWER(2,15)-(MID(HD5,16,1)*POWER(2,0)+MID(HD5,15,1)*POWER(2,1)+MID(HD5,14,1)*POWER(2,2)+MID(HD5,13,1)*POWER(2,3)+MID(HD5,12,1)*POWER(2,4)+MID(HD5,11,1)*POWER(2,5)+MID(HD5,10,1)*POWER(2,6)+MID(HD5,9,1)*POWER(2,7)+MID(HD5,8,1)*POWER(2,8)+MID(HD5,7,1)*POWER(2,9)+MID(HD5,6,1)*POWER(2,10)+MID(HD5,5,1)*POWER(2,11)+MID(HD5,4,1)*POWER(2,12)+MID(HD5,3,1)*POWER(2,13)+MID(HD5,2,1)*POWER(2,14)+MID(HD5,1,1)*POWER(2,15))</f>
        <v>733</v>
      </c>
      <c r="HG4" s="77">
        <f>MID(HE4,16,1)*POWER(2,0)+MID(HE4,15,1)*POWER(2,1)+MID(HE4,14,1)*POWER(2,2)+MID(HE4,13,1)*POWER(2,3)+MID(HE4,12,1)*POWER(2,4)+MID(HE4,11,1)*POWER(2,5)+MID(HE4,10,1)*POWER(2,6)+MID(HE4,9,1)*POWER(2,7)+MID(HE4,8,1)*POWER(2,8)+MID(HE4,7,1)*POWER(2,9)+MID(HE4,6,1)*POWER(2,10)+MID(HE4,5,1)*POWER(2,11)+MID(HE4,4,1)*POWER(2,12)+MID(HE4,3,1)*POWER(2,13)+MID(HE4,2,1)*POWER(2,14)+MID(HE4,1,1)*POWER(2,15)-(MID(HE5,16,1)*POWER(2,0)+MID(HE5,15,1)*POWER(2,1)+MID(HE5,14,1)*POWER(2,2)+MID(HE5,13,1)*POWER(2,3)+MID(HE5,12,1)*POWER(2,4)+MID(HE5,11,1)*POWER(2,5)+MID(HE5,10,1)*POWER(2,6)+MID(HE5,9,1)*POWER(2,7)+MID(HE5,8,1)*POWER(2,8)+MID(HE5,7,1)*POWER(2,9)+MID(HE5,6,1)*POWER(2,10)+MID(HE5,5,1)*POWER(2,11)+MID(HE5,4,1)*POWER(2,12)+MID(HE5,3,1)*POWER(2,13)+MID(HE5,2,1)*POWER(2,14)+MID(HE5,1,1)*POWER(2,15))</f>
        <v>836</v>
      </c>
      <c r="HH4" s="45" t="str">
        <f>GE4</f>
        <v>00000100000000000000010001000100</v>
      </c>
      <c r="HI4" s="26" t="str">
        <f t="shared" ref="HI4:HI41" si="128">MID(HH4,1,8)</f>
        <v>00000100</v>
      </c>
      <c r="HJ4" s="26" t="str">
        <f t="shared" si="107"/>
        <v>00000000</v>
      </c>
      <c r="HK4" s="26" t="str">
        <f t="shared" si="108"/>
        <v>00000100</v>
      </c>
      <c r="HL4" s="26" t="str">
        <f t="shared" si="109"/>
        <v>01000100</v>
      </c>
      <c r="HM4" s="77">
        <f>BIN2DEC(HI4)-BIN2DEC(HI5)</f>
        <v>4</v>
      </c>
      <c r="HN4" s="77">
        <f>BIN2DEC(HJ4)-BIN2DEC(HJ5)</f>
        <v>-32</v>
      </c>
      <c r="HO4" s="77">
        <f>BIN2DEC(HK4)-BIN2DEC(HK5)</f>
        <v>4</v>
      </c>
      <c r="HP4" s="77">
        <f>BIN2DEC(HL4)-BIN2DEC(HL5)</f>
        <v>68</v>
      </c>
      <c r="HQ4" s="27" t="str">
        <f t="shared" si="110"/>
        <v>0000</v>
      </c>
      <c r="HR4" s="27" t="str">
        <f t="shared" si="111"/>
        <v>1101</v>
      </c>
      <c r="HS4" s="27" t="str">
        <f t="shared" si="112"/>
        <v>1000</v>
      </c>
      <c r="HT4" s="27" t="str">
        <f t="shared" si="113"/>
        <v>0010</v>
      </c>
      <c r="HU4" s="27" t="str">
        <f t="shared" si="114"/>
        <v>0000</v>
      </c>
      <c r="HV4" s="27" t="str">
        <f t="shared" si="115"/>
        <v>0100</v>
      </c>
      <c r="HW4" s="27" t="str">
        <f t="shared" si="116"/>
        <v>0101</v>
      </c>
      <c r="HX4" s="27" t="str">
        <f t="shared" si="117"/>
        <v>1100</v>
      </c>
      <c r="HY4" s="77">
        <f>BIN2DEC(HQ4)-BIN2DEC(HQ5)</f>
        <v>-9</v>
      </c>
      <c r="HZ4" s="77">
        <f t="shared" ref="HZ4:IE4" si="129">BIN2DEC(HR4)-BIN2DEC(HR5)</f>
        <v>0</v>
      </c>
      <c r="IA4" s="77">
        <f t="shared" si="129"/>
        <v>-2</v>
      </c>
      <c r="IB4" s="77">
        <f t="shared" si="129"/>
        <v>-13</v>
      </c>
      <c r="IC4" s="77">
        <f t="shared" si="129"/>
        <v>-12</v>
      </c>
      <c r="ID4" s="77">
        <f t="shared" si="129"/>
        <v>-9</v>
      </c>
      <c r="IE4" s="77">
        <f t="shared" si="129"/>
        <v>-7</v>
      </c>
      <c r="IF4" s="77">
        <f>BIN2DEC(HX4)-BIN2DEC(HX5)</f>
        <v>12</v>
      </c>
      <c r="IG4" s="26" t="str">
        <f t="shared" si="24"/>
        <v>0000010000000000</v>
      </c>
      <c r="IH4" s="26" t="str">
        <f t="shared" si="25"/>
        <v>0000010001000100</v>
      </c>
      <c r="II4" s="77">
        <f>MID(IG4,16,1)*POWER(2,0)+MID(IG4,15,1)*POWER(2,1)+MID(IG4,14,1)*POWER(2,2)+MID(IG4,13,1)*POWER(2,3)+MID(IG4,12,1)*POWER(2,4)+MID(IG4,11,1)*POWER(2,5)+MID(IG4,10,1)*POWER(2,6)+MID(IG4,9,1)*POWER(2,7)+MID(IG4,8,1)*POWER(2,8)+MID(IG4,7,1)*POWER(2,9)+MID(IG4,6,1)*POWER(2,10)+MID(IG4,5,1)*POWER(2,11)+MID(IG4,4,1)*POWER(2,12)+MID(IG4,3,1)*POWER(2,13)+MID(IG4,2,1)*POWER(2,14)+MID(IG4,1,1)*POWER(2,15)-(MID(IG5,16,1)*POWER(2,0)+MID(IG5,15,1)*POWER(2,1)+MID(IG5,14,1)*POWER(2,2)+MID(IG5,13,1)*POWER(2,3)+MID(IG5,12,1)*POWER(2,4)+MID(IG5,11,1)*POWER(2,5)+MID(IG5,10,1)*POWER(2,6)+MID(IG5,9,1)*POWER(2,7)+MID(IG5,8,1)*POWER(2,8)+MID(IG5,7,1)*POWER(2,9)+MID(IG5,6,1)*POWER(2,10)+MID(IG5,5,1)*POWER(2,11)+MID(IG5,4,1)*POWER(2,12)+MID(IG5,3,1)*POWER(2,13)+MID(IG5,2,1)*POWER(2,14)+MID(IG5,1,1)*POWER(2,15))</f>
        <v>992</v>
      </c>
      <c r="IJ4" s="77">
        <f>MID(IH4,16,1)*POWER(2,0)+MID(IH4,15,1)*POWER(2,1)+MID(IH4,14,1)*POWER(2,2)+MID(IH4,13,1)*POWER(2,3)+MID(IH4,12,1)*POWER(2,4)+MID(IH4,11,1)*POWER(2,5)+MID(IH4,10,1)*POWER(2,6)+MID(IH4,9,1)*POWER(2,7)+MID(IH4,8,1)*POWER(2,8)+MID(IH4,7,1)*POWER(2,9)+MID(IH4,6,1)*POWER(2,10)+MID(IH4,5,1)*POWER(2,11)+MID(IH4,4,1)*POWER(2,12)+MID(IH4,3,1)*POWER(2,13)+MID(IH4,2,1)*POWER(2,14)+MID(IH4,1,1)*POWER(2,15)-(MID(IH5,16,1)*POWER(2,0)+MID(IH5,15,1)*POWER(2,1)+MID(IH5,14,1)*POWER(2,2)+MID(IH5,13,1)*POWER(2,3)+MID(IH5,12,1)*POWER(2,4)+MID(IH5,11,1)*POWER(2,5)+MID(IH5,10,1)*POWER(2,6)+MID(IH5,9,1)*POWER(2,7)+MID(IH5,8,1)*POWER(2,8)+MID(IH5,7,1)*POWER(2,9)+MID(IH5,6,1)*POWER(2,10)+MID(IH5,5,1)*POWER(2,11)+MID(IH5,4,1)*POWER(2,12)+MID(IH5,3,1)*POWER(2,13)+MID(IH5,2,1)*POWER(2,14)+MID(IH5,1,1)*POWER(2,15))</f>
        <v>1092</v>
      </c>
      <c r="IL4" s="26"/>
      <c r="IM4" s="26"/>
      <c r="IN4" s="26"/>
      <c r="IO4" s="26"/>
      <c r="IP4" s="22"/>
      <c r="IQ4" s="22"/>
      <c r="IR4" s="22"/>
      <c r="IS4" s="22"/>
      <c r="JB4" s="22"/>
      <c r="JC4" s="22"/>
      <c r="JD4" s="22"/>
      <c r="JE4" s="22"/>
      <c r="JF4" s="22"/>
      <c r="JG4" s="22"/>
      <c r="JH4" s="22"/>
      <c r="JI4" s="22"/>
      <c r="JJ4" s="26"/>
      <c r="JK4" s="26"/>
      <c r="JL4" s="22"/>
      <c r="JM4" s="22"/>
    </row>
    <row r="5" spans="1:273" s="31" customFormat="1" ht="18.600000000000001" thickBot="1" x14ac:dyDescent="0.4">
      <c r="A5" s="28"/>
      <c r="B5" s="29"/>
      <c r="C5" s="21" t="s">
        <v>6</v>
      </c>
      <c r="D5" s="21">
        <v>19</v>
      </c>
      <c r="E5" s="21" t="s">
        <v>11</v>
      </c>
      <c r="F5" s="21" t="s">
        <v>62</v>
      </c>
      <c r="G5" s="21" t="s">
        <v>24</v>
      </c>
      <c r="H5" s="21" t="str">
        <f t="shared" si="0"/>
        <v>00011001101110001111001110110101</v>
      </c>
      <c r="I5" s="21">
        <f t="shared" si="1"/>
        <v>18</v>
      </c>
      <c r="J5" s="21"/>
      <c r="K5" s="21"/>
      <c r="L5" s="44" t="str">
        <f>CONCATENATE(MID(H5,20,5),MID(H5,9,3),MID(H5,28,5),MID(H5,17,3),MID(H5,4,5),MID(H5,25,3),MID(H5,12,5),MID(H5,1,3))</f>
        <v>10011101101011111100110111000000</v>
      </c>
      <c r="M5" s="30" t="str">
        <f t="shared" si="26"/>
        <v>10011101</v>
      </c>
      <c r="N5" s="30" t="str">
        <f t="shared" si="27"/>
        <v>10101111</v>
      </c>
      <c r="O5" s="30" t="str">
        <f t="shared" si="28"/>
        <v>11001101</v>
      </c>
      <c r="P5" s="30" t="str">
        <f t="shared" si="29"/>
        <v>11000000</v>
      </c>
      <c r="Q5" s="78"/>
      <c r="R5" s="78"/>
      <c r="S5" s="78"/>
      <c r="T5" s="78"/>
      <c r="U5" s="31" t="str">
        <f t="shared" si="30"/>
        <v>1001</v>
      </c>
      <c r="V5" s="31" t="str">
        <f t="shared" si="31"/>
        <v>1101</v>
      </c>
      <c r="W5" s="31" t="str">
        <f t="shared" si="32"/>
        <v>1010</v>
      </c>
      <c r="X5" s="31" t="str">
        <f t="shared" si="33"/>
        <v>1111</v>
      </c>
      <c r="Y5" s="31" t="str">
        <f t="shared" si="34"/>
        <v>1100</v>
      </c>
      <c r="Z5" s="31" t="str">
        <f t="shared" si="35"/>
        <v>1101</v>
      </c>
      <c r="AA5" s="31" t="str">
        <f t="shared" si="36"/>
        <v>1100</v>
      </c>
      <c r="AB5" s="31" t="str">
        <f t="shared" si="37"/>
        <v>0000</v>
      </c>
      <c r="AC5" s="78"/>
      <c r="AD5" s="78"/>
      <c r="AE5" s="78"/>
      <c r="AF5" s="78"/>
      <c r="AG5" s="78"/>
      <c r="AH5" s="78"/>
      <c r="AI5" s="78"/>
      <c r="AJ5" s="78"/>
      <c r="AK5" s="30" t="str">
        <f t="shared" si="3"/>
        <v>1001110110101111</v>
      </c>
      <c r="AL5" s="30" t="str">
        <f t="shared" si="4"/>
        <v>1100110111000000</v>
      </c>
      <c r="AM5" s="78"/>
      <c r="AN5" s="78"/>
      <c r="AO5" s="46" t="str">
        <f>CONCATENATE(MID($L5,1,1)*MID($K4,1,1),MID($L5,2,1)*MID($K4,2,1),MID($L5,3,1)*MID($K4,3,1),MID($L5,4,1)*MID($K4,4,1),MID($L5,5,1)*MID($K4,5,1),MID($L5,6,1)*MID($K4,6,1),MID($L5,7,1)*MID($K4,7,1),MID($L5,8,1)*MID($K4,8,1),MID($L5,9,1)*MID($K4,1,1),MID($L5,10,1)*MID($K4,2,1),MID($L5,11,1)*MID($K4,3,1),MID($L5,12,1)*MID($K4,4,1),MID($L5,13,1)*MID($K4,5,1),MID($L5,14,1)*MID($K4,6,1),MID($L5,15,1)*MID($K4,7,1),MID($L5,16,1)*MID($K4,8,1),MID($L5,17,1)*MID($K4,1,1),MID($L5,18,1)*MID($K4,2,1),MID($L5,19,1)*MID($K4,3,1),MID($L5,20,1)*MID($K4,4,1),MID($L5,21,1)*MID($K4,5,1),MID($L5,22,1)*MID($K4,6,1),MID($L5,23,1)*MID($K4,7,1),MID($L5,24,1)*MID($K4,8,1),MID($L5,25,1)*MID($K4,1,1),MID($L5,26,1)*MID($K4,2,1),MID($L5,27,1)*MID($K4,3,1),MID($L5,28,1)*MID($K4,4,1),MID($L5,29,1)*MID($K4,5,1),MID($L5,30,1)*MID($K4,6,1),MID($L5,31,1)*MID($K4,7,1),MID($L5,32,1)*MID($K4,8,1))</f>
        <v>00000100001001000100010001000000</v>
      </c>
      <c r="AP5" s="30" t="str">
        <f t="shared" si="38"/>
        <v>00000100</v>
      </c>
      <c r="AQ5" s="30" t="str">
        <f t="shared" si="39"/>
        <v>00100100</v>
      </c>
      <c r="AR5" s="30" t="str">
        <f t="shared" si="40"/>
        <v>01000100</v>
      </c>
      <c r="AS5" s="30" t="str">
        <f t="shared" si="41"/>
        <v>01000000</v>
      </c>
      <c r="AT5" s="78"/>
      <c r="AU5" s="78"/>
      <c r="AV5" s="78"/>
      <c r="AW5" s="78"/>
      <c r="AX5" s="31" t="str">
        <f t="shared" si="42"/>
        <v>1001</v>
      </c>
      <c r="AY5" s="31" t="str">
        <f t="shared" si="43"/>
        <v>1101</v>
      </c>
      <c r="AZ5" s="31" t="str">
        <f t="shared" si="44"/>
        <v>1010</v>
      </c>
      <c r="BA5" s="31" t="str">
        <f t="shared" si="45"/>
        <v>1111</v>
      </c>
      <c r="BB5" s="31" t="str">
        <f t="shared" si="46"/>
        <v>1100</v>
      </c>
      <c r="BC5" s="31" t="str">
        <f t="shared" si="47"/>
        <v>1101</v>
      </c>
      <c r="BD5" s="31" t="str">
        <f t="shared" si="48"/>
        <v>1100</v>
      </c>
      <c r="BE5" s="31" t="str">
        <f t="shared" si="49"/>
        <v>0000</v>
      </c>
      <c r="BF5" s="78"/>
      <c r="BG5" s="78"/>
      <c r="BH5" s="78"/>
      <c r="BI5" s="78"/>
      <c r="BJ5" s="78"/>
      <c r="BK5" s="78"/>
      <c r="BL5" s="78"/>
      <c r="BM5" s="78"/>
      <c r="BN5" s="30" t="str">
        <f t="shared" si="6"/>
        <v>0000010000100100</v>
      </c>
      <c r="BO5" s="30" t="str">
        <f t="shared" si="7"/>
        <v>0100010001000000</v>
      </c>
      <c r="BP5" s="78"/>
      <c r="BQ5" s="78"/>
      <c r="BR5" s="46" t="str">
        <f>L5</f>
        <v>10011101101011111100110111000000</v>
      </c>
      <c r="BS5" s="30" t="str">
        <f t="shared" si="50"/>
        <v>10011101</v>
      </c>
      <c r="BT5" s="30" t="str">
        <f t="shared" si="51"/>
        <v>10101111</v>
      </c>
      <c r="BU5" s="30" t="str">
        <f t="shared" si="52"/>
        <v>11001101</v>
      </c>
      <c r="BV5" s="30" t="str">
        <f t="shared" si="53"/>
        <v>11000000</v>
      </c>
      <c r="BW5" s="78"/>
      <c r="BX5" s="78"/>
      <c r="BY5" s="78"/>
      <c r="BZ5" s="78"/>
      <c r="CA5" s="31" t="str">
        <f t="shared" si="54"/>
        <v>1001</v>
      </c>
      <c r="CB5" s="31" t="str">
        <f t="shared" si="55"/>
        <v>1101</v>
      </c>
      <c r="CC5" s="31" t="str">
        <f t="shared" si="56"/>
        <v>1010</v>
      </c>
      <c r="CD5" s="31" t="str">
        <f t="shared" si="57"/>
        <v>1111</v>
      </c>
      <c r="CE5" s="31" t="str">
        <f t="shared" si="58"/>
        <v>1100</v>
      </c>
      <c r="CF5" s="31" t="str">
        <f t="shared" si="59"/>
        <v>1101</v>
      </c>
      <c r="CG5" s="31" t="str">
        <f t="shared" si="60"/>
        <v>1100</v>
      </c>
      <c r="CH5" s="31" t="str">
        <f t="shared" si="61"/>
        <v>0000</v>
      </c>
      <c r="CI5" s="78"/>
      <c r="CJ5" s="78"/>
      <c r="CK5" s="78"/>
      <c r="CL5" s="78"/>
      <c r="CM5" s="78"/>
      <c r="CN5" s="78"/>
      <c r="CO5" s="78"/>
      <c r="CP5" s="78"/>
      <c r="CQ5" s="30" t="str">
        <f t="shared" si="9"/>
        <v>1001110110101111</v>
      </c>
      <c r="CR5" s="30" t="str">
        <f t="shared" si="10"/>
        <v>1100110111000000</v>
      </c>
      <c r="CS5" s="78"/>
      <c r="CT5" s="78"/>
      <c r="CU5" s="46" t="str">
        <f>AO5</f>
        <v>00000100001001000100010001000000</v>
      </c>
      <c r="CV5" s="30" t="str">
        <f t="shared" si="62"/>
        <v>00000100</v>
      </c>
      <c r="CW5" s="30" t="str">
        <f t="shared" si="63"/>
        <v>00100100</v>
      </c>
      <c r="CX5" s="30" t="str">
        <f t="shared" si="64"/>
        <v>01000100</v>
      </c>
      <c r="CY5" s="30" t="str">
        <f t="shared" si="65"/>
        <v>01000000</v>
      </c>
      <c r="CZ5" s="78"/>
      <c r="DA5" s="78"/>
      <c r="DB5" s="78"/>
      <c r="DC5" s="78"/>
      <c r="DD5" s="31" t="str">
        <f t="shared" si="66"/>
        <v>1001</v>
      </c>
      <c r="DE5" s="31" t="str">
        <f t="shared" si="67"/>
        <v>1101</v>
      </c>
      <c r="DF5" s="31" t="str">
        <f t="shared" si="68"/>
        <v>1010</v>
      </c>
      <c r="DG5" s="31" t="str">
        <f t="shared" si="69"/>
        <v>1111</v>
      </c>
      <c r="DH5" s="31" t="str">
        <f t="shared" si="70"/>
        <v>1100</v>
      </c>
      <c r="DI5" s="31" t="str">
        <f t="shared" si="71"/>
        <v>1101</v>
      </c>
      <c r="DJ5" s="31" t="str">
        <f t="shared" si="72"/>
        <v>1100</v>
      </c>
      <c r="DK5" s="31" t="str">
        <f t="shared" si="73"/>
        <v>0000</v>
      </c>
      <c r="DL5" s="78"/>
      <c r="DM5" s="78"/>
      <c r="DN5" s="78"/>
      <c r="DO5" s="78"/>
      <c r="DP5" s="78"/>
      <c r="DQ5" s="78"/>
      <c r="DR5" s="78"/>
      <c r="DS5" s="78"/>
      <c r="DT5" s="30" t="str">
        <f t="shared" si="12"/>
        <v>0000010000100100</v>
      </c>
      <c r="DU5" s="30" t="str">
        <f t="shared" si="13"/>
        <v>0100010001000000</v>
      </c>
      <c r="DV5" s="78"/>
      <c r="DW5" s="78"/>
      <c r="DX5" s="23" t="str">
        <f>CONCATENATE(MID($H5,1,1)*MID($K4,1,1),MID($H5,2,1)*MID($K4,2,1),MID($H5,3,1)*MID($K4,3,1),MID($H5,4,1)*MID($K4,4,1),MID($H5,5,1)*MID($K4,5,1),MID($H5,6,1)*MID($K4,6,1),MID($H5,7,1)*MID($K4,7,1),MID($H5,8,1)*MID($K4,8,1),MID($H5,9,1)*MID($K4,1,1),MID($H5,10,1)*MID($K4,2,1),MID($H5,11,1)*MID($K4,3,1),MID($H5,12,1)*MID($K4,4,1),MID($H5,13,1)*MID($K4,5,1),MID($H5,14,1)*MID($K4,6,1),MID($H5,15,1)*MID($K4,7,1),MID($H5,16,1)*MID($K4,8,1),MID($H5,17,1)*MID($K4,1,1),MID($H5,18,1)*MID($K4,2,1),MID($H5,19,1)*MID($K4,3,1),MID($H5,20,1)*MID($K4,4,1),MID($H5,21,1)*MID($K4,5,1),MID($H5,22,1)*MID($K4,6,1),MID($H5,23,1)*MID($K4,7,1),MID($H5,24,1)*MID($K4,8,1),MID($H5,25,1)*MID($K4,1,1),MID($H5,26,1)*MID($K4,2,1),MID($H5,27,1)*MID($K4,3,1),MID($H5,28,1)*MID($K4,4,1),MID($H5,29,1)*MID($K4,5,1),MID($H5,30,1)*MID($K4,6,1),MID($H5,31,1)*MID($K4,7,1),MID($H5,32,1)*MID($K4,8,1))</f>
        <v>00000000001000000110000000100100</v>
      </c>
      <c r="DY5" s="44" t="str">
        <f>CONCATENATE(MID(DX5,20,5),MID(DX5,9,3),MID(DX5,28,5),MID(DX5,17,3),MID(DX5,4,5),MID(DX5,25,3),MID(DX5,12,5),MID(DX5,1,3))</f>
        <v>00000001001000110000000100000000</v>
      </c>
      <c r="DZ5" s="30" t="str">
        <f t="shared" si="122"/>
        <v>00000001</v>
      </c>
      <c r="EA5" s="30" t="str">
        <f t="shared" si="74"/>
        <v>00100011</v>
      </c>
      <c r="EB5" s="30" t="str">
        <f t="shared" si="75"/>
        <v>00000001</v>
      </c>
      <c r="EC5" s="30" t="str">
        <f t="shared" si="76"/>
        <v>00000000</v>
      </c>
      <c r="ED5" s="78"/>
      <c r="EE5" s="78"/>
      <c r="EF5" s="78"/>
      <c r="EG5" s="78"/>
      <c r="EH5" s="31" t="str">
        <f t="shared" si="77"/>
        <v>1001</v>
      </c>
      <c r="EI5" s="31" t="str">
        <f t="shared" si="78"/>
        <v>1101</v>
      </c>
      <c r="EJ5" s="31" t="str">
        <f t="shared" si="79"/>
        <v>1010</v>
      </c>
      <c r="EK5" s="31" t="str">
        <f t="shared" si="80"/>
        <v>1111</v>
      </c>
      <c r="EL5" s="31" t="str">
        <f t="shared" si="81"/>
        <v>1100</v>
      </c>
      <c r="EM5" s="31" t="str">
        <f t="shared" si="82"/>
        <v>1101</v>
      </c>
      <c r="EN5" s="31" t="str">
        <f t="shared" si="83"/>
        <v>1100</v>
      </c>
      <c r="EO5" s="31" t="str">
        <f t="shared" si="84"/>
        <v>0000</v>
      </c>
      <c r="EP5" s="78"/>
      <c r="EQ5" s="78"/>
      <c r="ER5" s="78"/>
      <c r="ES5" s="78"/>
      <c r="ET5" s="78"/>
      <c r="EU5" s="78"/>
      <c r="EV5" s="78"/>
      <c r="EW5" s="78"/>
      <c r="EX5" s="30" t="str">
        <f t="shared" si="15"/>
        <v>0000000100100011</v>
      </c>
      <c r="EY5" s="30" t="str">
        <f t="shared" si="16"/>
        <v>0000000100000000</v>
      </c>
      <c r="EZ5" s="78"/>
      <c r="FA5" s="78"/>
      <c r="FB5" s="46" t="str">
        <f>CONCATENATE(MID(DY5,1,1)*MID($K4,1,1),MID(DY5,2,1)*MID($K4,2,1),MID(DY5,3,1)*MID($K4,3,1),MID(DY5,4,1)*MID($K4,4,1),MID(DY5,5,1)*MID($K4,5,1),MID(DY5,6,1)*MID($K4,6,1),MID(DY5,7,1)*MID($K4,7,1),MID(DY5,8,1)*MID($K4,8,1),MID(DY5,9,1)*MID($K4,1,1),MID(DY5,10,1)*MID($K4,2,1),MID(DY5,11,1)*MID($K4,3,1),MID(DY5,12,1)*MID($K4,4,1),MID(DY5,13,1)*MID($K4,5,1),MID(DY5,14,1)*MID($K4,6,1),MID(DY5,15,1)*MID($K4,7,1),MID(DY5,16,1)*MID($K4,8,1),MID(DY5,17,1)*MID($K4,1,1),MID(DY5,18,1)*MID($K4,2,1),MID(DY5,19,1)*MID($K4,3,1),MID(DY5,20,1)*MID($K4,4,1),MID(DY5,21,1)*MID($K4,5,1),MID(DY5,22,1)*MID($K4,6,1),MID(DY5,23,1)*MID($K4,7,1),MID(DY5,24,1)*MID($K4,8,1),MID(DY5,25,1)*MID($K4,1,1),MID(DY5,26,1)*MID($K4,2,1),MID(DY5,27,1)*MID($K4,3,1),MID(DY5,28,1)*MID($K4,4,1),MID(DY5,29,1)*MID($K4,5,1),MID(DY5,30,1)*MID($K4,6,1),MID(DY5,31,1)*MID($K4,7,1),MID(DY5,32,1)*MID($K4,8,1))</f>
        <v>00000000001000000000000000000000</v>
      </c>
      <c r="FC5" s="30" t="str">
        <f t="shared" si="124"/>
        <v>00000000</v>
      </c>
      <c r="FD5" s="30" t="str">
        <f t="shared" si="85"/>
        <v>00100000</v>
      </c>
      <c r="FE5" s="30" t="str">
        <f t="shared" si="86"/>
        <v>00000000</v>
      </c>
      <c r="FF5" s="30" t="str">
        <f t="shared" si="87"/>
        <v>00000000</v>
      </c>
      <c r="FG5" s="78"/>
      <c r="FH5" s="78"/>
      <c r="FI5" s="78"/>
      <c r="FJ5" s="78"/>
      <c r="FK5" s="31" t="str">
        <f t="shared" si="88"/>
        <v>1001</v>
      </c>
      <c r="FL5" s="31" t="str">
        <f t="shared" si="89"/>
        <v>1101</v>
      </c>
      <c r="FM5" s="31" t="str">
        <f t="shared" si="90"/>
        <v>1010</v>
      </c>
      <c r="FN5" s="31" t="str">
        <f t="shared" si="91"/>
        <v>1111</v>
      </c>
      <c r="FO5" s="31" t="str">
        <f t="shared" si="92"/>
        <v>1100</v>
      </c>
      <c r="FP5" s="31" t="str">
        <f t="shared" si="93"/>
        <v>1101</v>
      </c>
      <c r="FQ5" s="31" t="str">
        <f t="shared" si="94"/>
        <v>1100</v>
      </c>
      <c r="FR5" s="31" t="str">
        <f t="shared" si="95"/>
        <v>0000</v>
      </c>
      <c r="FS5" s="78"/>
      <c r="FT5" s="78"/>
      <c r="FU5" s="78"/>
      <c r="FV5" s="78"/>
      <c r="FW5" s="78"/>
      <c r="FX5" s="78"/>
      <c r="FY5" s="78"/>
      <c r="FZ5" s="78"/>
      <c r="GA5" s="30" t="str">
        <f t="shared" si="18"/>
        <v>0000000000100000</v>
      </c>
      <c r="GB5" s="30" t="str">
        <f t="shared" si="19"/>
        <v>0000000000000000</v>
      </c>
      <c r="GC5" s="78"/>
      <c r="GD5" s="78"/>
      <c r="GE5" s="48" t="str">
        <f>DY5</f>
        <v>00000001001000110000000100000000</v>
      </c>
      <c r="GF5" s="30" t="str">
        <f t="shared" si="126"/>
        <v>00000001</v>
      </c>
      <c r="GG5" s="30" t="str">
        <f t="shared" si="96"/>
        <v>00100011</v>
      </c>
      <c r="GH5" s="30" t="str">
        <f t="shared" si="97"/>
        <v>00000001</v>
      </c>
      <c r="GI5" s="30" t="str">
        <f t="shared" si="98"/>
        <v>00000000</v>
      </c>
      <c r="GJ5" s="78"/>
      <c r="GK5" s="78"/>
      <c r="GL5" s="78"/>
      <c r="GM5" s="78"/>
      <c r="GN5" s="31" t="str">
        <f t="shared" si="99"/>
        <v>1001</v>
      </c>
      <c r="GO5" s="31" t="str">
        <f t="shared" si="100"/>
        <v>1101</v>
      </c>
      <c r="GP5" s="31" t="str">
        <f t="shared" si="101"/>
        <v>1010</v>
      </c>
      <c r="GQ5" s="31" t="str">
        <f t="shared" si="102"/>
        <v>1111</v>
      </c>
      <c r="GR5" s="31" t="str">
        <f t="shared" si="103"/>
        <v>1100</v>
      </c>
      <c r="GS5" s="31" t="str">
        <f t="shared" si="104"/>
        <v>1101</v>
      </c>
      <c r="GT5" s="31" t="str">
        <f t="shared" si="105"/>
        <v>1100</v>
      </c>
      <c r="GU5" s="31" t="str">
        <f t="shared" si="106"/>
        <v>0000</v>
      </c>
      <c r="GV5" s="78"/>
      <c r="GW5" s="78"/>
      <c r="GX5" s="78"/>
      <c r="GY5" s="78"/>
      <c r="GZ5" s="78"/>
      <c r="HA5" s="78"/>
      <c r="HB5" s="78"/>
      <c r="HC5" s="78"/>
      <c r="HD5" s="30" t="str">
        <f t="shared" si="21"/>
        <v>0000000100100011</v>
      </c>
      <c r="HE5" s="30" t="str">
        <f t="shared" si="22"/>
        <v>0000000100000000</v>
      </c>
      <c r="HF5" s="78"/>
      <c r="HG5" s="78"/>
      <c r="HH5" s="48" t="str">
        <f>FB5</f>
        <v>00000000001000000000000000000000</v>
      </c>
      <c r="HI5" s="30" t="str">
        <f t="shared" si="128"/>
        <v>00000000</v>
      </c>
      <c r="HJ5" s="30" t="str">
        <f t="shared" si="107"/>
        <v>00100000</v>
      </c>
      <c r="HK5" s="30" t="str">
        <f t="shared" si="108"/>
        <v>00000000</v>
      </c>
      <c r="HL5" s="30" t="str">
        <f t="shared" si="109"/>
        <v>00000000</v>
      </c>
      <c r="HM5" s="78"/>
      <c r="HN5" s="78"/>
      <c r="HO5" s="78"/>
      <c r="HP5" s="78"/>
      <c r="HQ5" s="31" t="str">
        <f t="shared" si="110"/>
        <v>1001</v>
      </c>
      <c r="HR5" s="31" t="str">
        <f t="shared" si="111"/>
        <v>1101</v>
      </c>
      <c r="HS5" s="31" t="str">
        <f t="shared" si="112"/>
        <v>1010</v>
      </c>
      <c r="HT5" s="31" t="str">
        <f t="shared" si="113"/>
        <v>1111</v>
      </c>
      <c r="HU5" s="31" t="str">
        <f t="shared" si="114"/>
        <v>1100</v>
      </c>
      <c r="HV5" s="31" t="str">
        <f t="shared" si="115"/>
        <v>1101</v>
      </c>
      <c r="HW5" s="31" t="str">
        <f t="shared" si="116"/>
        <v>1100</v>
      </c>
      <c r="HX5" s="31" t="str">
        <f t="shared" si="117"/>
        <v>0000</v>
      </c>
      <c r="HY5" s="78"/>
      <c r="HZ5" s="78"/>
      <c r="IA5" s="78"/>
      <c r="IB5" s="78"/>
      <c r="IC5" s="78"/>
      <c r="ID5" s="78"/>
      <c r="IE5" s="78"/>
      <c r="IF5" s="78"/>
      <c r="IG5" s="30" t="str">
        <f t="shared" si="24"/>
        <v>0000000000100000</v>
      </c>
      <c r="IH5" s="30" t="str">
        <f t="shared" si="25"/>
        <v>0000000000000000</v>
      </c>
      <c r="II5" s="78"/>
      <c r="IJ5" s="78"/>
      <c r="IL5" s="30"/>
      <c r="IM5" s="30"/>
      <c r="IN5" s="30"/>
      <c r="IO5" s="30"/>
      <c r="IP5" s="23"/>
      <c r="IQ5" s="23"/>
      <c r="IR5" s="23"/>
      <c r="IS5" s="23"/>
      <c r="JB5" s="23"/>
      <c r="JC5" s="23"/>
      <c r="JD5" s="23"/>
      <c r="JE5" s="23"/>
      <c r="JF5" s="23"/>
      <c r="JG5" s="23"/>
      <c r="JH5" s="23"/>
      <c r="JI5" s="23"/>
      <c r="JJ5" s="30"/>
      <c r="JK5" s="30"/>
      <c r="JL5" s="23"/>
      <c r="JM5" s="23"/>
    </row>
    <row r="6" spans="1:273" s="27" customFormat="1" x14ac:dyDescent="0.35">
      <c r="A6" s="24"/>
      <c r="B6" s="25"/>
      <c r="C6" s="20" t="s">
        <v>0</v>
      </c>
      <c r="D6" s="20" t="s">
        <v>83</v>
      </c>
      <c r="E6" s="20" t="s">
        <v>48</v>
      </c>
      <c r="F6" s="20">
        <v>52</v>
      </c>
      <c r="G6" s="20" t="s">
        <v>105</v>
      </c>
      <c r="H6" s="20" t="str">
        <f>CONCATENATE(HEX2BIN(D6,8),HEX2BIN(E6,8),HEX2BIN(F6,8),HEX2BIN(G6,8))</f>
        <v>11100111110001010101001011101101</v>
      </c>
      <c r="I6" s="20">
        <f t="shared" si="1"/>
        <v>19</v>
      </c>
      <c r="J6" s="20">
        <v>64</v>
      </c>
      <c r="K6" s="20" t="str">
        <f>HEX2BIN(J6,8)</f>
        <v>01100100</v>
      </c>
      <c r="L6" s="43" t="str">
        <f>H6</f>
        <v>11100111110001010101001011101101</v>
      </c>
      <c r="M6" s="26" t="str">
        <f t="shared" si="26"/>
        <v>11100111</v>
      </c>
      <c r="N6" s="26" t="str">
        <f t="shared" si="27"/>
        <v>11000101</v>
      </c>
      <c r="O6" s="26" t="str">
        <f t="shared" si="28"/>
        <v>01010010</v>
      </c>
      <c r="P6" s="26" t="str">
        <f t="shared" si="29"/>
        <v>11101101</v>
      </c>
      <c r="Q6" s="77">
        <f>BIN2DEC(M6)-BIN2DEC(M7)</f>
        <v>112</v>
      </c>
      <c r="R6" s="77">
        <f>BIN2DEC(N6)-BIN2DEC(N7)</f>
        <v>-46</v>
      </c>
      <c r="S6" s="77">
        <f>BIN2DEC(O6)-BIN2DEC(O7)</f>
        <v>55</v>
      </c>
      <c r="T6" s="77">
        <f>BIN2DEC(P6)-BIN2DEC(P7)</f>
        <v>155</v>
      </c>
      <c r="U6" s="27" t="str">
        <f t="shared" si="30"/>
        <v>1110</v>
      </c>
      <c r="V6" s="27" t="str">
        <f t="shared" si="31"/>
        <v>0111</v>
      </c>
      <c r="W6" s="27" t="str">
        <f t="shared" si="32"/>
        <v>1100</v>
      </c>
      <c r="X6" s="27" t="str">
        <f t="shared" si="33"/>
        <v>0101</v>
      </c>
      <c r="Y6" s="27" t="str">
        <f t="shared" si="34"/>
        <v>0101</v>
      </c>
      <c r="Z6" s="27" t="str">
        <f t="shared" si="35"/>
        <v>0010</v>
      </c>
      <c r="AA6" s="27" t="str">
        <f t="shared" si="36"/>
        <v>1110</v>
      </c>
      <c r="AB6" s="27" t="str">
        <f t="shared" si="37"/>
        <v>1101</v>
      </c>
      <c r="AC6" s="77">
        <f>BIN2DEC(U6)-BIN2DEC(U7)</f>
        <v>7</v>
      </c>
      <c r="AD6" s="77">
        <f t="shared" ref="AD6:AI6" si="130">BIN2DEC(V6)-BIN2DEC(V7)</f>
        <v>0</v>
      </c>
      <c r="AE6" s="77">
        <f t="shared" si="130"/>
        <v>-3</v>
      </c>
      <c r="AF6" s="77">
        <f t="shared" si="130"/>
        <v>2</v>
      </c>
      <c r="AG6" s="77">
        <f t="shared" si="130"/>
        <v>4</v>
      </c>
      <c r="AH6" s="77">
        <f t="shared" si="130"/>
        <v>-9</v>
      </c>
      <c r="AI6" s="77">
        <f t="shared" si="130"/>
        <v>9</v>
      </c>
      <c r="AJ6" s="77">
        <f>BIN2DEC(AB6)-BIN2DEC(AB7)</f>
        <v>11</v>
      </c>
      <c r="AK6" s="26" t="str">
        <f t="shared" si="3"/>
        <v>1110011111000101</v>
      </c>
      <c r="AL6" s="26" t="str">
        <f t="shared" si="4"/>
        <v>0101001011101101</v>
      </c>
      <c r="AM6" s="77">
        <f>MID(AK6,16,1)*POWER(2,0)+MID(AK6,15,1)*POWER(2,1)+MID(AK6,14,1)*POWER(2,2)+MID(AK6,13,1)*POWER(2,3)+MID(AK6,12,1)*POWER(2,4)+MID(AK6,11,1)*POWER(2,5)+MID(AK6,10,1)*POWER(2,6)+MID(AK6,9,1)*POWER(2,7)+MID(AK6,8,1)*POWER(2,8)+MID(AK6,7,1)*POWER(2,9)+MID(AK6,6,1)*POWER(2,10)+MID(AK6,5,1)*POWER(2,11)+MID(AK6,4,1)*POWER(2,12)+MID(AK6,3,1)*POWER(2,13)+MID(AK6,2,1)*POWER(2,14)+MID(AK6,1,1)*POWER(2,15)-(MID(AK7,16,1)*POWER(2,0)+MID(AK7,15,1)*POWER(2,1)+MID(AK7,14,1)*POWER(2,2)+MID(AK7,13,1)*POWER(2,3)+MID(AK7,12,1)*POWER(2,4)+MID(AK7,11,1)*POWER(2,5)+MID(AK7,10,1)*POWER(2,6)+MID(AK7,9,1)*POWER(2,7)+MID(AK7,8,1)*POWER(2,8)+MID(AK7,7,1)*POWER(2,9)+MID(AK7,6,1)*POWER(2,10)+MID(AK7,5,1)*POWER(2,11)+MID(AK7,4,1)*POWER(2,12)+MID(AK7,3,1)*POWER(2,13)+MID(AK7,2,1)*POWER(2,14)+MID(AK7,1,1)*POWER(2,15))</f>
        <v>28626</v>
      </c>
      <c r="AN6" s="77">
        <f>MID(AL6,16,1)*POWER(2,0)+MID(AL6,15,1)*POWER(2,1)+MID(AL6,14,1)*POWER(2,2)+MID(AL6,13,1)*POWER(2,3)+MID(AL6,12,1)*POWER(2,4)+MID(AL6,11,1)*POWER(2,5)+MID(AL6,10,1)*POWER(2,6)+MID(AL6,9,1)*POWER(2,7)+MID(AL6,8,1)*POWER(2,8)+MID(AL6,7,1)*POWER(2,9)+MID(AL6,6,1)*POWER(2,10)+MID(AL6,5,1)*POWER(2,11)+MID(AL6,4,1)*POWER(2,12)+MID(AL6,3,1)*POWER(2,13)+MID(AL6,2,1)*POWER(2,14)+MID(AL6,1,1)*POWER(2,15)-(MID(AL7,16,1)*POWER(2,0)+MID(AL7,15,1)*POWER(2,1)+MID(AL7,14,1)*POWER(2,2)+MID(AL7,13,1)*POWER(2,3)+MID(AL7,12,1)*POWER(2,4)+MID(AL7,11,1)*POWER(2,5)+MID(AL7,10,1)*POWER(2,6)+MID(AL7,9,1)*POWER(2,7)+MID(AL7,8,1)*POWER(2,8)+MID(AL7,7,1)*POWER(2,9)+MID(AL7,6,1)*POWER(2,10)+MID(AL7,5,1)*POWER(2,11)+MID(AL7,4,1)*POWER(2,12)+MID(AL7,3,1)*POWER(2,13)+MID(AL7,2,1)*POWER(2,14)+MID(AL7,1,1)*POWER(2,15))</f>
        <v>14235</v>
      </c>
      <c r="AO6" s="45" t="str">
        <f>H6</f>
        <v>11100111110001010101001011101101</v>
      </c>
      <c r="AP6" s="26" t="str">
        <f t="shared" si="38"/>
        <v>11100111</v>
      </c>
      <c r="AQ6" s="26" t="str">
        <f t="shared" si="39"/>
        <v>11000101</v>
      </c>
      <c r="AR6" s="26" t="str">
        <f t="shared" si="40"/>
        <v>01010010</v>
      </c>
      <c r="AS6" s="26" t="str">
        <f t="shared" si="41"/>
        <v>11101101</v>
      </c>
      <c r="AT6" s="77">
        <f>BIN2DEC(AP6)-BIN2DEC(AP7)</f>
        <v>131</v>
      </c>
      <c r="AU6" s="77">
        <f>BIN2DEC(AQ6)-BIN2DEC(AQ7)</f>
        <v>101</v>
      </c>
      <c r="AV6" s="77">
        <f>BIN2DEC(AR6)-BIN2DEC(AR7)</f>
        <v>82</v>
      </c>
      <c r="AW6" s="77">
        <f>BIN2DEC(AS6)-BIN2DEC(AS7)</f>
        <v>173</v>
      </c>
      <c r="AX6" s="27" t="str">
        <f t="shared" si="42"/>
        <v>1110</v>
      </c>
      <c r="AY6" s="27" t="str">
        <f t="shared" si="43"/>
        <v>0111</v>
      </c>
      <c r="AZ6" s="27" t="str">
        <f t="shared" si="44"/>
        <v>1100</v>
      </c>
      <c r="BA6" s="27" t="str">
        <f t="shared" si="45"/>
        <v>0101</v>
      </c>
      <c r="BB6" s="27" t="str">
        <f t="shared" si="46"/>
        <v>0101</v>
      </c>
      <c r="BC6" s="27" t="str">
        <f t="shared" si="47"/>
        <v>0010</v>
      </c>
      <c r="BD6" s="27" t="str">
        <f t="shared" si="48"/>
        <v>1110</v>
      </c>
      <c r="BE6" s="27" t="str">
        <f t="shared" si="49"/>
        <v>1101</v>
      </c>
      <c r="BF6" s="77">
        <f>BIN2DEC(AX6)-BIN2DEC(AX7)</f>
        <v>7</v>
      </c>
      <c r="BG6" s="77">
        <f t="shared" ref="BG6:BL6" si="131">BIN2DEC(AY6)-BIN2DEC(AY7)</f>
        <v>0</v>
      </c>
      <c r="BH6" s="77">
        <f t="shared" si="131"/>
        <v>-3</v>
      </c>
      <c r="BI6" s="77">
        <f t="shared" si="131"/>
        <v>2</v>
      </c>
      <c r="BJ6" s="77">
        <f t="shared" si="131"/>
        <v>4</v>
      </c>
      <c r="BK6" s="77">
        <f t="shared" si="131"/>
        <v>-9</v>
      </c>
      <c r="BL6" s="77">
        <f t="shared" si="131"/>
        <v>9</v>
      </c>
      <c r="BM6" s="77">
        <f>BIN2DEC(BE6)-BIN2DEC(BE7)</f>
        <v>11</v>
      </c>
      <c r="BN6" s="26" t="str">
        <f t="shared" si="6"/>
        <v>1110011111000101</v>
      </c>
      <c r="BO6" s="26" t="str">
        <f t="shared" si="7"/>
        <v>0101001011101101</v>
      </c>
      <c r="BP6" s="77">
        <f>MID(BN6,16,1)*POWER(2,0)+MID(BN6,15,1)*POWER(2,1)+MID(BN6,14,1)*POWER(2,2)+MID(BN6,13,1)*POWER(2,3)+MID(BN6,12,1)*POWER(2,4)+MID(BN6,11,1)*POWER(2,5)+MID(BN6,10,1)*POWER(2,6)+MID(BN6,9,1)*POWER(2,7)+MID(BN6,8,1)*POWER(2,8)+MID(BN6,7,1)*POWER(2,9)+MID(BN6,6,1)*POWER(2,10)+MID(BN6,5,1)*POWER(2,11)+MID(BN6,4,1)*POWER(2,12)+MID(BN6,3,1)*POWER(2,13)+MID(BN6,2,1)*POWER(2,14)+MID(BN6,1,1)*POWER(2,15)-(MID(BN7,16,1)*POWER(2,0)+MID(BN7,15,1)*POWER(2,1)+MID(BN7,14,1)*POWER(2,2)+MID(BN7,13,1)*POWER(2,3)+MID(BN7,12,1)*POWER(2,4)+MID(BN7,11,1)*POWER(2,5)+MID(BN7,10,1)*POWER(2,6)+MID(BN7,9,1)*POWER(2,7)+MID(BN7,8,1)*POWER(2,8)+MID(BN7,7,1)*POWER(2,9)+MID(BN7,6,1)*POWER(2,10)+MID(BN7,5,1)*POWER(2,11)+MID(BN7,4,1)*POWER(2,12)+MID(BN7,3,1)*POWER(2,13)+MID(BN7,2,1)*POWER(2,14)+MID(BN7,1,1)*POWER(2,15))</f>
        <v>33637</v>
      </c>
      <c r="BQ6" s="77">
        <f>MID(BO6,16,1)*POWER(2,0)+MID(BO6,15,1)*POWER(2,1)+MID(BO6,14,1)*POWER(2,2)+MID(BO6,13,1)*POWER(2,3)+MID(BO6,12,1)*POWER(2,4)+MID(BO6,11,1)*POWER(2,5)+MID(BO6,10,1)*POWER(2,6)+MID(BO6,9,1)*POWER(2,7)+MID(BO6,8,1)*POWER(2,8)+MID(BO6,7,1)*POWER(2,9)+MID(BO6,6,1)*POWER(2,10)+MID(BO6,5,1)*POWER(2,11)+MID(BO6,4,1)*POWER(2,12)+MID(BO6,3,1)*POWER(2,13)+MID(BO6,2,1)*POWER(2,14)+MID(BO6,1,1)*POWER(2,15)-(MID(BO7,16,1)*POWER(2,0)+MID(BO7,15,1)*POWER(2,1)+MID(BO7,14,1)*POWER(2,2)+MID(BO7,13,1)*POWER(2,3)+MID(BO7,12,1)*POWER(2,4)+MID(BO7,11,1)*POWER(2,5)+MID(BO7,10,1)*POWER(2,6)+MID(BO7,9,1)*POWER(2,7)+MID(BO7,8,1)*POWER(2,8)+MID(BO7,7,1)*POWER(2,9)+MID(BO7,6,1)*POWER(2,10)+MID(BO7,5,1)*POWER(2,11)+MID(BO7,4,1)*POWER(2,12)+MID(BO7,3,1)*POWER(2,13)+MID(BO7,2,1)*POWER(2,14)+MID(BO7,1,1)*POWER(2,15))</f>
        <v>21165</v>
      </c>
      <c r="BR6" s="45" t="str">
        <f>CONCATENATE(MID($L6,1,1)*MID($K6,1,1),MID($L6,2,1)*MID($K6,2,1),MID($L6,3,1)*MID($K6,3,1),MID($L6,4,1)*MID($K6,4,1),MID($L6,5,1)*MID($K6,5,1),MID($L6,6,1)*MID($K6,6,1),MID($L6,7,1)*MID($K6,7,1),MID($L6,8,1)*MID($K6,8,1),MID($L6,9,1)*MID($K6,1,1),MID($L6,10,1)*MID($K6,2,1),MID($L6,11,1)*MID($K6,3,1),MID($L6,12,1)*MID($K6,4,1),MID($L6,13,1)*MID($K6,5,1),MID($L6,14,1)*MID($K6,6,1),MID($L6,15,1)*MID($K6,7,1),MID($L6,16,1)*MID($K6,8,1),MID($L6,17,1)*MID($K6,1,1),MID($L6,18,1)*MID($K6,2,1),MID($L6,19,1)*MID($K6,3,1),MID($L6,20,1)*MID($K6,4,1),MID($L6,21,1)*MID($K6,5,1),MID($L6,22,1)*MID($K6,6,1),MID($L6,23,1)*MID($K6,7,1),MID($L6,24,1)*MID($K6,8,1),MID($L6,25,1)*MID($K6,1,1),MID($L6,26,1)*MID($K6,2,1),MID($L6,27,1)*MID($K6,3,1),MID($L6,28,1)*MID($K6,4,1),MID($L6,29,1)*MID($K6,5,1),MID($L6,30,1)*MID($K6,6,1),MID($L6,31,1)*MID($K6,7,1),MID($L6,32,1)*MID($K6,8,1))</f>
        <v>01100100010001000100000001100100</v>
      </c>
      <c r="BS6" s="26" t="str">
        <f t="shared" si="50"/>
        <v>01100100</v>
      </c>
      <c r="BT6" s="26" t="str">
        <f t="shared" si="51"/>
        <v>01000100</v>
      </c>
      <c r="BU6" s="26" t="str">
        <f t="shared" si="52"/>
        <v>01000000</v>
      </c>
      <c r="BV6" s="26" t="str">
        <f t="shared" si="53"/>
        <v>01100100</v>
      </c>
      <c r="BW6" s="77">
        <f>BIN2DEC(BS6)-BIN2DEC(BS7)</f>
        <v>-19</v>
      </c>
      <c r="BX6" s="77">
        <f>BIN2DEC(BT6)-BIN2DEC(BT7)</f>
        <v>-175</v>
      </c>
      <c r="BY6" s="77">
        <f>BIN2DEC(BU6)-BIN2DEC(BU7)</f>
        <v>37</v>
      </c>
      <c r="BZ6" s="77">
        <f>BIN2DEC(BV6)-BIN2DEC(BV7)</f>
        <v>18</v>
      </c>
      <c r="CA6" s="27" t="str">
        <f t="shared" si="54"/>
        <v>1110</v>
      </c>
      <c r="CB6" s="27" t="str">
        <f t="shared" si="55"/>
        <v>0111</v>
      </c>
      <c r="CC6" s="27" t="str">
        <f t="shared" si="56"/>
        <v>1100</v>
      </c>
      <c r="CD6" s="27" t="str">
        <f t="shared" si="57"/>
        <v>0101</v>
      </c>
      <c r="CE6" s="27" t="str">
        <f t="shared" si="58"/>
        <v>0101</v>
      </c>
      <c r="CF6" s="27" t="str">
        <f t="shared" si="59"/>
        <v>0010</v>
      </c>
      <c r="CG6" s="27" t="str">
        <f t="shared" si="60"/>
        <v>1110</v>
      </c>
      <c r="CH6" s="27" t="str">
        <f t="shared" si="61"/>
        <v>1101</v>
      </c>
      <c r="CI6" s="77">
        <f>BIN2DEC(CA6)-BIN2DEC(CA7)</f>
        <v>7</v>
      </c>
      <c r="CJ6" s="77">
        <f t="shared" ref="CJ6:CO6" si="132">BIN2DEC(CB6)-BIN2DEC(CB7)</f>
        <v>0</v>
      </c>
      <c r="CK6" s="77">
        <f t="shared" si="132"/>
        <v>-3</v>
      </c>
      <c r="CL6" s="77">
        <f t="shared" si="132"/>
        <v>2</v>
      </c>
      <c r="CM6" s="77">
        <f t="shared" si="132"/>
        <v>4</v>
      </c>
      <c r="CN6" s="77">
        <f t="shared" si="132"/>
        <v>-9</v>
      </c>
      <c r="CO6" s="77">
        <f t="shared" si="132"/>
        <v>9</v>
      </c>
      <c r="CP6" s="77">
        <f>BIN2DEC(CH6)-BIN2DEC(CH7)</f>
        <v>11</v>
      </c>
      <c r="CQ6" s="26" t="str">
        <f t="shared" si="9"/>
        <v>0110010001000100</v>
      </c>
      <c r="CR6" s="26" t="str">
        <f t="shared" si="10"/>
        <v>0100000001100100</v>
      </c>
      <c r="CS6" s="77">
        <f>MID(CQ6,16,1)*POWER(2,0)+MID(CQ6,15,1)*POWER(2,1)+MID(CQ6,14,1)*POWER(2,2)+MID(CQ6,13,1)*POWER(2,3)+MID(CQ6,12,1)*POWER(2,4)+MID(CQ6,11,1)*POWER(2,5)+MID(CQ6,10,1)*POWER(2,6)+MID(CQ6,9,1)*POWER(2,7)+MID(CQ6,8,1)*POWER(2,8)+MID(CQ6,7,1)*POWER(2,9)+MID(CQ6,6,1)*POWER(2,10)+MID(CQ6,5,1)*POWER(2,11)+MID(CQ6,4,1)*POWER(2,12)+MID(CQ6,3,1)*POWER(2,13)+MID(CQ6,2,1)*POWER(2,14)+MID(CQ6,1,1)*POWER(2,15)-(MID(CQ7,16,1)*POWER(2,0)+MID(CQ7,15,1)*POWER(2,1)+MID(CQ7,14,1)*POWER(2,2)+MID(CQ7,13,1)*POWER(2,3)+MID(CQ7,12,1)*POWER(2,4)+MID(CQ7,11,1)*POWER(2,5)+MID(CQ7,10,1)*POWER(2,6)+MID(CQ7,9,1)*POWER(2,7)+MID(CQ7,8,1)*POWER(2,8)+MID(CQ7,7,1)*POWER(2,9)+MID(CQ7,6,1)*POWER(2,10)+MID(CQ7,5,1)*POWER(2,11)+MID(CQ7,4,1)*POWER(2,12)+MID(CQ7,3,1)*POWER(2,13)+MID(CQ7,2,1)*POWER(2,14)+MID(CQ7,1,1)*POWER(2,15))</f>
        <v>-5039</v>
      </c>
      <c r="CT6" s="77">
        <f>MID(CR6,16,1)*POWER(2,0)+MID(CR6,15,1)*POWER(2,1)+MID(CR6,14,1)*POWER(2,2)+MID(CR6,13,1)*POWER(2,3)+MID(CR6,12,1)*POWER(2,4)+MID(CR6,11,1)*POWER(2,5)+MID(CR6,10,1)*POWER(2,6)+MID(CR6,9,1)*POWER(2,7)+MID(CR6,8,1)*POWER(2,8)+MID(CR6,7,1)*POWER(2,9)+MID(CR6,6,1)*POWER(2,10)+MID(CR6,5,1)*POWER(2,11)+MID(CR6,4,1)*POWER(2,12)+MID(CR6,3,1)*POWER(2,13)+MID(CR6,2,1)*POWER(2,14)+MID(CR6,1,1)*POWER(2,15)-(MID(CR7,16,1)*POWER(2,0)+MID(CR7,15,1)*POWER(2,1)+MID(CR7,14,1)*POWER(2,2)+MID(CR7,13,1)*POWER(2,3)+MID(CR7,12,1)*POWER(2,4)+MID(CR7,11,1)*POWER(2,5)+MID(CR7,10,1)*POWER(2,6)+MID(CR7,9,1)*POWER(2,7)+MID(CR7,8,1)*POWER(2,8)+MID(CR7,7,1)*POWER(2,9)+MID(CR7,6,1)*POWER(2,10)+MID(CR7,5,1)*POWER(2,11)+MID(CR7,4,1)*POWER(2,12)+MID(CR7,3,1)*POWER(2,13)+MID(CR7,2,1)*POWER(2,14)+MID(CR7,1,1)*POWER(2,15))</f>
        <v>9490</v>
      </c>
      <c r="CU6" s="45" t="str">
        <f>BR6</f>
        <v>01100100010001000100000001100100</v>
      </c>
      <c r="CV6" s="26" t="str">
        <f t="shared" si="62"/>
        <v>01100100</v>
      </c>
      <c r="CW6" s="26" t="str">
        <f t="shared" si="63"/>
        <v>01000100</v>
      </c>
      <c r="CX6" s="26" t="str">
        <f t="shared" si="64"/>
        <v>01000000</v>
      </c>
      <c r="CY6" s="26" t="str">
        <f t="shared" si="65"/>
        <v>01100100</v>
      </c>
      <c r="CZ6" s="77">
        <f>BIN2DEC(CV6)-BIN2DEC(CV7)</f>
        <v>0</v>
      </c>
      <c r="DA6" s="77">
        <f>BIN2DEC(CW6)-BIN2DEC(CW7)</f>
        <v>-28</v>
      </c>
      <c r="DB6" s="77">
        <f>BIN2DEC(CX6)-BIN2DEC(CX7)</f>
        <v>64</v>
      </c>
      <c r="DC6" s="77">
        <f>BIN2DEC(CY6)-BIN2DEC(CY7)</f>
        <v>36</v>
      </c>
      <c r="DD6" s="27" t="str">
        <f t="shared" si="66"/>
        <v>1110</v>
      </c>
      <c r="DE6" s="27" t="str">
        <f t="shared" si="67"/>
        <v>0111</v>
      </c>
      <c r="DF6" s="27" t="str">
        <f t="shared" si="68"/>
        <v>1100</v>
      </c>
      <c r="DG6" s="27" t="str">
        <f t="shared" si="69"/>
        <v>0101</v>
      </c>
      <c r="DH6" s="27" t="str">
        <f t="shared" si="70"/>
        <v>0101</v>
      </c>
      <c r="DI6" s="27" t="str">
        <f t="shared" si="71"/>
        <v>0010</v>
      </c>
      <c r="DJ6" s="27" t="str">
        <f t="shared" si="72"/>
        <v>1110</v>
      </c>
      <c r="DK6" s="27" t="str">
        <f t="shared" si="73"/>
        <v>1101</v>
      </c>
      <c r="DL6" s="77">
        <f>BIN2DEC(DD6)-BIN2DEC(DD7)</f>
        <v>7</v>
      </c>
      <c r="DM6" s="77">
        <f t="shared" ref="DM6:DR6" si="133">BIN2DEC(DE6)-BIN2DEC(DE7)</f>
        <v>0</v>
      </c>
      <c r="DN6" s="77">
        <f t="shared" si="133"/>
        <v>-3</v>
      </c>
      <c r="DO6" s="77">
        <f t="shared" si="133"/>
        <v>2</v>
      </c>
      <c r="DP6" s="77">
        <f t="shared" si="133"/>
        <v>4</v>
      </c>
      <c r="DQ6" s="77">
        <f t="shared" si="133"/>
        <v>-9</v>
      </c>
      <c r="DR6" s="77">
        <f t="shared" si="133"/>
        <v>9</v>
      </c>
      <c r="DS6" s="77">
        <f>BIN2DEC(DK6)-BIN2DEC(DK7)</f>
        <v>11</v>
      </c>
      <c r="DT6" s="26" t="str">
        <f t="shared" si="12"/>
        <v>0110010001000100</v>
      </c>
      <c r="DU6" s="26" t="str">
        <f t="shared" si="13"/>
        <v>0100000001100100</v>
      </c>
      <c r="DV6" s="77">
        <f>MID(DT6,16,1)*POWER(2,0)+MID(DT6,15,1)*POWER(2,1)+MID(DT6,14,1)*POWER(2,2)+MID(DT6,13,1)*POWER(2,3)+MID(DT6,12,1)*POWER(2,4)+MID(DT6,11,1)*POWER(2,5)+MID(DT6,10,1)*POWER(2,6)+MID(DT6,9,1)*POWER(2,7)+MID(DT6,8,1)*POWER(2,8)+MID(DT6,7,1)*POWER(2,9)+MID(DT6,6,1)*POWER(2,10)+MID(DT6,5,1)*POWER(2,11)+MID(DT6,4,1)*POWER(2,12)+MID(DT6,3,1)*POWER(2,13)+MID(DT6,2,1)*POWER(2,14)+MID(DT6,1,1)*POWER(2,15)-(MID(DT7,16,1)*POWER(2,0)+MID(DT7,15,1)*POWER(2,1)+MID(DT7,14,1)*POWER(2,2)+MID(DT7,13,1)*POWER(2,3)+MID(DT7,12,1)*POWER(2,4)+MID(DT7,11,1)*POWER(2,5)+MID(DT7,10,1)*POWER(2,6)+MID(DT7,9,1)*POWER(2,7)+MID(DT7,8,1)*POWER(2,8)+MID(DT7,7,1)*POWER(2,9)+MID(DT7,6,1)*POWER(2,10)+MID(DT7,5,1)*POWER(2,11)+MID(DT7,4,1)*POWER(2,12)+MID(DT7,3,1)*POWER(2,13)+MID(DT7,2,1)*POWER(2,14)+MID(DT7,1,1)*POWER(2,15))</f>
        <v>-28</v>
      </c>
      <c r="DW6" s="77">
        <f>MID(DU6,16,1)*POWER(2,0)+MID(DU6,15,1)*POWER(2,1)+MID(DU6,14,1)*POWER(2,2)+MID(DU6,13,1)*POWER(2,3)+MID(DU6,12,1)*POWER(2,4)+MID(DU6,11,1)*POWER(2,5)+MID(DU6,10,1)*POWER(2,6)+MID(DU6,9,1)*POWER(2,7)+MID(DU6,8,1)*POWER(2,8)+MID(DU6,7,1)*POWER(2,9)+MID(DU6,6,1)*POWER(2,10)+MID(DU6,5,1)*POWER(2,11)+MID(DU6,4,1)*POWER(2,12)+MID(DU6,3,1)*POWER(2,13)+MID(DU6,2,1)*POWER(2,14)+MID(DU6,1,1)*POWER(2,15)-(MID(DU7,16,1)*POWER(2,0)+MID(DU7,15,1)*POWER(2,1)+MID(DU7,14,1)*POWER(2,2)+MID(DU7,13,1)*POWER(2,3)+MID(DU7,12,1)*POWER(2,4)+MID(DU7,11,1)*POWER(2,5)+MID(DU7,10,1)*POWER(2,6)+MID(DU7,9,1)*POWER(2,7)+MID(DU7,8,1)*POWER(2,8)+MID(DU7,7,1)*POWER(2,9)+MID(DU7,6,1)*POWER(2,10)+MID(DU7,5,1)*POWER(2,11)+MID(DU7,4,1)*POWER(2,12)+MID(DU7,3,1)*POWER(2,13)+MID(DU7,2,1)*POWER(2,14)+MID(DU7,1,1)*POWER(2,15))</f>
        <v>16420</v>
      </c>
      <c r="DX6" s="22"/>
      <c r="DY6" s="43" t="str">
        <f>H6</f>
        <v>11100111110001010101001011101101</v>
      </c>
      <c r="DZ6" s="26" t="str">
        <f t="shared" si="122"/>
        <v>11100111</v>
      </c>
      <c r="EA6" s="26" t="str">
        <f t="shared" si="74"/>
        <v>11000101</v>
      </c>
      <c r="EB6" s="26" t="str">
        <f t="shared" si="75"/>
        <v>01010010</v>
      </c>
      <c r="EC6" s="26" t="str">
        <f t="shared" si="76"/>
        <v>11101101</v>
      </c>
      <c r="ED6" s="77">
        <f>BIN2DEC(DZ6)-BIN2DEC(DZ7)</f>
        <v>196</v>
      </c>
      <c r="EE6" s="77">
        <f>BIN2DEC(EA6)-BIN2DEC(EA7)</f>
        <v>162</v>
      </c>
      <c r="EF6" s="77">
        <f>BIN2DEC(EB6)-BIN2DEC(EB7)</f>
        <v>79</v>
      </c>
      <c r="EG6" s="77">
        <f>BIN2DEC(EC6)-BIN2DEC(EC7)</f>
        <v>235</v>
      </c>
      <c r="EH6" s="27" t="str">
        <f t="shared" si="77"/>
        <v>1110</v>
      </c>
      <c r="EI6" s="27" t="str">
        <f t="shared" si="78"/>
        <v>0111</v>
      </c>
      <c r="EJ6" s="27" t="str">
        <f t="shared" si="79"/>
        <v>1100</v>
      </c>
      <c r="EK6" s="27" t="str">
        <f t="shared" si="80"/>
        <v>0101</v>
      </c>
      <c r="EL6" s="27" t="str">
        <f t="shared" si="81"/>
        <v>0101</v>
      </c>
      <c r="EM6" s="27" t="str">
        <f t="shared" si="82"/>
        <v>0010</v>
      </c>
      <c r="EN6" s="27" t="str">
        <f t="shared" si="83"/>
        <v>1110</v>
      </c>
      <c r="EO6" s="27" t="str">
        <f t="shared" si="84"/>
        <v>1101</v>
      </c>
      <c r="EP6" s="77">
        <f>BIN2DEC(EH6)-BIN2DEC(EH7)</f>
        <v>7</v>
      </c>
      <c r="EQ6" s="77">
        <f t="shared" ref="EQ6:EV6" si="134">BIN2DEC(EI6)-BIN2DEC(EI7)</f>
        <v>0</v>
      </c>
      <c r="ER6" s="77">
        <f t="shared" si="134"/>
        <v>-3</v>
      </c>
      <c r="ES6" s="77">
        <f t="shared" si="134"/>
        <v>2</v>
      </c>
      <c r="ET6" s="77">
        <f t="shared" si="134"/>
        <v>4</v>
      </c>
      <c r="EU6" s="77">
        <f t="shared" si="134"/>
        <v>-9</v>
      </c>
      <c r="EV6" s="77">
        <f t="shared" si="134"/>
        <v>9</v>
      </c>
      <c r="EW6" s="77">
        <f>BIN2DEC(EO6)-BIN2DEC(EO7)</f>
        <v>11</v>
      </c>
      <c r="EX6" s="26" t="str">
        <f t="shared" si="15"/>
        <v>1110011111000101</v>
      </c>
      <c r="EY6" s="26" t="str">
        <f t="shared" si="16"/>
        <v>0101001011101101</v>
      </c>
      <c r="EZ6" s="77">
        <f>MID(EX6,16,1)*POWER(2,0)+MID(EX6,15,1)*POWER(2,1)+MID(EX6,14,1)*POWER(2,2)+MID(EX6,13,1)*POWER(2,3)+MID(EX6,12,1)*POWER(2,4)+MID(EX6,11,1)*POWER(2,5)+MID(EX6,10,1)*POWER(2,6)+MID(EX6,9,1)*POWER(2,7)+MID(EX6,8,1)*POWER(2,8)+MID(EX6,7,1)*POWER(2,9)+MID(EX6,6,1)*POWER(2,10)+MID(EX6,5,1)*POWER(2,11)+MID(EX6,4,1)*POWER(2,12)+MID(EX6,3,1)*POWER(2,13)+MID(EX6,2,1)*POWER(2,14)+MID(EX6,1,1)*POWER(2,15)-(MID(EX7,16,1)*POWER(2,0)+MID(EX7,15,1)*POWER(2,1)+MID(EX7,14,1)*POWER(2,2)+MID(EX7,13,1)*POWER(2,3)+MID(EX7,12,1)*POWER(2,4)+MID(EX7,11,1)*POWER(2,5)+MID(EX7,10,1)*POWER(2,6)+MID(EX7,9,1)*POWER(2,7)+MID(EX7,8,1)*POWER(2,8)+MID(EX7,7,1)*POWER(2,9)+MID(EX7,6,1)*POWER(2,10)+MID(EX7,5,1)*POWER(2,11)+MID(EX7,4,1)*POWER(2,12)+MID(EX7,3,1)*POWER(2,13)+MID(EX7,2,1)*POWER(2,14)+MID(EX7,1,1)*POWER(2,15))</f>
        <v>50338</v>
      </c>
      <c r="FA6" s="77">
        <f>MID(EY6,16,1)*POWER(2,0)+MID(EY6,15,1)*POWER(2,1)+MID(EY6,14,1)*POWER(2,2)+MID(EY6,13,1)*POWER(2,3)+MID(EY6,12,1)*POWER(2,4)+MID(EY6,11,1)*POWER(2,5)+MID(EY6,10,1)*POWER(2,6)+MID(EY6,9,1)*POWER(2,7)+MID(EY6,8,1)*POWER(2,8)+MID(EY6,7,1)*POWER(2,9)+MID(EY6,6,1)*POWER(2,10)+MID(EY6,5,1)*POWER(2,11)+MID(EY6,4,1)*POWER(2,12)+MID(EY6,3,1)*POWER(2,13)+MID(EY6,2,1)*POWER(2,14)+MID(EY6,1,1)*POWER(2,15)-(MID(EY7,16,1)*POWER(2,0)+MID(EY7,15,1)*POWER(2,1)+MID(EY7,14,1)*POWER(2,2)+MID(EY7,13,1)*POWER(2,3)+MID(EY7,12,1)*POWER(2,4)+MID(EY7,11,1)*POWER(2,5)+MID(EY7,10,1)*POWER(2,6)+MID(EY7,9,1)*POWER(2,7)+MID(EY7,8,1)*POWER(2,8)+MID(EY7,7,1)*POWER(2,9)+MID(EY7,6,1)*POWER(2,10)+MID(EY7,5,1)*POWER(2,11)+MID(EY7,4,1)*POWER(2,12)+MID(EY7,3,1)*POWER(2,13)+MID(EY7,2,1)*POWER(2,14)+MID(EY7,1,1)*POWER(2,15))</f>
        <v>20459</v>
      </c>
      <c r="FB6" s="45" t="str">
        <f>H6</f>
        <v>11100111110001010101001011101101</v>
      </c>
      <c r="FC6" s="26" t="str">
        <f t="shared" si="124"/>
        <v>11100111</v>
      </c>
      <c r="FD6" s="26" t="str">
        <f t="shared" si="85"/>
        <v>11000101</v>
      </c>
      <c r="FE6" s="26" t="str">
        <f t="shared" si="86"/>
        <v>01010010</v>
      </c>
      <c r="FF6" s="26" t="str">
        <f t="shared" si="87"/>
        <v>11101101</v>
      </c>
      <c r="FG6" s="77">
        <f>BIN2DEC(FC6)-BIN2DEC(FC7)</f>
        <v>199</v>
      </c>
      <c r="FH6" s="77">
        <f>BIN2DEC(FD6)-BIN2DEC(FD7)</f>
        <v>165</v>
      </c>
      <c r="FI6" s="77">
        <f>BIN2DEC(FE6)-BIN2DEC(FE7)</f>
        <v>82</v>
      </c>
      <c r="FJ6" s="77">
        <f>BIN2DEC(FF6)-BIN2DEC(FF7)</f>
        <v>237</v>
      </c>
      <c r="FK6" s="27" t="str">
        <f t="shared" si="88"/>
        <v>1110</v>
      </c>
      <c r="FL6" s="27" t="str">
        <f t="shared" si="89"/>
        <v>0111</v>
      </c>
      <c r="FM6" s="27" t="str">
        <f t="shared" si="90"/>
        <v>1100</v>
      </c>
      <c r="FN6" s="27" t="str">
        <f t="shared" si="91"/>
        <v>0101</v>
      </c>
      <c r="FO6" s="27" t="str">
        <f t="shared" si="92"/>
        <v>0101</v>
      </c>
      <c r="FP6" s="27" t="str">
        <f t="shared" si="93"/>
        <v>0010</v>
      </c>
      <c r="FQ6" s="27" t="str">
        <f t="shared" si="94"/>
        <v>1110</v>
      </c>
      <c r="FR6" s="27" t="str">
        <f t="shared" si="95"/>
        <v>1101</v>
      </c>
      <c r="FS6" s="77">
        <f>BIN2DEC(FK6)-BIN2DEC(FK7)</f>
        <v>7</v>
      </c>
      <c r="FT6" s="77">
        <f t="shared" ref="FT6:FY6" si="135">BIN2DEC(FL6)-BIN2DEC(FL7)</f>
        <v>0</v>
      </c>
      <c r="FU6" s="77">
        <f t="shared" si="135"/>
        <v>-3</v>
      </c>
      <c r="FV6" s="77">
        <f t="shared" si="135"/>
        <v>2</v>
      </c>
      <c r="FW6" s="77">
        <f t="shared" si="135"/>
        <v>4</v>
      </c>
      <c r="FX6" s="77">
        <f t="shared" si="135"/>
        <v>-9</v>
      </c>
      <c r="FY6" s="77">
        <f t="shared" si="135"/>
        <v>9</v>
      </c>
      <c r="FZ6" s="77">
        <f>BIN2DEC(FR6)-BIN2DEC(FR7)</f>
        <v>11</v>
      </c>
      <c r="GA6" s="26" t="str">
        <f t="shared" si="18"/>
        <v>1110011111000101</v>
      </c>
      <c r="GB6" s="26" t="str">
        <f t="shared" si="19"/>
        <v>0101001011101101</v>
      </c>
      <c r="GC6" s="77">
        <f>MID(GA6,16,1)*POWER(2,0)+MID(GA6,15,1)*POWER(2,1)+MID(GA6,14,1)*POWER(2,2)+MID(GA6,13,1)*POWER(2,3)+MID(GA6,12,1)*POWER(2,4)+MID(GA6,11,1)*POWER(2,5)+MID(GA6,10,1)*POWER(2,6)+MID(GA6,9,1)*POWER(2,7)+MID(GA6,8,1)*POWER(2,8)+MID(GA6,7,1)*POWER(2,9)+MID(GA6,6,1)*POWER(2,10)+MID(GA6,5,1)*POWER(2,11)+MID(GA6,4,1)*POWER(2,12)+MID(GA6,3,1)*POWER(2,13)+MID(GA6,2,1)*POWER(2,14)+MID(GA6,1,1)*POWER(2,15)-(MID(GA7,16,1)*POWER(2,0)+MID(GA7,15,1)*POWER(2,1)+MID(GA7,14,1)*POWER(2,2)+MID(GA7,13,1)*POWER(2,3)+MID(GA7,12,1)*POWER(2,4)+MID(GA7,11,1)*POWER(2,5)+MID(GA7,10,1)*POWER(2,6)+MID(GA7,9,1)*POWER(2,7)+MID(GA7,8,1)*POWER(2,8)+MID(GA7,7,1)*POWER(2,9)+MID(GA7,6,1)*POWER(2,10)+MID(GA7,5,1)*POWER(2,11)+MID(GA7,4,1)*POWER(2,12)+MID(GA7,3,1)*POWER(2,13)+MID(GA7,2,1)*POWER(2,14)+MID(GA7,1,1)*POWER(2,15))</f>
        <v>51109</v>
      </c>
      <c r="GD6" s="77">
        <f>MID(GB6,16,1)*POWER(2,0)+MID(GB6,15,1)*POWER(2,1)+MID(GB6,14,1)*POWER(2,2)+MID(GB6,13,1)*POWER(2,3)+MID(GB6,12,1)*POWER(2,4)+MID(GB6,11,1)*POWER(2,5)+MID(GB6,10,1)*POWER(2,6)+MID(GB6,9,1)*POWER(2,7)+MID(GB6,8,1)*POWER(2,8)+MID(GB6,7,1)*POWER(2,9)+MID(GB6,6,1)*POWER(2,10)+MID(GB6,5,1)*POWER(2,11)+MID(GB6,4,1)*POWER(2,12)+MID(GB6,3,1)*POWER(2,13)+MID(GB6,2,1)*POWER(2,14)+MID(GB6,1,1)*POWER(2,15)-(MID(GB7,16,1)*POWER(2,0)+MID(GB7,15,1)*POWER(2,1)+MID(GB7,14,1)*POWER(2,2)+MID(GB7,13,1)*POWER(2,3)+MID(GB7,12,1)*POWER(2,4)+MID(GB7,11,1)*POWER(2,5)+MID(GB7,10,1)*POWER(2,6)+MID(GB7,9,1)*POWER(2,7)+MID(GB7,8,1)*POWER(2,8)+MID(GB7,7,1)*POWER(2,9)+MID(GB7,6,1)*POWER(2,10)+MID(GB7,5,1)*POWER(2,11)+MID(GB7,4,1)*POWER(2,12)+MID(GB7,3,1)*POWER(2,13)+MID(GB7,2,1)*POWER(2,14)+MID(GB7,1,1)*POWER(2,15))</f>
        <v>21229</v>
      </c>
      <c r="GE6" s="47" t="str">
        <f>CU6</f>
        <v>01100100010001000100000001100100</v>
      </c>
      <c r="GF6" s="26" t="str">
        <f t="shared" si="126"/>
        <v>01100100</v>
      </c>
      <c r="GG6" s="26" t="str">
        <f t="shared" si="96"/>
        <v>01000100</v>
      </c>
      <c r="GH6" s="26" t="str">
        <f t="shared" si="97"/>
        <v>01000000</v>
      </c>
      <c r="GI6" s="26" t="str">
        <f t="shared" si="98"/>
        <v>01100100</v>
      </c>
      <c r="GJ6" s="77">
        <f>BIN2DEC(GF6)-BIN2DEC(GF7)</f>
        <v>65</v>
      </c>
      <c r="GK6" s="77">
        <f>BIN2DEC(GG6)-BIN2DEC(GG7)</f>
        <v>33</v>
      </c>
      <c r="GL6" s="77">
        <f>BIN2DEC(GH6)-BIN2DEC(GH7)</f>
        <v>61</v>
      </c>
      <c r="GM6" s="77">
        <f>BIN2DEC(GI6)-BIN2DEC(GI7)</f>
        <v>98</v>
      </c>
      <c r="GN6" s="27" t="str">
        <f t="shared" si="99"/>
        <v>1110</v>
      </c>
      <c r="GO6" s="27" t="str">
        <f t="shared" si="100"/>
        <v>0111</v>
      </c>
      <c r="GP6" s="27" t="str">
        <f t="shared" si="101"/>
        <v>1100</v>
      </c>
      <c r="GQ6" s="27" t="str">
        <f t="shared" si="102"/>
        <v>0101</v>
      </c>
      <c r="GR6" s="27" t="str">
        <f t="shared" si="103"/>
        <v>0101</v>
      </c>
      <c r="GS6" s="27" t="str">
        <f t="shared" si="104"/>
        <v>0010</v>
      </c>
      <c r="GT6" s="27" t="str">
        <f t="shared" si="105"/>
        <v>1110</v>
      </c>
      <c r="GU6" s="27" t="str">
        <f t="shared" si="106"/>
        <v>1101</v>
      </c>
      <c r="GV6" s="77">
        <f>BIN2DEC(GN6)-BIN2DEC(GN7)</f>
        <v>7</v>
      </c>
      <c r="GW6" s="77">
        <f t="shared" ref="GW6:HB6" si="136">BIN2DEC(GO6)-BIN2DEC(GO7)</f>
        <v>0</v>
      </c>
      <c r="GX6" s="77">
        <f t="shared" si="136"/>
        <v>-3</v>
      </c>
      <c r="GY6" s="77">
        <f t="shared" si="136"/>
        <v>2</v>
      </c>
      <c r="GZ6" s="77">
        <f t="shared" si="136"/>
        <v>4</v>
      </c>
      <c r="HA6" s="77">
        <f t="shared" si="136"/>
        <v>-9</v>
      </c>
      <c r="HB6" s="77">
        <f t="shared" si="136"/>
        <v>9</v>
      </c>
      <c r="HC6" s="77">
        <f>BIN2DEC(GU6)-BIN2DEC(GU7)</f>
        <v>11</v>
      </c>
      <c r="HD6" s="26" t="str">
        <f t="shared" si="21"/>
        <v>0110010001000100</v>
      </c>
      <c r="HE6" s="26" t="str">
        <f t="shared" si="22"/>
        <v>0100000001100100</v>
      </c>
      <c r="HF6" s="77">
        <f>MID(HD6,16,1)*POWER(2,0)+MID(HD6,15,1)*POWER(2,1)+MID(HD6,14,1)*POWER(2,2)+MID(HD6,13,1)*POWER(2,3)+MID(HD6,12,1)*POWER(2,4)+MID(HD6,11,1)*POWER(2,5)+MID(HD6,10,1)*POWER(2,6)+MID(HD6,9,1)*POWER(2,7)+MID(HD6,8,1)*POWER(2,8)+MID(HD6,7,1)*POWER(2,9)+MID(HD6,6,1)*POWER(2,10)+MID(HD6,5,1)*POWER(2,11)+MID(HD6,4,1)*POWER(2,12)+MID(HD6,3,1)*POWER(2,13)+MID(HD6,2,1)*POWER(2,14)+MID(HD6,1,1)*POWER(2,15)-(MID(HD7,16,1)*POWER(2,0)+MID(HD7,15,1)*POWER(2,1)+MID(HD7,14,1)*POWER(2,2)+MID(HD7,13,1)*POWER(2,3)+MID(HD7,12,1)*POWER(2,4)+MID(HD7,11,1)*POWER(2,5)+MID(HD7,10,1)*POWER(2,6)+MID(HD7,9,1)*POWER(2,7)+MID(HD7,8,1)*POWER(2,8)+MID(HD7,7,1)*POWER(2,9)+MID(HD7,6,1)*POWER(2,10)+MID(HD7,5,1)*POWER(2,11)+MID(HD7,4,1)*POWER(2,12)+MID(HD7,3,1)*POWER(2,13)+MID(HD7,2,1)*POWER(2,14)+MID(HD7,1,1)*POWER(2,15))</f>
        <v>16673</v>
      </c>
      <c r="HG6" s="77">
        <f>MID(HE6,16,1)*POWER(2,0)+MID(HE6,15,1)*POWER(2,1)+MID(HE6,14,1)*POWER(2,2)+MID(HE6,13,1)*POWER(2,3)+MID(HE6,12,1)*POWER(2,4)+MID(HE6,11,1)*POWER(2,5)+MID(HE6,10,1)*POWER(2,6)+MID(HE6,9,1)*POWER(2,7)+MID(HE6,8,1)*POWER(2,8)+MID(HE6,7,1)*POWER(2,9)+MID(HE6,6,1)*POWER(2,10)+MID(HE6,5,1)*POWER(2,11)+MID(HE6,4,1)*POWER(2,12)+MID(HE6,3,1)*POWER(2,13)+MID(HE6,2,1)*POWER(2,14)+MID(HE6,1,1)*POWER(2,15)-(MID(HE7,16,1)*POWER(2,0)+MID(HE7,15,1)*POWER(2,1)+MID(HE7,14,1)*POWER(2,2)+MID(HE7,13,1)*POWER(2,3)+MID(HE7,12,1)*POWER(2,4)+MID(HE7,11,1)*POWER(2,5)+MID(HE7,10,1)*POWER(2,6)+MID(HE7,9,1)*POWER(2,7)+MID(HE7,8,1)*POWER(2,8)+MID(HE7,7,1)*POWER(2,9)+MID(HE7,6,1)*POWER(2,10)+MID(HE7,5,1)*POWER(2,11)+MID(HE7,4,1)*POWER(2,12)+MID(HE7,3,1)*POWER(2,13)+MID(HE7,2,1)*POWER(2,14)+MID(HE7,1,1)*POWER(2,15))</f>
        <v>15714</v>
      </c>
      <c r="HH6" s="45" t="str">
        <f>GE6</f>
        <v>01100100010001000100000001100100</v>
      </c>
      <c r="HI6" s="26" t="str">
        <f t="shared" si="128"/>
        <v>01100100</v>
      </c>
      <c r="HJ6" s="26" t="str">
        <f t="shared" si="107"/>
        <v>01000100</v>
      </c>
      <c r="HK6" s="26" t="str">
        <f t="shared" si="108"/>
        <v>01000000</v>
      </c>
      <c r="HL6" s="26" t="str">
        <f t="shared" si="109"/>
        <v>01100100</v>
      </c>
      <c r="HM6" s="77">
        <f>BIN2DEC(HI6)-BIN2DEC(HI7)</f>
        <v>68</v>
      </c>
      <c r="HN6" s="77">
        <f>BIN2DEC(HJ6)-BIN2DEC(HJ7)</f>
        <v>36</v>
      </c>
      <c r="HO6" s="77">
        <f>BIN2DEC(HK6)-BIN2DEC(HK7)</f>
        <v>64</v>
      </c>
      <c r="HP6" s="77">
        <f>BIN2DEC(HL6)-BIN2DEC(HL7)</f>
        <v>100</v>
      </c>
      <c r="HQ6" s="27" t="str">
        <f t="shared" si="110"/>
        <v>1110</v>
      </c>
      <c r="HR6" s="27" t="str">
        <f t="shared" si="111"/>
        <v>0111</v>
      </c>
      <c r="HS6" s="27" t="str">
        <f t="shared" si="112"/>
        <v>1100</v>
      </c>
      <c r="HT6" s="27" t="str">
        <f t="shared" si="113"/>
        <v>0101</v>
      </c>
      <c r="HU6" s="27" t="str">
        <f t="shared" si="114"/>
        <v>0101</v>
      </c>
      <c r="HV6" s="27" t="str">
        <f t="shared" si="115"/>
        <v>0010</v>
      </c>
      <c r="HW6" s="27" t="str">
        <f t="shared" si="116"/>
        <v>1110</v>
      </c>
      <c r="HX6" s="27" t="str">
        <f t="shared" si="117"/>
        <v>1101</v>
      </c>
      <c r="HY6" s="77">
        <f>BIN2DEC(HQ6)-BIN2DEC(HQ7)</f>
        <v>7</v>
      </c>
      <c r="HZ6" s="77">
        <f t="shared" ref="HZ6:IE6" si="137">BIN2DEC(HR6)-BIN2DEC(HR7)</f>
        <v>0</v>
      </c>
      <c r="IA6" s="77">
        <f t="shared" si="137"/>
        <v>-3</v>
      </c>
      <c r="IB6" s="77">
        <f t="shared" si="137"/>
        <v>2</v>
      </c>
      <c r="IC6" s="77">
        <f t="shared" si="137"/>
        <v>4</v>
      </c>
      <c r="ID6" s="77">
        <f t="shared" si="137"/>
        <v>-9</v>
      </c>
      <c r="IE6" s="77">
        <f t="shared" si="137"/>
        <v>9</v>
      </c>
      <c r="IF6" s="77">
        <f>BIN2DEC(HX6)-BIN2DEC(HX7)</f>
        <v>11</v>
      </c>
      <c r="IG6" s="26" t="str">
        <f t="shared" si="24"/>
        <v>0110010001000100</v>
      </c>
      <c r="IH6" s="26" t="str">
        <f t="shared" si="25"/>
        <v>0100000001100100</v>
      </c>
      <c r="II6" s="77">
        <f>MID(IG6,16,1)*POWER(2,0)+MID(IG6,15,1)*POWER(2,1)+MID(IG6,14,1)*POWER(2,2)+MID(IG6,13,1)*POWER(2,3)+MID(IG6,12,1)*POWER(2,4)+MID(IG6,11,1)*POWER(2,5)+MID(IG6,10,1)*POWER(2,6)+MID(IG6,9,1)*POWER(2,7)+MID(IG6,8,1)*POWER(2,8)+MID(IG6,7,1)*POWER(2,9)+MID(IG6,6,1)*POWER(2,10)+MID(IG6,5,1)*POWER(2,11)+MID(IG6,4,1)*POWER(2,12)+MID(IG6,3,1)*POWER(2,13)+MID(IG6,2,1)*POWER(2,14)+MID(IG6,1,1)*POWER(2,15)-(MID(IG7,16,1)*POWER(2,0)+MID(IG7,15,1)*POWER(2,1)+MID(IG7,14,1)*POWER(2,2)+MID(IG7,13,1)*POWER(2,3)+MID(IG7,12,1)*POWER(2,4)+MID(IG7,11,1)*POWER(2,5)+MID(IG7,10,1)*POWER(2,6)+MID(IG7,9,1)*POWER(2,7)+MID(IG7,8,1)*POWER(2,8)+MID(IG7,7,1)*POWER(2,9)+MID(IG7,6,1)*POWER(2,10)+MID(IG7,5,1)*POWER(2,11)+MID(IG7,4,1)*POWER(2,12)+MID(IG7,3,1)*POWER(2,13)+MID(IG7,2,1)*POWER(2,14)+MID(IG7,1,1)*POWER(2,15))</f>
        <v>17444</v>
      </c>
      <c r="IJ6" s="77">
        <f>MID(IH6,16,1)*POWER(2,0)+MID(IH6,15,1)*POWER(2,1)+MID(IH6,14,1)*POWER(2,2)+MID(IH6,13,1)*POWER(2,3)+MID(IH6,12,1)*POWER(2,4)+MID(IH6,11,1)*POWER(2,5)+MID(IH6,10,1)*POWER(2,6)+MID(IH6,9,1)*POWER(2,7)+MID(IH6,8,1)*POWER(2,8)+MID(IH6,7,1)*POWER(2,9)+MID(IH6,6,1)*POWER(2,10)+MID(IH6,5,1)*POWER(2,11)+MID(IH6,4,1)*POWER(2,12)+MID(IH6,3,1)*POWER(2,13)+MID(IH6,2,1)*POWER(2,14)+MID(IH6,1,1)*POWER(2,15)-(MID(IH7,16,1)*POWER(2,0)+MID(IH7,15,1)*POWER(2,1)+MID(IH7,14,1)*POWER(2,2)+MID(IH7,13,1)*POWER(2,3)+MID(IH7,12,1)*POWER(2,4)+MID(IH7,11,1)*POWER(2,5)+MID(IH7,10,1)*POWER(2,6)+MID(IH7,9,1)*POWER(2,7)+MID(IH7,8,1)*POWER(2,8)+MID(IH7,7,1)*POWER(2,9)+MID(IH7,6,1)*POWER(2,10)+MID(IH7,5,1)*POWER(2,11)+MID(IH7,4,1)*POWER(2,12)+MID(IH7,3,1)*POWER(2,13)+MID(IH7,2,1)*POWER(2,14)+MID(IH7,1,1)*POWER(2,15))</f>
        <v>16484</v>
      </c>
      <c r="IL6" s="26"/>
      <c r="IM6" s="26"/>
      <c r="IN6" s="26"/>
      <c r="IO6" s="26"/>
      <c r="IP6" s="22"/>
      <c r="IQ6" s="22"/>
      <c r="IR6" s="22"/>
      <c r="IS6" s="22"/>
      <c r="JB6" s="22"/>
      <c r="JC6" s="22"/>
      <c r="JD6" s="22"/>
      <c r="JE6" s="22"/>
      <c r="JF6" s="22"/>
      <c r="JG6" s="22"/>
      <c r="JH6" s="22"/>
      <c r="JI6" s="22"/>
      <c r="JJ6" s="26"/>
      <c r="JK6" s="26"/>
      <c r="JL6" s="22"/>
      <c r="JM6" s="22"/>
    </row>
    <row r="7" spans="1:273" s="31" customFormat="1" ht="18.600000000000001" thickBot="1" x14ac:dyDescent="0.4">
      <c r="A7" s="28"/>
      <c r="B7" s="29"/>
      <c r="C7" s="21" t="s">
        <v>6</v>
      </c>
      <c r="D7" s="21">
        <v>43</v>
      </c>
      <c r="E7" s="21" t="s">
        <v>34</v>
      </c>
      <c r="F7" s="21" t="s">
        <v>91</v>
      </c>
      <c r="G7" s="21" t="s">
        <v>79</v>
      </c>
      <c r="H7" s="21" t="str">
        <f t="shared" si="0"/>
        <v>01000011111010100110111001111110</v>
      </c>
      <c r="I7" s="21">
        <f t="shared" si="1"/>
        <v>19</v>
      </c>
      <c r="J7" s="21"/>
      <c r="K7" s="21"/>
      <c r="L7" s="44" t="str">
        <f>CONCATENATE(MID(H7,20,5),MID(H7,9,3),MID(H7,28,5),MID(H7,17,3),MID(H7,4,5),MID(H7,25,3),MID(H7,12,5),MID(H7,1,3))</f>
        <v>01110111111100110001101101010010</v>
      </c>
      <c r="M7" s="30" t="str">
        <f t="shared" si="26"/>
        <v>01110111</v>
      </c>
      <c r="N7" s="30" t="str">
        <f t="shared" si="27"/>
        <v>11110011</v>
      </c>
      <c r="O7" s="30" t="str">
        <f t="shared" si="28"/>
        <v>00011011</v>
      </c>
      <c r="P7" s="30" t="str">
        <f t="shared" si="29"/>
        <v>01010010</v>
      </c>
      <c r="Q7" s="78"/>
      <c r="R7" s="78"/>
      <c r="S7" s="78"/>
      <c r="T7" s="78"/>
      <c r="U7" s="31" t="str">
        <f t="shared" si="30"/>
        <v>0111</v>
      </c>
      <c r="V7" s="31" t="str">
        <f t="shared" si="31"/>
        <v>0111</v>
      </c>
      <c r="W7" s="31" t="str">
        <f t="shared" si="32"/>
        <v>1111</v>
      </c>
      <c r="X7" s="31" t="str">
        <f t="shared" si="33"/>
        <v>0011</v>
      </c>
      <c r="Y7" s="31" t="str">
        <f t="shared" si="34"/>
        <v>0001</v>
      </c>
      <c r="Z7" s="31" t="str">
        <f t="shared" si="35"/>
        <v>1011</v>
      </c>
      <c r="AA7" s="31" t="str">
        <f t="shared" si="36"/>
        <v>0101</v>
      </c>
      <c r="AB7" s="31" t="str">
        <f t="shared" si="37"/>
        <v>0010</v>
      </c>
      <c r="AC7" s="78"/>
      <c r="AD7" s="78"/>
      <c r="AE7" s="78"/>
      <c r="AF7" s="78"/>
      <c r="AG7" s="78"/>
      <c r="AH7" s="78"/>
      <c r="AI7" s="78"/>
      <c r="AJ7" s="78"/>
      <c r="AK7" s="30" t="str">
        <f t="shared" si="3"/>
        <v>0111011111110011</v>
      </c>
      <c r="AL7" s="30" t="str">
        <f t="shared" si="4"/>
        <v>0001101101010010</v>
      </c>
      <c r="AM7" s="78"/>
      <c r="AN7" s="78"/>
      <c r="AO7" s="46" t="str">
        <f>CONCATENATE(MID($L7,1,1)*MID($K6,1,1),MID($L7,2,1)*MID($K6,2,1),MID($L7,3,1)*MID($K6,3,1),MID($L7,4,1)*MID($K6,4,1),MID($L7,5,1)*MID($K6,5,1),MID($L7,6,1)*MID($K6,6,1),MID($L7,7,1)*MID($K6,7,1),MID($L7,8,1)*MID($K6,8,1),MID($L7,9,1)*MID($K6,1,1),MID($L7,10,1)*MID($K6,2,1),MID($L7,11,1)*MID($K6,3,1),MID($L7,12,1)*MID($K6,4,1),MID($L7,13,1)*MID($K6,5,1),MID($L7,14,1)*MID($K6,6,1),MID($L7,15,1)*MID($K6,7,1),MID($L7,16,1)*MID($K6,8,1),MID($L7,17,1)*MID($K6,1,1),MID($L7,18,1)*MID($K6,2,1),MID($L7,19,1)*MID($K6,3,1),MID($L7,20,1)*MID($K6,4,1),MID($L7,21,1)*MID($K6,5,1),MID($L7,22,1)*MID($K6,6,1),MID($L7,23,1)*MID($K6,7,1),MID($L7,24,1)*MID($K6,8,1),MID($L7,25,1)*MID($K6,1,1),MID($L7,26,1)*MID($K6,2,1),MID($L7,27,1)*MID($K6,3,1),MID($L7,28,1)*MID($K6,4,1),MID($L7,29,1)*MID($K6,5,1),MID($L7,30,1)*MID($K6,6,1),MID($L7,31,1)*MID($K6,7,1),MID($L7,32,1)*MID($K6,8,1))</f>
        <v>01100100011000000000000001000000</v>
      </c>
      <c r="AP7" s="30" t="str">
        <f t="shared" si="38"/>
        <v>01100100</v>
      </c>
      <c r="AQ7" s="30" t="str">
        <f t="shared" si="39"/>
        <v>01100000</v>
      </c>
      <c r="AR7" s="30" t="str">
        <f t="shared" si="40"/>
        <v>00000000</v>
      </c>
      <c r="AS7" s="30" t="str">
        <f t="shared" si="41"/>
        <v>01000000</v>
      </c>
      <c r="AT7" s="78"/>
      <c r="AU7" s="78"/>
      <c r="AV7" s="78"/>
      <c r="AW7" s="78"/>
      <c r="AX7" s="31" t="str">
        <f t="shared" si="42"/>
        <v>0111</v>
      </c>
      <c r="AY7" s="31" t="str">
        <f t="shared" si="43"/>
        <v>0111</v>
      </c>
      <c r="AZ7" s="31" t="str">
        <f t="shared" si="44"/>
        <v>1111</v>
      </c>
      <c r="BA7" s="31" t="str">
        <f t="shared" si="45"/>
        <v>0011</v>
      </c>
      <c r="BB7" s="31" t="str">
        <f t="shared" si="46"/>
        <v>0001</v>
      </c>
      <c r="BC7" s="31" t="str">
        <f t="shared" si="47"/>
        <v>1011</v>
      </c>
      <c r="BD7" s="31" t="str">
        <f t="shared" si="48"/>
        <v>0101</v>
      </c>
      <c r="BE7" s="31" t="str">
        <f t="shared" si="49"/>
        <v>0010</v>
      </c>
      <c r="BF7" s="78"/>
      <c r="BG7" s="78"/>
      <c r="BH7" s="78"/>
      <c r="BI7" s="78"/>
      <c r="BJ7" s="78"/>
      <c r="BK7" s="78"/>
      <c r="BL7" s="78"/>
      <c r="BM7" s="78"/>
      <c r="BN7" s="30" t="str">
        <f t="shared" si="6"/>
        <v>0110010001100000</v>
      </c>
      <c r="BO7" s="30" t="str">
        <f t="shared" si="7"/>
        <v>0000000001000000</v>
      </c>
      <c r="BP7" s="78"/>
      <c r="BQ7" s="78"/>
      <c r="BR7" s="46" t="str">
        <f>L7</f>
        <v>01110111111100110001101101010010</v>
      </c>
      <c r="BS7" s="30" t="str">
        <f t="shared" si="50"/>
        <v>01110111</v>
      </c>
      <c r="BT7" s="30" t="str">
        <f t="shared" si="51"/>
        <v>11110011</v>
      </c>
      <c r="BU7" s="30" t="str">
        <f t="shared" si="52"/>
        <v>00011011</v>
      </c>
      <c r="BV7" s="30" t="str">
        <f t="shared" si="53"/>
        <v>01010010</v>
      </c>
      <c r="BW7" s="78"/>
      <c r="BX7" s="78"/>
      <c r="BY7" s="78"/>
      <c r="BZ7" s="78"/>
      <c r="CA7" s="31" t="str">
        <f t="shared" si="54"/>
        <v>0111</v>
      </c>
      <c r="CB7" s="31" t="str">
        <f t="shared" si="55"/>
        <v>0111</v>
      </c>
      <c r="CC7" s="31" t="str">
        <f t="shared" si="56"/>
        <v>1111</v>
      </c>
      <c r="CD7" s="31" t="str">
        <f t="shared" si="57"/>
        <v>0011</v>
      </c>
      <c r="CE7" s="31" t="str">
        <f t="shared" si="58"/>
        <v>0001</v>
      </c>
      <c r="CF7" s="31" t="str">
        <f t="shared" si="59"/>
        <v>1011</v>
      </c>
      <c r="CG7" s="31" t="str">
        <f t="shared" si="60"/>
        <v>0101</v>
      </c>
      <c r="CH7" s="31" t="str">
        <f t="shared" si="61"/>
        <v>0010</v>
      </c>
      <c r="CI7" s="78"/>
      <c r="CJ7" s="78"/>
      <c r="CK7" s="78"/>
      <c r="CL7" s="78"/>
      <c r="CM7" s="78"/>
      <c r="CN7" s="78"/>
      <c r="CO7" s="78"/>
      <c r="CP7" s="78"/>
      <c r="CQ7" s="30" t="str">
        <f t="shared" si="9"/>
        <v>0111011111110011</v>
      </c>
      <c r="CR7" s="30" t="str">
        <f t="shared" si="10"/>
        <v>0001101101010010</v>
      </c>
      <c r="CS7" s="78"/>
      <c r="CT7" s="78"/>
      <c r="CU7" s="46" t="str">
        <f>AO7</f>
        <v>01100100011000000000000001000000</v>
      </c>
      <c r="CV7" s="30" t="str">
        <f t="shared" si="62"/>
        <v>01100100</v>
      </c>
      <c r="CW7" s="30" t="str">
        <f t="shared" si="63"/>
        <v>01100000</v>
      </c>
      <c r="CX7" s="30" t="str">
        <f t="shared" si="64"/>
        <v>00000000</v>
      </c>
      <c r="CY7" s="30" t="str">
        <f t="shared" si="65"/>
        <v>01000000</v>
      </c>
      <c r="CZ7" s="78"/>
      <c r="DA7" s="78"/>
      <c r="DB7" s="78"/>
      <c r="DC7" s="78"/>
      <c r="DD7" s="31" t="str">
        <f t="shared" si="66"/>
        <v>0111</v>
      </c>
      <c r="DE7" s="31" t="str">
        <f t="shared" si="67"/>
        <v>0111</v>
      </c>
      <c r="DF7" s="31" t="str">
        <f t="shared" si="68"/>
        <v>1111</v>
      </c>
      <c r="DG7" s="31" t="str">
        <f t="shared" si="69"/>
        <v>0011</v>
      </c>
      <c r="DH7" s="31" t="str">
        <f t="shared" si="70"/>
        <v>0001</v>
      </c>
      <c r="DI7" s="31" t="str">
        <f t="shared" si="71"/>
        <v>1011</v>
      </c>
      <c r="DJ7" s="31" t="str">
        <f t="shared" si="72"/>
        <v>0101</v>
      </c>
      <c r="DK7" s="31" t="str">
        <f t="shared" si="73"/>
        <v>0010</v>
      </c>
      <c r="DL7" s="78"/>
      <c r="DM7" s="78"/>
      <c r="DN7" s="78"/>
      <c r="DO7" s="78"/>
      <c r="DP7" s="78"/>
      <c r="DQ7" s="78"/>
      <c r="DR7" s="78"/>
      <c r="DS7" s="78"/>
      <c r="DT7" s="30" t="str">
        <f t="shared" si="12"/>
        <v>0110010001100000</v>
      </c>
      <c r="DU7" s="30" t="str">
        <f t="shared" si="13"/>
        <v>0000000001000000</v>
      </c>
      <c r="DV7" s="78"/>
      <c r="DW7" s="78"/>
      <c r="DX7" s="23" t="str">
        <f>CONCATENATE(MID($H7,1,1)*MID($K6,1,1),MID($H7,2,1)*MID($K6,2,1),MID($H7,3,1)*MID($K6,3,1),MID($H7,4,1)*MID($K6,4,1),MID($H7,5,1)*MID($K6,5,1),MID($H7,6,1)*MID($K6,6,1),MID($H7,7,1)*MID($K6,7,1),MID($H7,8,1)*MID($K6,8,1),MID($H7,9,1)*MID($K6,1,1),MID($H7,10,1)*MID($K6,2,1),MID($H7,11,1)*MID($K6,3,1),MID($H7,12,1)*MID($K6,4,1),MID($H7,13,1)*MID($K6,5,1),MID($H7,14,1)*MID($K6,6,1),MID($H7,15,1)*MID($K6,7,1),MID($H7,16,1)*MID($K6,8,1),MID($H7,17,1)*MID($K6,1,1),MID($H7,18,1)*MID($K6,2,1),MID($H7,19,1)*MID($K6,3,1),MID($H7,20,1)*MID($K6,4,1),MID($H7,21,1)*MID($K6,5,1),MID($H7,22,1)*MID($K6,6,1),MID($H7,23,1)*MID($K6,7,1),MID($H7,24,1)*MID($K6,8,1),MID($H7,25,1)*MID($K6,1,1),MID($H7,26,1)*MID($K6,2,1),MID($H7,27,1)*MID($K6,3,1),MID($H7,28,1)*MID($K6,4,1),MID($H7,29,1)*MID($K6,5,1),MID($H7,30,1)*MID($K6,6,1),MID($H7,31,1)*MID($K6,7,1),MID($H7,32,1)*MID($K6,8,1))</f>
        <v>01000000011000000110010001100100</v>
      </c>
      <c r="DY7" s="44" t="str">
        <f>CONCATENATE(MID(DX7,20,5),MID(DX7,9,3),MID(DX7,28,5),MID(DX7,17,3),MID(DX7,4,5),MID(DX7,25,3),MID(DX7,12,5),MID(DX7,1,3))</f>
        <v>00100011001000110000001100000010</v>
      </c>
      <c r="DZ7" s="30" t="str">
        <f t="shared" si="122"/>
        <v>00100011</v>
      </c>
      <c r="EA7" s="30" t="str">
        <f t="shared" si="74"/>
        <v>00100011</v>
      </c>
      <c r="EB7" s="30" t="str">
        <f t="shared" si="75"/>
        <v>00000011</v>
      </c>
      <c r="EC7" s="30" t="str">
        <f t="shared" si="76"/>
        <v>00000010</v>
      </c>
      <c r="ED7" s="78"/>
      <c r="EE7" s="78"/>
      <c r="EF7" s="78"/>
      <c r="EG7" s="78"/>
      <c r="EH7" s="31" t="str">
        <f t="shared" si="77"/>
        <v>0111</v>
      </c>
      <c r="EI7" s="31" t="str">
        <f t="shared" si="78"/>
        <v>0111</v>
      </c>
      <c r="EJ7" s="31" t="str">
        <f t="shared" si="79"/>
        <v>1111</v>
      </c>
      <c r="EK7" s="31" t="str">
        <f t="shared" si="80"/>
        <v>0011</v>
      </c>
      <c r="EL7" s="31" t="str">
        <f t="shared" si="81"/>
        <v>0001</v>
      </c>
      <c r="EM7" s="31" t="str">
        <f t="shared" si="82"/>
        <v>1011</v>
      </c>
      <c r="EN7" s="31" t="str">
        <f t="shared" si="83"/>
        <v>0101</v>
      </c>
      <c r="EO7" s="31" t="str">
        <f t="shared" si="84"/>
        <v>0010</v>
      </c>
      <c r="EP7" s="78"/>
      <c r="EQ7" s="78"/>
      <c r="ER7" s="78"/>
      <c r="ES7" s="78"/>
      <c r="ET7" s="78"/>
      <c r="EU7" s="78"/>
      <c r="EV7" s="78"/>
      <c r="EW7" s="78"/>
      <c r="EX7" s="30" t="str">
        <f t="shared" si="15"/>
        <v>0010001100100011</v>
      </c>
      <c r="EY7" s="30" t="str">
        <f t="shared" si="16"/>
        <v>0000001100000010</v>
      </c>
      <c r="EZ7" s="78"/>
      <c r="FA7" s="78"/>
      <c r="FB7" s="46" t="str">
        <f>CONCATENATE(MID(DY7,1,1)*MID($K6,1,1),MID(DY7,2,1)*MID($K6,2,1),MID(DY7,3,1)*MID($K6,3,1),MID(DY7,4,1)*MID($K6,4,1),MID(DY7,5,1)*MID($K6,5,1),MID(DY7,6,1)*MID($K6,6,1),MID(DY7,7,1)*MID($K6,7,1),MID(DY7,8,1)*MID($K6,8,1),MID(DY7,9,1)*MID($K6,1,1),MID(DY7,10,1)*MID($K6,2,1),MID(DY7,11,1)*MID($K6,3,1),MID(DY7,12,1)*MID($K6,4,1),MID(DY7,13,1)*MID($K6,5,1),MID(DY7,14,1)*MID($K6,6,1),MID(DY7,15,1)*MID($K6,7,1),MID(DY7,16,1)*MID($K6,8,1),MID(DY7,17,1)*MID($K6,1,1),MID(DY7,18,1)*MID($K6,2,1),MID(DY7,19,1)*MID($K6,3,1),MID(DY7,20,1)*MID($K6,4,1),MID(DY7,21,1)*MID($K6,5,1),MID(DY7,22,1)*MID($K6,6,1),MID(DY7,23,1)*MID($K6,7,1),MID(DY7,24,1)*MID($K6,8,1),MID(DY7,25,1)*MID($K6,1,1),MID(DY7,26,1)*MID($K6,2,1),MID(DY7,27,1)*MID($K6,3,1),MID(DY7,28,1)*MID($K6,4,1),MID(DY7,29,1)*MID($K6,5,1),MID(DY7,30,1)*MID($K6,6,1),MID(DY7,31,1)*MID($K6,7,1),MID(DY7,32,1)*MID($K6,8,1))</f>
        <v>00100000001000000000000000000000</v>
      </c>
      <c r="FC7" s="30" t="str">
        <f t="shared" si="124"/>
        <v>00100000</v>
      </c>
      <c r="FD7" s="30" t="str">
        <f t="shared" si="85"/>
        <v>00100000</v>
      </c>
      <c r="FE7" s="30" t="str">
        <f t="shared" si="86"/>
        <v>00000000</v>
      </c>
      <c r="FF7" s="30" t="str">
        <f t="shared" si="87"/>
        <v>00000000</v>
      </c>
      <c r="FG7" s="78"/>
      <c r="FH7" s="78"/>
      <c r="FI7" s="78"/>
      <c r="FJ7" s="78"/>
      <c r="FK7" s="31" t="str">
        <f t="shared" si="88"/>
        <v>0111</v>
      </c>
      <c r="FL7" s="31" t="str">
        <f t="shared" si="89"/>
        <v>0111</v>
      </c>
      <c r="FM7" s="31" t="str">
        <f t="shared" si="90"/>
        <v>1111</v>
      </c>
      <c r="FN7" s="31" t="str">
        <f t="shared" si="91"/>
        <v>0011</v>
      </c>
      <c r="FO7" s="31" t="str">
        <f t="shared" si="92"/>
        <v>0001</v>
      </c>
      <c r="FP7" s="31" t="str">
        <f t="shared" si="93"/>
        <v>1011</v>
      </c>
      <c r="FQ7" s="31" t="str">
        <f t="shared" si="94"/>
        <v>0101</v>
      </c>
      <c r="FR7" s="31" t="str">
        <f t="shared" si="95"/>
        <v>0010</v>
      </c>
      <c r="FS7" s="78"/>
      <c r="FT7" s="78"/>
      <c r="FU7" s="78"/>
      <c r="FV7" s="78"/>
      <c r="FW7" s="78"/>
      <c r="FX7" s="78"/>
      <c r="FY7" s="78"/>
      <c r="FZ7" s="78"/>
      <c r="GA7" s="30" t="str">
        <f t="shared" si="18"/>
        <v>0010000000100000</v>
      </c>
      <c r="GB7" s="30" t="str">
        <f t="shared" si="19"/>
        <v>0000000000000000</v>
      </c>
      <c r="GC7" s="78"/>
      <c r="GD7" s="78"/>
      <c r="GE7" s="48" t="str">
        <f>DY7</f>
        <v>00100011001000110000001100000010</v>
      </c>
      <c r="GF7" s="30" t="str">
        <f t="shared" si="126"/>
        <v>00100011</v>
      </c>
      <c r="GG7" s="30" t="str">
        <f t="shared" si="96"/>
        <v>00100011</v>
      </c>
      <c r="GH7" s="30" t="str">
        <f t="shared" si="97"/>
        <v>00000011</v>
      </c>
      <c r="GI7" s="30" t="str">
        <f t="shared" si="98"/>
        <v>00000010</v>
      </c>
      <c r="GJ7" s="78"/>
      <c r="GK7" s="78"/>
      <c r="GL7" s="78"/>
      <c r="GM7" s="78"/>
      <c r="GN7" s="31" t="str">
        <f t="shared" si="99"/>
        <v>0111</v>
      </c>
      <c r="GO7" s="31" t="str">
        <f t="shared" si="100"/>
        <v>0111</v>
      </c>
      <c r="GP7" s="31" t="str">
        <f t="shared" si="101"/>
        <v>1111</v>
      </c>
      <c r="GQ7" s="31" t="str">
        <f t="shared" si="102"/>
        <v>0011</v>
      </c>
      <c r="GR7" s="31" t="str">
        <f t="shared" si="103"/>
        <v>0001</v>
      </c>
      <c r="GS7" s="31" t="str">
        <f t="shared" si="104"/>
        <v>1011</v>
      </c>
      <c r="GT7" s="31" t="str">
        <f t="shared" si="105"/>
        <v>0101</v>
      </c>
      <c r="GU7" s="31" t="str">
        <f t="shared" si="106"/>
        <v>0010</v>
      </c>
      <c r="GV7" s="78"/>
      <c r="GW7" s="78"/>
      <c r="GX7" s="78"/>
      <c r="GY7" s="78"/>
      <c r="GZ7" s="78"/>
      <c r="HA7" s="78"/>
      <c r="HB7" s="78"/>
      <c r="HC7" s="78"/>
      <c r="HD7" s="30" t="str">
        <f t="shared" si="21"/>
        <v>0010001100100011</v>
      </c>
      <c r="HE7" s="30" t="str">
        <f t="shared" si="22"/>
        <v>0000001100000010</v>
      </c>
      <c r="HF7" s="78"/>
      <c r="HG7" s="78"/>
      <c r="HH7" s="48" t="str">
        <f>FB7</f>
        <v>00100000001000000000000000000000</v>
      </c>
      <c r="HI7" s="30" t="str">
        <f t="shared" si="128"/>
        <v>00100000</v>
      </c>
      <c r="HJ7" s="30" t="str">
        <f t="shared" si="107"/>
        <v>00100000</v>
      </c>
      <c r="HK7" s="30" t="str">
        <f t="shared" si="108"/>
        <v>00000000</v>
      </c>
      <c r="HL7" s="30" t="str">
        <f t="shared" si="109"/>
        <v>00000000</v>
      </c>
      <c r="HM7" s="78"/>
      <c r="HN7" s="78"/>
      <c r="HO7" s="78"/>
      <c r="HP7" s="78"/>
      <c r="HQ7" s="31" t="str">
        <f t="shared" si="110"/>
        <v>0111</v>
      </c>
      <c r="HR7" s="31" t="str">
        <f t="shared" si="111"/>
        <v>0111</v>
      </c>
      <c r="HS7" s="31" t="str">
        <f t="shared" si="112"/>
        <v>1111</v>
      </c>
      <c r="HT7" s="31" t="str">
        <f t="shared" si="113"/>
        <v>0011</v>
      </c>
      <c r="HU7" s="31" t="str">
        <f t="shared" si="114"/>
        <v>0001</v>
      </c>
      <c r="HV7" s="31" t="str">
        <f t="shared" si="115"/>
        <v>1011</v>
      </c>
      <c r="HW7" s="31" t="str">
        <f t="shared" si="116"/>
        <v>0101</v>
      </c>
      <c r="HX7" s="31" t="str">
        <f t="shared" si="117"/>
        <v>0010</v>
      </c>
      <c r="HY7" s="78"/>
      <c r="HZ7" s="78"/>
      <c r="IA7" s="78"/>
      <c r="IB7" s="78"/>
      <c r="IC7" s="78"/>
      <c r="ID7" s="78"/>
      <c r="IE7" s="78"/>
      <c r="IF7" s="78"/>
      <c r="IG7" s="30" t="str">
        <f t="shared" si="24"/>
        <v>0010000000100000</v>
      </c>
      <c r="IH7" s="30" t="str">
        <f t="shared" si="25"/>
        <v>0000000000000000</v>
      </c>
      <c r="II7" s="78"/>
      <c r="IJ7" s="78"/>
      <c r="IL7" s="30"/>
      <c r="IM7" s="30"/>
      <c r="IN7" s="30"/>
      <c r="IO7" s="30"/>
      <c r="IP7" s="23"/>
      <c r="IQ7" s="23"/>
      <c r="IR7" s="23"/>
      <c r="IS7" s="23"/>
      <c r="JB7" s="23"/>
      <c r="JC7" s="23"/>
      <c r="JD7" s="23"/>
      <c r="JE7" s="23"/>
      <c r="JF7" s="23"/>
      <c r="JG7" s="23"/>
      <c r="JH7" s="23"/>
      <c r="JI7" s="23"/>
      <c r="JJ7" s="30"/>
      <c r="JK7" s="30"/>
      <c r="JL7" s="23"/>
      <c r="JM7" s="23"/>
    </row>
    <row r="8" spans="1:273" s="27" customFormat="1" x14ac:dyDescent="0.35">
      <c r="A8" s="24"/>
      <c r="B8" s="25"/>
      <c r="C8" s="20" t="s">
        <v>0</v>
      </c>
      <c r="D8" s="20" t="s">
        <v>123</v>
      </c>
      <c r="E8" s="20">
        <v>91</v>
      </c>
      <c r="F8" s="20" t="s">
        <v>10</v>
      </c>
      <c r="G8" s="20" t="s">
        <v>142</v>
      </c>
      <c r="H8" s="20" t="str">
        <f t="shared" si="0"/>
        <v>11111011100100011001110000111110</v>
      </c>
      <c r="I8" s="20">
        <f t="shared" si="1"/>
        <v>19</v>
      </c>
      <c r="J8" s="20">
        <v>64</v>
      </c>
      <c r="K8" s="20" t="str">
        <f>HEX2BIN(J8,8)</f>
        <v>01100100</v>
      </c>
      <c r="L8" s="43" t="str">
        <f>H8</f>
        <v>11111011100100011001110000111110</v>
      </c>
      <c r="M8" s="26" t="str">
        <f t="shared" si="26"/>
        <v>11111011</v>
      </c>
      <c r="N8" s="26" t="str">
        <f t="shared" si="27"/>
        <v>10010001</v>
      </c>
      <c r="O8" s="26" t="str">
        <f t="shared" si="28"/>
        <v>10011100</v>
      </c>
      <c r="P8" s="26" t="str">
        <f t="shared" si="29"/>
        <v>00111110</v>
      </c>
      <c r="Q8" s="77">
        <f>BIN2DEC(M8)-BIN2DEC(M9)</f>
        <v>112</v>
      </c>
      <c r="R8" s="77">
        <f>BIN2DEC(N8)-BIN2DEC(N9)</f>
        <v>-46</v>
      </c>
      <c r="S8" s="77">
        <f>BIN2DEC(O8)-BIN2DEC(O9)</f>
        <v>55</v>
      </c>
      <c r="T8" s="77">
        <f>BIN2DEC(P8)-BIN2DEC(P9)</f>
        <v>-101</v>
      </c>
      <c r="U8" s="27" t="str">
        <f t="shared" si="30"/>
        <v>1111</v>
      </c>
      <c r="V8" s="27" t="str">
        <f t="shared" si="31"/>
        <v>1011</v>
      </c>
      <c r="W8" s="27" t="str">
        <f t="shared" si="32"/>
        <v>1001</v>
      </c>
      <c r="X8" s="27" t="str">
        <f t="shared" si="33"/>
        <v>0001</v>
      </c>
      <c r="Y8" s="27" t="str">
        <f t="shared" si="34"/>
        <v>1001</v>
      </c>
      <c r="Z8" s="27" t="str">
        <f t="shared" si="35"/>
        <v>1100</v>
      </c>
      <c r="AA8" s="27" t="str">
        <f t="shared" si="36"/>
        <v>0011</v>
      </c>
      <c r="AB8" s="27" t="str">
        <f t="shared" si="37"/>
        <v>1110</v>
      </c>
      <c r="AC8" s="77">
        <f>BIN2DEC(U8)-BIN2DEC(U9)</f>
        <v>7</v>
      </c>
      <c r="AD8" s="77">
        <f t="shared" ref="AD8:AI8" si="138">BIN2DEC(V8)-BIN2DEC(V9)</f>
        <v>0</v>
      </c>
      <c r="AE8" s="77">
        <f t="shared" si="138"/>
        <v>-2</v>
      </c>
      <c r="AF8" s="77">
        <f t="shared" si="138"/>
        <v>-14</v>
      </c>
      <c r="AG8" s="77">
        <f t="shared" si="138"/>
        <v>3</v>
      </c>
      <c r="AH8" s="77">
        <f t="shared" si="138"/>
        <v>7</v>
      </c>
      <c r="AI8" s="77">
        <f t="shared" si="138"/>
        <v>-7</v>
      </c>
      <c r="AJ8" s="77">
        <f>BIN2DEC(AB8)-BIN2DEC(AB9)</f>
        <v>11</v>
      </c>
      <c r="AK8" s="26" t="str">
        <f t="shared" si="3"/>
        <v>1111101110010001</v>
      </c>
      <c r="AL8" s="26" t="str">
        <f t="shared" si="4"/>
        <v>1001110000111110</v>
      </c>
      <c r="AM8" s="77">
        <f>MID(AK8,16,1)*POWER(2,0)+MID(AK8,15,1)*POWER(2,1)+MID(AK8,14,1)*POWER(2,2)+MID(AK8,13,1)*POWER(2,3)+MID(AK8,12,1)*POWER(2,4)+MID(AK8,11,1)*POWER(2,5)+MID(AK8,10,1)*POWER(2,6)+MID(AK8,9,1)*POWER(2,7)+MID(AK8,8,1)*POWER(2,8)+MID(AK8,7,1)*POWER(2,9)+MID(AK8,6,1)*POWER(2,10)+MID(AK8,5,1)*POWER(2,11)+MID(AK8,4,1)*POWER(2,12)+MID(AK8,3,1)*POWER(2,13)+MID(AK8,2,1)*POWER(2,14)+MID(AK8,1,1)*POWER(2,15)-(MID(AK9,16,1)*POWER(2,0)+MID(AK9,15,1)*POWER(2,1)+MID(AK9,14,1)*POWER(2,2)+MID(AK9,13,1)*POWER(2,3)+MID(AK9,12,1)*POWER(2,4)+MID(AK9,11,1)*POWER(2,5)+MID(AK9,10,1)*POWER(2,6)+MID(AK9,9,1)*POWER(2,7)+MID(AK9,8,1)*POWER(2,8)+MID(AK9,7,1)*POWER(2,9)+MID(AK9,6,1)*POWER(2,10)+MID(AK9,5,1)*POWER(2,11)+MID(AK9,4,1)*POWER(2,12)+MID(AK9,3,1)*POWER(2,13)+MID(AK9,2,1)*POWER(2,14)+MID(AK9,1,1)*POWER(2,15))</f>
        <v>28626</v>
      </c>
      <c r="AN8" s="77">
        <f>MID(AL8,16,1)*POWER(2,0)+MID(AL8,15,1)*POWER(2,1)+MID(AL8,14,1)*POWER(2,2)+MID(AL8,13,1)*POWER(2,3)+MID(AL8,12,1)*POWER(2,4)+MID(AL8,11,1)*POWER(2,5)+MID(AL8,10,1)*POWER(2,6)+MID(AL8,9,1)*POWER(2,7)+MID(AL8,8,1)*POWER(2,8)+MID(AL8,7,1)*POWER(2,9)+MID(AL8,6,1)*POWER(2,10)+MID(AL8,5,1)*POWER(2,11)+MID(AL8,4,1)*POWER(2,12)+MID(AL8,3,1)*POWER(2,13)+MID(AL8,2,1)*POWER(2,14)+MID(AL8,1,1)*POWER(2,15)-(MID(AL9,16,1)*POWER(2,0)+MID(AL9,15,1)*POWER(2,1)+MID(AL9,14,1)*POWER(2,2)+MID(AL9,13,1)*POWER(2,3)+MID(AL9,12,1)*POWER(2,4)+MID(AL9,11,1)*POWER(2,5)+MID(AL9,10,1)*POWER(2,6)+MID(AL9,9,1)*POWER(2,7)+MID(AL9,8,1)*POWER(2,8)+MID(AL9,7,1)*POWER(2,9)+MID(AL9,6,1)*POWER(2,10)+MID(AL9,5,1)*POWER(2,11)+MID(AL9,4,1)*POWER(2,12)+MID(AL9,3,1)*POWER(2,13)+MID(AL9,2,1)*POWER(2,14)+MID(AL9,1,1)*POWER(2,15))</f>
        <v>13979</v>
      </c>
      <c r="AO8" s="45" t="str">
        <f>H8</f>
        <v>11111011100100011001110000111110</v>
      </c>
      <c r="AP8" s="26" t="str">
        <f t="shared" si="38"/>
        <v>11111011</v>
      </c>
      <c r="AQ8" s="26" t="str">
        <f t="shared" si="39"/>
        <v>10010001</v>
      </c>
      <c r="AR8" s="26" t="str">
        <f t="shared" si="40"/>
        <v>10011100</v>
      </c>
      <c r="AS8" s="26" t="str">
        <f t="shared" si="41"/>
        <v>00111110</v>
      </c>
      <c r="AT8" s="77">
        <f>BIN2DEC(AP8)-BIN2DEC(AP9)</f>
        <v>251</v>
      </c>
      <c r="AU8" s="77">
        <f>BIN2DEC(AQ8)-BIN2DEC(AQ9)</f>
        <v>109</v>
      </c>
      <c r="AV8" s="77">
        <f>BIN2DEC(AR8)-BIN2DEC(AR9)</f>
        <v>56</v>
      </c>
      <c r="AW8" s="77">
        <f>BIN2DEC(AS8)-BIN2DEC(AS9)</f>
        <v>30</v>
      </c>
      <c r="AX8" s="27" t="str">
        <f t="shared" si="42"/>
        <v>1111</v>
      </c>
      <c r="AY8" s="27" t="str">
        <f t="shared" si="43"/>
        <v>1011</v>
      </c>
      <c r="AZ8" s="27" t="str">
        <f t="shared" si="44"/>
        <v>1001</v>
      </c>
      <c r="BA8" s="27" t="str">
        <f t="shared" si="45"/>
        <v>0001</v>
      </c>
      <c r="BB8" s="27" t="str">
        <f t="shared" si="46"/>
        <v>1001</v>
      </c>
      <c r="BC8" s="27" t="str">
        <f t="shared" si="47"/>
        <v>1100</v>
      </c>
      <c r="BD8" s="27" t="str">
        <f t="shared" si="48"/>
        <v>0011</v>
      </c>
      <c r="BE8" s="27" t="str">
        <f t="shared" si="49"/>
        <v>1110</v>
      </c>
      <c r="BF8" s="77">
        <f>BIN2DEC(AX8)-BIN2DEC(AX9)</f>
        <v>7</v>
      </c>
      <c r="BG8" s="77">
        <f t="shared" ref="BG8:BL8" si="139">BIN2DEC(AY8)-BIN2DEC(AY9)</f>
        <v>0</v>
      </c>
      <c r="BH8" s="77">
        <f t="shared" si="139"/>
        <v>-2</v>
      </c>
      <c r="BI8" s="77">
        <f t="shared" si="139"/>
        <v>-14</v>
      </c>
      <c r="BJ8" s="77">
        <f t="shared" si="139"/>
        <v>3</v>
      </c>
      <c r="BK8" s="77">
        <f t="shared" si="139"/>
        <v>7</v>
      </c>
      <c r="BL8" s="77">
        <f t="shared" si="139"/>
        <v>-7</v>
      </c>
      <c r="BM8" s="77">
        <f>BIN2DEC(BE8)-BIN2DEC(BE9)</f>
        <v>11</v>
      </c>
      <c r="BN8" s="26" t="str">
        <f t="shared" si="6"/>
        <v>1111101110010001</v>
      </c>
      <c r="BO8" s="26" t="str">
        <f t="shared" si="7"/>
        <v>1001110000111110</v>
      </c>
      <c r="BP8" s="77">
        <f>MID(BN8,16,1)*POWER(2,0)+MID(BN8,15,1)*POWER(2,1)+MID(BN8,14,1)*POWER(2,2)+MID(BN8,13,1)*POWER(2,3)+MID(BN8,12,1)*POWER(2,4)+MID(BN8,11,1)*POWER(2,5)+MID(BN8,10,1)*POWER(2,6)+MID(BN8,9,1)*POWER(2,7)+MID(BN8,8,1)*POWER(2,8)+MID(BN8,7,1)*POWER(2,9)+MID(BN8,6,1)*POWER(2,10)+MID(BN8,5,1)*POWER(2,11)+MID(BN8,4,1)*POWER(2,12)+MID(BN8,3,1)*POWER(2,13)+MID(BN8,2,1)*POWER(2,14)+MID(BN8,1,1)*POWER(2,15)-(MID(BN9,16,1)*POWER(2,0)+MID(BN9,15,1)*POWER(2,1)+MID(BN9,14,1)*POWER(2,2)+MID(BN9,13,1)*POWER(2,3)+MID(BN9,12,1)*POWER(2,4)+MID(BN9,11,1)*POWER(2,5)+MID(BN9,10,1)*POWER(2,6)+MID(BN9,9,1)*POWER(2,7)+MID(BN9,8,1)*POWER(2,8)+MID(BN9,7,1)*POWER(2,9)+MID(BN9,6,1)*POWER(2,10)+MID(BN9,5,1)*POWER(2,11)+MID(BN9,4,1)*POWER(2,12)+MID(BN9,3,1)*POWER(2,13)+MID(BN9,2,1)*POWER(2,14)+MID(BN9,1,1)*POWER(2,15))</f>
        <v>64365</v>
      </c>
      <c r="BQ8" s="77">
        <f>MID(BO8,16,1)*POWER(2,0)+MID(BO8,15,1)*POWER(2,1)+MID(BO8,14,1)*POWER(2,2)+MID(BO8,13,1)*POWER(2,3)+MID(BO8,12,1)*POWER(2,4)+MID(BO8,11,1)*POWER(2,5)+MID(BO8,10,1)*POWER(2,6)+MID(BO8,9,1)*POWER(2,7)+MID(BO8,8,1)*POWER(2,8)+MID(BO8,7,1)*POWER(2,9)+MID(BO8,6,1)*POWER(2,10)+MID(BO8,5,1)*POWER(2,11)+MID(BO8,4,1)*POWER(2,12)+MID(BO8,3,1)*POWER(2,13)+MID(BO8,2,1)*POWER(2,14)+MID(BO8,1,1)*POWER(2,15)-(MID(BO9,16,1)*POWER(2,0)+MID(BO9,15,1)*POWER(2,1)+MID(BO9,14,1)*POWER(2,2)+MID(BO9,13,1)*POWER(2,3)+MID(BO9,12,1)*POWER(2,4)+MID(BO9,11,1)*POWER(2,5)+MID(BO9,10,1)*POWER(2,6)+MID(BO9,9,1)*POWER(2,7)+MID(BO9,8,1)*POWER(2,8)+MID(BO9,7,1)*POWER(2,9)+MID(BO9,6,1)*POWER(2,10)+MID(BO9,5,1)*POWER(2,11)+MID(BO9,4,1)*POWER(2,12)+MID(BO9,3,1)*POWER(2,13)+MID(BO9,2,1)*POWER(2,14)+MID(BO9,1,1)*POWER(2,15))</f>
        <v>14366</v>
      </c>
      <c r="BR8" s="45" t="str">
        <f>CONCATENATE(MID($L8,1,1)*MID($K8,1,1),MID($L8,2,1)*MID($K8,2,1),MID($L8,3,1)*MID($K8,3,1),MID($L8,4,1)*MID($K8,4,1),MID($L8,5,1)*MID($K8,5,1),MID($L8,6,1)*MID($K8,6,1),MID($L8,7,1)*MID($K8,7,1),MID($L8,8,1)*MID($K8,8,1),MID($L8,9,1)*MID($K8,1,1),MID($L8,10,1)*MID($K8,2,1),MID($L8,11,1)*MID($K8,3,1),MID($L8,12,1)*MID($K8,4,1),MID($L8,13,1)*MID($K8,5,1),MID($L8,14,1)*MID($K8,6,1),MID($L8,15,1)*MID($K8,7,1),MID($L8,16,1)*MID($K8,8,1),MID($L8,17,1)*MID($K8,1,1),MID($L8,18,1)*MID($K8,2,1),MID($L8,19,1)*MID($K8,3,1),MID($L8,20,1)*MID($K8,4,1),MID($L8,21,1)*MID($K8,5,1),MID($L8,22,1)*MID($K8,6,1),MID($L8,23,1)*MID($K8,7,1),MID($L8,24,1)*MID($K8,8,1),MID($L8,25,1)*MID($K8,1,1),MID($L8,26,1)*MID($K8,2,1),MID($L8,27,1)*MID($K8,3,1),MID($L8,28,1)*MID($K8,4,1),MID($L8,29,1)*MID($K8,5,1),MID($L8,30,1)*MID($K8,6,1),MID($L8,31,1)*MID($K8,7,1),MID($L8,32,1)*MID($K8,8,1))</f>
        <v>01100000000000000000010000100100</v>
      </c>
      <c r="BS8" s="26" t="str">
        <f t="shared" si="50"/>
        <v>01100000</v>
      </c>
      <c r="BT8" s="26" t="str">
        <f t="shared" si="51"/>
        <v>00000000</v>
      </c>
      <c r="BU8" s="26" t="str">
        <f t="shared" si="52"/>
        <v>00000100</v>
      </c>
      <c r="BV8" s="26" t="str">
        <f t="shared" si="53"/>
        <v>00100100</v>
      </c>
      <c r="BW8" s="77">
        <f>BIN2DEC(BS8)-BIN2DEC(BS9)</f>
        <v>-43</v>
      </c>
      <c r="BX8" s="77">
        <f>BIN2DEC(BT8)-BIN2DEC(BT9)</f>
        <v>-191</v>
      </c>
      <c r="BY8" s="77">
        <f>BIN2DEC(BU8)-BIN2DEC(BU9)</f>
        <v>-97</v>
      </c>
      <c r="BZ8" s="77">
        <f>BIN2DEC(BV8)-BIN2DEC(BV9)</f>
        <v>-127</v>
      </c>
      <c r="CA8" s="27" t="str">
        <f t="shared" si="54"/>
        <v>1111</v>
      </c>
      <c r="CB8" s="27" t="str">
        <f t="shared" si="55"/>
        <v>1011</v>
      </c>
      <c r="CC8" s="27" t="str">
        <f t="shared" si="56"/>
        <v>1001</v>
      </c>
      <c r="CD8" s="27" t="str">
        <f t="shared" si="57"/>
        <v>0001</v>
      </c>
      <c r="CE8" s="27" t="str">
        <f t="shared" si="58"/>
        <v>1001</v>
      </c>
      <c r="CF8" s="27" t="str">
        <f t="shared" si="59"/>
        <v>1100</v>
      </c>
      <c r="CG8" s="27" t="str">
        <f t="shared" si="60"/>
        <v>0011</v>
      </c>
      <c r="CH8" s="27" t="str">
        <f t="shared" si="61"/>
        <v>1110</v>
      </c>
      <c r="CI8" s="77">
        <f>BIN2DEC(CA8)-BIN2DEC(CA9)</f>
        <v>7</v>
      </c>
      <c r="CJ8" s="77">
        <f t="shared" ref="CJ8:CO8" si="140">BIN2DEC(CB8)-BIN2DEC(CB9)</f>
        <v>0</v>
      </c>
      <c r="CK8" s="77">
        <f t="shared" si="140"/>
        <v>-2</v>
      </c>
      <c r="CL8" s="77">
        <f t="shared" si="140"/>
        <v>-14</v>
      </c>
      <c r="CM8" s="77">
        <f t="shared" si="140"/>
        <v>3</v>
      </c>
      <c r="CN8" s="77">
        <f t="shared" si="140"/>
        <v>7</v>
      </c>
      <c r="CO8" s="77">
        <f t="shared" si="140"/>
        <v>-7</v>
      </c>
      <c r="CP8" s="77">
        <f>BIN2DEC(CH8)-BIN2DEC(CH9)</f>
        <v>11</v>
      </c>
      <c r="CQ8" s="26" t="str">
        <f t="shared" si="9"/>
        <v>0110000000000000</v>
      </c>
      <c r="CR8" s="26" t="str">
        <f t="shared" si="10"/>
        <v>0000010000100100</v>
      </c>
      <c r="CS8" s="77">
        <f>MID(CQ8,16,1)*POWER(2,0)+MID(CQ8,15,1)*POWER(2,1)+MID(CQ8,14,1)*POWER(2,2)+MID(CQ8,13,1)*POWER(2,3)+MID(CQ8,12,1)*POWER(2,4)+MID(CQ8,11,1)*POWER(2,5)+MID(CQ8,10,1)*POWER(2,6)+MID(CQ8,9,1)*POWER(2,7)+MID(CQ8,8,1)*POWER(2,8)+MID(CQ8,7,1)*POWER(2,9)+MID(CQ8,6,1)*POWER(2,10)+MID(CQ8,5,1)*POWER(2,11)+MID(CQ8,4,1)*POWER(2,12)+MID(CQ8,3,1)*POWER(2,13)+MID(CQ8,2,1)*POWER(2,14)+MID(CQ8,1,1)*POWER(2,15)-(MID(CQ9,16,1)*POWER(2,0)+MID(CQ9,15,1)*POWER(2,1)+MID(CQ9,14,1)*POWER(2,2)+MID(CQ9,13,1)*POWER(2,3)+MID(CQ9,12,1)*POWER(2,4)+MID(CQ9,11,1)*POWER(2,5)+MID(CQ9,10,1)*POWER(2,6)+MID(CQ9,9,1)*POWER(2,7)+MID(CQ9,8,1)*POWER(2,8)+MID(CQ9,7,1)*POWER(2,9)+MID(CQ9,6,1)*POWER(2,10)+MID(CQ9,5,1)*POWER(2,11)+MID(CQ9,4,1)*POWER(2,12)+MID(CQ9,3,1)*POWER(2,13)+MID(CQ9,2,1)*POWER(2,14)+MID(CQ9,1,1)*POWER(2,15))</f>
        <v>-11199</v>
      </c>
      <c r="CT8" s="77">
        <f>MID(CR8,16,1)*POWER(2,0)+MID(CR8,15,1)*POWER(2,1)+MID(CR8,14,1)*POWER(2,2)+MID(CR8,13,1)*POWER(2,3)+MID(CR8,12,1)*POWER(2,4)+MID(CR8,11,1)*POWER(2,5)+MID(CR8,10,1)*POWER(2,6)+MID(CR8,9,1)*POWER(2,7)+MID(CR8,8,1)*POWER(2,8)+MID(CR8,7,1)*POWER(2,9)+MID(CR8,6,1)*POWER(2,10)+MID(CR8,5,1)*POWER(2,11)+MID(CR8,4,1)*POWER(2,12)+MID(CR8,3,1)*POWER(2,13)+MID(CR8,2,1)*POWER(2,14)+MID(CR8,1,1)*POWER(2,15)-(MID(CR9,16,1)*POWER(2,0)+MID(CR9,15,1)*POWER(2,1)+MID(CR9,14,1)*POWER(2,2)+MID(CR9,13,1)*POWER(2,3)+MID(CR9,12,1)*POWER(2,4)+MID(CR9,11,1)*POWER(2,5)+MID(CR9,10,1)*POWER(2,6)+MID(CR9,9,1)*POWER(2,7)+MID(CR9,8,1)*POWER(2,8)+MID(CR9,7,1)*POWER(2,9)+MID(CR9,6,1)*POWER(2,10)+MID(CR9,5,1)*POWER(2,11)+MID(CR9,4,1)*POWER(2,12)+MID(CR9,3,1)*POWER(2,13)+MID(CR9,2,1)*POWER(2,14)+MID(CR9,1,1)*POWER(2,15))</f>
        <v>-24959</v>
      </c>
      <c r="CU8" s="45" t="str">
        <f>BR8</f>
        <v>01100000000000000000010000100100</v>
      </c>
      <c r="CV8" s="26" t="str">
        <f t="shared" si="62"/>
        <v>01100000</v>
      </c>
      <c r="CW8" s="26" t="str">
        <f t="shared" si="63"/>
        <v>00000000</v>
      </c>
      <c r="CX8" s="26" t="str">
        <f t="shared" si="64"/>
        <v>00000100</v>
      </c>
      <c r="CY8" s="26" t="str">
        <f t="shared" si="65"/>
        <v>00100100</v>
      </c>
      <c r="CZ8" s="77">
        <f>BIN2DEC(CV8)-BIN2DEC(CV9)</f>
        <v>96</v>
      </c>
      <c r="DA8" s="77">
        <f>BIN2DEC(CW8)-BIN2DEC(CW9)</f>
        <v>-36</v>
      </c>
      <c r="DB8" s="77">
        <f>BIN2DEC(CX8)-BIN2DEC(CX9)</f>
        <v>-96</v>
      </c>
      <c r="DC8" s="77">
        <f>BIN2DEC(CY8)-BIN2DEC(CY9)</f>
        <v>4</v>
      </c>
      <c r="DD8" s="27" t="str">
        <f t="shared" si="66"/>
        <v>1111</v>
      </c>
      <c r="DE8" s="27" t="str">
        <f t="shared" si="67"/>
        <v>1011</v>
      </c>
      <c r="DF8" s="27" t="str">
        <f t="shared" si="68"/>
        <v>1001</v>
      </c>
      <c r="DG8" s="27" t="str">
        <f t="shared" si="69"/>
        <v>0001</v>
      </c>
      <c r="DH8" s="27" t="str">
        <f t="shared" si="70"/>
        <v>1001</v>
      </c>
      <c r="DI8" s="27" t="str">
        <f t="shared" si="71"/>
        <v>1100</v>
      </c>
      <c r="DJ8" s="27" t="str">
        <f t="shared" si="72"/>
        <v>0011</v>
      </c>
      <c r="DK8" s="27" t="str">
        <f t="shared" si="73"/>
        <v>1110</v>
      </c>
      <c r="DL8" s="77">
        <f>BIN2DEC(DD8)-BIN2DEC(DD9)</f>
        <v>7</v>
      </c>
      <c r="DM8" s="77">
        <f t="shared" ref="DM8:DR8" si="141">BIN2DEC(DE8)-BIN2DEC(DE9)</f>
        <v>0</v>
      </c>
      <c r="DN8" s="77">
        <f t="shared" si="141"/>
        <v>-2</v>
      </c>
      <c r="DO8" s="77">
        <f t="shared" si="141"/>
        <v>-14</v>
      </c>
      <c r="DP8" s="77">
        <f t="shared" si="141"/>
        <v>3</v>
      </c>
      <c r="DQ8" s="77">
        <f t="shared" si="141"/>
        <v>7</v>
      </c>
      <c r="DR8" s="77">
        <f t="shared" si="141"/>
        <v>-7</v>
      </c>
      <c r="DS8" s="77">
        <f>BIN2DEC(DK8)-BIN2DEC(DK9)</f>
        <v>11</v>
      </c>
      <c r="DT8" s="26" t="str">
        <f t="shared" si="12"/>
        <v>0110000000000000</v>
      </c>
      <c r="DU8" s="26" t="str">
        <f t="shared" si="13"/>
        <v>0000010000100100</v>
      </c>
      <c r="DV8" s="77">
        <f>MID(DT8,16,1)*POWER(2,0)+MID(DT8,15,1)*POWER(2,1)+MID(DT8,14,1)*POWER(2,2)+MID(DT8,13,1)*POWER(2,3)+MID(DT8,12,1)*POWER(2,4)+MID(DT8,11,1)*POWER(2,5)+MID(DT8,10,1)*POWER(2,6)+MID(DT8,9,1)*POWER(2,7)+MID(DT8,8,1)*POWER(2,8)+MID(DT8,7,1)*POWER(2,9)+MID(DT8,6,1)*POWER(2,10)+MID(DT8,5,1)*POWER(2,11)+MID(DT8,4,1)*POWER(2,12)+MID(DT8,3,1)*POWER(2,13)+MID(DT8,2,1)*POWER(2,14)+MID(DT8,1,1)*POWER(2,15)-(MID(DT9,16,1)*POWER(2,0)+MID(DT9,15,1)*POWER(2,1)+MID(DT9,14,1)*POWER(2,2)+MID(DT9,13,1)*POWER(2,3)+MID(DT9,12,1)*POWER(2,4)+MID(DT9,11,1)*POWER(2,5)+MID(DT9,10,1)*POWER(2,6)+MID(DT9,9,1)*POWER(2,7)+MID(DT9,8,1)*POWER(2,8)+MID(DT9,7,1)*POWER(2,9)+MID(DT9,6,1)*POWER(2,10)+MID(DT9,5,1)*POWER(2,11)+MID(DT9,4,1)*POWER(2,12)+MID(DT9,3,1)*POWER(2,13)+MID(DT9,2,1)*POWER(2,14)+MID(DT9,1,1)*POWER(2,15))</f>
        <v>24540</v>
      </c>
      <c r="DW8" s="77">
        <f>MID(DU8,16,1)*POWER(2,0)+MID(DU8,15,1)*POWER(2,1)+MID(DU8,14,1)*POWER(2,2)+MID(DU8,13,1)*POWER(2,3)+MID(DU8,12,1)*POWER(2,4)+MID(DU8,11,1)*POWER(2,5)+MID(DU8,10,1)*POWER(2,6)+MID(DU8,9,1)*POWER(2,7)+MID(DU8,8,1)*POWER(2,8)+MID(DU8,7,1)*POWER(2,9)+MID(DU8,6,1)*POWER(2,10)+MID(DU8,5,1)*POWER(2,11)+MID(DU8,4,1)*POWER(2,12)+MID(DU8,3,1)*POWER(2,13)+MID(DU8,2,1)*POWER(2,14)+MID(DU8,1,1)*POWER(2,15)-(MID(DU9,16,1)*POWER(2,0)+MID(DU9,15,1)*POWER(2,1)+MID(DU9,14,1)*POWER(2,2)+MID(DU9,13,1)*POWER(2,3)+MID(DU9,12,1)*POWER(2,4)+MID(DU9,11,1)*POWER(2,5)+MID(DU9,10,1)*POWER(2,6)+MID(DU9,9,1)*POWER(2,7)+MID(DU9,8,1)*POWER(2,8)+MID(DU9,7,1)*POWER(2,9)+MID(DU9,6,1)*POWER(2,10)+MID(DU9,5,1)*POWER(2,11)+MID(DU9,4,1)*POWER(2,12)+MID(DU9,3,1)*POWER(2,13)+MID(DU9,2,1)*POWER(2,14)+MID(DU9,1,1)*POWER(2,15))</f>
        <v>-24572</v>
      </c>
      <c r="DX8" s="22"/>
      <c r="DY8" s="43" t="str">
        <f>H8</f>
        <v>11111011100100011001110000111110</v>
      </c>
      <c r="DZ8" s="26" t="str">
        <f t="shared" si="122"/>
        <v>11111011</v>
      </c>
      <c r="EA8" s="26" t="str">
        <f t="shared" si="74"/>
        <v>10010001</v>
      </c>
      <c r="EB8" s="26" t="str">
        <f t="shared" si="75"/>
        <v>10011100</v>
      </c>
      <c r="EC8" s="26" t="str">
        <f t="shared" si="76"/>
        <v>00111110</v>
      </c>
      <c r="ED8" s="77">
        <f>BIN2DEC(DZ8)-BIN2DEC(DZ9)</f>
        <v>248</v>
      </c>
      <c r="EE8" s="77">
        <f>BIN2DEC(EA8)-BIN2DEC(EA9)</f>
        <v>110</v>
      </c>
      <c r="EF8" s="77">
        <f>BIN2DEC(EB8)-BIN2DEC(EB9)</f>
        <v>123</v>
      </c>
      <c r="EG8" s="77">
        <f>BIN2DEC(EC8)-BIN2DEC(EC9)</f>
        <v>27</v>
      </c>
      <c r="EH8" s="27" t="str">
        <f t="shared" si="77"/>
        <v>1111</v>
      </c>
      <c r="EI8" s="27" t="str">
        <f t="shared" si="78"/>
        <v>1011</v>
      </c>
      <c r="EJ8" s="27" t="str">
        <f t="shared" si="79"/>
        <v>1001</v>
      </c>
      <c r="EK8" s="27" t="str">
        <f t="shared" si="80"/>
        <v>0001</v>
      </c>
      <c r="EL8" s="27" t="str">
        <f t="shared" si="81"/>
        <v>1001</v>
      </c>
      <c r="EM8" s="27" t="str">
        <f t="shared" si="82"/>
        <v>1100</v>
      </c>
      <c r="EN8" s="27" t="str">
        <f t="shared" si="83"/>
        <v>0011</v>
      </c>
      <c r="EO8" s="27" t="str">
        <f t="shared" si="84"/>
        <v>1110</v>
      </c>
      <c r="EP8" s="77">
        <f>BIN2DEC(EH8)-BIN2DEC(EH9)</f>
        <v>7</v>
      </c>
      <c r="EQ8" s="77">
        <f t="shared" ref="EQ8:EV8" si="142">BIN2DEC(EI8)-BIN2DEC(EI9)</f>
        <v>0</v>
      </c>
      <c r="ER8" s="77">
        <f t="shared" si="142"/>
        <v>-2</v>
      </c>
      <c r="ES8" s="77">
        <f t="shared" si="142"/>
        <v>-14</v>
      </c>
      <c r="ET8" s="77">
        <f t="shared" si="142"/>
        <v>3</v>
      </c>
      <c r="EU8" s="77">
        <f t="shared" si="142"/>
        <v>7</v>
      </c>
      <c r="EV8" s="77">
        <f t="shared" si="142"/>
        <v>-7</v>
      </c>
      <c r="EW8" s="77">
        <f>BIN2DEC(EO8)-BIN2DEC(EO9)</f>
        <v>11</v>
      </c>
      <c r="EX8" s="26" t="str">
        <f t="shared" si="15"/>
        <v>1111101110010001</v>
      </c>
      <c r="EY8" s="26" t="str">
        <f t="shared" si="16"/>
        <v>1001110000111110</v>
      </c>
      <c r="EZ8" s="77">
        <f>MID(EX8,16,1)*POWER(2,0)+MID(EX8,15,1)*POWER(2,1)+MID(EX8,14,1)*POWER(2,2)+MID(EX8,13,1)*POWER(2,3)+MID(EX8,12,1)*POWER(2,4)+MID(EX8,11,1)*POWER(2,5)+MID(EX8,10,1)*POWER(2,6)+MID(EX8,9,1)*POWER(2,7)+MID(EX8,8,1)*POWER(2,8)+MID(EX8,7,1)*POWER(2,9)+MID(EX8,6,1)*POWER(2,10)+MID(EX8,5,1)*POWER(2,11)+MID(EX8,4,1)*POWER(2,12)+MID(EX8,3,1)*POWER(2,13)+MID(EX8,2,1)*POWER(2,14)+MID(EX8,1,1)*POWER(2,15)-(MID(EX9,16,1)*POWER(2,0)+MID(EX9,15,1)*POWER(2,1)+MID(EX9,14,1)*POWER(2,2)+MID(EX9,13,1)*POWER(2,3)+MID(EX9,12,1)*POWER(2,4)+MID(EX9,11,1)*POWER(2,5)+MID(EX9,10,1)*POWER(2,6)+MID(EX9,9,1)*POWER(2,7)+MID(EX9,8,1)*POWER(2,8)+MID(EX9,7,1)*POWER(2,9)+MID(EX9,6,1)*POWER(2,10)+MID(EX9,5,1)*POWER(2,11)+MID(EX9,4,1)*POWER(2,12)+MID(EX9,3,1)*POWER(2,13)+MID(EX9,2,1)*POWER(2,14)+MID(EX9,1,1)*POWER(2,15))</f>
        <v>63598</v>
      </c>
      <c r="FA8" s="77">
        <f>MID(EY8,16,1)*POWER(2,0)+MID(EY8,15,1)*POWER(2,1)+MID(EY8,14,1)*POWER(2,2)+MID(EY8,13,1)*POWER(2,3)+MID(EY8,12,1)*POWER(2,4)+MID(EY8,11,1)*POWER(2,5)+MID(EY8,10,1)*POWER(2,6)+MID(EY8,9,1)*POWER(2,7)+MID(EY8,8,1)*POWER(2,8)+MID(EY8,7,1)*POWER(2,9)+MID(EY8,6,1)*POWER(2,10)+MID(EY8,5,1)*POWER(2,11)+MID(EY8,4,1)*POWER(2,12)+MID(EY8,3,1)*POWER(2,13)+MID(EY8,2,1)*POWER(2,14)+MID(EY8,1,1)*POWER(2,15)-(MID(EY9,16,1)*POWER(2,0)+MID(EY9,15,1)*POWER(2,1)+MID(EY9,14,1)*POWER(2,2)+MID(EY9,13,1)*POWER(2,3)+MID(EY9,12,1)*POWER(2,4)+MID(EY9,11,1)*POWER(2,5)+MID(EY9,10,1)*POWER(2,6)+MID(EY9,9,1)*POWER(2,7)+MID(EY9,8,1)*POWER(2,8)+MID(EY9,7,1)*POWER(2,9)+MID(EY9,6,1)*POWER(2,10)+MID(EY9,5,1)*POWER(2,11)+MID(EY9,4,1)*POWER(2,12)+MID(EY9,3,1)*POWER(2,13)+MID(EY9,2,1)*POWER(2,14)+MID(EY9,1,1)*POWER(2,15))</f>
        <v>31515</v>
      </c>
      <c r="FB8" s="45" t="str">
        <f>H8</f>
        <v>11111011100100011001110000111110</v>
      </c>
      <c r="FC8" s="26" t="str">
        <f t="shared" si="124"/>
        <v>11111011</v>
      </c>
      <c r="FD8" s="26" t="str">
        <f t="shared" si="85"/>
        <v>10010001</v>
      </c>
      <c r="FE8" s="26" t="str">
        <f t="shared" si="86"/>
        <v>10011100</v>
      </c>
      <c r="FF8" s="26" t="str">
        <f t="shared" si="87"/>
        <v>00111110</v>
      </c>
      <c r="FG8" s="77">
        <f>BIN2DEC(FC8)-BIN2DEC(FC9)</f>
        <v>251</v>
      </c>
      <c r="FH8" s="77">
        <f>BIN2DEC(FD8)-BIN2DEC(FD9)</f>
        <v>113</v>
      </c>
      <c r="FI8" s="77">
        <f>BIN2DEC(FE8)-BIN2DEC(FE9)</f>
        <v>124</v>
      </c>
      <c r="FJ8" s="77">
        <f>BIN2DEC(FF8)-BIN2DEC(FF9)</f>
        <v>30</v>
      </c>
      <c r="FK8" s="27" t="str">
        <f t="shared" si="88"/>
        <v>1111</v>
      </c>
      <c r="FL8" s="27" t="str">
        <f t="shared" si="89"/>
        <v>1011</v>
      </c>
      <c r="FM8" s="27" t="str">
        <f t="shared" si="90"/>
        <v>1001</v>
      </c>
      <c r="FN8" s="27" t="str">
        <f t="shared" si="91"/>
        <v>0001</v>
      </c>
      <c r="FO8" s="27" t="str">
        <f t="shared" si="92"/>
        <v>1001</v>
      </c>
      <c r="FP8" s="27" t="str">
        <f t="shared" si="93"/>
        <v>1100</v>
      </c>
      <c r="FQ8" s="27" t="str">
        <f t="shared" si="94"/>
        <v>0011</v>
      </c>
      <c r="FR8" s="27" t="str">
        <f t="shared" si="95"/>
        <v>1110</v>
      </c>
      <c r="FS8" s="77">
        <f>BIN2DEC(FK8)-BIN2DEC(FK9)</f>
        <v>7</v>
      </c>
      <c r="FT8" s="77">
        <f t="shared" ref="FT8:FY8" si="143">BIN2DEC(FL8)-BIN2DEC(FL9)</f>
        <v>0</v>
      </c>
      <c r="FU8" s="77">
        <f t="shared" si="143"/>
        <v>-2</v>
      </c>
      <c r="FV8" s="77">
        <f t="shared" si="143"/>
        <v>-14</v>
      </c>
      <c r="FW8" s="77">
        <f t="shared" si="143"/>
        <v>3</v>
      </c>
      <c r="FX8" s="77">
        <f t="shared" si="143"/>
        <v>7</v>
      </c>
      <c r="FY8" s="77">
        <f t="shared" si="143"/>
        <v>-7</v>
      </c>
      <c r="FZ8" s="77">
        <f>BIN2DEC(FR8)-BIN2DEC(FR9)</f>
        <v>11</v>
      </c>
      <c r="GA8" s="26" t="str">
        <f t="shared" si="18"/>
        <v>1111101110010001</v>
      </c>
      <c r="GB8" s="26" t="str">
        <f t="shared" si="19"/>
        <v>1001110000111110</v>
      </c>
      <c r="GC8" s="77">
        <f>MID(GA8,16,1)*POWER(2,0)+MID(GA8,15,1)*POWER(2,1)+MID(GA8,14,1)*POWER(2,2)+MID(GA8,13,1)*POWER(2,3)+MID(GA8,12,1)*POWER(2,4)+MID(GA8,11,1)*POWER(2,5)+MID(GA8,10,1)*POWER(2,6)+MID(GA8,9,1)*POWER(2,7)+MID(GA8,8,1)*POWER(2,8)+MID(GA8,7,1)*POWER(2,9)+MID(GA8,6,1)*POWER(2,10)+MID(GA8,5,1)*POWER(2,11)+MID(GA8,4,1)*POWER(2,12)+MID(GA8,3,1)*POWER(2,13)+MID(GA8,2,1)*POWER(2,14)+MID(GA8,1,1)*POWER(2,15)-(MID(GA9,16,1)*POWER(2,0)+MID(GA9,15,1)*POWER(2,1)+MID(GA9,14,1)*POWER(2,2)+MID(GA9,13,1)*POWER(2,3)+MID(GA9,12,1)*POWER(2,4)+MID(GA9,11,1)*POWER(2,5)+MID(GA9,10,1)*POWER(2,6)+MID(GA9,9,1)*POWER(2,7)+MID(GA9,8,1)*POWER(2,8)+MID(GA9,7,1)*POWER(2,9)+MID(GA9,6,1)*POWER(2,10)+MID(GA9,5,1)*POWER(2,11)+MID(GA9,4,1)*POWER(2,12)+MID(GA9,3,1)*POWER(2,13)+MID(GA9,2,1)*POWER(2,14)+MID(GA9,1,1)*POWER(2,15))</f>
        <v>64369</v>
      </c>
      <c r="GD8" s="77">
        <f>MID(GB8,16,1)*POWER(2,0)+MID(GB8,15,1)*POWER(2,1)+MID(GB8,14,1)*POWER(2,2)+MID(GB8,13,1)*POWER(2,3)+MID(GB8,12,1)*POWER(2,4)+MID(GB8,11,1)*POWER(2,5)+MID(GB8,10,1)*POWER(2,6)+MID(GB8,9,1)*POWER(2,7)+MID(GB8,8,1)*POWER(2,8)+MID(GB8,7,1)*POWER(2,9)+MID(GB8,6,1)*POWER(2,10)+MID(GB8,5,1)*POWER(2,11)+MID(GB8,4,1)*POWER(2,12)+MID(GB8,3,1)*POWER(2,13)+MID(GB8,2,1)*POWER(2,14)+MID(GB8,1,1)*POWER(2,15)-(MID(GB9,16,1)*POWER(2,0)+MID(GB9,15,1)*POWER(2,1)+MID(GB9,14,1)*POWER(2,2)+MID(GB9,13,1)*POWER(2,3)+MID(GB9,12,1)*POWER(2,4)+MID(GB9,11,1)*POWER(2,5)+MID(GB9,10,1)*POWER(2,6)+MID(GB9,9,1)*POWER(2,7)+MID(GB9,8,1)*POWER(2,8)+MID(GB9,7,1)*POWER(2,9)+MID(GB9,6,1)*POWER(2,10)+MID(GB9,5,1)*POWER(2,11)+MID(GB9,4,1)*POWER(2,12)+MID(GB9,3,1)*POWER(2,13)+MID(GB9,2,1)*POWER(2,14)+MID(GB9,1,1)*POWER(2,15))</f>
        <v>31774</v>
      </c>
      <c r="GE8" s="47" t="str">
        <f>CU8</f>
        <v>01100000000000000000010000100100</v>
      </c>
      <c r="GF8" s="26" t="str">
        <f t="shared" si="126"/>
        <v>01100000</v>
      </c>
      <c r="GG8" s="26" t="str">
        <f t="shared" si="96"/>
        <v>00000000</v>
      </c>
      <c r="GH8" s="26" t="str">
        <f t="shared" si="97"/>
        <v>00000100</v>
      </c>
      <c r="GI8" s="26" t="str">
        <f t="shared" si="98"/>
        <v>00100100</v>
      </c>
      <c r="GJ8" s="77">
        <f>BIN2DEC(GF8)-BIN2DEC(GF9)</f>
        <v>93</v>
      </c>
      <c r="GK8" s="77">
        <f>BIN2DEC(GG8)-BIN2DEC(GG9)</f>
        <v>-35</v>
      </c>
      <c r="GL8" s="77">
        <f>BIN2DEC(GH8)-BIN2DEC(GH9)</f>
        <v>-29</v>
      </c>
      <c r="GM8" s="77">
        <f>BIN2DEC(GI8)-BIN2DEC(GI9)</f>
        <v>1</v>
      </c>
      <c r="GN8" s="27" t="str">
        <f t="shared" si="99"/>
        <v>1111</v>
      </c>
      <c r="GO8" s="27" t="str">
        <f t="shared" si="100"/>
        <v>1011</v>
      </c>
      <c r="GP8" s="27" t="str">
        <f t="shared" si="101"/>
        <v>1001</v>
      </c>
      <c r="GQ8" s="27" t="str">
        <f t="shared" si="102"/>
        <v>0001</v>
      </c>
      <c r="GR8" s="27" t="str">
        <f t="shared" si="103"/>
        <v>1001</v>
      </c>
      <c r="GS8" s="27" t="str">
        <f t="shared" si="104"/>
        <v>1100</v>
      </c>
      <c r="GT8" s="27" t="str">
        <f t="shared" si="105"/>
        <v>0011</v>
      </c>
      <c r="GU8" s="27" t="str">
        <f t="shared" si="106"/>
        <v>1110</v>
      </c>
      <c r="GV8" s="77">
        <f>BIN2DEC(GN8)-BIN2DEC(GN9)</f>
        <v>7</v>
      </c>
      <c r="GW8" s="77">
        <f t="shared" ref="GW8:HB8" si="144">BIN2DEC(GO8)-BIN2DEC(GO9)</f>
        <v>0</v>
      </c>
      <c r="GX8" s="77">
        <f t="shared" si="144"/>
        <v>-2</v>
      </c>
      <c r="GY8" s="77">
        <f t="shared" si="144"/>
        <v>-14</v>
      </c>
      <c r="GZ8" s="77">
        <f t="shared" si="144"/>
        <v>3</v>
      </c>
      <c r="HA8" s="77">
        <f t="shared" si="144"/>
        <v>7</v>
      </c>
      <c r="HB8" s="77">
        <f t="shared" si="144"/>
        <v>-7</v>
      </c>
      <c r="HC8" s="77">
        <f>BIN2DEC(GU8)-BIN2DEC(GU9)</f>
        <v>11</v>
      </c>
      <c r="HD8" s="26" t="str">
        <f t="shared" si="21"/>
        <v>0110000000000000</v>
      </c>
      <c r="HE8" s="26" t="str">
        <f t="shared" si="22"/>
        <v>0000010000100100</v>
      </c>
      <c r="HF8" s="77">
        <f>MID(HD8,16,1)*POWER(2,0)+MID(HD8,15,1)*POWER(2,1)+MID(HD8,14,1)*POWER(2,2)+MID(HD8,13,1)*POWER(2,3)+MID(HD8,12,1)*POWER(2,4)+MID(HD8,11,1)*POWER(2,5)+MID(HD8,10,1)*POWER(2,6)+MID(HD8,9,1)*POWER(2,7)+MID(HD8,8,1)*POWER(2,8)+MID(HD8,7,1)*POWER(2,9)+MID(HD8,6,1)*POWER(2,10)+MID(HD8,5,1)*POWER(2,11)+MID(HD8,4,1)*POWER(2,12)+MID(HD8,3,1)*POWER(2,13)+MID(HD8,2,1)*POWER(2,14)+MID(HD8,1,1)*POWER(2,15)-(MID(HD9,16,1)*POWER(2,0)+MID(HD9,15,1)*POWER(2,1)+MID(HD9,14,1)*POWER(2,2)+MID(HD9,13,1)*POWER(2,3)+MID(HD9,12,1)*POWER(2,4)+MID(HD9,11,1)*POWER(2,5)+MID(HD9,10,1)*POWER(2,6)+MID(HD9,9,1)*POWER(2,7)+MID(HD9,8,1)*POWER(2,8)+MID(HD9,7,1)*POWER(2,9)+MID(HD9,6,1)*POWER(2,10)+MID(HD9,5,1)*POWER(2,11)+MID(HD9,4,1)*POWER(2,12)+MID(HD9,3,1)*POWER(2,13)+MID(HD9,2,1)*POWER(2,14)+MID(HD9,1,1)*POWER(2,15))</f>
        <v>23773</v>
      </c>
      <c r="HG8" s="77">
        <f>MID(HE8,16,1)*POWER(2,0)+MID(HE8,15,1)*POWER(2,1)+MID(HE8,14,1)*POWER(2,2)+MID(HE8,13,1)*POWER(2,3)+MID(HE8,12,1)*POWER(2,4)+MID(HE8,11,1)*POWER(2,5)+MID(HE8,10,1)*POWER(2,6)+MID(HE8,9,1)*POWER(2,7)+MID(HE8,8,1)*POWER(2,8)+MID(HE8,7,1)*POWER(2,9)+MID(HE8,6,1)*POWER(2,10)+MID(HE8,5,1)*POWER(2,11)+MID(HE8,4,1)*POWER(2,12)+MID(HE8,3,1)*POWER(2,13)+MID(HE8,2,1)*POWER(2,14)+MID(HE8,1,1)*POWER(2,15)-(MID(HE9,16,1)*POWER(2,0)+MID(HE9,15,1)*POWER(2,1)+MID(HE9,14,1)*POWER(2,2)+MID(HE9,13,1)*POWER(2,3)+MID(HE9,12,1)*POWER(2,4)+MID(HE9,11,1)*POWER(2,5)+MID(HE9,10,1)*POWER(2,6)+MID(HE9,9,1)*POWER(2,7)+MID(HE9,8,1)*POWER(2,8)+MID(HE9,7,1)*POWER(2,9)+MID(HE9,6,1)*POWER(2,10)+MID(HE9,5,1)*POWER(2,11)+MID(HE9,4,1)*POWER(2,12)+MID(HE9,3,1)*POWER(2,13)+MID(HE9,2,1)*POWER(2,14)+MID(HE9,1,1)*POWER(2,15))</f>
        <v>-7423</v>
      </c>
      <c r="HH8" s="45" t="str">
        <f>GE8</f>
        <v>01100000000000000000010000100100</v>
      </c>
      <c r="HI8" s="26" t="str">
        <f t="shared" si="128"/>
        <v>01100000</v>
      </c>
      <c r="HJ8" s="26" t="str">
        <f t="shared" si="107"/>
        <v>00000000</v>
      </c>
      <c r="HK8" s="26" t="str">
        <f t="shared" si="108"/>
        <v>00000100</v>
      </c>
      <c r="HL8" s="26" t="str">
        <f t="shared" si="109"/>
        <v>00100100</v>
      </c>
      <c r="HM8" s="77">
        <f>BIN2DEC(HI8)-BIN2DEC(HI9)</f>
        <v>96</v>
      </c>
      <c r="HN8" s="77">
        <f>BIN2DEC(HJ8)-BIN2DEC(HJ9)</f>
        <v>-32</v>
      </c>
      <c r="HO8" s="77">
        <f>BIN2DEC(HK8)-BIN2DEC(HK9)</f>
        <v>-28</v>
      </c>
      <c r="HP8" s="77">
        <f>BIN2DEC(HL8)-BIN2DEC(HL9)</f>
        <v>4</v>
      </c>
      <c r="HQ8" s="27" t="str">
        <f t="shared" si="110"/>
        <v>1111</v>
      </c>
      <c r="HR8" s="27" t="str">
        <f t="shared" si="111"/>
        <v>1011</v>
      </c>
      <c r="HS8" s="27" t="str">
        <f t="shared" si="112"/>
        <v>1001</v>
      </c>
      <c r="HT8" s="27" t="str">
        <f t="shared" si="113"/>
        <v>0001</v>
      </c>
      <c r="HU8" s="27" t="str">
        <f t="shared" si="114"/>
        <v>1001</v>
      </c>
      <c r="HV8" s="27" t="str">
        <f t="shared" si="115"/>
        <v>1100</v>
      </c>
      <c r="HW8" s="27" t="str">
        <f t="shared" si="116"/>
        <v>0011</v>
      </c>
      <c r="HX8" s="27" t="str">
        <f t="shared" si="117"/>
        <v>1110</v>
      </c>
      <c r="HY8" s="77">
        <f>BIN2DEC(HQ8)-BIN2DEC(HQ9)</f>
        <v>7</v>
      </c>
      <c r="HZ8" s="77">
        <f t="shared" ref="HZ8:IE8" si="145">BIN2DEC(HR8)-BIN2DEC(HR9)</f>
        <v>0</v>
      </c>
      <c r="IA8" s="77">
        <f t="shared" si="145"/>
        <v>-2</v>
      </c>
      <c r="IB8" s="77">
        <f t="shared" si="145"/>
        <v>-14</v>
      </c>
      <c r="IC8" s="77">
        <f t="shared" si="145"/>
        <v>3</v>
      </c>
      <c r="ID8" s="77">
        <f t="shared" si="145"/>
        <v>7</v>
      </c>
      <c r="IE8" s="77">
        <f t="shared" si="145"/>
        <v>-7</v>
      </c>
      <c r="IF8" s="77">
        <f>BIN2DEC(HX8)-BIN2DEC(HX9)</f>
        <v>11</v>
      </c>
      <c r="IG8" s="26" t="str">
        <f t="shared" si="24"/>
        <v>0110000000000000</v>
      </c>
      <c r="IH8" s="26" t="str">
        <f t="shared" si="25"/>
        <v>0000010000100100</v>
      </c>
      <c r="II8" s="77">
        <f>MID(IG8,16,1)*POWER(2,0)+MID(IG8,15,1)*POWER(2,1)+MID(IG8,14,1)*POWER(2,2)+MID(IG8,13,1)*POWER(2,3)+MID(IG8,12,1)*POWER(2,4)+MID(IG8,11,1)*POWER(2,5)+MID(IG8,10,1)*POWER(2,6)+MID(IG8,9,1)*POWER(2,7)+MID(IG8,8,1)*POWER(2,8)+MID(IG8,7,1)*POWER(2,9)+MID(IG8,6,1)*POWER(2,10)+MID(IG8,5,1)*POWER(2,11)+MID(IG8,4,1)*POWER(2,12)+MID(IG8,3,1)*POWER(2,13)+MID(IG8,2,1)*POWER(2,14)+MID(IG8,1,1)*POWER(2,15)-(MID(IG9,16,1)*POWER(2,0)+MID(IG9,15,1)*POWER(2,1)+MID(IG9,14,1)*POWER(2,2)+MID(IG9,13,1)*POWER(2,3)+MID(IG9,12,1)*POWER(2,4)+MID(IG9,11,1)*POWER(2,5)+MID(IG9,10,1)*POWER(2,6)+MID(IG9,9,1)*POWER(2,7)+MID(IG9,8,1)*POWER(2,8)+MID(IG9,7,1)*POWER(2,9)+MID(IG9,6,1)*POWER(2,10)+MID(IG9,5,1)*POWER(2,11)+MID(IG9,4,1)*POWER(2,12)+MID(IG9,3,1)*POWER(2,13)+MID(IG9,2,1)*POWER(2,14)+MID(IG9,1,1)*POWER(2,15))</f>
        <v>24544</v>
      </c>
      <c r="IJ8" s="77">
        <f>MID(IH8,16,1)*POWER(2,0)+MID(IH8,15,1)*POWER(2,1)+MID(IH8,14,1)*POWER(2,2)+MID(IH8,13,1)*POWER(2,3)+MID(IH8,12,1)*POWER(2,4)+MID(IH8,11,1)*POWER(2,5)+MID(IH8,10,1)*POWER(2,6)+MID(IH8,9,1)*POWER(2,7)+MID(IH8,8,1)*POWER(2,8)+MID(IH8,7,1)*POWER(2,9)+MID(IH8,6,1)*POWER(2,10)+MID(IH8,5,1)*POWER(2,11)+MID(IH8,4,1)*POWER(2,12)+MID(IH8,3,1)*POWER(2,13)+MID(IH8,2,1)*POWER(2,14)+MID(IH8,1,1)*POWER(2,15)-(MID(IH9,16,1)*POWER(2,0)+MID(IH9,15,1)*POWER(2,1)+MID(IH9,14,1)*POWER(2,2)+MID(IH9,13,1)*POWER(2,3)+MID(IH9,12,1)*POWER(2,4)+MID(IH9,11,1)*POWER(2,5)+MID(IH9,10,1)*POWER(2,6)+MID(IH9,9,1)*POWER(2,7)+MID(IH9,8,1)*POWER(2,8)+MID(IH9,7,1)*POWER(2,9)+MID(IH9,6,1)*POWER(2,10)+MID(IH9,5,1)*POWER(2,11)+MID(IH9,4,1)*POWER(2,12)+MID(IH9,3,1)*POWER(2,13)+MID(IH9,2,1)*POWER(2,14)+MID(IH9,1,1)*POWER(2,15))</f>
        <v>-7164</v>
      </c>
      <c r="IL8" s="26"/>
      <c r="IM8" s="26"/>
      <c r="IN8" s="26"/>
      <c r="IO8" s="26"/>
      <c r="IP8" s="22"/>
      <c r="IQ8" s="22"/>
      <c r="IR8" s="22"/>
      <c r="IS8" s="22"/>
      <c r="JB8" s="22"/>
      <c r="JC8" s="22"/>
      <c r="JD8" s="22"/>
      <c r="JE8" s="22"/>
      <c r="JF8" s="22"/>
      <c r="JG8" s="22"/>
      <c r="JH8" s="22"/>
      <c r="JI8" s="22"/>
      <c r="JJ8" s="26"/>
      <c r="JK8" s="26"/>
      <c r="JL8" s="22"/>
      <c r="JM8" s="22"/>
    </row>
    <row r="9" spans="1:273" s="31" customFormat="1" ht="18.600000000000001" thickBot="1" x14ac:dyDescent="0.4">
      <c r="A9" s="28"/>
      <c r="B9" s="29"/>
      <c r="C9" s="21" t="s">
        <v>6</v>
      </c>
      <c r="D9" s="21" t="s">
        <v>17</v>
      </c>
      <c r="E9" s="21">
        <v>74</v>
      </c>
      <c r="F9" s="21" t="s">
        <v>148</v>
      </c>
      <c r="G9" s="21" t="s">
        <v>143</v>
      </c>
      <c r="H9" s="21" t="str">
        <f t="shared" si="0"/>
        <v>01101100011101001111000110110111</v>
      </c>
      <c r="I9" s="21">
        <f t="shared" si="1"/>
        <v>19</v>
      </c>
      <c r="J9" s="21"/>
      <c r="K9" s="21"/>
      <c r="L9" s="44" t="str">
        <f>CONCATENATE(MID(H9,20,5),MID(H9,9,3),MID(H9,28,5),MID(H9,17,3),MID(H9,4,5),MID(H9,25,3),MID(H9,12,5),MID(H9,1,3))</f>
        <v>10001011101111110110010110100011</v>
      </c>
      <c r="M9" s="30" t="str">
        <f t="shared" si="26"/>
        <v>10001011</v>
      </c>
      <c r="N9" s="30" t="str">
        <f t="shared" si="27"/>
        <v>10111111</v>
      </c>
      <c r="O9" s="30" t="str">
        <f t="shared" si="28"/>
        <v>01100101</v>
      </c>
      <c r="P9" s="30" t="str">
        <f t="shared" si="29"/>
        <v>10100011</v>
      </c>
      <c r="Q9" s="78"/>
      <c r="R9" s="78"/>
      <c r="S9" s="78"/>
      <c r="T9" s="78"/>
      <c r="U9" s="31" t="str">
        <f t="shared" si="30"/>
        <v>1000</v>
      </c>
      <c r="V9" s="31" t="str">
        <f t="shared" si="31"/>
        <v>1011</v>
      </c>
      <c r="W9" s="31" t="str">
        <f t="shared" si="32"/>
        <v>1011</v>
      </c>
      <c r="X9" s="31" t="str">
        <f t="shared" si="33"/>
        <v>1111</v>
      </c>
      <c r="Y9" s="31" t="str">
        <f t="shared" si="34"/>
        <v>0110</v>
      </c>
      <c r="Z9" s="31" t="str">
        <f t="shared" si="35"/>
        <v>0101</v>
      </c>
      <c r="AA9" s="31" t="str">
        <f t="shared" si="36"/>
        <v>1010</v>
      </c>
      <c r="AB9" s="31" t="str">
        <f t="shared" si="37"/>
        <v>0011</v>
      </c>
      <c r="AC9" s="78"/>
      <c r="AD9" s="78"/>
      <c r="AE9" s="78"/>
      <c r="AF9" s="78"/>
      <c r="AG9" s="78"/>
      <c r="AH9" s="78"/>
      <c r="AI9" s="78"/>
      <c r="AJ9" s="78"/>
      <c r="AK9" s="30" t="str">
        <f t="shared" si="3"/>
        <v>1000101110111111</v>
      </c>
      <c r="AL9" s="30" t="str">
        <f t="shared" si="4"/>
        <v>0110010110100011</v>
      </c>
      <c r="AM9" s="78"/>
      <c r="AN9" s="78"/>
      <c r="AO9" s="46" t="str">
        <f>CONCATENATE(MID($L9,1,1)*MID($K8,1,1),MID($L9,2,1)*MID($K8,2,1),MID($L9,3,1)*MID($K8,3,1),MID($L9,4,1)*MID($K8,4,1),MID($L9,5,1)*MID($K8,5,1),MID($L9,6,1)*MID($K8,6,1),MID($L9,7,1)*MID($K8,7,1),MID($L9,8,1)*MID($K8,8,1),MID($L9,9,1)*MID($K8,1,1),MID($L9,10,1)*MID($K8,2,1),MID($L9,11,1)*MID($K8,3,1),MID($L9,12,1)*MID($K8,4,1),MID($L9,13,1)*MID($K8,5,1),MID($L9,14,1)*MID($K8,6,1),MID($L9,15,1)*MID($K8,7,1),MID($L9,16,1)*MID($K8,8,1),MID($L9,17,1)*MID($K8,1,1),MID($L9,18,1)*MID($K8,2,1),MID($L9,19,1)*MID($K8,3,1),MID($L9,20,1)*MID($K8,4,1),MID($L9,21,1)*MID($K8,5,1),MID($L9,22,1)*MID($K8,6,1),MID($L9,23,1)*MID($K8,7,1),MID($L9,24,1)*MID($K8,8,1),MID($L9,25,1)*MID($K8,1,1),MID($L9,26,1)*MID($K8,2,1),MID($L9,27,1)*MID($K8,3,1),MID($L9,28,1)*MID($K8,4,1),MID($L9,29,1)*MID($K8,5,1),MID($L9,30,1)*MID($K8,6,1),MID($L9,31,1)*MID($K8,7,1),MID($L9,32,1)*MID($K8,8,1))</f>
        <v>00000000001001000110010000100000</v>
      </c>
      <c r="AP9" s="30" t="str">
        <f t="shared" si="38"/>
        <v>00000000</v>
      </c>
      <c r="AQ9" s="30" t="str">
        <f t="shared" si="39"/>
        <v>00100100</v>
      </c>
      <c r="AR9" s="30" t="str">
        <f t="shared" si="40"/>
        <v>01100100</v>
      </c>
      <c r="AS9" s="30" t="str">
        <f t="shared" si="41"/>
        <v>00100000</v>
      </c>
      <c r="AT9" s="78"/>
      <c r="AU9" s="78"/>
      <c r="AV9" s="78"/>
      <c r="AW9" s="78"/>
      <c r="AX9" s="31" t="str">
        <f t="shared" si="42"/>
        <v>1000</v>
      </c>
      <c r="AY9" s="31" t="str">
        <f t="shared" si="43"/>
        <v>1011</v>
      </c>
      <c r="AZ9" s="31" t="str">
        <f t="shared" si="44"/>
        <v>1011</v>
      </c>
      <c r="BA9" s="31" t="str">
        <f t="shared" si="45"/>
        <v>1111</v>
      </c>
      <c r="BB9" s="31" t="str">
        <f t="shared" si="46"/>
        <v>0110</v>
      </c>
      <c r="BC9" s="31" t="str">
        <f t="shared" si="47"/>
        <v>0101</v>
      </c>
      <c r="BD9" s="31" t="str">
        <f t="shared" si="48"/>
        <v>1010</v>
      </c>
      <c r="BE9" s="31" t="str">
        <f t="shared" si="49"/>
        <v>0011</v>
      </c>
      <c r="BF9" s="78"/>
      <c r="BG9" s="78"/>
      <c r="BH9" s="78"/>
      <c r="BI9" s="78"/>
      <c r="BJ9" s="78"/>
      <c r="BK9" s="78"/>
      <c r="BL9" s="78"/>
      <c r="BM9" s="78"/>
      <c r="BN9" s="30" t="str">
        <f t="shared" si="6"/>
        <v>0000000000100100</v>
      </c>
      <c r="BO9" s="30" t="str">
        <f t="shared" si="7"/>
        <v>0110010000100000</v>
      </c>
      <c r="BP9" s="78"/>
      <c r="BQ9" s="78"/>
      <c r="BR9" s="46" t="str">
        <f>L9</f>
        <v>10001011101111110110010110100011</v>
      </c>
      <c r="BS9" s="30" t="str">
        <f t="shared" si="50"/>
        <v>10001011</v>
      </c>
      <c r="BT9" s="30" t="str">
        <f t="shared" si="51"/>
        <v>10111111</v>
      </c>
      <c r="BU9" s="30" t="str">
        <f t="shared" si="52"/>
        <v>01100101</v>
      </c>
      <c r="BV9" s="30" t="str">
        <f t="shared" si="53"/>
        <v>10100011</v>
      </c>
      <c r="BW9" s="78"/>
      <c r="BX9" s="78"/>
      <c r="BY9" s="78"/>
      <c r="BZ9" s="78"/>
      <c r="CA9" s="31" t="str">
        <f t="shared" si="54"/>
        <v>1000</v>
      </c>
      <c r="CB9" s="31" t="str">
        <f t="shared" si="55"/>
        <v>1011</v>
      </c>
      <c r="CC9" s="31" t="str">
        <f t="shared" si="56"/>
        <v>1011</v>
      </c>
      <c r="CD9" s="31" t="str">
        <f t="shared" si="57"/>
        <v>1111</v>
      </c>
      <c r="CE9" s="31" t="str">
        <f t="shared" si="58"/>
        <v>0110</v>
      </c>
      <c r="CF9" s="31" t="str">
        <f t="shared" si="59"/>
        <v>0101</v>
      </c>
      <c r="CG9" s="31" t="str">
        <f t="shared" si="60"/>
        <v>1010</v>
      </c>
      <c r="CH9" s="31" t="str">
        <f t="shared" si="61"/>
        <v>0011</v>
      </c>
      <c r="CI9" s="78"/>
      <c r="CJ9" s="78"/>
      <c r="CK9" s="78"/>
      <c r="CL9" s="78"/>
      <c r="CM9" s="78"/>
      <c r="CN9" s="78"/>
      <c r="CO9" s="78"/>
      <c r="CP9" s="78"/>
      <c r="CQ9" s="30" t="str">
        <f t="shared" si="9"/>
        <v>1000101110111111</v>
      </c>
      <c r="CR9" s="30" t="str">
        <f t="shared" si="10"/>
        <v>0110010110100011</v>
      </c>
      <c r="CS9" s="78"/>
      <c r="CT9" s="78"/>
      <c r="CU9" s="46" t="str">
        <f>AO9</f>
        <v>00000000001001000110010000100000</v>
      </c>
      <c r="CV9" s="30" t="str">
        <f t="shared" si="62"/>
        <v>00000000</v>
      </c>
      <c r="CW9" s="30" t="str">
        <f t="shared" si="63"/>
        <v>00100100</v>
      </c>
      <c r="CX9" s="30" t="str">
        <f t="shared" si="64"/>
        <v>01100100</v>
      </c>
      <c r="CY9" s="30" t="str">
        <f t="shared" si="65"/>
        <v>00100000</v>
      </c>
      <c r="CZ9" s="78"/>
      <c r="DA9" s="78"/>
      <c r="DB9" s="78"/>
      <c r="DC9" s="78"/>
      <c r="DD9" s="31" t="str">
        <f t="shared" si="66"/>
        <v>1000</v>
      </c>
      <c r="DE9" s="31" t="str">
        <f t="shared" si="67"/>
        <v>1011</v>
      </c>
      <c r="DF9" s="31" t="str">
        <f t="shared" si="68"/>
        <v>1011</v>
      </c>
      <c r="DG9" s="31" t="str">
        <f t="shared" si="69"/>
        <v>1111</v>
      </c>
      <c r="DH9" s="31" t="str">
        <f t="shared" si="70"/>
        <v>0110</v>
      </c>
      <c r="DI9" s="31" t="str">
        <f t="shared" si="71"/>
        <v>0101</v>
      </c>
      <c r="DJ9" s="31" t="str">
        <f t="shared" si="72"/>
        <v>1010</v>
      </c>
      <c r="DK9" s="31" t="str">
        <f t="shared" si="73"/>
        <v>0011</v>
      </c>
      <c r="DL9" s="78"/>
      <c r="DM9" s="78"/>
      <c r="DN9" s="78"/>
      <c r="DO9" s="78"/>
      <c r="DP9" s="78"/>
      <c r="DQ9" s="78"/>
      <c r="DR9" s="78"/>
      <c r="DS9" s="78"/>
      <c r="DT9" s="30" t="str">
        <f t="shared" si="12"/>
        <v>0000000000100100</v>
      </c>
      <c r="DU9" s="30" t="str">
        <f t="shared" si="13"/>
        <v>0110010000100000</v>
      </c>
      <c r="DV9" s="78"/>
      <c r="DW9" s="78"/>
      <c r="DX9" s="23" t="str">
        <f>CONCATENATE(MID($H9,1,1)*MID($K8,1,1),MID($H9,2,1)*MID($K8,2,1),MID($H9,3,1)*MID($K8,3,1),MID($H9,4,1)*MID($K8,4,1),MID($H9,5,1)*MID($K8,5,1),MID($H9,6,1)*MID($K8,6,1),MID($H9,7,1)*MID($K8,7,1),MID($H9,8,1)*MID($K8,8,1),MID($H9,9,1)*MID($K8,1,1),MID($H9,10,1)*MID($K8,2,1),MID($H9,11,1)*MID($K8,3,1),MID($H9,12,1)*MID($K8,4,1),MID($H9,13,1)*MID($K8,5,1),MID($H9,14,1)*MID($K8,6,1),MID($H9,15,1)*MID($K8,7,1),MID($H9,16,1)*MID($K8,8,1),MID($H9,17,1)*MID($K8,1,1),MID($H9,18,1)*MID($K8,2,1),MID($H9,19,1)*MID($K8,3,1),MID($H9,20,1)*MID($K8,4,1),MID($H9,21,1)*MID($K8,5,1),MID($H9,22,1)*MID($K8,6,1),MID($H9,23,1)*MID($K8,7,1),MID($H9,24,1)*MID($K8,8,1),MID($H9,25,1)*MID($K8,1,1),MID($H9,26,1)*MID($K8,2,1),MID($H9,27,1)*MID($K8,3,1),MID($H9,28,1)*MID($K8,4,1),MID($H9,29,1)*MID($K8,5,1),MID($H9,30,1)*MID($K8,6,1),MID($H9,31,1)*MID($K8,7,1),MID($H9,32,1)*MID($K8,8,1))</f>
        <v>01100100011001000110000000100100</v>
      </c>
      <c r="DY9" s="44" t="str">
        <f>CONCATENATE(MID(DX9,20,5),MID(DX9,9,3),MID(DX9,28,5),MID(DX9,17,3),MID(DX9,4,5),MID(DX9,25,3),MID(DX9,12,5),MID(DX9,1,3))</f>
        <v>00000011001000110010000100100011</v>
      </c>
      <c r="DZ9" s="30" t="str">
        <f t="shared" si="122"/>
        <v>00000011</v>
      </c>
      <c r="EA9" s="30" t="str">
        <f t="shared" si="74"/>
        <v>00100011</v>
      </c>
      <c r="EB9" s="30" t="str">
        <f t="shared" si="75"/>
        <v>00100001</v>
      </c>
      <c r="EC9" s="30" t="str">
        <f t="shared" si="76"/>
        <v>00100011</v>
      </c>
      <c r="ED9" s="78"/>
      <c r="EE9" s="78"/>
      <c r="EF9" s="78"/>
      <c r="EG9" s="78"/>
      <c r="EH9" s="31" t="str">
        <f t="shared" si="77"/>
        <v>1000</v>
      </c>
      <c r="EI9" s="31" t="str">
        <f t="shared" si="78"/>
        <v>1011</v>
      </c>
      <c r="EJ9" s="31" t="str">
        <f t="shared" si="79"/>
        <v>1011</v>
      </c>
      <c r="EK9" s="31" t="str">
        <f t="shared" si="80"/>
        <v>1111</v>
      </c>
      <c r="EL9" s="31" t="str">
        <f t="shared" si="81"/>
        <v>0110</v>
      </c>
      <c r="EM9" s="31" t="str">
        <f t="shared" si="82"/>
        <v>0101</v>
      </c>
      <c r="EN9" s="31" t="str">
        <f t="shared" si="83"/>
        <v>1010</v>
      </c>
      <c r="EO9" s="31" t="str">
        <f t="shared" si="84"/>
        <v>0011</v>
      </c>
      <c r="EP9" s="78"/>
      <c r="EQ9" s="78"/>
      <c r="ER9" s="78"/>
      <c r="ES9" s="78"/>
      <c r="ET9" s="78"/>
      <c r="EU9" s="78"/>
      <c r="EV9" s="78"/>
      <c r="EW9" s="78"/>
      <c r="EX9" s="30" t="str">
        <f t="shared" si="15"/>
        <v>0000001100100011</v>
      </c>
      <c r="EY9" s="30" t="str">
        <f t="shared" si="16"/>
        <v>0010000100100011</v>
      </c>
      <c r="EZ9" s="78"/>
      <c r="FA9" s="78"/>
      <c r="FB9" s="46" t="str">
        <f>CONCATENATE(MID(DY9,1,1)*MID($K8,1,1),MID(DY9,2,1)*MID($K8,2,1),MID(DY9,3,1)*MID($K8,3,1),MID(DY9,4,1)*MID($K8,4,1),MID(DY9,5,1)*MID($K8,5,1),MID(DY9,6,1)*MID($K8,6,1),MID(DY9,7,1)*MID($K8,7,1),MID(DY9,8,1)*MID($K8,8,1),MID(DY9,9,1)*MID($K8,1,1),MID(DY9,10,1)*MID($K8,2,1),MID(DY9,11,1)*MID($K8,3,1),MID(DY9,12,1)*MID($K8,4,1),MID(DY9,13,1)*MID($K8,5,1),MID(DY9,14,1)*MID($K8,6,1),MID(DY9,15,1)*MID($K8,7,1),MID(DY9,16,1)*MID($K8,8,1),MID(DY9,17,1)*MID($K8,1,1),MID(DY9,18,1)*MID($K8,2,1),MID(DY9,19,1)*MID($K8,3,1),MID(DY9,20,1)*MID($K8,4,1),MID(DY9,21,1)*MID($K8,5,1),MID(DY9,22,1)*MID($K8,6,1),MID(DY9,23,1)*MID($K8,7,1),MID(DY9,24,1)*MID($K8,8,1),MID(DY9,25,1)*MID($K8,1,1),MID(DY9,26,1)*MID($K8,2,1),MID(DY9,27,1)*MID($K8,3,1),MID(DY9,28,1)*MID($K8,4,1),MID(DY9,29,1)*MID($K8,5,1),MID(DY9,30,1)*MID($K8,6,1),MID(DY9,31,1)*MID($K8,7,1),MID(DY9,32,1)*MID($K8,8,1))</f>
        <v>00000000001000000010000000100000</v>
      </c>
      <c r="FC9" s="30" t="str">
        <f t="shared" si="124"/>
        <v>00000000</v>
      </c>
      <c r="FD9" s="30" t="str">
        <f t="shared" si="85"/>
        <v>00100000</v>
      </c>
      <c r="FE9" s="30" t="str">
        <f t="shared" si="86"/>
        <v>00100000</v>
      </c>
      <c r="FF9" s="30" t="str">
        <f t="shared" si="87"/>
        <v>00100000</v>
      </c>
      <c r="FG9" s="78"/>
      <c r="FH9" s="78"/>
      <c r="FI9" s="78"/>
      <c r="FJ9" s="78"/>
      <c r="FK9" s="31" t="str">
        <f t="shared" si="88"/>
        <v>1000</v>
      </c>
      <c r="FL9" s="31" t="str">
        <f t="shared" si="89"/>
        <v>1011</v>
      </c>
      <c r="FM9" s="31" t="str">
        <f t="shared" si="90"/>
        <v>1011</v>
      </c>
      <c r="FN9" s="31" t="str">
        <f t="shared" si="91"/>
        <v>1111</v>
      </c>
      <c r="FO9" s="31" t="str">
        <f t="shared" si="92"/>
        <v>0110</v>
      </c>
      <c r="FP9" s="31" t="str">
        <f t="shared" si="93"/>
        <v>0101</v>
      </c>
      <c r="FQ9" s="31" t="str">
        <f t="shared" si="94"/>
        <v>1010</v>
      </c>
      <c r="FR9" s="31" t="str">
        <f t="shared" si="95"/>
        <v>0011</v>
      </c>
      <c r="FS9" s="78"/>
      <c r="FT9" s="78"/>
      <c r="FU9" s="78"/>
      <c r="FV9" s="78"/>
      <c r="FW9" s="78"/>
      <c r="FX9" s="78"/>
      <c r="FY9" s="78"/>
      <c r="FZ9" s="78"/>
      <c r="GA9" s="30" t="str">
        <f t="shared" si="18"/>
        <v>0000000000100000</v>
      </c>
      <c r="GB9" s="30" t="str">
        <f t="shared" si="19"/>
        <v>0010000000100000</v>
      </c>
      <c r="GC9" s="78"/>
      <c r="GD9" s="78"/>
      <c r="GE9" s="48" t="str">
        <f>DY9</f>
        <v>00000011001000110010000100100011</v>
      </c>
      <c r="GF9" s="30" t="str">
        <f t="shared" si="126"/>
        <v>00000011</v>
      </c>
      <c r="GG9" s="30" t="str">
        <f t="shared" si="96"/>
        <v>00100011</v>
      </c>
      <c r="GH9" s="30" t="str">
        <f t="shared" si="97"/>
        <v>00100001</v>
      </c>
      <c r="GI9" s="30" t="str">
        <f t="shared" si="98"/>
        <v>00100011</v>
      </c>
      <c r="GJ9" s="78"/>
      <c r="GK9" s="78"/>
      <c r="GL9" s="78"/>
      <c r="GM9" s="78"/>
      <c r="GN9" s="31" t="str">
        <f t="shared" si="99"/>
        <v>1000</v>
      </c>
      <c r="GO9" s="31" t="str">
        <f t="shared" si="100"/>
        <v>1011</v>
      </c>
      <c r="GP9" s="31" t="str">
        <f t="shared" si="101"/>
        <v>1011</v>
      </c>
      <c r="GQ9" s="31" t="str">
        <f t="shared" si="102"/>
        <v>1111</v>
      </c>
      <c r="GR9" s="31" t="str">
        <f t="shared" si="103"/>
        <v>0110</v>
      </c>
      <c r="GS9" s="31" t="str">
        <f t="shared" si="104"/>
        <v>0101</v>
      </c>
      <c r="GT9" s="31" t="str">
        <f t="shared" si="105"/>
        <v>1010</v>
      </c>
      <c r="GU9" s="31" t="str">
        <f t="shared" si="106"/>
        <v>0011</v>
      </c>
      <c r="GV9" s="78"/>
      <c r="GW9" s="78"/>
      <c r="GX9" s="78"/>
      <c r="GY9" s="78"/>
      <c r="GZ9" s="78"/>
      <c r="HA9" s="78"/>
      <c r="HB9" s="78"/>
      <c r="HC9" s="78"/>
      <c r="HD9" s="30" t="str">
        <f t="shared" si="21"/>
        <v>0000001100100011</v>
      </c>
      <c r="HE9" s="30" t="str">
        <f t="shared" si="22"/>
        <v>0010000100100011</v>
      </c>
      <c r="HF9" s="78"/>
      <c r="HG9" s="78"/>
      <c r="HH9" s="48" t="str">
        <f>FB9</f>
        <v>00000000001000000010000000100000</v>
      </c>
      <c r="HI9" s="30" t="str">
        <f t="shared" si="128"/>
        <v>00000000</v>
      </c>
      <c r="HJ9" s="30" t="str">
        <f t="shared" si="107"/>
        <v>00100000</v>
      </c>
      <c r="HK9" s="30" t="str">
        <f t="shared" si="108"/>
        <v>00100000</v>
      </c>
      <c r="HL9" s="30" t="str">
        <f t="shared" si="109"/>
        <v>00100000</v>
      </c>
      <c r="HM9" s="78"/>
      <c r="HN9" s="78"/>
      <c r="HO9" s="78"/>
      <c r="HP9" s="78"/>
      <c r="HQ9" s="31" t="str">
        <f t="shared" si="110"/>
        <v>1000</v>
      </c>
      <c r="HR9" s="31" t="str">
        <f t="shared" si="111"/>
        <v>1011</v>
      </c>
      <c r="HS9" s="31" t="str">
        <f t="shared" si="112"/>
        <v>1011</v>
      </c>
      <c r="HT9" s="31" t="str">
        <f t="shared" si="113"/>
        <v>1111</v>
      </c>
      <c r="HU9" s="31" t="str">
        <f t="shared" si="114"/>
        <v>0110</v>
      </c>
      <c r="HV9" s="31" t="str">
        <f t="shared" si="115"/>
        <v>0101</v>
      </c>
      <c r="HW9" s="31" t="str">
        <f t="shared" si="116"/>
        <v>1010</v>
      </c>
      <c r="HX9" s="31" t="str">
        <f t="shared" si="117"/>
        <v>0011</v>
      </c>
      <c r="HY9" s="78"/>
      <c r="HZ9" s="78"/>
      <c r="IA9" s="78"/>
      <c r="IB9" s="78"/>
      <c r="IC9" s="78"/>
      <c r="ID9" s="78"/>
      <c r="IE9" s="78"/>
      <c r="IF9" s="78"/>
      <c r="IG9" s="30" t="str">
        <f t="shared" si="24"/>
        <v>0000000000100000</v>
      </c>
      <c r="IH9" s="30" t="str">
        <f t="shared" si="25"/>
        <v>0010000000100000</v>
      </c>
      <c r="II9" s="78"/>
      <c r="IJ9" s="78"/>
      <c r="IL9" s="30"/>
      <c r="IM9" s="30"/>
      <c r="IN9" s="30"/>
      <c r="IO9" s="30"/>
      <c r="IP9" s="23"/>
      <c r="IQ9" s="23"/>
      <c r="IR9" s="23"/>
      <c r="IS9" s="23"/>
      <c r="JB9" s="23"/>
      <c r="JC9" s="23"/>
      <c r="JD9" s="23"/>
      <c r="JE9" s="23"/>
      <c r="JF9" s="23"/>
      <c r="JG9" s="23"/>
      <c r="JH9" s="23"/>
      <c r="JI9" s="23"/>
      <c r="JJ9" s="30"/>
      <c r="JK9" s="30"/>
      <c r="JL9" s="23"/>
      <c r="JM9" s="23"/>
    </row>
    <row r="10" spans="1:273" s="27" customFormat="1" x14ac:dyDescent="0.35">
      <c r="A10" s="24"/>
      <c r="B10" s="25"/>
      <c r="C10" s="20" t="s">
        <v>0</v>
      </c>
      <c r="D10" s="20">
        <v>21</v>
      </c>
      <c r="E10" s="20">
        <v>29</v>
      </c>
      <c r="F10" s="20" t="s">
        <v>20</v>
      </c>
      <c r="G10" s="20" t="s">
        <v>127</v>
      </c>
      <c r="H10" s="20" t="str">
        <f t="shared" si="0"/>
        <v>00100001001010010000101010101101</v>
      </c>
      <c r="I10" s="20">
        <f t="shared" si="1"/>
        <v>12</v>
      </c>
      <c r="J10" s="20">
        <v>64</v>
      </c>
      <c r="K10" s="20" t="str">
        <f>HEX2BIN(J10,8)</f>
        <v>01100100</v>
      </c>
      <c r="L10" s="43" t="str">
        <f>H10</f>
        <v>00100001001010010000101010101101</v>
      </c>
      <c r="M10" s="26" t="str">
        <f t="shared" si="26"/>
        <v>00100001</v>
      </c>
      <c r="N10" s="26" t="str">
        <f t="shared" si="27"/>
        <v>00101001</v>
      </c>
      <c r="O10" s="26" t="str">
        <f t="shared" si="28"/>
        <v>00001010</v>
      </c>
      <c r="P10" s="26" t="str">
        <f t="shared" si="29"/>
        <v>10101101</v>
      </c>
      <c r="Q10" s="77">
        <f>BIN2DEC(M10)-BIN2DEC(M11)</f>
        <v>-144</v>
      </c>
      <c r="R10" s="77">
        <f>BIN2DEC(N10)-BIN2DEC(N11)</f>
        <v>-45</v>
      </c>
      <c r="S10" s="77">
        <f>BIN2DEC(O10)-BIN2DEC(O11)</f>
        <v>-201</v>
      </c>
      <c r="T10" s="77">
        <f>BIN2DEC(P10)-BIN2DEC(P11)</f>
        <v>156</v>
      </c>
      <c r="U10" s="27" t="str">
        <f t="shared" si="30"/>
        <v>0010</v>
      </c>
      <c r="V10" s="27" t="str">
        <f t="shared" si="31"/>
        <v>0001</v>
      </c>
      <c r="W10" s="27" t="str">
        <f t="shared" si="32"/>
        <v>0010</v>
      </c>
      <c r="X10" s="27" t="str">
        <f t="shared" si="33"/>
        <v>1001</v>
      </c>
      <c r="Y10" s="27" t="str">
        <f t="shared" si="34"/>
        <v>0000</v>
      </c>
      <c r="Z10" s="27" t="str">
        <f t="shared" si="35"/>
        <v>1010</v>
      </c>
      <c r="AA10" s="27" t="str">
        <f t="shared" si="36"/>
        <v>1010</v>
      </c>
      <c r="AB10" s="27" t="str">
        <f t="shared" si="37"/>
        <v>1101</v>
      </c>
      <c r="AC10" s="77">
        <f>BIN2DEC(U10)-BIN2DEC(U11)</f>
        <v>-9</v>
      </c>
      <c r="AD10" s="77">
        <f t="shared" ref="AD10:AI10" si="146">BIN2DEC(V10)-BIN2DEC(V11)</f>
        <v>0</v>
      </c>
      <c r="AE10" s="77">
        <f t="shared" si="146"/>
        <v>-3</v>
      </c>
      <c r="AF10" s="77">
        <f t="shared" si="146"/>
        <v>3</v>
      </c>
      <c r="AG10" s="77">
        <f t="shared" si="146"/>
        <v>-13</v>
      </c>
      <c r="AH10" s="77">
        <f t="shared" si="146"/>
        <v>7</v>
      </c>
      <c r="AI10" s="77">
        <f t="shared" si="146"/>
        <v>9</v>
      </c>
      <c r="AJ10" s="77">
        <f>BIN2DEC(AB10)-BIN2DEC(AB11)</f>
        <v>12</v>
      </c>
      <c r="AK10" s="26" t="str">
        <f t="shared" si="3"/>
        <v>0010000100101001</v>
      </c>
      <c r="AL10" s="26" t="str">
        <f t="shared" si="4"/>
        <v>0000101010101101</v>
      </c>
      <c r="AM10" s="77">
        <f>MID(AK10,16,1)*POWER(2,0)+MID(AK10,15,1)*POWER(2,1)+MID(AK10,14,1)*POWER(2,2)+MID(AK10,13,1)*POWER(2,3)+MID(AK10,12,1)*POWER(2,4)+MID(AK10,11,1)*POWER(2,5)+MID(AK10,10,1)*POWER(2,6)+MID(AK10,9,1)*POWER(2,7)+MID(AK10,8,1)*POWER(2,8)+MID(AK10,7,1)*POWER(2,9)+MID(AK10,6,1)*POWER(2,10)+MID(AK10,5,1)*POWER(2,11)+MID(AK10,4,1)*POWER(2,12)+MID(AK10,3,1)*POWER(2,13)+MID(AK10,2,1)*POWER(2,14)+MID(AK10,1,1)*POWER(2,15)-(MID(AK11,16,1)*POWER(2,0)+MID(AK11,15,1)*POWER(2,1)+MID(AK11,14,1)*POWER(2,2)+MID(AK11,13,1)*POWER(2,3)+MID(AK11,12,1)*POWER(2,4)+MID(AK11,11,1)*POWER(2,5)+MID(AK11,10,1)*POWER(2,6)+MID(AK11,9,1)*POWER(2,7)+MID(AK11,8,1)*POWER(2,8)+MID(AK11,7,1)*POWER(2,9)+MID(AK11,6,1)*POWER(2,10)+MID(AK11,5,1)*POWER(2,11)+MID(AK11,4,1)*POWER(2,12)+MID(AK11,3,1)*POWER(2,13)+MID(AK11,2,1)*POWER(2,14)+MID(AK11,1,1)*POWER(2,15))</f>
        <v>-36909</v>
      </c>
      <c r="AN10" s="77">
        <f>MID(AL10,16,1)*POWER(2,0)+MID(AL10,15,1)*POWER(2,1)+MID(AL10,14,1)*POWER(2,2)+MID(AL10,13,1)*POWER(2,3)+MID(AL10,12,1)*POWER(2,4)+MID(AL10,11,1)*POWER(2,5)+MID(AL10,10,1)*POWER(2,6)+MID(AL10,9,1)*POWER(2,7)+MID(AL10,8,1)*POWER(2,8)+MID(AL10,7,1)*POWER(2,9)+MID(AL10,6,1)*POWER(2,10)+MID(AL10,5,1)*POWER(2,11)+MID(AL10,4,1)*POWER(2,12)+MID(AL10,3,1)*POWER(2,13)+MID(AL10,2,1)*POWER(2,14)+MID(AL10,1,1)*POWER(2,15)-(MID(AL11,16,1)*POWER(2,0)+MID(AL11,15,1)*POWER(2,1)+MID(AL11,14,1)*POWER(2,2)+MID(AL11,13,1)*POWER(2,3)+MID(AL11,12,1)*POWER(2,4)+MID(AL11,11,1)*POWER(2,5)+MID(AL11,10,1)*POWER(2,6)+MID(AL11,9,1)*POWER(2,7)+MID(AL11,8,1)*POWER(2,8)+MID(AL11,7,1)*POWER(2,9)+MID(AL11,6,1)*POWER(2,10)+MID(AL11,5,1)*POWER(2,11)+MID(AL11,4,1)*POWER(2,12)+MID(AL11,3,1)*POWER(2,13)+MID(AL11,2,1)*POWER(2,14)+MID(AL11,1,1)*POWER(2,15))</f>
        <v>-51300</v>
      </c>
      <c r="AO10" s="45" t="str">
        <f>H10</f>
        <v>00100001001010010000101010101101</v>
      </c>
      <c r="AP10" s="26" t="str">
        <f t="shared" si="38"/>
        <v>00100001</v>
      </c>
      <c r="AQ10" s="26" t="str">
        <f t="shared" si="39"/>
        <v>00101001</v>
      </c>
      <c r="AR10" s="26" t="str">
        <f t="shared" si="40"/>
        <v>00001010</v>
      </c>
      <c r="AS10" s="26" t="str">
        <f t="shared" si="41"/>
        <v>10101101</v>
      </c>
      <c r="AT10" s="77">
        <f>BIN2DEC(AP10)-BIN2DEC(AP11)</f>
        <v>1</v>
      </c>
      <c r="AU10" s="77">
        <f>BIN2DEC(AQ10)-BIN2DEC(AQ11)</f>
        <v>-27</v>
      </c>
      <c r="AV10" s="77">
        <f>BIN2DEC(AR10)-BIN2DEC(AR11)</f>
        <v>-54</v>
      </c>
      <c r="AW10" s="77">
        <f>BIN2DEC(AS10)-BIN2DEC(AS11)</f>
        <v>173</v>
      </c>
      <c r="AX10" s="27" t="str">
        <f t="shared" si="42"/>
        <v>0010</v>
      </c>
      <c r="AY10" s="27" t="str">
        <f t="shared" si="43"/>
        <v>0001</v>
      </c>
      <c r="AZ10" s="27" t="str">
        <f t="shared" si="44"/>
        <v>0010</v>
      </c>
      <c r="BA10" s="27" t="str">
        <f t="shared" si="45"/>
        <v>1001</v>
      </c>
      <c r="BB10" s="27" t="str">
        <f t="shared" si="46"/>
        <v>0000</v>
      </c>
      <c r="BC10" s="27" t="str">
        <f t="shared" si="47"/>
        <v>1010</v>
      </c>
      <c r="BD10" s="27" t="str">
        <f t="shared" si="48"/>
        <v>1010</v>
      </c>
      <c r="BE10" s="27" t="str">
        <f t="shared" si="49"/>
        <v>1101</v>
      </c>
      <c r="BF10" s="77">
        <f>BIN2DEC(AX10)-BIN2DEC(AX11)</f>
        <v>-9</v>
      </c>
      <c r="BG10" s="77">
        <f t="shared" ref="BG10:BL10" si="147">BIN2DEC(AY10)-BIN2DEC(AY11)</f>
        <v>0</v>
      </c>
      <c r="BH10" s="77">
        <f t="shared" si="147"/>
        <v>-3</v>
      </c>
      <c r="BI10" s="77">
        <f t="shared" si="147"/>
        <v>3</v>
      </c>
      <c r="BJ10" s="77">
        <f t="shared" si="147"/>
        <v>-13</v>
      </c>
      <c r="BK10" s="77">
        <f t="shared" si="147"/>
        <v>7</v>
      </c>
      <c r="BL10" s="77">
        <f t="shared" si="147"/>
        <v>9</v>
      </c>
      <c r="BM10" s="77">
        <f>BIN2DEC(BE10)-BIN2DEC(BE11)</f>
        <v>12</v>
      </c>
      <c r="BN10" s="26" t="str">
        <f t="shared" si="6"/>
        <v>0010000100101001</v>
      </c>
      <c r="BO10" s="26" t="str">
        <f t="shared" si="7"/>
        <v>0000101010101101</v>
      </c>
      <c r="BP10" s="77">
        <f>MID(BN10,16,1)*POWER(2,0)+MID(BN10,15,1)*POWER(2,1)+MID(BN10,14,1)*POWER(2,2)+MID(BN10,13,1)*POWER(2,3)+MID(BN10,12,1)*POWER(2,4)+MID(BN10,11,1)*POWER(2,5)+MID(BN10,10,1)*POWER(2,6)+MID(BN10,9,1)*POWER(2,7)+MID(BN10,8,1)*POWER(2,8)+MID(BN10,7,1)*POWER(2,9)+MID(BN10,6,1)*POWER(2,10)+MID(BN10,5,1)*POWER(2,11)+MID(BN10,4,1)*POWER(2,12)+MID(BN10,3,1)*POWER(2,13)+MID(BN10,2,1)*POWER(2,14)+MID(BN10,1,1)*POWER(2,15)-(MID(BN11,16,1)*POWER(2,0)+MID(BN11,15,1)*POWER(2,1)+MID(BN11,14,1)*POWER(2,2)+MID(BN11,13,1)*POWER(2,3)+MID(BN11,12,1)*POWER(2,4)+MID(BN11,11,1)*POWER(2,5)+MID(BN11,10,1)*POWER(2,6)+MID(BN11,9,1)*POWER(2,7)+MID(BN11,8,1)*POWER(2,8)+MID(BN11,7,1)*POWER(2,9)+MID(BN11,6,1)*POWER(2,10)+MID(BN11,5,1)*POWER(2,11)+MID(BN11,4,1)*POWER(2,12)+MID(BN11,3,1)*POWER(2,13)+MID(BN11,2,1)*POWER(2,14)+MID(BN11,1,1)*POWER(2,15))</f>
        <v>229</v>
      </c>
      <c r="BQ10" s="77">
        <f>MID(BO10,16,1)*POWER(2,0)+MID(BO10,15,1)*POWER(2,1)+MID(BO10,14,1)*POWER(2,2)+MID(BO10,13,1)*POWER(2,3)+MID(BO10,12,1)*POWER(2,4)+MID(BO10,11,1)*POWER(2,5)+MID(BO10,10,1)*POWER(2,6)+MID(BO10,9,1)*POWER(2,7)+MID(BO10,8,1)*POWER(2,8)+MID(BO10,7,1)*POWER(2,9)+MID(BO10,6,1)*POWER(2,10)+MID(BO10,5,1)*POWER(2,11)+MID(BO10,4,1)*POWER(2,12)+MID(BO10,3,1)*POWER(2,13)+MID(BO10,2,1)*POWER(2,14)+MID(BO10,1,1)*POWER(2,15)-(MID(BO11,16,1)*POWER(2,0)+MID(BO11,15,1)*POWER(2,1)+MID(BO11,14,1)*POWER(2,2)+MID(BO11,13,1)*POWER(2,3)+MID(BO11,12,1)*POWER(2,4)+MID(BO11,11,1)*POWER(2,5)+MID(BO11,10,1)*POWER(2,6)+MID(BO11,9,1)*POWER(2,7)+MID(BO11,8,1)*POWER(2,8)+MID(BO11,7,1)*POWER(2,9)+MID(BO11,6,1)*POWER(2,10)+MID(BO11,5,1)*POWER(2,11)+MID(BO11,4,1)*POWER(2,12)+MID(BO11,3,1)*POWER(2,13)+MID(BO11,2,1)*POWER(2,14)+MID(BO11,1,1)*POWER(2,15))</f>
        <v>-13651</v>
      </c>
      <c r="BR10" s="45" t="str">
        <f>CONCATENATE(MID($L10,1,1)*MID($K10,1,1),MID($L10,2,1)*MID($K10,2,1),MID($L10,3,1)*MID($K10,3,1),MID($L10,4,1)*MID($K10,4,1),MID($L10,5,1)*MID($K10,5,1),MID($L10,6,1)*MID($K10,6,1),MID($L10,7,1)*MID($K10,7,1),MID($L10,8,1)*MID($K10,8,1),MID($L10,9,1)*MID($K10,1,1),MID($L10,10,1)*MID($K10,2,1),MID($L10,11,1)*MID($K10,3,1),MID($L10,12,1)*MID($K10,4,1),MID($L10,13,1)*MID($K10,5,1),MID($L10,14,1)*MID($K10,6,1),MID($L10,15,1)*MID($K10,7,1),MID($L10,16,1)*MID($K10,8,1),MID($L10,17,1)*MID($K10,1,1),MID($L10,18,1)*MID($K10,2,1),MID($L10,19,1)*MID($K10,3,1),MID($L10,20,1)*MID($K10,4,1),MID($L10,21,1)*MID($K10,5,1),MID($L10,22,1)*MID($K10,6,1),MID($L10,23,1)*MID($K10,7,1),MID($L10,24,1)*MID($K10,8,1),MID($L10,25,1)*MID($K10,1,1),MID($L10,26,1)*MID($K10,2,1),MID($L10,27,1)*MID($K10,3,1),MID($L10,28,1)*MID($K10,4,1),MID($L10,29,1)*MID($K10,5,1),MID($L10,30,1)*MID($K10,6,1),MID($L10,31,1)*MID($K10,7,1),MID($L10,32,1)*MID($K10,8,1))</f>
        <v>00100000001000000000000000100100</v>
      </c>
      <c r="BS10" s="26" t="str">
        <f t="shared" si="50"/>
        <v>00100000</v>
      </c>
      <c r="BT10" s="26" t="str">
        <f t="shared" si="51"/>
        <v>00100000</v>
      </c>
      <c r="BU10" s="26" t="str">
        <f t="shared" si="52"/>
        <v>00000000</v>
      </c>
      <c r="BV10" s="26" t="str">
        <f t="shared" si="53"/>
        <v>00100100</v>
      </c>
      <c r="BW10" s="77">
        <f>BIN2DEC(BS10)-BIN2DEC(BS11)</f>
        <v>-145</v>
      </c>
      <c r="BX10" s="77">
        <f>BIN2DEC(BT10)-BIN2DEC(BT11)</f>
        <v>-54</v>
      </c>
      <c r="BY10" s="77">
        <f>BIN2DEC(BU10)-BIN2DEC(BU11)</f>
        <v>-211</v>
      </c>
      <c r="BZ10" s="77">
        <f>BIN2DEC(BV10)-BIN2DEC(BV11)</f>
        <v>19</v>
      </c>
      <c r="CA10" s="27" t="str">
        <f t="shared" si="54"/>
        <v>0010</v>
      </c>
      <c r="CB10" s="27" t="str">
        <f t="shared" si="55"/>
        <v>0001</v>
      </c>
      <c r="CC10" s="27" t="str">
        <f t="shared" si="56"/>
        <v>0010</v>
      </c>
      <c r="CD10" s="27" t="str">
        <f t="shared" si="57"/>
        <v>1001</v>
      </c>
      <c r="CE10" s="27" t="str">
        <f t="shared" si="58"/>
        <v>0000</v>
      </c>
      <c r="CF10" s="27" t="str">
        <f t="shared" si="59"/>
        <v>1010</v>
      </c>
      <c r="CG10" s="27" t="str">
        <f t="shared" si="60"/>
        <v>1010</v>
      </c>
      <c r="CH10" s="27" t="str">
        <f t="shared" si="61"/>
        <v>1101</v>
      </c>
      <c r="CI10" s="77">
        <f>BIN2DEC(CA10)-BIN2DEC(CA11)</f>
        <v>-9</v>
      </c>
      <c r="CJ10" s="77">
        <f t="shared" ref="CJ10:CO10" si="148">BIN2DEC(CB10)-BIN2DEC(CB11)</f>
        <v>0</v>
      </c>
      <c r="CK10" s="77">
        <f t="shared" si="148"/>
        <v>-3</v>
      </c>
      <c r="CL10" s="77">
        <f t="shared" si="148"/>
        <v>3</v>
      </c>
      <c r="CM10" s="77">
        <f t="shared" si="148"/>
        <v>-13</v>
      </c>
      <c r="CN10" s="77">
        <f t="shared" si="148"/>
        <v>7</v>
      </c>
      <c r="CO10" s="77">
        <f t="shared" si="148"/>
        <v>9</v>
      </c>
      <c r="CP10" s="77">
        <f>BIN2DEC(CH10)-BIN2DEC(CH11)</f>
        <v>12</v>
      </c>
      <c r="CQ10" s="26" t="str">
        <f t="shared" si="9"/>
        <v>0010000000100000</v>
      </c>
      <c r="CR10" s="26" t="str">
        <f t="shared" si="10"/>
        <v>0000000000100100</v>
      </c>
      <c r="CS10" s="77">
        <f>MID(CQ10,16,1)*POWER(2,0)+MID(CQ10,15,1)*POWER(2,1)+MID(CQ10,14,1)*POWER(2,2)+MID(CQ10,13,1)*POWER(2,3)+MID(CQ10,12,1)*POWER(2,4)+MID(CQ10,11,1)*POWER(2,5)+MID(CQ10,10,1)*POWER(2,6)+MID(CQ10,9,1)*POWER(2,7)+MID(CQ10,8,1)*POWER(2,8)+MID(CQ10,7,1)*POWER(2,9)+MID(CQ10,6,1)*POWER(2,10)+MID(CQ10,5,1)*POWER(2,11)+MID(CQ10,4,1)*POWER(2,12)+MID(CQ10,3,1)*POWER(2,13)+MID(CQ10,2,1)*POWER(2,14)+MID(CQ10,1,1)*POWER(2,15)-(MID(CQ11,16,1)*POWER(2,0)+MID(CQ11,15,1)*POWER(2,1)+MID(CQ11,14,1)*POWER(2,2)+MID(CQ11,13,1)*POWER(2,3)+MID(CQ11,12,1)*POWER(2,4)+MID(CQ11,11,1)*POWER(2,5)+MID(CQ11,10,1)*POWER(2,6)+MID(CQ11,9,1)*POWER(2,7)+MID(CQ11,8,1)*POWER(2,8)+MID(CQ11,7,1)*POWER(2,9)+MID(CQ11,6,1)*POWER(2,10)+MID(CQ11,5,1)*POWER(2,11)+MID(CQ11,4,1)*POWER(2,12)+MID(CQ11,3,1)*POWER(2,13)+MID(CQ11,2,1)*POWER(2,14)+MID(CQ11,1,1)*POWER(2,15))</f>
        <v>-37174</v>
      </c>
      <c r="CT10" s="77">
        <f>MID(CR10,16,1)*POWER(2,0)+MID(CR10,15,1)*POWER(2,1)+MID(CR10,14,1)*POWER(2,2)+MID(CR10,13,1)*POWER(2,3)+MID(CR10,12,1)*POWER(2,4)+MID(CR10,11,1)*POWER(2,5)+MID(CR10,10,1)*POWER(2,6)+MID(CR10,9,1)*POWER(2,7)+MID(CR10,8,1)*POWER(2,8)+MID(CR10,7,1)*POWER(2,9)+MID(CR10,6,1)*POWER(2,10)+MID(CR10,5,1)*POWER(2,11)+MID(CR10,4,1)*POWER(2,12)+MID(CR10,3,1)*POWER(2,13)+MID(CR10,2,1)*POWER(2,14)+MID(CR10,1,1)*POWER(2,15)-(MID(CR11,16,1)*POWER(2,0)+MID(CR11,15,1)*POWER(2,1)+MID(CR11,14,1)*POWER(2,2)+MID(CR11,13,1)*POWER(2,3)+MID(CR11,12,1)*POWER(2,4)+MID(CR11,11,1)*POWER(2,5)+MID(CR11,10,1)*POWER(2,6)+MID(CR11,9,1)*POWER(2,7)+MID(CR11,8,1)*POWER(2,8)+MID(CR11,7,1)*POWER(2,9)+MID(CR11,6,1)*POWER(2,10)+MID(CR11,5,1)*POWER(2,11)+MID(CR11,4,1)*POWER(2,12)+MID(CR11,3,1)*POWER(2,13)+MID(CR11,2,1)*POWER(2,14)+MID(CR11,1,1)*POWER(2,15))</f>
        <v>-53997</v>
      </c>
      <c r="CU10" s="45" t="str">
        <f>BR10</f>
        <v>00100000001000000000000000100100</v>
      </c>
      <c r="CV10" s="26" t="str">
        <f t="shared" si="62"/>
        <v>00100000</v>
      </c>
      <c r="CW10" s="26" t="str">
        <f t="shared" si="63"/>
        <v>00100000</v>
      </c>
      <c r="CX10" s="26" t="str">
        <f t="shared" si="64"/>
        <v>00000000</v>
      </c>
      <c r="CY10" s="26" t="str">
        <f t="shared" si="65"/>
        <v>00100100</v>
      </c>
      <c r="CZ10" s="77">
        <f>BIN2DEC(CV10)-BIN2DEC(CV11)</f>
        <v>0</v>
      </c>
      <c r="DA10" s="77">
        <f>BIN2DEC(CW10)-BIN2DEC(CW11)</f>
        <v>-36</v>
      </c>
      <c r="DB10" s="77">
        <f>BIN2DEC(CX10)-BIN2DEC(CX11)</f>
        <v>-64</v>
      </c>
      <c r="DC10" s="77">
        <f>BIN2DEC(CY10)-BIN2DEC(CY11)</f>
        <v>36</v>
      </c>
      <c r="DD10" s="27" t="str">
        <f t="shared" si="66"/>
        <v>0010</v>
      </c>
      <c r="DE10" s="27" t="str">
        <f t="shared" si="67"/>
        <v>0001</v>
      </c>
      <c r="DF10" s="27" t="str">
        <f t="shared" si="68"/>
        <v>0010</v>
      </c>
      <c r="DG10" s="27" t="str">
        <f t="shared" si="69"/>
        <v>1001</v>
      </c>
      <c r="DH10" s="27" t="str">
        <f t="shared" si="70"/>
        <v>0000</v>
      </c>
      <c r="DI10" s="27" t="str">
        <f t="shared" si="71"/>
        <v>1010</v>
      </c>
      <c r="DJ10" s="27" t="str">
        <f t="shared" si="72"/>
        <v>1010</v>
      </c>
      <c r="DK10" s="27" t="str">
        <f t="shared" si="73"/>
        <v>1101</v>
      </c>
      <c r="DL10" s="77">
        <f>BIN2DEC(DD10)-BIN2DEC(DD11)</f>
        <v>-9</v>
      </c>
      <c r="DM10" s="77">
        <f t="shared" ref="DM10:DR10" si="149">BIN2DEC(DE10)-BIN2DEC(DE11)</f>
        <v>0</v>
      </c>
      <c r="DN10" s="77">
        <f t="shared" si="149"/>
        <v>-3</v>
      </c>
      <c r="DO10" s="77">
        <f t="shared" si="149"/>
        <v>3</v>
      </c>
      <c r="DP10" s="77">
        <f t="shared" si="149"/>
        <v>-13</v>
      </c>
      <c r="DQ10" s="77">
        <f t="shared" si="149"/>
        <v>7</v>
      </c>
      <c r="DR10" s="77">
        <f t="shared" si="149"/>
        <v>9</v>
      </c>
      <c r="DS10" s="77">
        <f>BIN2DEC(DK10)-BIN2DEC(DK11)</f>
        <v>12</v>
      </c>
      <c r="DT10" s="26" t="str">
        <f t="shared" si="12"/>
        <v>0010000000100000</v>
      </c>
      <c r="DU10" s="26" t="str">
        <f t="shared" si="13"/>
        <v>0000000000100100</v>
      </c>
      <c r="DV10" s="77">
        <f>MID(DT10,16,1)*POWER(2,0)+MID(DT10,15,1)*POWER(2,1)+MID(DT10,14,1)*POWER(2,2)+MID(DT10,13,1)*POWER(2,3)+MID(DT10,12,1)*POWER(2,4)+MID(DT10,11,1)*POWER(2,5)+MID(DT10,10,1)*POWER(2,6)+MID(DT10,9,1)*POWER(2,7)+MID(DT10,8,1)*POWER(2,8)+MID(DT10,7,1)*POWER(2,9)+MID(DT10,6,1)*POWER(2,10)+MID(DT10,5,1)*POWER(2,11)+MID(DT10,4,1)*POWER(2,12)+MID(DT10,3,1)*POWER(2,13)+MID(DT10,2,1)*POWER(2,14)+MID(DT10,1,1)*POWER(2,15)-(MID(DT11,16,1)*POWER(2,0)+MID(DT11,15,1)*POWER(2,1)+MID(DT11,14,1)*POWER(2,2)+MID(DT11,13,1)*POWER(2,3)+MID(DT11,12,1)*POWER(2,4)+MID(DT11,11,1)*POWER(2,5)+MID(DT11,10,1)*POWER(2,6)+MID(DT11,9,1)*POWER(2,7)+MID(DT11,8,1)*POWER(2,8)+MID(DT11,7,1)*POWER(2,9)+MID(DT11,6,1)*POWER(2,10)+MID(DT11,5,1)*POWER(2,11)+MID(DT11,4,1)*POWER(2,12)+MID(DT11,3,1)*POWER(2,13)+MID(DT11,2,1)*POWER(2,14)+MID(DT11,1,1)*POWER(2,15))</f>
        <v>-36</v>
      </c>
      <c r="DW10" s="77">
        <f>MID(DU10,16,1)*POWER(2,0)+MID(DU10,15,1)*POWER(2,1)+MID(DU10,14,1)*POWER(2,2)+MID(DU10,13,1)*POWER(2,3)+MID(DU10,12,1)*POWER(2,4)+MID(DU10,11,1)*POWER(2,5)+MID(DU10,10,1)*POWER(2,6)+MID(DU10,9,1)*POWER(2,7)+MID(DU10,8,1)*POWER(2,8)+MID(DU10,7,1)*POWER(2,9)+MID(DU10,6,1)*POWER(2,10)+MID(DU10,5,1)*POWER(2,11)+MID(DU10,4,1)*POWER(2,12)+MID(DU10,3,1)*POWER(2,13)+MID(DU10,2,1)*POWER(2,14)+MID(DU10,1,1)*POWER(2,15)-(MID(DU11,16,1)*POWER(2,0)+MID(DU11,15,1)*POWER(2,1)+MID(DU11,14,1)*POWER(2,2)+MID(DU11,13,1)*POWER(2,3)+MID(DU11,12,1)*POWER(2,4)+MID(DU11,11,1)*POWER(2,5)+MID(DU11,10,1)*POWER(2,6)+MID(DU11,9,1)*POWER(2,7)+MID(DU11,8,1)*POWER(2,8)+MID(DU11,7,1)*POWER(2,9)+MID(DU11,6,1)*POWER(2,10)+MID(DU11,5,1)*POWER(2,11)+MID(DU11,4,1)*POWER(2,12)+MID(DU11,3,1)*POWER(2,13)+MID(DU11,2,1)*POWER(2,14)+MID(DU11,1,1)*POWER(2,15))</f>
        <v>-16348</v>
      </c>
      <c r="DX10" s="22"/>
      <c r="DY10" s="43" t="str">
        <f>H10</f>
        <v>00100001001010010000101010101101</v>
      </c>
      <c r="DZ10" s="26" t="str">
        <f t="shared" si="122"/>
        <v>00100001</v>
      </c>
      <c r="EA10" s="26" t="str">
        <f t="shared" si="74"/>
        <v>00101001</v>
      </c>
      <c r="EB10" s="26" t="str">
        <f t="shared" si="75"/>
        <v>00001010</v>
      </c>
      <c r="EC10" s="26" t="str">
        <f t="shared" si="76"/>
        <v>10101101</v>
      </c>
      <c r="ED10" s="77">
        <f>BIN2DEC(DZ10)-BIN2DEC(DZ11)</f>
        <v>0</v>
      </c>
      <c r="EE10" s="77">
        <f>BIN2DEC(EA10)-BIN2DEC(EA11)</f>
        <v>39</v>
      </c>
      <c r="EF10" s="77">
        <f>BIN2DEC(EB10)-BIN2DEC(EB11)</f>
        <v>7</v>
      </c>
      <c r="EG10" s="77">
        <f>BIN2DEC(EC10)-BIN2DEC(EC11)</f>
        <v>172</v>
      </c>
      <c r="EH10" s="27" t="str">
        <f t="shared" si="77"/>
        <v>0010</v>
      </c>
      <c r="EI10" s="27" t="str">
        <f t="shared" si="78"/>
        <v>0001</v>
      </c>
      <c r="EJ10" s="27" t="str">
        <f t="shared" si="79"/>
        <v>0010</v>
      </c>
      <c r="EK10" s="27" t="str">
        <f t="shared" si="80"/>
        <v>1001</v>
      </c>
      <c r="EL10" s="27" t="str">
        <f t="shared" si="81"/>
        <v>0000</v>
      </c>
      <c r="EM10" s="27" t="str">
        <f t="shared" si="82"/>
        <v>1010</v>
      </c>
      <c r="EN10" s="27" t="str">
        <f t="shared" si="83"/>
        <v>1010</v>
      </c>
      <c r="EO10" s="27" t="str">
        <f t="shared" si="84"/>
        <v>1101</v>
      </c>
      <c r="EP10" s="77">
        <f>BIN2DEC(EH10)-BIN2DEC(EH11)</f>
        <v>-9</v>
      </c>
      <c r="EQ10" s="77">
        <f t="shared" ref="EQ10:EV10" si="150">BIN2DEC(EI10)-BIN2DEC(EI11)</f>
        <v>0</v>
      </c>
      <c r="ER10" s="77">
        <f t="shared" si="150"/>
        <v>-3</v>
      </c>
      <c r="ES10" s="77">
        <f t="shared" si="150"/>
        <v>3</v>
      </c>
      <c r="ET10" s="77">
        <f t="shared" si="150"/>
        <v>-13</v>
      </c>
      <c r="EU10" s="77">
        <f t="shared" si="150"/>
        <v>7</v>
      </c>
      <c r="EV10" s="77">
        <f t="shared" si="150"/>
        <v>9</v>
      </c>
      <c r="EW10" s="77">
        <f>BIN2DEC(EO10)-BIN2DEC(EO11)</f>
        <v>12</v>
      </c>
      <c r="EX10" s="26" t="str">
        <f t="shared" si="15"/>
        <v>0010000100101001</v>
      </c>
      <c r="EY10" s="26" t="str">
        <f t="shared" si="16"/>
        <v>0000101010101101</v>
      </c>
      <c r="EZ10" s="77">
        <f>MID(EX10,16,1)*POWER(2,0)+MID(EX10,15,1)*POWER(2,1)+MID(EX10,14,1)*POWER(2,2)+MID(EX10,13,1)*POWER(2,3)+MID(EX10,12,1)*POWER(2,4)+MID(EX10,11,1)*POWER(2,5)+MID(EX10,10,1)*POWER(2,6)+MID(EX10,9,1)*POWER(2,7)+MID(EX10,8,1)*POWER(2,8)+MID(EX10,7,1)*POWER(2,9)+MID(EX10,6,1)*POWER(2,10)+MID(EX10,5,1)*POWER(2,11)+MID(EX10,4,1)*POWER(2,12)+MID(EX10,3,1)*POWER(2,13)+MID(EX10,2,1)*POWER(2,14)+MID(EX10,1,1)*POWER(2,15)-(MID(EX11,16,1)*POWER(2,0)+MID(EX11,15,1)*POWER(2,1)+MID(EX11,14,1)*POWER(2,2)+MID(EX11,13,1)*POWER(2,3)+MID(EX11,12,1)*POWER(2,4)+MID(EX11,11,1)*POWER(2,5)+MID(EX11,10,1)*POWER(2,6)+MID(EX11,9,1)*POWER(2,7)+MID(EX11,8,1)*POWER(2,8)+MID(EX11,7,1)*POWER(2,9)+MID(EX11,6,1)*POWER(2,10)+MID(EX11,5,1)*POWER(2,11)+MID(EX11,4,1)*POWER(2,12)+MID(EX11,3,1)*POWER(2,13)+MID(EX11,2,1)*POWER(2,14)+MID(EX11,1,1)*POWER(2,15))</f>
        <v>39</v>
      </c>
      <c r="FA10" s="77">
        <f>MID(EY10,16,1)*POWER(2,0)+MID(EY10,15,1)*POWER(2,1)+MID(EY10,14,1)*POWER(2,2)+MID(EY10,13,1)*POWER(2,3)+MID(EY10,12,1)*POWER(2,4)+MID(EY10,11,1)*POWER(2,5)+MID(EY10,10,1)*POWER(2,6)+MID(EY10,9,1)*POWER(2,7)+MID(EY10,8,1)*POWER(2,8)+MID(EY10,7,1)*POWER(2,9)+MID(EY10,6,1)*POWER(2,10)+MID(EY10,5,1)*POWER(2,11)+MID(EY10,4,1)*POWER(2,12)+MID(EY10,3,1)*POWER(2,13)+MID(EY10,2,1)*POWER(2,14)+MID(EY10,1,1)*POWER(2,15)-(MID(EY11,16,1)*POWER(2,0)+MID(EY11,15,1)*POWER(2,1)+MID(EY11,14,1)*POWER(2,2)+MID(EY11,13,1)*POWER(2,3)+MID(EY11,12,1)*POWER(2,4)+MID(EY11,11,1)*POWER(2,5)+MID(EY11,10,1)*POWER(2,6)+MID(EY11,9,1)*POWER(2,7)+MID(EY11,8,1)*POWER(2,8)+MID(EY11,7,1)*POWER(2,9)+MID(EY11,6,1)*POWER(2,10)+MID(EY11,5,1)*POWER(2,11)+MID(EY11,4,1)*POWER(2,12)+MID(EY11,3,1)*POWER(2,13)+MID(EY11,2,1)*POWER(2,14)+MID(EY11,1,1)*POWER(2,15))</f>
        <v>1964</v>
      </c>
      <c r="FB10" s="45" t="str">
        <f>H10</f>
        <v>00100001001010010000101010101101</v>
      </c>
      <c r="FC10" s="26" t="str">
        <f t="shared" si="124"/>
        <v>00100001</v>
      </c>
      <c r="FD10" s="26" t="str">
        <f t="shared" si="85"/>
        <v>00101001</v>
      </c>
      <c r="FE10" s="26" t="str">
        <f t="shared" si="86"/>
        <v>00001010</v>
      </c>
      <c r="FF10" s="26" t="str">
        <f t="shared" si="87"/>
        <v>10101101</v>
      </c>
      <c r="FG10" s="77">
        <f>BIN2DEC(FC10)-BIN2DEC(FC11)</f>
        <v>1</v>
      </c>
      <c r="FH10" s="77">
        <f>BIN2DEC(FD10)-BIN2DEC(FD11)</f>
        <v>41</v>
      </c>
      <c r="FI10" s="77">
        <f>BIN2DEC(FE10)-BIN2DEC(FE11)</f>
        <v>10</v>
      </c>
      <c r="FJ10" s="77">
        <f>BIN2DEC(FF10)-BIN2DEC(FF11)</f>
        <v>173</v>
      </c>
      <c r="FK10" s="27" t="str">
        <f t="shared" si="88"/>
        <v>0010</v>
      </c>
      <c r="FL10" s="27" t="str">
        <f t="shared" si="89"/>
        <v>0001</v>
      </c>
      <c r="FM10" s="27" t="str">
        <f t="shared" si="90"/>
        <v>0010</v>
      </c>
      <c r="FN10" s="27" t="str">
        <f t="shared" si="91"/>
        <v>1001</v>
      </c>
      <c r="FO10" s="27" t="str">
        <f t="shared" si="92"/>
        <v>0000</v>
      </c>
      <c r="FP10" s="27" t="str">
        <f t="shared" si="93"/>
        <v>1010</v>
      </c>
      <c r="FQ10" s="27" t="str">
        <f t="shared" si="94"/>
        <v>1010</v>
      </c>
      <c r="FR10" s="27" t="str">
        <f t="shared" si="95"/>
        <v>1101</v>
      </c>
      <c r="FS10" s="77">
        <f>BIN2DEC(FK10)-BIN2DEC(FK11)</f>
        <v>-9</v>
      </c>
      <c r="FT10" s="77">
        <f t="shared" ref="FT10:FY10" si="151">BIN2DEC(FL10)-BIN2DEC(FL11)</f>
        <v>0</v>
      </c>
      <c r="FU10" s="77">
        <f t="shared" si="151"/>
        <v>-3</v>
      </c>
      <c r="FV10" s="77">
        <f t="shared" si="151"/>
        <v>3</v>
      </c>
      <c r="FW10" s="77">
        <f t="shared" si="151"/>
        <v>-13</v>
      </c>
      <c r="FX10" s="77">
        <f t="shared" si="151"/>
        <v>7</v>
      </c>
      <c r="FY10" s="77">
        <f t="shared" si="151"/>
        <v>9</v>
      </c>
      <c r="FZ10" s="77">
        <f>BIN2DEC(FR10)-BIN2DEC(FR11)</f>
        <v>12</v>
      </c>
      <c r="GA10" s="26" t="str">
        <f t="shared" si="18"/>
        <v>0010000100101001</v>
      </c>
      <c r="GB10" s="26" t="str">
        <f t="shared" si="19"/>
        <v>0000101010101101</v>
      </c>
      <c r="GC10" s="77">
        <f>MID(GA10,16,1)*POWER(2,0)+MID(GA10,15,1)*POWER(2,1)+MID(GA10,14,1)*POWER(2,2)+MID(GA10,13,1)*POWER(2,3)+MID(GA10,12,1)*POWER(2,4)+MID(GA10,11,1)*POWER(2,5)+MID(GA10,10,1)*POWER(2,6)+MID(GA10,9,1)*POWER(2,7)+MID(GA10,8,1)*POWER(2,8)+MID(GA10,7,1)*POWER(2,9)+MID(GA10,6,1)*POWER(2,10)+MID(GA10,5,1)*POWER(2,11)+MID(GA10,4,1)*POWER(2,12)+MID(GA10,3,1)*POWER(2,13)+MID(GA10,2,1)*POWER(2,14)+MID(GA10,1,1)*POWER(2,15)-(MID(GA11,16,1)*POWER(2,0)+MID(GA11,15,1)*POWER(2,1)+MID(GA11,14,1)*POWER(2,2)+MID(GA11,13,1)*POWER(2,3)+MID(GA11,12,1)*POWER(2,4)+MID(GA11,11,1)*POWER(2,5)+MID(GA11,10,1)*POWER(2,6)+MID(GA11,9,1)*POWER(2,7)+MID(GA11,8,1)*POWER(2,8)+MID(GA11,7,1)*POWER(2,9)+MID(GA11,6,1)*POWER(2,10)+MID(GA11,5,1)*POWER(2,11)+MID(GA11,4,1)*POWER(2,12)+MID(GA11,3,1)*POWER(2,13)+MID(GA11,2,1)*POWER(2,14)+MID(GA11,1,1)*POWER(2,15))</f>
        <v>297</v>
      </c>
      <c r="GD10" s="77">
        <f>MID(GB10,16,1)*POWER(2,0)+MID(GB10,15,1)*POWER(2,1)+MID(GB10,14,1)*POWER(2,2)+MID(GB10,13,1)*POWER(2,3)+MID(GB10,12,1)*POWER(2,4)+MID(GB10,11,1)*POWER(2,5)+MID(GB10,10,1)*POWER(2,6)+MID(GB10,9,1)*POWER(2,7)+MID(GB10,8,1)*POWER(2,8)+MID(GB10,7,1)*POWER(2,9)+MID(GB10,6,1)*POWER(2,10)+MID(GB10,5,1)*POWER(2,11)+MID(GB10,4,1)*POWER(2,12)+MID(GB10,3,1)*POWER(2,13)+MID(GB10,2,1)*POWER(2,14)+MID(GB10,1,1)*POWER(2,15)-(MID(GB11,16,1)*POWER(2,0)+MID(GB11,15,1)*POWER(2,1)+MID(GB11,14,1)*POWER(2,2)+MID(GB11,13,1)*POWER(2,3)+MID(GB11,12,1)*POWER(2,4)+MID(GB11,11,1)*POWER(2,5)+MID(GB11,10,1)*POWER(2,6)+MID(GB11,9,1)*POWER(2,7)+MID(GB11,8,1)*POWER(2,8)+MID(GB11,7,1)*POWER(2,9)+MID(GB11,6,1)*POWER(2,10)+MID(GB11,5,1)*POWER(2,11)+MID(GB11,4,1)*POWER(2,12)+MID(GB11,3,1)*POWER(2,13)+MID(GB11,2,1)*POWER(2,14)+MID(GB11,1,1)*POWER(2,15))</f>
        <v>2733</v>
      </c>
      <c r="GE10" s="47" t="str">
        <f>CU10</f>
        <v>00100000001000000000000000100100</v>
      </c>
      <c r="GF10" s="26" t="str">
        <f t="shared" si="126"/>
        <v>00100000</v>
      </c>
      <c r="GG10" s="26" t="str">
        <f t="shared" si="96"/>
        <v>00100000</v>
      </c>
      <c r="GH10" s="26" t="str">
        <f t="shared" si="97"/>
        <v>00000000</v>
      </c>
      <c r="GI10" s="26" t="str">
        <f t="shared" si="98"/>
        <v>00100100</v>
      </c>
      <c r="GJ10" s="77">
        <f>BIN2DEC(GF10)-BIN2DEC(GF11)</f>
        <v>-1</v>
      </c>
      <c r="GK10" s="77">
        <f>BIN2DEC(GG10)-BIN2DEC(GG11)</f>
        <v>30</v>
      </c>
      <c r="GL10" s="77">
        <f>BIN2DEC(GH10)-BIN2DEC(GH11)</f>
        <v>-3</v>
      </c>
      <c r="GM10" s="77">
        <f>BIN2DEC(GI10)-BIN2DEC(GI11)</f>
        <v>35</v>
      </c>
      <c r="GN10" s="27" t="str">
        <f t="shared" si="99"/>
        <v>0010</v>
      </c>
      <c r="GO10" s="27" t="str">
        <f t="shared" si="100"/>
        <v>0001</v>
      </c>
      <c r="GP10" s="27" t="str">
        <f t="shared" si="101"/>
        <v>0010</v>
      </c>
      <c r="GQ10" s="27" t="str">
        <f t="shared" si="102"/>
        <v>1001</v>
      </c>
      <c r="GR10" s="27" t="str">
        <f t="shared" si="103"/>
        <v>0000</v>
      </c>
      <c r="GS10" s="27" t="str">
        <f t="shared" si="104"/>
        <v>1010</v>
      </c>
      <c r="GT10" s="27" t="str">
        <f t="shared" si="105"/>
        <v>1010</v>
      </c>
      <c r="GU10" s="27" t="str">
        <f t="shared" si="106"/>
        <v>1101</v>
      </c>
      <c r="GV10" s="77">
        <f>BIN2DEC(GN10)-BIN2DEC(GN11)</f>
        <v>-9</v>
      </c>
      <c r="GW10" s="77">
        <f t="shared" ref="GW10:HB10" si="152">BIN2DEC(GO10)-BIN2DEC(GO11)</f>
        <v>0</v>
      </c>
      <c r="GX10" s="77">
        <f t="shared" si="152"/>
        <v>-3</v>
      </c>
      <c r="GY10" s="77">
        <f t="shared" si="152"/>
        <v>3</v>
      </c>
      <c r="GZ10" s="77">
        <f t="shared" si="152"/>
        <v>-13</v>
      </c>
      <c r="HA10" s="77">
        <f t="shared" si="152"/>
        <v>7</v>
      </c>
      <c r="HB10" s="77">
        <f t="shared" si="152"/>
        <v>9</v>
      </c>
      <c r="HC10" s="77">
        <f>BIN2DEC(GU10)-BIN2DEC(GU11)</f>
        <v>12</v>
      </c>
      <c r="HD10" s="26" t="str">
        <f t="shared" si="21"/>
        <v>0010000000100000</v>
      </c>
      <c r="HE10" s="26" t="str">
        <f t="shared" si="22"/>
        <v>0000000000100100</v>
      </c>
      <c r="HF10" s="77">
        <f>MID(HD10,16,1)*POWER(2,0)+MID(HD10,15,1)*POWER(2,1)+MID(HD10,14,1)*POWER(2,2)+MID(HD10,13,1)*POWER(2,3)+MID(HD10,12,1)*POWER(2,4)+MID(HD10,11,1)*POWER(2,5)+MID(HD10,10,1)*POWER(2,6)+MID(HD10,9,1)*POWER(2,7)+MID(HD10,8,1)*POWER(2,8)+MID(HD10,7,1)*POWER(2,9)+MID(HD10,6,1)*POWER(2,10)+MID(HD10,5,1)*POWER(2,11)+MID(HD10,4,1)*POWER(2,12)+MID(HD10,3,1)*POWER(2,13)+MID(HD10,2,1)*POWER(2,14)+MID(HD10,1,1)*POWER(2,15)-(MID(HD11,16,1)*POWER(2,0)+MID(HD11,15,1)*POWER(2,1)+MID(HD11,14,1)*POWER(2,2)+MID(HD11,13,1)*POWER(2,3)+MID(HD11,12,1)*POWER(2,4)+MID(HD11,11,1)*POWER(2,5)+MID(HD11,10,1)*POWER(2,6)+MID(HD11,9,1)*POWER(2,7)+MID(HD11,8,1)*POWER(2,8)+MID(HD11,7,1)*POWER(2,9)+MID(HD11,6,1)*POWER(2,10)+MID(HD11,5,1)*POWER(2,11)+MID(HD11,4,1)*POWER(2,12)+MID(HD11,3,1)*POWER(2,13)+MID(HD11,2,1)*POWER(2,14)+MID(HD11,1,1)*POWER(2,15))</f>
        <v>-226</v>
      </c>
      <c r="HG10" s="77">
        <f>MID(HE10,16,1)*POWER(2,0)+MID(HE10,15,1)*POWER(2,1)+MID(HE10,14,1)*POWER(2,2)+MID(HE10,13,1)*POWER(2,3)+MID(HE10,12,1)*POWER(2,4)+MID(HE10,11,1)*POWER(2,5)+MID(HE10,10,1)*POWER(2,6)+MID(HE10,9,1)*POWER(2,7)+MID(HE10,8,1)*POWER(2,8)+MID(HE10,7,1)*POWER(2,9)+MID(HE10,6,1)*POWER(2,10)+MID(HE10,5,1)*POWER(2,11)+MID(HE10,4,1)*POWER(2,12)+MID(HE10,3,1)*POWER(2,13)+MID(HE10,2,1)*POWER(2,14)+MID(HE10,1,1)*POWER(2,15)-(MID(HE11,16,1)*POWER(2,0)+MID(HE11,15,1)*POWER(2,1)+MID(HE11,14,1)*POWER(2,2)+MID(HE11,13,1)*POWER(2,3)+MID(HE11,12,1)*POWER(2,4)+MID(HE11,11,1)*POWER(2,5)+MID(HE11,10,1)*POWER(2,6)+MID(HE11,9,1)*POWER(2,7)+MID(HE11,8,1)*POWER(2,8)+MID(HE11,7,1)*POWER(2,9)+MID(HE11,6,1)*POWER(2,10)+MID(HE11,5,1)*POWER(2,11)+MID(HE11,4,1)*POWER(2,12)+MID(HE11,3,1)*POWER(2,13)+MID(HE11,2,1)*POWER(2,14)+MID(HE11,1,1)*POWER(2,15))</f>
        <v>-733</v>
      </c>
      <c r="HH10" s="45" t="str">
        <f>GE10</f>
        <v>00100000001000000000000000100100</v>
      </c>
      <c r="HI10" s="26" t="str">
        <f t="shared" si="128"/>
        <v>00100000</v>
      </c>
      <c r="HJ10" s="26" t="str">
        <f t="shared" si="107"/>
        <v>00100000</v>
      </c>
      <c r="HK10" s="26" t="str">
        <f t="shared" si="108"/>
        <v>00000000</v>
      </c>
      <c r="HL10" s="26" t="str">
        <f t="shared" si="109"/>
        <v>00100100</v>
      </c>
      <c r="HM10" s="77">
        <f>BIN2DEC(HI10)-BIN2DEC(HI11)</f>
        <v>0</v>
      </c>
      <c r="HN10" s="77">
        <f>BIN2DEC(HJ10)-BIN2DEC(HJ11)</f>
        <v>32</v>
      </c>
      <c r="HO10" s="77">
        <f>BIN2DEC(HK10)-BIN2DEC(HK11)</f>
        <v>0</v>
      </c>
      <c r="HP10" s="77">
        <f>BIN2DEC(HL10)-BIN2DEC(HL11)</f>
        <v>36</v>
      </c>
      <c r="HQ10" s="27" t="str">
        <f t="shared" si="110"/>
        <v>0010</v>
      </c>
      <c r="HR10" s="27" t="str">
        <f t="shared" si="111"/>
        <v>0001</v>
      </c>
      <c r="HS10" s="27" t="str">
        <f t="shared" si="112"/>
        <v>0010</v>
      </c>
      <c r="HT10" s="27" t="str">
        <f t="shared" si="113"/>
        <v>1001</v>
      </c>
      <c r="HU10" s="27" t="str">
        <f t="shared" si="114"/>
        <v>0000</v>
      </c>
      <c r="HV10" s="27" t="str">
        <f t="shared" si="115"/>
        <v>1010</v>
      </c>
      <c r="HW10" s="27" t="str">
        <f t="shared" si="116"/>
        <v>1010</v>
      </c>
      <c r="HX10" s="27" t="str">
        <f t="shared" si="117"/>
        <v>1101</v>
      </c>
      <c r="HY10" s="77">
        <f>BIN2DEC(HQ10)-BIN2DEC(HQ11)</f>
        <v>-9</v>
      </c>
      <c r="HZ10" s="77">
        <f t="shared" ref="HZ10:IE10" si="153">BIN2DEC(HR10)-BIN2DEC(HR11)</f>
        <v>0</v>
      </c>
      <c r="IA10" s="77">
        <f t="shared" si="153"/>
        <v>-3</v>
      </c>
      <c r="IB10" s="77">
        <f t="shared" si="153"/>
        <v>3</v>
      </c>
      <c r="IC10" s="77">
        <f t="shared" si="153"/>
        <v>-13</v>
      </c>
      <c r="ID10" s="77">
        <f t="shared" si="153"/>
        <v>7</v>
      </c>
      <c r="IE10" s="77">
        <f t="shared" si="153"/>
        <v>9</v>
      </c>
      <c r="IF10" s="77">
        <f>BIN2DEC(HX10)-BIN2DEC(HX11)</f>
        <v>12</v>
      </c>
      <c r="IG10" s="26" t="str">
        <f t="shared" si="24"/>
        <v>0010000000100000</v>
      </c>
      <c r="IH10" s="26" t="str">
        <f t="shared" si="25"/>
        <v>0000000000100100</v>
      </c>
      <c r="II10" s="77">
        <f>MID(IG10,16,1)*POWER(2,0)+MID(IG10,15,1)*POWER(2,1)+MID(IG10,14,1)*POWER(2,2)+MID(IG10,13,1)*POWER(2,3)+MID(IG10,12,1)*POWER(2,4)+MID(IG10,11,1)*POWER(2,5)+MID(IG10,10,1)*POWER(2,6)+MID(IG10,9,1)*POWER(2,7)+MID(IG10,8,1)*POWER(2,8)+MID(IG10,7,1)*POWER(2,9)+MID(IG10,6,1)*POWER(2,10)+MID(IG10,5,1)*POWER(2,11)+MID(IG10,4,1)*POWER(2,12)+MID(IG10,3,1)*POWER(2,13)+MID(IG10,2,1)*POWER(2,14)+MID(IG10,1,1)*POWER(2,15)-(MID(IG11,16,1)*POWER(2,0)+MID(IG11,15,1)*POWER(2,1)+MID(IG11,14,1)*POWER(2,2)+MID(IG11,13,1)*POWER(2,3)+MID(IG11,12,1)*POWER(2,4)+MID(IG11,11,1)*POWER(2,5)+MID(IG11,10,1)*POWER(2,6)+MID(IG11,9,1)*POWER(2,7)+MID(IG11,8,1)*POWER(2,8)+MID(IG11,7,1)*POWER(2,9)+MID(IG11,6,1)*POWER(2,10)+MID(IG11,5,1)*POWER(2,11)+MID(IG11,4,1)*POWER(2,12)+MID(IG11,3,1)*POWER(2,13)+MID(IG11,2,1)*POWER(2,14)+MID(IG11,1,1)*POWER(2,15))</f>
        <v>32</v>
      </c>
      <c r="IJ10" s="77">
        <f>MID(IH10,16,1)*POWER(2,0)+MID(IH10,15,1)*POWER(2,1)+MID(IH10,14,1)*POWER(2,2)+MID(IH10,13,1)*POWER(2,3)+MID(IH10,12,1)*POWER(2,4)+MID(IH10,11,1)*POWER(2,5)+MID(IH10,10,1)*POWER(2,6)+MID(IH10,9,1)*POWER(2,7)+MID(IH10,8,1)*POWER(2,8)+MID(IH10,7,1)*POWER(2,9)+MID(IH10,6,1)*POWER(2,10)+MID(IH10,5,1)*POWER(2,11)+MID(IH10,4,1)*POWER(2,12)+MID(IH10,3,1)*POWER(2,13)+MID(IH10,2,1)*POWER(2,14)+MID(IH10,1,1)*POWER(2,15)-(MID(IH11,16,1)*POWER(2,0)+MID(IH11,15,1)*POWER(2,1)+MID(IH11,14,1)*POWER(2,2)+MID(IH11,13,1)*POWER(2,3)+MID(IH11,12,1)*POWER(2,4)+MID(IH11,11,1)*POWER(2,5)+MID(IH11,10,1)*POWER(2,6)+MID(IH11,9,1)*POWER(2,7)+MID(IH11,8,1)*POWER(2,8)+MID(IH11,7,1)*POWER(2,9)+MID(IH11,6,1)*POWER(2,10)+MID(IH11,5,1)*POWER(2,11)+MID(IH11,4,1)*POWER(2,12)+MID(IH11,3,1)*POWER(2,13)+MID(IH11,2,1)*POWER(2,14)+MID(IH11,1,1)*POWER(2,15))</f>
        <v>36</v>
      </c>
      <c r="IL10" s="26"/>
      <c r="IM10" s="26"/>
      <c r="IN10" s="26"/>
      <c r="IO10" s="26"/>
      <c r="IP10" s="22"/>
      <c r="IQ10" s="22"/>
      <c r="IR10" s="22"/>
      <c r="IS10" s="22"/>
      <c r="JB10" s="22"/>
      <c r="JC10" s="22"/>
      <c r="JD10" s="22"/>
      <c r="JE10" s="22"/>
      <c r="JF10" s="22"/>
      <c r="JG10" s="22"/>
      <c r="JH10" s="22"/>
      <c r="JI10" s="22"/>
      <c r="JJ10" s="26"/>
      <c r="JK10" s="26"/>
      <c r="JL10" s="22"/>
      <c r="JM10" s="22"/>
    </row>
    <row r="11" spans="1:273" s="31" customFormat="1" ht="18.600000000000001" thickBot="1" x14ac:dyDescent="0.4">
      <c r="A11" s="28"/>
      <c r="B11" s="29"/>
      <c r="C11" s="21" t="s">
        <v>6</v>
      </c>
      <c r="D11" s="21" t="s">
        <v>115</v>
      </c>
      <c r="E11" s="21">
        <v>22</v>
      </c>
      <c r="F11" s="21" t="s">
        <v>35</v>
      </c>
      <c r="G11" s="21" t="s">
        <v>59</v>
      </c>
      <c r="H11" s="21" t="str">
        <f t="shared" si="0"/>
        <v>00111010001000101101011001101010</v>
      </c>
      <c r="I11" s="21">
        <f t="shared" si="1"/>
        <v>15</v>
      </c>
      <c r="J11" s="21"/>
      <c r="K11" s="21"/>
      <c r="L11" s="44" t="str">
        <f>CONCATENATE(MID(H11,20,5),MID(H11,9,3),MID(H11,28,5),MID(H11,17,3),MID(H11,4,5),MID(H11,25,3),MID(H11,12,5),MID(H11,1,3))</f>
        <v>10110001010101101101001100010001</v>
      </c>
      <c r="M11" s="30" t="str">
        <f t="shared" si="26"/>
        <v>10110001</v>
      </c>
      <c r="N11" s="30" t="str">
        <f t="shared" si="27"/>
        <v>01010110</v>
      </c>
      <c r="O11" s="30" t="str">
        <f t="shared" si="28"/>
        <v>11010011</v>
      </c>
      <c r="P11" s="30" t="str">
        <f t="shared" si="29"/>
        <v>00010001</v>
      </c>
      <c r="Q11" s="78"/>
      <c r="R11" s="78"/>
      <c r="S11" s="78"/>
      <c r="T11" s="78"/>
      <c r="U11" s="31" t="str">
        <f t="shared" si="30"/>
        <v>1011</v>
      </c>
      <c r="V11" s="31" t="str">
        <f t="shared" si="31"/>
        <v>0001</v>
      </c>
      <c r="W11" s="31" t="str">
        <f t="shared" si="32"/>
        <v>0101</v>
      </c>
      <c r="X11" s="31" t="str">
        <f t="shared" si="33"/>
        <v>0110</v>
      </c>
      <c r="Y11" s="31" t="str">
        <f t="shared" si="34"/>
        <v>1101</v>
      </c>
      <c r="Z11" s="31" t="str">
        <f t="shared" si="35"/>
        <v>0011</v>
      </c>
      <c r="AA11" s="31" t="str">
        <f t="shared" si="36"/>
        <v>0001</v>
      </c>
      <c r="AB11" s="31" t="str">
        <f t="shared" si="37"/>
        <v>0001</v>
      </c>
      <c r="AC11" s="78"/>
      <c r="AD11" s="78"/>
      <c r="AE11" s="78"/>
      <c r="AF11" s="78"/>
      <c r="AG11" s="78"/>
      <c r="AH11" s="78"/>
      <c r="AI11" s="78"/>
      <c r="AJ11" s="78"/>
      <c r="AK11" s="30" t="str">
        <f t="shared" si="3"/>
        <v>1011000101010110</v>
      </c>
      <c r="AL11" s="30" t="str">
        <f t="shared" si="4"/>
        <v>1101001100010001</v>
      </c>
      <c r="AM11" s="78"/>
      <c r="AN11" s="78"/>
      <c r="AO11" s="46" t="str">
        <f>CONCATENATE(MID($L11,1,1)*MID($K10,1,1),MID($L11,2,1)*MID($K10,2,1),MID($L11,3,1)*MID($K10,3,1),MID($L11,4,1)*MID($K10,4,1),MID($L11,5,1)*MID($K10,5,1),MID($L11,6,1)*MID($K10,6,1),MID($L11,7,1)*MID($K10,7,1),MID($L11,8,1)*MID($K10,8,1),MID($L11,9,1)*MID($K10,1,1),MID($L11,10,1)*MID($K10,2,1),MID($L11,11,1)*MID($K10,3,1),MID($L11,12,1)*MID($K10,4,1),MID($L11,13,1)*MID($K10,5,1),MID($L11,14,1)*MID($K10,6,1),MID($L11,15,1)*MID($K10,7,1),MID($L11,16,1)*MID($K10,8,1),MID($L11,17,1)*MID($K10,1,1),MID($L11,18,1)*MID($K10,2,1),MID($L11,19,1)*MID($K10,3,1),MID($L11,20,1)*MID($K10,4,1),MID($L11,21,1)*MID($K10,5,1),MID($L11,22,1)*MID($K10,6,1),MID($L11,23,1)*MID($K10,7,1),MID($L11,24,1)*MID($K10,8,1),MID($L11,25,1)*MID($K10,1,1),MID($L11,26,1)*MID($K10,2,1),MID($L11,27,1)*MID($K10,3,1),MID($L11,28,1)*MID($K10,4,1),MID($L11,29,1)*MID($K10,5,1),MID($L11,30,1)*MID($K10,6,1),MID($L11,31,1)*MID($K10,7,1),MID($L11,32,1)*MID($K10,8,1))</f>
        <v>00100000010001000100000000000000</v>
      </c>
      <c r="AP11" s="30" t="str">
        <f t="shared" si="38"/>
        <v>00100000</v>
      </c>
      <c r="AQ11" s="30" t="str">
        <f t="shared" si="39"/>
        <v>01000100</v>
      </c>
      <c r="AR11" s="30" t="str">
        <f t="shared" si="40"/>
        <v>01000000</v>
      </c>
      <c r="AS11" s="30" t="str">
        <f t="shared" si="41"/>
        <v>00000000</v>
      </c>
      <c r="AT11" s="78"/>
      <c r="AU11" s="78"/>
      <c r="AV11" s="78"/>
      <c r="AW11" s="78"/>
      <c r="AX11" s="31" t="str">
        <f t="shared" si="42"/>
        <v>1011</v>
      </c>
      <c r="AY11" s="31" t="str">
        <f t="shared" si="43"/>
        <v>0001</v>
      </c>
      <c r="AZ11" s="31" t="str">
        <f t="shared" si="44"/>
        <v>0101</v>
      </c>
      <c r="BA11" s="31" t="str">
        <f t="shared" si="45"/>
        <v>0110</v>
      </c>
      <c r="BB11" s="31" t="str">
        <f t="shared" si="46"/>
        <v>1101</v>
      </c>
      <c r="BC11" s="31" t="str">
        <f t="shared" si="47"/>
        <v>0011</v>
      </c>
      <c r="BD11" s="31" t="str">
        <f t="shared" si="48"/>
        <v>0001</v>
      </c>
      <c r="BE11" s="31" t="str">
        <f t="shared" si="49"/>
        <v>0001</v>
      </c>
      <c r="BF11" s="78"/>
      <c r="BG11" s="78"/>
      <c r="BH11" s="78"/>
      <c r="BI11" s="78"/>
      <c r="BJ11" s="78"/>
      <c r="BK11" s="78"/>
      <c r="BL11" s="78"/>
      <c r="BM11" s="78"/>
      <c r="BN11" s="30" t="str">
        <f t="shared" si="6"/>
        <v>0010000001000100</v>
      </c>
      <c r="BO11" s="30" t="str">
        <f t="shared" si="7"/>
        <v>0100000000000000</v>
      </c>
      <c r="BP11" s="78"/>
      <c r="BQ11" s="78"/>
      <c r="BR11" s="46" t="str">
        <f>L11</f>
        <v>10110001010101101101001100010001</v>
      </c>
      <c r="BS11" s="30" t="str">
        <f t="shared" si="50"/>
        <v>10110001</v>
      </c>
      <c r="BT11" s="30" t="str">
        <f t="shared" si="51"/>
        <v>01010110</v>
      </c>
      <c r="BU11" s="30" t="str">
        <f t="shared" si="52"/>
        <v>11010011</v>
      </c>
      <c r="BV11" s="30" t="str">
        <f t="shared" si="53"/>
        <v>00010001</v>
      </c>
      <c r="BW11" s="78"/>
      <c r="BX11" s="78"/>
      <c r="BY11" s="78"/>
      <c r="BZ11" s="78"/>
      <c r="CA11" s="31" t="str">
        <f t="shared" si="54"/>
        <v>1011</v>
      </c>
      <c r="CB11" s="31" t="str">
        <f t="shared" si="55"/>
        <v>0001</v>
      </c>
      <c r="CC11" s="31" t="str">
        <f t="shared" si="56"/>
        <v>0101</v>
      </c>
      <c r="CD11" s="31" t="str">
        <f t="shared" si="57"/>
        <v>0110</v>
      </c>
      <c r="CE11" s="31" t="str">
        <f t="shared" si="58"/>
        <v>1101</v>
      </c>
      <c r="CF11" s="31" t="str">
        <f t="shared" si="59"/>
        <v>0011</v>
      </c>
      <c r="CG11" s="31" t="str">
        <f t="shared" si="60"/>
        <v>0001</v>
      </c>
      <c r="CH11" s="31" t="str">
        <f t="shared" si="61"/>
        <v>0001</v>
      </c>
      <c r="CI11" s="78"/>
      <c r="CJ11" s="78"/>
      <c r="CK11" s="78"/>
      <c r="CL11" s="78"/>
      <c r="CM11" s="78"/>
      <c r="CN11" s="78"/>
      <c r="CO11" s="78"/>
      <c r="CP11" s="78"/>
      <c r="CQ11" s="30" t="str">
        <f t="shared" si="9"/>
        <v>1011000101010110</v>
      </c>
      <c r="CR11" s="30" t="str">
        <f t="shared" si="10"/>
        <v>1101001100010001</v>
      </c>
      <c r="CS11" s="78"/>
      <c r="CT11" s="78"/>
      <c r="CU11" s="46" t="str">
        <f>AO11</f>
        <v>00100000010001000100000000000000</v>
      </c>
      <c r="CV11" s="30" t="str">
        <f t="shared" si="62"/>
        <v>00100000</v>
      </c>
      <c r="CW11" s="30" t="str">
        <f t="shared" si="63"/>
        <v>01000100</v>
      </c>
      <c r="CX11" s="30" t="str">
        <f t="shared" si="64"/>
        <v>01000000</v>
      </c>
      <c r="CY11" s="30" t="str">
        <f t="shared" si="65"/>
        <v>00000000</v>
      </c>
      <c r="CZ11" s="78"/>
      <c r="DA11" s="78"/>
      <c r="DB11" s="78"/>
      <c r="DC11" s="78"/>
      <c r="DD11" s="31" t="str">
        <f t="shared" si="66"/>
        <v>1011</v>
      </c>
      <c r="DE11" s="31" t="str">
        <f t="shared" si="67"/>
        <v>0001</v>
      </c>
      <c r="DF11" s="31" t="str">
        <f t="shared" si="68"/>
        <v>0101</v>
      </c>
      <c r="DG11" s="31" t="str">
        <f t="shared" si="69"/>
        <v>0110</v>
      </c>
      <c r="DH11" s="31" t="str">
        <f t="shared" si="70"/>
        <v>1101</v>
      </c>
      <c r="DI11" s="31" t="str">
        <f t="shared" si="71"/>
        <v>0011</v>
      </c>
      <c r="DJ11" s="31" t="str">
        <f t="shared" si="72"/>
        <v>0001</v>
      </c>
      <c r="DK11" s="31" t="str">
        <f t="shared" si="73"/>
        <v>0001</v>
      </c>
      <c r="DL11" s="78"/>
      <c r="DM11" s="78"/>
      <c r="DN11" s="78"/>
      <c r="DO11" s="78"/>
      <c r="DP11" s="78"/>
      <c r="DQ11" s="78"/>
      <c r="DR11" s="78"/>
      <c r="DS11" s="78"/>
      <c r="DT11" s="30" t="str">
        <f t="shared" si="12"/>
        <v>0010000001000100</v>
      </c>
      <c r="DU11" s="30" t="str">
        <f t="shared" si="13"/>
        <v>0100000000000000</v>
      </c>
      <c r="DV11" s="78"/>
      <c r="DW11" s="78"/>
      <c r="DX11" s="23" t="str">
        <f>CONCATENATE(MID($H11,1,1)*MID($K10,1,1),MID($H11,2,1)*MID($K10,2,1),MID($H11,3,1)*MID($K10,3,1),MID($H11,4,1)*MID($K10,4,1),MID($H11,5,1)*MID($K10,5,1),MID($H11,6,1)*MID($K10,6,1),MID($H11,7,1)*MID($K10,7,1),MID($H11,8,1)*MID($K10,8,1),MID($H11,9,1)*MID($K10,1,1),MID($H11,10,1)*MID($K10,2,1),MID($H11,11,1)*MID($K10,3,1),MID($H11,12,1)*MID($K10,4,1),MID($H11,13,1)*MID($K10,5,1),MID($H11,14,1)*MID($K10,6,1),MID($H11,15,1)*MID($K10,7,1),MID($H11,16,1)*MID($K10,8,1),MID($H11,17,1)*MID($K10,1,1),MID($H11,18,1)*MID($K10,2,1),MID($H11,19,1)*MID($K10,3,1),MID($H11,20,1)*MID($K10,4,1),MID($H11,21,1)*MID($K10,5,1),MID($H11,22,1)*MID($K10,6,1),MID($H11,23,1)*MID($K10,7,1),MID($H11,24,1)*MID($K10,8,1),MID($H11,25,1)*MID($K10,1,1),MID($H11,26,1)*MID($K10,2,1),MID($H11,27,1)*MID($K10,3,1),MID($H11,28,1)*MID($K10,4,1),MID($H11,29,1)*MID($K10,5,1),MID($H11,30,1)*MID($K10,6,1),MID($H11,31,1)*MID($K10,7,1),MID($H11,32,1)*MID($K10,8,1))</f>
        <v>00100000001000000100010001100000</v>
      </c>
      <c r="DY11" s="44" t="str">
        <f>CONCATENATE(MID(DX11,20,5),MID(DX11,9,3),MID(DX11,28,5),MID(DX11,17,3),MID(DX11,4,5),MID(DX11,25,3),MID(DX11,12,5),MID(DX11,1,3))</f>
        <v>00100001000000100000001100000001</v>
      </c>
      <c r="DZ11" s="30" t="str">
        <f t="shared" si="122"/>
        <v>00100001</v>
      </c>
      <c r="EA11" s="30" t="str">
        <f t="shared" si="74"/>
        <v>00000010</v>
      </c>
      <c r="EB11" s="30" t="str">
        <f t="shared" si="75"/>
        <v>00000011</v>
      </c>
      <c r="EC11" s="30" t="str">
        <f t="shared" si="76"/>
        <v>00000001</v>
      </c>
      <c r="ED11" s="78"/>
      <c r="EE11" s="78"/>
      <c r="EF11" s="78"/>
      <c r="EG11" s="78"/>
      <c r="EH11" s="31" t="str">
        <f t="shared" si="77"/>
        <v>1011</v>
      </c>
      <c r="EI11" s="31" t="str">
        <f t="shared" si="78"/>
        <v>0001</v>
      </c>
      <c r="EJ11" s="31" t="str">
        <f t="shared" si="79"/>
        <v>0101</v>
      </c>
      <c r="EK11" s="31" t="str">
        <f t="shared" si="80"/>
        <v>0110</v>
      </c>
      <c r="EL11" s="31" t="str">
        <f t="shared" si="81"/>
        <v>1101</v>
      </c>
      <c r="EM11" s="31" t="str">
        <f t="shared" si="82"/>
        <v>0011</v>
      </c>
      <c r="EN11" s="31" t="str">
        <f t="shared" si="83"/>
        <v>0001</v>
      </c>
      <c r="EO11" s="31" t="str">
        <f t="shared" si="84"/>
        <v>0001</v>
      </c>
      <c r="EP11" s="78"/>
      <c r="EQ11" s="78"/>
      <c r="ER11" s="78"/>
      <c r="ES11" s="78"/>
      <c r="ET11" s="78"/>
      <c r="EU11" s="78"/>
      <c r="EV11" s="78"/>
      <c r="EW11" s="78"/>
      <c r="EX11" s="30" t="str">
        <f t="shared" si="15"/>
        <v>0010000100000010</v>
      </c>
      <c r="EY11" s="30" t="str">
        <f t="shared" si="16"/>
        <v>0000001100000001</v>
      </c>
      <c r="EZ11" s="78"/>
      <c r="FA11" s="78"/>
      <c r="FB11" s="46" t="str">
        <f>CONCATENATE(MID(DY11,1,1)*MID($K10,1,1),MID(DY11,2,1)*MID($K10,2,1),MID(DY11,3,1)*MID($K10,3,1),MID(DY11,4,1)*MID($K10,4,1),MID(DY11,5,1)*MID($K10,5,1),MID(DY11,6,1)*MID($K10,6,1),MID(DY11,7,1)*MID($K10,7,1),MID(DY11,8,1)*MID($K10,8,1),MID(DY11,9,1)*MID($K10,1,1),MID(DY11,10,1)*MID($K10,2,1),MID(DY11,11,1)*MID($K10,3,1),MID(DY11,12,1)*MID($K10,4,1),MID(DY11,13,1)*MID($K10,5,1),MID(DY11,14,1)*MID($K10,6,1),MID(DY11,15,1)*MID($K10,7,1),MID(DY11,16,1)*MID($K10,8,1),MID(DY11,17,1)*MID($K10,1,1),MID(DY11,18,1)*MID($K10,2,1),MID(DY11,19,1)*MID($K10,3,1),MID(DY11,20,1)*MID($K10,4,1),MID(DY11,21,1)*MID($K10,5,1),MID(DY11,22,1)*MID($K10,6,1),MID(DY11,23,1)*MID($K10,7,1),MID(DY11,24,1)*MID($K10,8,1),MID(DY11,25,1)*MID($K10,1,1),MID(DY11,26,1)*MID($K10,2,1),MID(DY11,27,1)*MID($K10,3,1),MID(DY11,28,1)*MID($K10,4,1),MID(DY11,29,1)*MID($K10,5,1),MID(DY11,30,1)*MID($K10,6,1),MID(DY11,31,1)*MID($K10,7,1),MID(DY11,32,1)*MID($K10,8,1))</f>
        <v>00100000000000000000000000000000</v>
      </c>
      <c r="FC11" s="30" t="str">
        <f t="shared" si="124"/>
        <v>00100000</v>
      </c>
      <c r="FD11" s="30" t="str">
        <f t="shared" si="85"/>
        <v>00000000</v>
      </c>
      <c r="FE11" s="30" t="str">
        <f t="shared" si="86"/>
        <v>00000000</v>
      </c>
      <c r="FF11" s="30" t="str">
        <f t="shared" si="87"/>
        <v>00000000</v>
      </c>
      <c r="FG11" s="78"/>
      <c r="FH11" s="78"/>
      <c r="FI11" s="78"/>
      <c r="FJ11" s="78"/>
      <c r="FK11" s="31" t="str">
        <f t="shared" si="88"/>
        <v>1011</v>
      </c>
      <c r="FL11" s="31" t="str">
        <f t="shared" si="89"/>
        <v>0001</v>
      </c>
      <c r="FM11" s="31" t="str">
        <f t="shared" si="90"/>
        <v>0101</v>
      </c>
      <c r="FN11" s="31" t="str">
        <f t="shared" si="91"/>
        <v>0110</v>
      </c>
      <c r="FO11" s="31" t="str">
        <f t="shared" si="92"/>
        <v>1101</v>
      </c>
      <c r="FP11" s="31" t="str">
        <f t="shared" si="93"/>
        <v>0011</v>
      </c>
      <c r="FQ11" s="31" t="str">
        <f t="shared" si="94"/>
        <v>0001</v>
      </c>
      <c r="FR11" s="31" t="str">
        <f t="shared" si="95"/>
        <v>0001</v>
      </c>
      <c r="FS11" s="78"/>
      <c r="FT11" s="78"/>
      <c r="FU11" s="78"/>
      <c r="FV11" s="78"/>
      <c r="FW11" s="78"/>
      <c r="FX11" s="78"/>
      <c r="FY11" s="78"/>
      <c r="FZ11" s="78"/>
      <c r="GA11" s="30" t="str">
        <f t="shared" si="18"/>
        <v>0010000000000000</v>
      </c>
      <c r="GB11" s="30" t="str">
        <f t="shared" si="19"/>
        <v>0000000000000000</v>
      </c>
      <c r="GC11" s="78"/>
      <c r="GD11" s="78"/>
      <c r="GE11" s="48" t="str">
        <f>DY11</f>
        <v>00100001000000100000001100000001</v>
      </c>
      <c r="GF11" s="30" t="str">
        <f t="shared" si="126"/>
        <v>00100001</v>
      </c>
      <c r="GG11" s="30" t="str">
        <f t="shared" si="96"/>
        <v>00000010</v>
      </c>
      <c r="GH11" s="30" t="str">
        <f t="shared" si="97"/>
        <v>00000011</v>
      </c>
      <c r="GI11" s="30" t="str">
        <f t="shared" si="98"/>
        <v>00000001</v>
      </c>
      <c r="GJ11" s="78"/>
      <c r="GK11" s="78"/>
      <c r="GL11" s="78"/>
      <c r="GM11" s="78"/>
      <c r="GN11" s="31" t="str">
        <f t="shared" si="99"/>
        <v>1011</v>
      </c>
      <c r="GO11" s="31" t="str">
        <f t="shared" si="100"/>
        <v>0001</v>
      </c>
      <c r="GP11" s="31" t="str">
        <f t="shared" si="101"/>
        <v>0101</v>
      </c>
      <c r="GQ11" s="31" t="str">
        <f t="shared" si="102"/>
        <v>0110</v>
      </c>
      <c r="GR11" s="31" t="str">
        <f t="shared" si="103"/>
        <v>1101</v>
      </c>
      <c r="GS11" s="31" t="str">
        <f t="shared" si="104"/>
        <v>0011</v>
      </c>
      <c r="GT11" s="31" t="str">
        <f t="shared" si="105"/>
        <v>0001</v>
      </c>
      <c r="GU11" s="31" t="str">
        <f t="shared" si="106"/>
        <v>0001</v>
      </c>
      <c r="GV11" s="78"/>
      <c r="GW11" s="78"/>
      <c r="GX11" s="78"/>
      <c r="GY11" s="78"/>
      <c r="GZ11" s="78"/>
      <c r="HA11" s="78"/>
      <c r="HB11" s="78"/>
      <c r="HC11" s="78"/>
      <c r="HD11" s="30" t="str">
        <f t="shared" si="21"/>
        <v>0010000100000010</v>
      </c>
      <c r="HE11" s="30" t="str">
        <f t="shared" si="22"/>
        <v>0000001100000001</v>
      </c>
      <c r="HF11" s="78"/>
      <c r="HG11" s="78"/>
      <c r="HH11" s="48" t="str">
        <f>FB11</f>
        <v>00100000000000000000000000000000</v>
      </c>
      <c r="HI11" s="30" t="str">
        <f t="shared" si="128"/>
        <v>00100000</v>
      </c>
      <c r="HJ11" s="30" t="str">
        <f t="shared" si="107"/>
        <v>00000000</v>
      </c>
      <c r="HK11" s="30" t="str">
        <f t="shared" si="108"/>
        <v>00000000</v>
      </c>
      <c r="HL11" s="30" t="str">
        <f t="shared" si="109"/>
        <v>00000000</v>
      </c>
      <c r="HM11" s="78"/>
      <c r="HN11" s="78"/>
      <c r="HO11" s="78"/>
      <c r="HP11" s="78"/>
      <c r="HQ11" s="31" t="str">
        <f t="shared" si="110"/>
        <v>1011</v>
      </c>
      <c r="HR11" s="31" t="str">
        <f t="shared" si="111"/>
        <v>0001</v>
      </c>
      <c r="HS11" s="31" t="str">
        <f t="shared" si="112"/>
        <v>0101</v>
      </c>
      <c r="HT11" s="31" t="str">
        <f t="shared" si="113"/>
        <v>0110</v>
      </c>
      <c r="HU11" s="31" t="str">
        <f t="shared" si="114"/>
        <v>1101</v>
      </c>
      <c r="HV11" s="31" t="str">
        <f t="shared" si="115"/>
        <v>0011</v>
      </c>
      <c r="HW11" s="31" t="str">
        <f t="shared" si="116"/>
        <v>0001</v>
      </c>
      <c r="HX11" s="31" t="str">
        <f t="shared" si="117"/>
        <v>0001</v>
      </c>
      <c r="HY11" s="78"/>
      <c r="HZ11" s="78"/>
      <c r="IA11" s="78"/>
      <c r="IB11" s="78"/>
      <c r="IC11" s="78"/>
      <c r="ID11" s="78"/>
      <c r="IE11" s="78"/>
      <c r="IF11" s="78"/>
      <c r="IG11" s="30" t="str">
        <f t="shared" si="24"/>
        <v>0010000000000000</v>
      </c>
      <c r="IH11" s="30" t="str">
        <f t="shared" si="25"/>
        <v>0000000000000000</v>
      </c>
      <c r="II11" s="78"/>
      <c r="IJ11" s="78"/>
      <c r="IL11" s="30"/>
      <c r="IM11" s="30"/>
      <c r="IN11" s="30"/>
      <c r="IO11" s="30"/>
      <c r="IP11" s="23"/>
      <c r="IQ11" s="23"/>
      <c r="IR11" s="23"/>
      <c r="IS11" s="23"/>
      <c r="JB11" s="23"/>
      <c r="JC11" s="23"/>
      <c r="JD11" s="23"/>
      <c r="JE11" s="23"/>
      <c r="JF11" s="23"/>
      <c r="JG11" s="23"/>
      <c r="JH11" s="23"/>
      <c r="JI11" s="23"/>
      <c r="JJ11" s="30"/>
      <c r="JK11" s="30"/>
      <c r="JL11" s="23"/>
      <c r="JM11" s="23"/>
    </row>
    <row r="12" spans="1:273" s="27" customFormat="1" x14ac:dyDescent="0.35">
      <c r="A12" s="24"/>
      <c r="B12" s="25"/>
      <c r="C12" s="20" t="s">
        <v>0</v>
      </c>
      <c r="D12" s="20">
        <v>10</v>
      </c>
      <c r="E12" s="20" t="s">
        <v>67</v>
      </c>
      <c r="F12" s="20">
        <v>93</v>
      </c>
      <c r="G12" s="20" t="s">
        <v>36</v>
      </c>
      <c r="H12" s="20" t="str">
        <f t="shared" si="0"/>
        <v>00010000110000001001001101011111</v>
      </c>
      <c r="I12" s="20">
        <f t="shared" si="1"/>
        <v>13</v>
      </c>
      <c r="J12" s="20">
        <v>64</v>
      </c>
      <c r="K12" s="20" t="str">
        <f>HEX2BIN(J12,8)</f>
        <v>01100100</v>
      </c>
      <c r="L12" s="43" t="str">
        <f>H12</f>
        <v>00010000110000001001001101011111</v>
      </c>
      <c r="M12" s="26" t="str">
        <f t="shared" si="26"/>
        <v>00010000</v>
      </c>
      <c r="N12" s="26" t="str">
        <f t="shared" si="27"/>
        <v>11000000</v>
      </c>
      <c r="O12" s="26" t="str">
        <f t="shared" si="28"/>
        <v>10010011</v>
      </c>
      <c r="P12" s="26" t="str">
        <f t="shared" si="29"/>
        <v>01011111</v>
      </c>
      <c r="Q12" s="77">
        <f>BIN2DEC(M12)-BIN2DEC(M13)</f>
        <v>-144</v>
      </c>
      <c r="R12" s="77">
        <f>BIN2DEC(N12)-BIN2DEC(N13)</f>
        <v>-45</v>
      </c>
      <c r="S12" s="77">
        <f>BIN2DEC(O12)-BIN2DEC(O13)</f>
        <v>55</v>
      </c>
      <c r="T12" s="77">
        <f>BIN2DEC(P12)-BIN2DEC(P13)</f>
        <v>-101</v>
      </c>
      <c r="U12" s="27" t="str">
        <f t="shared" si="30"/>
        <v>0001</v>
      </c>
      <c r="V12" s="27" t="str">
        <f t="shared" si="31"/>
        <v>0000</v>
      </c>
      <c r="W12" s="27" t="str">
        <f t="shared" si="32"/>
        <v>1100</v>
      </c>
      <c r="X12" s="27" t="str">
        <f t="shared" si="33"/>
        <v>0000</v>
      </c>
      <c r="Y12" s="27" t="str">
        <f t="shared" si="34"/>
        <v>1001</v>
      </c>
      <c r="Z12" s="27" t="str">
        <f t="shared" si="35"/>
        <v>0011</v>
      </c>
      <c r="AA12" s="27" t="str">
        <f t="shared" si="36"/>
        <v>0101</v>
      </c>
      <c r="AB12" s="27" t="str">
        <f t="shared" si="37"/>
        <v>1111</v>
      </c>
      <c r="AC12" s="77">
        <f>BIN2DEC(U12)-BIN2DEC(U13)</f>
        <v>-9</v>
      </c>
      <c r="AD12" s="77">
        <f t="shared" ref="AD12:AI12" si="154">BIN2DEC(V12)-BIN2DEC(V13)</f>
        <v>0</v>
      </c>
      <c r="AE12" s="77">
        <f t="shared" si="154"/>
        <v>-2</v>
      </c>
      <c r="AF12" s="77">
        <f t="shared" si="154"/>
        <v>-13</v>
      </c>
      <c r="AG12" s="77">
        <f t="shared" si="154"/>
        <v>4</v>
      </c>
      <c r="AH12" s="77">
        <f t="shared" si="154"/>
        <v>-9</v>
      </c>
      <c r="AI12" s="77">
        <f t="shared" si="154"/>
        <v>-7</v>
      </c>
      <c r="AJ12" s="77">
        <f>BIN2DEC(AB12)-BIN2DEC(AB13)</f>
        <v>11</v>
      </c>
      <c r="AK12" s="26" t="str">
        <f t="shared" si="3"/>
        <v>0001000011000000</v>
      </c>
      <c r="AL12" s="26" t="str">
        <f t="shared" si="4"/>
        <v>1001001101011111</v>
      </c>
      <c r="AM12" s="77">
        <f>MID(AK12,16,1)*POWER(2,0)+MID(AK12,15,1)*POWER(2,1)+MID(AK12,14,1)*POWER(2,2)+MID(AK12,13,1)*POWER(2,3)+MID(AK12,12,1)*POWER(2,4)+MID(AK12,11,1)*POWER(2,5)+MID(AK12,10,1)*POWER(2,6)+MID(AK12,9,1)*POWER(2,7)+MID(AK12,8,1)*POWER(2,8)+MID(AK12,7,1)*POWER(2,9)+MID(AK12,6,1)*POWER(2,10)+MID(AK12,5,1)*POWER(2,11)+MID(AK12,4,1)*POWER(2,12)+MID(AK12,3,1)*POWER(2,13)+MID(AK12,2,1)*POWER(2,14)+MID(AK12,1,1)*POWER(2,15)-(MID(AK13,16,1)*POWER(2,0)+MID(AK13,15,1)*POWER(2,1)+MID(AK13,14,1)*POWER(2,2)+MID(AK13,13,1)*POWER(2,3)+MID(AK13,12,1)*POWER(2,4)+MID(AK13,11,1)*POWER(2,5)+MID(AK13,10,1)*POWER(2,6)+MID(AK13,9,1)*POWER(2,7)+MID(AK13,8,1)*POWER(2,8)+MID(AK13,7,1)*POWER(2,9)+MID(AK13,6,1)*POWER(2,10)+MID(AK13,5,1)*POWER(2,11)+MID(AK13,4,1)*POWER(2,12)+MID(AK13,3,1)*POWER(2,13)+MID(AK13,2,1)*POWER(2,14)+MID(AK13,1,1)*POWER(2,15))</f>
        <v>-36909</v>
      </c>
      <c r="AN12" s="77">
        <f>MID(AL12,16,1)*POWER(2,0)+MID(AL12,15,1)*POWER(2,1)+MID(AL12,14,1)*POWER(2,2)+MID(AL12,13,1)*POWER(2,3)+MID(AL12,12,1)*POWER(2,4)+MID(AL12,11,1)*POWER(2,5)+MID(AL12,10,1)*POWER(2,6)+MID(AL12,9,1)*POWER(2,7)+MID(AL12,8,1)*POWER(2,8)+MID(AL12,7,1)*POWER(2,9)+MID(AL12,6,1)*POWER(2,10)+MID(AL12,5,1)*POWER(2,11)+MID(AL12,4,1)*POWER(2,12)+MID(AL12,3,1)*POWER(2,13)+MID(AL12,2,1)*POWER(2,14)+MID(AL12,1,1)*POWER(2,15)-(MID(AL13,16,1)*POWER(2,0)+MID(AL13,15,1)*POWER(2,1)+MID(AL13,14,1)*POWER(2,2)+MID(AL13,13,1)*POWER(2,3)+MID(AL13,12,1)*POWER(2,4)+MID(AL13,11,1)*POWER(2,5)+MID(AL13,10,1)*POWER(2,6)+MID(AL13,9,1)*POWER(2,7)+MID(AL13,8,1)*POWER(2,8)+MID(AL13,7,1)*POWER(2,9)+MID(AL13,6,1)*POWER(2,10)+MID(AL13,5,1)*POWER(2,11)+MID(AL13,4,1)*POWER(2,12)+MID(AL13,3,1)*POWER(2,13)+MID(AL13,2,1)*POWER(2,14)+MID(AL13,1,1)*POWER(2,15))</f>
        <v>13979</v>
      </c>
      <c r="AO12" s="45" t="str">
        <f>H12</f>
        <v>00010000110000001001001101011111</v>
      </c>
      <c r="AP12" s="26" t="str">
        <f t="shared" si="38"/>
        <v>00010000</v>
      </c>
      <c r="AQ12" s="26" t="str">
        <f t="shared" si="39"/>
        <v>11000000</v>
      </c>
      <c r="AR12" s="26" t="str">
        <f t="shared" si="40"/>
        <v>10010011</v>
      </c>
      <c r="AS12" s="26" t="str">
        <f t="shared" si="41"/>
        <v>01011111</v>
      </c>
      <c r="AT12" s="77">
        <f>BIN2DEC(AP12)-BIN2DEC(AP13)</f>
        <v>-16</v>
      </c>
      <c r="AU12" s="77">
        <f>BIN2DEC(AQ12)-BIN2DEC(AQ13)</f>
        <v>92</v>
      </c>
      <c r="AV12" s="77">
        <f>BIN2DEC(AR12)-BIN2DEC(AR13)</f>
        <v>79</v>
      </c>
      <c r="AW12" s="77">
        <f>BIN2DEC(AS12)-BIN2DEC(AS13)</f>
        <v>27</v>
      </c>
      <c r="AX12" s="27" t="str">
        <f t="shared" si="42"/>
        <v>0001</v>
      </c>
      <c r="AY12" s="27" t="str">
        <f t="shared" si="43"/>
        <v>0000</v>
      </c>
      <c r="AZ12" s="27" t="str">
        <f t="shared" si="44"/>
        <v>1100</v>
      </c>
      <c r="BA12" s="27" t="str">
        <f t="shared" si="45"/>
        <v>0000</v>
      </c>
      <c r="BB12" s="27" t="str">
        <f t="shared" si="46"/>
        <v>1001</v>
      </c>
      <c r="BC12" s="27" t="str">
        <f t="shared" si="47"/>
        <v>0011</v>
      </c>
      <c r="BD12" s="27" t="str">
        <f t="shared" si="48"/>
        <v>0101</v>
      </c>
      <c r="BE12" s="27" t="str">
        <f t="shared" si="49"/>
        <v>1111</v>
      </c>
      <c r="BF12" s="77">
        <f>BIN2DEC(AX12)-BIN2DEC(AX13)</f>
        <v>-9</v>
      </c>
      <c r="BG12" s="77">
        <f t="shared" ref="BG12:BL12" si="155">BIN2DEC(AY12)-BIN2DEC(AY13)</f>
        <v>0</v>
      </c>
      <c r="BH12" s="77">
        <f t="shared" si="155"/>
        <v>-2</v>
      </c>
      <c r="BI12" s="77">
        <f t="shared" si="155"/>
        <v>-13</v>
      </c>
      <c r="BJ12" s="77">
        <f t="shared" si="155"/>
        <v>4</v>
      </c>
      <c r="BK12" s="77">
        <f t="shared" si="155"/>
        <v>-9</v>
      </c>
      <c r="BL12" s="77">
        <f t="shared" si="155"/>
        <v>-7</v>
      </c>
      <c r="BM12" s="77">
        <f>BIN2DEC(BE12)-BIN2DEC(BE13)</f>
        <v>11</v>
      </c>
      <c r="BN12" s="26" t="str">
        <f t="shared" si="6"/>
        <v>0001000011000000</v>
      </c>
      <c r="BO12" s="26" t="str">
        <f t="shared" si="7"/>
        <v>1001001101011111</v>
      </c>
      <c r="BP12" s="77">
        <f>MID(BN12,16,1)*POWER(2,0)+MID(BN12,15,1)*POWER(2,1)+MID(BN12,14,1)*POWER(2,2)+MID(BN12,13,1)*POWER(2,3)+MID(BN12,12,1)*POWER(2,4)+MID(BN12,11,1)*POWER(2,5)+MID(BN12,10,1)*POWER(2,6)+MID(BN12,9,1)*POWER(2,7)+MID(BN12,8,1)*POWER(2,8)+MID(BN12,7,1)*POWER(2,9)+MID(BN12,6,1)*POWER(2,10)+MID(BN12,5,1)*POWER(2,11)+MID(BN12,4,1)*POWER(2,12)+MID(BN12,3,1)*POWER(2,13)+MID(BN12,2,1)*POWER(2,14)+MID(BN12,1,1)*POWER(2,15)-(MID(BN13,16,1)*POWER(2,0)+MID(BN13,15,1)*POWER(2,1)+MID(BN13,14,1)*POWER(2,2)+MID(BN13,13,1)*POWER(2,3)+MID(BN13,12,1)*POWER(2,4)+MID(BN13,11,1)*POWER(2,5)+MID(BN13,10,1)*POWER(2,6)+MID(BN13,9,1)*POWER(2,7)+MID(BN13,8,1)*POWER(2,8)+MID(BN13,7,1)*POWER(2,9)+MID(BN13,6,1)*POWER(2,10)+MID(BN13,5,1)*POWER(2,11)+MID(BN13,4,1)*POWER(2,12)+MID(BN13,3,1)*POWER(2,13)+MID(BN13,2,1)*POWER(2,14)+MID(BN13,1,1)*POWER(2,15))</f>
        <v>-4004</v>
      </c>
      <c r="BQ12" s="77">
        <f>MID(BO12,16,1)*POWER(2,0)+MID(BO12,15,1)*POWER(2,1)+MID(BO12,14,1)*POWER(2,2)+MID(BO12,13,1)*POWER(2,3)+MID(BO12,12,1)*POWER(2,4)+MID(BO12,11,1)*POWER(2,5)+MID(BO12,10,1)*POWER(2,6)+MID(BO12,9,1)*POWER(2,7)+MID(BO12,8,1)*POWER(2,8)+MID(BO12,7,1)*POWER(2,9)+MID(BO12,6,1)*POWER(2,10)+MID(BO12,5,1)*POWER(2,11)+MID(BO12,4,1)*POWER(2,12)+MID(BO12,3,1)*POWER(2,13)+MID(BO12,2,1)*POWER(2,14)+MID(BO12,1,1)*POWER(2,15)-(MID(BO13,16,1)*POWER(2,0)+MID(BO13,15,1)*POWER(2,1)+MID(BO13,14,1)*POWER(2,2)+MID(BO13,13,1)*POWER(2,3)+MID(BO13,12,1)*POWER(2,4)+MID(BO13,11,1)*POWER(2,5)+MID(BO13,10,1)*POWER(2,6)+MID(BO13,9,1)*POWER(2,7)+MID(BO13,8,1)*POWER(2,8)+MID(BO13,7,1)*POWER(2,9)+MID(BO13,6,1)*POWER(2,10)+MID(BO13,5,1)*POWER(2,11)+MID(BO13,4,1)*POWER(2,12)+MID(BO13,3,1)*POWER(2,13)+MID(BO13,2,1)*POWER(2,14)+MID(BO13,1,1)*POWER(2,15))</f>
        <v>20251</v>
      </c>
      <c r="BR12" s="45" t="str">
        <f>CONCATENATE(MID($L12,1,1)*MID($K12,1,1),MID($L12,2,1)*MID($K12,2,1),MID($L12,3,1)*MID($K12,3,1),MID($L12,4,1)*MID($K12,4,1),MID($L12,5,1)*MID($K12,5,1),MID($L12,6,1)*MID($K12,6,1),MID($L12,7,1)*MID($K12,7,1),MID($L12,8,1)*MID($K12,8,1),MID($L12,9,1)*MID($K12,1,1),MID($L12,10,1)*MID($K12,2,1),MID($L12,11,1)*MID($K12,3,1),MID($L12,12,1)*MID($K12,4,1),MID($L12,13,1)*MID($K12,5,1),MID($L12,14,1)*MID($K12,6,1),MID($L12,15,1)*MID($K12,7,1),MID($L12,16,1)*MID($K12,8,1),MID($L12,17,1)*MID($K12,1,1),MID($L12,18,1)*MID($K12,2,1),MID($L12,19,1)*MID($K12,3,1),MID($L12,20,1)*MID($K12,4,1),MID($L12,21,1)*MID($K12,5,1),MID($L12,22,1)*MID($K12,6,1),MID($L12,23,1)*MID($K12,7,1),MID($L12,24,1)*MID($K12,8,1),MID($L12,25,1)*MID($K12,1,1),MID($L12,26,1)*MID($K12,2,1),MID($L12,27,1)*MID($K12,3,1),MID($L12,28,1)*MID($K12,4,1),MID($L12,29,1)*MID($K12,5,1),MID($L12,30,1)*MID($K12,6,1),MID($L12,31,1)*MID($K12,7,1),MID($L12,32,1)*MID($K12,8,1))</f>
        <v>00000000010000000000000001000100</v>
      </c>
      <c r="BS12" s="26" t="str">
        <f t="shared" si="50"/>
        <v>00000000</v>
      </c>
      <c r="BT12" s="26" t="str">
        <f t="shared" si="51"/>
        <v>01000000</v>
      </c>
      <c r="BU12" s="26" t="str">
        <f t="shared" si="52"/>
        <v>00000000</v>
      </c>
      <c r="BV12" s="26" t="str">
        <f t="shared" si="53"/>
        <v>01000100</v>
      </c>
      <c r="BW12" s="77">
        <f>BIN2DEC(BS12)-BIN2DEC(BS13)</f>
        <v>-160</v>
      </c>
      <c r="BX12" s="77">
        <f>BIN2DEC(BT12)-BIN2DEC(BT13)</f>
        <v>-173</v>
      </c>
      <c r="BY12" s="77">
        <f>BIN2DEC(BU12)-BIN2DEC(BU13)</f>
        <v>-92</v>
      </c>
      <c r="BZ12" s="77">
        <f>BIN2DEC(BV12)-BIN2DEC(BV13)</f>
        <v>-128</v>
      </c>
      <c r="CA12" s="27" t="str">
        <f t="shared" si="54"/>
        <v>0001</v>
      </c>
      <c r="CB12" s="27" t="str">
        <f t="shared" si="55"/>
        <v>0000</v>
      </c>
      <c r="CC12" s="27" t="str">
        <f t="shared" si="56"/>
        <v>1100</v>
      </c>
      <c r="CD12" s="27" t="str">
        <f t="shared" si="57"/>
        <v>0000</v>
      </c>
      <c r="CE12" s="27" t="str">
        <f t="shared" si="58"/>
        <v>1001</v>
      </c>
      <c r="CF12" s="27" t="str">
        <f t="shared" si="59"/>
        <v>0011</v>
      </c>
      <c r="CG12" s="27" t="str">
        <f t="shared" si="60"/>
        <v>0101</v>
      </c>
      <c r="CH12" s="27" t="str">
        <f t="shared" si="61"/>
        <v>1111</v>
      </c>
      <c r="CI12" s="77">
        <f>BIN2DEC(CA12)-BIN2DEC(CA13)</f>
        <v>-9</v>
      </c>
      <c r="CJ12" s="77">
        <f t="shared" ref="CJ12:CO12" si="156">BIN2DEC(CB12)-BIN2DEC(CB13)</f>
        <v>0</v>
      </c>
      <c r="CK12" s="77">
        <f t="shared" si="156"/>
        <v>-2</v>
      </c>
      <c r="CL12" s="77">
        <f t="shared" si="156"/>
        <v>-13</v>
      </c>
      <c r="CM12" s="77">
        <f t="shared" si="156"/>
        <v>4</v>
      </c>
      <c r="CN12" s="77">
        <f t="shared" si="156"/>
        <v>-9</v>
      </c>
      <c r="CO12" s="77">
        <f t="shared" si="156"/>
        <v>-7</v>
      </c>
      <c r="CP12" s="77">
        <f>BIN2DEC(CH12)-BIN2DEC(CH13)</f>
        <v>11</v>
      </c>
      <c r="CQ12" s="26" t="str">
        <f t="shared" si="9"/>
        <v>0000000001000000</v>
      </c>
      <c r="CR12" s="26" t="str">
        <f t="shared" si="10"/>
        <v>0000000001000100</v>
      </c>
      <c r="CS12" s="77">
        <f>MID(CQ12,16,1)*POWER(2,0)+MID(CQ12,15,1)*POWER(2,1)+MID(CQ12,14,1)*POWER(2,2)+MID(CQ12,13,1)*POWER(2,3)+MID(CQ12,12,1)*POWER(2,4)+MID(CQ12,11,1)*POWER(2,5)+MID(CQ12,10,1)*POWER(2,6)+MID(CQ12,9,1)*POWER(2,7)+MID(CQ12,8,1)*POWER(2,8)+MID(CQ12,7,1)*POWER(2,9)+MID(CQ12,6,1)*POWER(2,10)+MID(CQ12,5,1)*POWER(2,11)+MID(CQ12,4,1)*POWER(2,12)+MID(CQ12,3,1)*POWER(2,13)+MID(CQ12,2,1)*POWER(2,14)+MID(CQ12,1,1)*POWER(2,15)-(MID(CQ13,16,1)*POWER(2,0)+MID(CQ13,15,1)*POWER(2,1)+MID(CQ13,14,1)*POWER(2,2)+MID(CQ13,13,1)*POWER(2,3)+MID(CQ13,12,1)*POWER(2,4)+MID(CQ13,11,1)*POWER(2,5)+MID(CQ13,10,1)*POWER(2,6)+MID(CQ13,9,1)*POWER(2,7)+MID(CQ13,8,1)*POWER(2,8)+MID(CQ13,7,1)*POWER(2,9)+MID(CQ13,6,1)*POWER(2,10)+MID(CQ13,5,1)*POWER(2,11)+MID(CQ13,4,1)*POWER(2,12)+MID(CQ13,3,1)*POWER(2,13)+MID(CQ13,2,1)*POWER(2,14)+MID(CQ13,1,1)*POWER(2,15))</f>
        <v>-41133</v>
      </c>
      <c r="CT12" s="77">
        <f>MID(CR12,16,1)*POWER(2,0)+MID(CR12,15,1)*POWER(2,1)+MID(CR12,14,1)*POWER(2,2)+MID(CR12,13,1)*POWER(2,3)+MID(CR12,12,1)*POWER(2,4)+MID(CR12,11,1)*POWER(2,5)+MID(CR12,10,1)*POWER(2,6)+MID(CR12,9,1)*POWER(2,7)+MID(CR12,8,1)*POWER(2,8)+MID(CR12,7,1)*POWER(2,9)+MID(CR12,6,1)*POWER(2,10)+MID(CR12,5,1)*POWER(2,11)+MID(CR12,4,1)*POWER(2,12)+MID(CR12,3,1)*POWER(2,13)+MID(CR12,2,1)*POWER(2,14)+MID(CR12,1,1)*POWER(2,15)-(MID(CR13,16,1)*POWER(2,0)+MID(CR13,15,1)*POWER(2,1)+MID(CR13,14,1)*POWER(2,2)+MID(CR13,13,1)*POWER(2,3)+MID(CR13,12,1)*POWER(2,4)+MID(CR13,11,1)*POWER(2,5)+MID(CR13,10,1)*POWER(2,6)+MID(CR13,9,1)*POWER(2,7)+MID(CR13,8,1)*POWER(2,8)+MID(CR13,7,1)*POWER(2,9)+MID(CR13,6,1)*POWER(2,10)+MID(CR13,5,1)*POWER(2,11)+MID(CR13,4,1)*POWER(2,12)+MID(CR13,3,1)*POWER(2,13)+MID(CR13,2,1)*POWER(2,14)+MID(CR13,1,1)*POWER(2,15))</f>
        <v>-23680</v>
      </c>
      <c r="CU12" s="45" t="str">
        <f>BR12</f>
        <v>00000000010000000000000001000100</v>
      </c>
      <c r="CV12" s="26" t="str">
        <f t="shared" si="62"/>
        <v>00000000</v>
      </c>
      <c r="CW12" s="26" t="str">
        <f t="shared" si="63"/>
        <v>01000000</v>
      </c>
      <c r="CX12" s="26" t="str">
        <f t="shared" si="64"/>
        <v>00000000</v>
      </c>
      <c r="CY12" s="26" t="str">
        <f t="shared" si="65"/>
        <v>01000100</v>
      </c>
      <c r="CZ12" s="77">
        <f>BIN2DEC(CV12)-BIN2DEC(CV13)</f>
        <v>-32</v>
      </c>
      <c r="DA12" s="77">
        <f>BIN2DEC(CW12)-BIN2DEC(CW13)</f>
        <v>-36</v>
      </c>
      <c r="DB12" s="77">
        <f>BIN2DEC(CX12)-BIN2DEC(CX13)</f>
        <v>-68</v>
      </c>
      <c r="DC12" s="77">
        <f>BIN2DEC(CY12)-BIN2DEC(CY13)</f>
        <v>0</v>
      </c>
      <c r="DD12" s="27" t="str">
        <f t="shared" si="66"/>
        <v>0001</v>
      </c>
      <c r="DE12" s="27" t="str">
        <f t="shared" si="67"/>
        <v>0000</v>
      </c>
      <c r="DF12" s="27" t="str">
        <f t="shared" si="68"/>
        <v>1100</v>
      </c>
      <c r="DG12" s="27" t="str">
        <f t="shared" si="69"/>
        <v>0000</v>
      </c>
      <c r="DH12" s="27" t="str">
        <f t="shared" si="70"/>
        <v>1001</v>
      </c>
      <c r="DI12" s="27" t="str">
        <f t="shared" si="71"/>
        <v>0011</v>
      </c>
      <c r="DJ12" s="27" t="str">
        <f t="shared" si="72"/>
        <v>0101</v>
      </c>
      <c r="DK12" s="27" t="str">
        <f t="shared" si="73"/>
        <v>1111</v>
      </c>
      <c r="DL12" s="77">
        <f>BIN2DEC(DD12)-BIN2DEC(DD13)</f>
        <v>-9</v>
      </c>
      <c r="DM12" s="77">
        <f t="shared" ref="DM12:DR12" si="157">BIN2DEC(DE12)-BIN2DEC(DE13)</f>
        <v>0</v>
      </c>
      <c r="DN12" s="77">
        <f t="shared" si="157"/>
        <v>-2</v>
      </c>
      <c r="DO12" s="77">
        <f t="shared" si="157"/>
        <v>-13</v>
      </c>
      <c r="DP12" s="77">
        <f t="shared" si="157"/>
        <v>4</v>
      </c>
      <c r="DQ12" s="77">
        <f t="shared" si="157"/>
        <v>-9</v>
      </c>
      <c r="DR12" s="77">
        <f t="shared" si="157"/>
        <v>-7</v>
      </c>
      <c r="DS12" s="77">
        <f>BIN2DEC(DK12)-BIN2DEC(DK13)</f>
        <v>11</v>
      </c>
      <c r="DT12" s="26" t="str">
        <f t="shared" si="12"/>
        <v>0000000001000000</v>
      </c>
      <c r="DU12" s="26" t="str">
        <f t="shared" si="13"/>
        <v>0000000001000100</v>
      </c>
      <c r="DV12" s="77">
        <f>MID(DT12,16,1)*POWER(2,0)+MID(DT12,15,1)*POWER(2,1)+MID(DT12,14,1)*POWER(2,2)+MID(DT12,13,1)*POWER(2,3)+MID(DT12,12,1)*POWER(2,4)+MID(DT12,11,1)*POWER(2,5)+MID(DT12,10,1)*POWER(2,6)+MID(DT12,9,1)*POWER(2,7)+MID(DT12,8,1)*POWER(2,8)+MID(DT12,7,1)*POWER(2,9)+MID(DT12,6,1)*POWER(2,10)+MID(DT12,5,1)*POWER(2,11)+MID(DT12,4,1)*POWER(2,12)+MID(DT12,3,1)*POWER(2,13)+MID(DT12,2,1)*POWER(2,14)+MID(DT12,1,1)*POWER(2,15)-(MID(DT13,16,1)*POWER(2,0)+MID(DT13,15,1)*POWER(2,1)+MID(DT13,14,1)*POWER(2,2)+MID(DT13,13,1)*POWER(2,3)+MID(DT13,12,1)*POWER(2,4)+MID(DT13,11,1)*POWER(2,5)+MID(DT13,10,1)*POWER(2,6)+MID(DT13,9,1)*POWER(2,7)+MID(DT13,8,1)*POWER(2,8)+MID(DT13,7,1)*POWER(2,9)+MID(DT13,6,1)*POWER(2,10)+MID(DT13,5,1)*POWER(2,11)+MID(DT13,4,1)*POWER(2,12)+MID(DT13,3,1)*POWER(2,13)+MID(DT13,2,1)*POWER(2,14)+MID(DT13,1,1)*POWER(2,15))</f>
        <v>-8228</v>
      </c>
      <c r="DW12" s="77">
        <f>MID(DU12,16,1)*POWER(2,0)+MID(DU12,15,1)*POWER(2,1)+MID(DU12,14,1)*POWER(2,2)+MID(DU12,13,1)*POWER(2,3)+MID(DU12,12,1)*POWER(2,4)+MID(DU12,11,1)*POWER(2,5)+MID(DU12,10,1)*POWER(2,6)+MID(DU12,9,1)*POWER(2,7)+MID(DU12,8,1)*POWER(2,8)+MID(DU12,7,1)*POWER(2,9)+MID(DU12,6,1)*POWER(2,10)+MID(DU12,5,1)*POWER(2,11)+MID(DU12,4,1)*POWER(2,12)+MID(DU12,3,1)*POWER(2,13)+MID(DU12,2,1)*POWER(2,14)+MID(DU12,1,1)*POWER(2,15)-(MID(DU13,16,1)*POWER(2,0)+MID(DU13,15,1)*POWER(2,1)+MID(DU13,14,1)*POWER(2,2)+MID(DU13,13,1)*POWER(2,3)+MID(DU13,12,1)*POWER(2,4)+MID(DU13,11,1)*POWER(2,5)+MID(DU13,10,1)*POWER(2,6)+MID(DU13,9,1)*POWER(2,7)+MID(DU13,8,1)*POWER(2,8)+MID(DU13,7,1)*POWER(2,9)+MID(DU13,6,1)*POWER(2,10)+MID(DU13,5,1)*POWER(2,11)+MID(DU13,4,1)*POWER(2,12)+MID(DU13,3,1)*POWER(2,13)+MID(DU13,2,1)*POWER(2,14)+MID(DU13,1,1)*POWER(2,15))</f>
        <v>-17408</v>
      </c>
      <c r="DX12" s="22"/>
      <c r="DY12" s="43" t="str">
        <f>H12</f>
        <v>00010000110000001001001101011111</v>
      </c>
      <c r="DZ12" s="26" t="str">
        <f t="shared" si="122"/>
        <v>00010000</v>
      </c>
      <c r="EA12" s="26" t="str">
        <f t="shared" si="74"/>
        <v>11000000</v>
      </c>
      <c r="EB12" s="26" t="str">
        <f t="shared" si="75"/>
        <v>10010011</v>
      </c>
      <c r="EC12" s="26" t="str">
        <f t="shared" si="76"/>
        <v>01011111</v>
      </c>
      <c r="ED12" s="77">
        <f>BIN2DEC(DZ12)-BIN2DEC(DZ13)</f>
        <v>-16</v>
      </c>
      <c r="EE12" s="77">
        <f>BIN2DEC(EA12)-BIN2DEC(EA13)</f>
        <v>159</v>
      </c>
      <c r="EF12" s="77">
        <f>BIN2DEC(EB12)-BIN2DEC(EB13)</f>
        <v>147</v>
      </c>
      <c r="EG12" s="77">
        <f>BIN2DEC(EC12)-BIN2DEC(EC13)</f>
        <v>95</v>
      </c>
      <c r="EH12" s="27" t="str">
        <f t="shared" si="77"/>
        <v>0001</v>
      </c>
      <c r="EI12" s="27" t="str">
        <f t="shared" si="78"/>
        <v>0000</v>
      </c>
      <c r="EJ12" s="27" t="str">
        <f t="shared" si="79"/>
        <v>1100</v>
      </c>
      <c r="EK12" s="27" t="str">
        <f t="shared" si="80"/>
        <v>0000</v>
      </c>
      <c r="EL12" s="27" t="str">
        <f t="shared" si="81"/>
        <v>1001</v>
      </c>
      <c r="EM12" s="27" t="str">
        <f t="shared" si="82"/>
        <v>0011</v>
      </c>
      <c r="EN12" s="27" t="str">
        <f t="shared" si="83"/>
        <v>0101</v>
      </c>
      <c r="EO12" s="27" t="str">
        <f t="shared" si="84"/>
        <v>1111</v>
      </c>
      <c r="EP12" s="77">
        <f>BIN2DEC(EH12)-BIN2DEC(EH13)</f>
        <v>-9</v>
      </c>
      <c r="EQ12" s="77">
        <f t="shared" ref="EQ12:EV12" si="158">BIN2DEC(EI12)-BIN2DEC(EI13)</f>
        <v>0</v>
      </c>
      <c r="ER12" s="77">
        <f t="shared" si="158"/>
        <v>-2</v>
      </c>
      <c r="ES12" s="77">
        <f t="shared" si="158"/>
        <v>-13</v>
      </c>
      <c r="ET12" s="77">
        <f t="shared" si="158"/>
        <v>4</v>
      </c>
      <c r="EU12" s="77">
        <f t="shared" si="158"/>
        <v>-9</v>
      </c>
      <c r="EV12" s="77">
        <f t="shared" si="158"/>
        <v>-7</v>
      </c>
      <c r="EW12" s="77">
        <f>BIN2DEC(EO12)-BIN2DEC(EO13)</f>
        <v>11</v>
      </c>
      <c r="EX12" s="26" t="str">
        <f t="shared" si="15"/>
        <v>0001000011000000</v>
      </c>
      <c r="EY12" s="26" t="str">
        <f t="shared" si="16"/>
        <v>1001001101011111</v>
      </c>
      <c r="EZ12" s="77">
        <f>MID(EX12,16,1)*POWER(2,0)+MID(EX12,15,1)*POWER(2,1)+MID(EX12,14,1)*POWER(2,2)+MID(EX12,13,1)*POWER(2,3)+MID(EX12,12,1)*POWER(2,4)+MID(EX12,11,1)*POWER(2,5)+MID(EX12,10,1)*POWER(2,6)+MID(EX12,9,1)*POWER(2,7)+MID(EX12,8,1)*POWER(2,8)+MID(EX12,7,1)*POWER(2,9)+MID(EX12,6,1)*POWER(2,10)+MID(EX12,5,1)*POWER(2,11)+MID(EX12,4,1)*POWER(2,12)+MID(EX12,3,1)*POWER(2,13)+MID(EX12,2,1)*POWER(2,14)+MID(EX12,1,1)*POWER(2,15)-(MID(EX13,16,1)*POWER(2,0)+MID(EX13,15,1)*POWER(2,1)+MID(EX13,14,1)*POWER(2,2)+MID(EX13,13,1)*POWER(2,3)+MID(EX13,12,1)*POWER(2,4)+MID(EX13,11,1)*POWER(2,5)+MID(EX13,10,1)*POWER(2,6)+MID(EX13,9,1)*POWER(2,7)+MID(EX13,8,1)*POWER(2,8)+MID(EX13,7,1)*POWER(2,9)+MID(EX13,6,1)*POWER(2,10)+MID(EX13,5,1)*POWER(2,11)+MID(EX13,4,1)*POWER(2,12)+MID(EX13,3,1)*POWER(2,13)+MID(EX13,2,1)*POWER(2,14)+MID(EX13,1,1)*POWER(2,15))</f>
        <v>-3937</v>
      </c>
      <c r="FA12" s="77">
        <f>MID(EY12,16,1)*POWER(2,0)+MID(EY12,15,1)*POWER(2,1)+MID(EY12,14,1)*POWER(2,2)+MID(EY12,13,1)*POWER(2,3)+MID(EY12,12,1)*POWER(2,4)+MID(EY12,11,1)*POWER(2,5)+MID(EY12,10,1)*POWER(2,6)+MID(EY12,9,1)*POWER(2,7)+MID(EY12,8,1)*POWER(2,8)+MID(EY12,7,1)*POWER(2,9)+MID(EY12,6,1)*POWER(2,10)+MID(EY12,5,1)*POWER(2,11)+MID(EY12,4,1)*POWER(2,12)+MID(EY12,3,1)*POWER(2,13)+MID(EY12,2,1)*POWER(2,14)+MID(EY12,1,1)*POWER(2,15)-(MID(EY13,16,1)*POWER(2,0)+MID(EY13,15,1)*POWER(2,1)+MID(EY13,14,1)*POWER(2,2)+MID(EY13,13,1)*POWER(2,3)+MID(EY13,12,1)*POWER(2,4)+MID(EY13,11,1)*POWER(2,5)+MID(EY13,10,1)*POWER(2,6)+MID(EY13,9,1)*POWER(2,7)+MID(EY13,8,1)*POWER(2,8)+MID(EY13,7,1)*POWER(2,9)+MID(EY13,6,1)*POWER(2,10)+MID(EY13,5,1)*POWER(2,11)+MID(EY13,4,1)*POWER(2,12)+MID(EY13,3,1)*POWER(2,13)+MID(EY13,2,1)*POWER(2,14)+MID(EY13,1,1)*POWER(2,15))</f>
        <v>37727</v>
      </c>
      <c r="FB12" s="45" t="str">
        <f>H12</f>
        <v>00010000110000001001001101011111</v>
      </c>
      <c r="FC12" s="26" t="str">
        <f t="shared" si="124"/>
        <v>00010000</v>
      </c>
      <c r="FD12" s="26" t="str">
        <f t="shared" si="85"/>
        <v>11000000</v>
      </c>
      <c r="FE12" s="26" t="str">
        <f t="shared" si="86"/>
        <v>10010011</v>
      </c>
      <c r="FF12" s="26" t="str">
        <f t="shared" si="87"/>
        <v>01011111</v>
      </c>
      <c r="FG12" s="77">
        <f>BIN2DEC(FC12)-BIN2DEC(FC13)</f>
        <v>-16</v>
      </c>
      <c r="FH12" s="77">
        <f>BIN2DEC(FD12)-BIN2DEC(FD13)</f>
        <v>160</v>
      </c>
      <c r="FI12" s="77">
        <f>BIN2DEC(FE12)-BIN2DEC(FE13)</f>
        <v>147</v>
      </c>
      <c r="FJ12" s="77">
        <f>BIN2DEC(FF12)-BIN2DEC(FF13)</f>
        <v>95</v>
      </c>
      <c r="FK12" s="27" t="str">
        <f t="shared" si="88"/>
        <v>0001</v>
      </c>
      <c r="FL12" s="27" t="str">
        <f t="shared" si="89"/>
        <v>0000</v>
      </c>
      <c r="FM12" s="27" t="str">
        <f t="shared" si="90"/>
        <v>1100</v>
      </c>
      <c r="FN12" s="27" t="str">
        <f t="shared" si="91"/>
        <v>0000</v>
      </c>
      <c r="FO12" s="27" t="str">
        <f t="shared" si="92"/>
        <v>1001</v>
      </c>
      <c r="FP12" s="27" t="str">
        <f t="shared" si="93"/>
        <v>0011</v>
      </c>
      <c r="FQ12" s="27" t="str">
        <f t="shared" si="94"/>
        <v>0101</v>
      </c>
      <c r="FR12" s="27" t="str">
        <f t="shared" si="95"/>
        <v>1111</v>
      </c>
      <c r="FS12" s="77">
        <f>BIN2DEC(FK12)-BIN2DEC(FK13)</f>
        <v>-9</v>
      </c>
      <c r="FT12" s="77">
        <f t="shared" ref="FT12:FY12" si="159">BIN2DEC(FL12)-BIN2DEC(FL13)</f>
        <v>0</v>
      </c>
      <c r="FU12" s="77">
        <f t="shared" si="159"/>
        <v>-2</v>
      </c>
      <c r="FV12" s="77">
        <f t="shared" si="159"/>
        <v>-13</v>
      </c>
      <c r="FW12" s="77">
        <f t="shared" si="159"/>
        <v>4</v>
      </c>
      <c r="FX12" s="77">
        <f t="shared" si="159"/>
        <v>-9</v>
      </c>
      <c r="FY12" s="77">
        <f t="shared" si="159"/>
        <v>-7</v>
      </c>
      <c r="FZ12" s="77">
        <f>BIN2DEC(FR12)-BIN2DEC(FR13)</f>
        <v>11</v>
      </c>
      <c r="GA12" s="26" t="str">
        <f t="shared" si="18"/>
        <v>0001000011000000</v>
      </c>
      <c r="GB12" s="26" t="str">
        <f t="shared" si="19"/>
        <v>1001001101011111</v>
      </c>
      <c r="GC12" s="77">
        <f>MID(GA12,16,1)*POWER(2,0)+MID(GA12,15,1)*POWER(2,1)+MID(GA12,14,1)*POWER(2,2)+MID(GA12,13,1)*POWER(2,3)+MID(GA12,12,1)*POWER(2,4)+MID(GA12,11,1)*POWER(2,5)+MID(GA12,10,1)*POWER(2,6)+MID(GA12,9,1)*POWER(2,7)+MID(GA12,8,1)*POWER(2,8)+MID(GA12,7,1)*POWER(2,9)+MID(GA12,6,1)*POWER(2,10)+MID(GA12,5,1)*POWER(2,11)+MID(GA12,4,1)*POWER(2,12)+MID(GA12,3,1)*POWER(2,13)+MID(GA12,2,1)*POWER(2,14)+MID(GA12,1,1)*POWER(2,15)-(MID(GA13,16,1)*POWER(2,0)+MID(GA13,15,1)*POWER(2,1)+MID(GA13,14,1)*POWER(2,2)+MID(GA13,13,1)*POWER(2,3)+MID(GA13,12,1)*POWER(2,4)+MID(GA13,11,1)*POWER(2,5)+MID(GA13,10,1)*POWER(2,6)+MID(GA13,9,1)*POWER(2,7)+MID(GA13,8,1)*POWER(2,8)+MID(GA13,7,1)*POWER(2,9)+MID(GA13,6,1)*POWER(2,10)+MID(GA13,5,1)*POWER(2,11)+MID(GA13,4,1)*POWER(2,12)+MID(GA13,3,1)*POWER(2,13)+MID(GA13,2,1)*POWER(2,14)+MID(GA13,1,1)*POWER(2,15))</f>
        <v>-3936</v>
      </c>
      <c r="GD12" s="77">
        <f>MID(GB12,16,1)*POWER(2,0)+MID(GB12,15,1)*POWER(2,1)+MID(GB12,14,1)*POWER(2,2)+MID(GB12,13,1)*POWER(2,3)+MID(GB12,12,1)*POWER(2,4)+MID(GB12,11,1)*POWER(2,5)+MID(GB12,10,1)*POWER(2,6)+MID(GB12,9,1)*POWER(2,7)+MID(GB12,8,1)*POWER(2,8)+MID(GB12,7,1)*POWER(2,9)+MID(GB12,6,1)*POWER(2,10)+MID(GB12,5,1)*POWER(2,11)+MID(GB12,4,1)*POWER(2,12)+MID(GB12,3,1)*POWER(2,13)+MID(GB12,2,1)*POWER(2,14)+MID(GB12,1,1)*POWER(2,15)-(MID(GB13,16,1)*POWER(2,0)+MID(GB13,15,1)*POWER(2,1)+MID(GB13,14,1)*POWER(2,2)+MID(GB13,13,1)*POWER(2,3)+MID(GB13,12,1)*POWER(2,4)+MID(GB13,11,1)*POWER(2,5)+MID(GB13,10,1)*POWER(2,6)+MID(GB13,9,1)*POWER(2,7)+MID(GB13,8,1)*POWER(2,8)+MID(GB13,7,1)*POWER(2,9)+MID(GB13,6,1)*POWER(2,10)+MID(GB13,5,1)*POWER(2,11)+MID(GB13,4,1)*POWER(2,12)+MID(GB13,3,1)*POWER(2,13)+MID(GB13,2,1)*POWER(2,14)+MID(GB13,1,1)*POWER(2,15))</f>
        <v>37727</v>
      </c>
      <c r="GE12" s="47" t="str">
        <f>CU12</f>
        <v>00000000010000000000000001000100</v>
      </c>
      <c r="GF12" s="26" t="str">
        <f t="shared" si="126"/>
        <v>00000000</v>
      </c>
      <c r="GG12" s="26" t="str">
        <f t="shared" si="96"/>
        <v>01000000</v>
      </c>
      <c r="GH12" s="26" t="str">
        <f t="shared" si="97"/>
        <v>00000000</v>
      </c>
      <c r="GI12" s="26" t="str">
        <f t="shared" si="98"/>
        <v>01000100</v>
      </c>
      <c r="GJ12" s="77">
        <f>BIN2DEC(GF12)-BIN2DEC(GF13)</f>
        <v>-32</v>
      </c>
      <c r="GK12" s="77">
        <f>BIN2DEC(GG12)-BIN2DEC(GG13)</f>
        <v>31</v>
      </c>
      <c r="GL12" s="77">
        <f>BIN2DEC(GH12)-BIN2DEC(GH13)</f>
        <v>0</v>
      </c>
      <c r="GM12" s="77">
        <f>BIN2DEC(GI12)-BIN2DEC(GI13)</f>
        <v>68</v>
      </c>
      <c r="GN12" s="27" t="str">
        <f t="shared" si="99"/>
        <v>0001</v>
      </c>
      <c r="GO12" s="27" t="str">
        <f t="shared" si="100"/>
        <v>0000</v>
      </c>
      <c r="GP12" s="27" t="str">
        <f t="shared" si="101"/>
        <v>1100</v>
      </c>
      <c r="GQ12" s="27" t="str">
        <f t="shared" si="102"/>
        <v>0000</v>
      </c>
      <c r="GR12" s="27" t="str">
        <f t="shared" si="103"/>
        <v>1001</v>
      </c>
      <c r="GS12" s="27" t="str">
        <f t="shared" si="104"/>
        <v>0011</v>
      </c>
      <c r="GT12" s="27" t="str">
        <f t="shared" si="105"/>
        <v>0101</v>
      </c>
      <c r="GU12" s="27" t="str">
        <f t="shared" si="106"/>
        <v>1111</v>
      </c>
      <c r="GV12" s="77">
        <f>BIN2DEC(GN12)-BIN2DEC(GN13)</f>
        <v>-9</v>
      </c>
      <c r="GW12" s="77">
        <f t="shared" ref="GW12:HB12" si="160">BIN2DEC(GO12)-BIN2DEC(GO13)</f>
        <v>0</v>
      </c>
      <c r="GX12" s="77">
        <f t="shared" si="160"/>
        <v>-2</v>
      </c>
      <c r="GY12" s="77">
        <f t="shared" si="160"/>
        <v>-13</v>
      </c>
      <c r="GZ12" s="77">
        <f t="shared" si="160"/>
        <v>4</v>
      </c>
      <c r="HA12" s="77">
        <f t="shared" si="160"/>
        <v>-9</v>
      </c>
      <c r="HB12" s="77">
        <f t="shared" si="160"/>
        <v>-7</v>
      </c>
      <c r="HC12" s="77">
        <f>BIN2DEC(GU12)-BIN2DEC(GU13)</f>
        <v>11</v>
      </c>
      <c r="HD12" s="26" t="str">
        <f t="shared" si="21"/>
        <v>0000000001000000</v>
      </c>
      <c r="HE12" s="26" t="str">
        <f t="shared" si="22"/>
        <v>0000000001000100</v>
      </c>
      <c r="HF12" s="77">
        <f>MID(HD12,16,1)*POWER(2,0)+MID(HD12,15,1)*POWER(2,1)+MID(HD12,14,1)*POWER(2,2)+MID(HD12,13,1)*POWER(2,3)+MID(HD12,12,1)*POWER(2,4)+MID(HD12,11,1)*POWER(2,5)+MID(HD12,10,1)*POWER(2,6)+MID(HD12,9,1)*POWER(2,7)+MID(HD12,8,1)*POWER(2,8)+MID(HD12,7,1)*POWER(2,9)+MID(HD12,6,1)*POWER(2,10)+MID(HD12,5,1)*POWER(2,11)+MID(HD12,4,1)*POWER(2,12)+MID(HD12,3,1)*POWER(2,13)+MID(HD12,2,1)*POWER(2,14)+MID(HD12,1,1)*POWER(2,15)-(MID(HD13,16,1)*POWER(2,0)+MID(HD13,15,1)*POWER(2,1)+MID(HD13,14,1)*POWER(2,2)+MID(HD13,13,1)*POWER(2,3)+MID(HD13,12,1)*POWER(2,4)+MID(HD13,11,1)*POWER(2,5)+MID(HD13,10,1)*POWER(2,6)+MID(HD13,9,1)*POWER(2,7)+MID(HD13,8,1)*POWER(2,8)+MID(HD13,7,1)*POWER(2,9)+MID(HD13,6,1)*POWER(2,10)+MID(HD13,5,1)*POWER(2,11)+MID(HD13,4,1)*POWER(2,12)+MID(HD13,3,1)*POWER(2,13)+MID(HD13,2,1)*POWER(2,14)+MID(HD13,1,1)*POWER(2,15))</f>
        <v>-8161</v>
      </c>
      <c r="HG12" s="77">
        <f>MID(HE12,16,1)*POWER(2,0)+MID(HE12,15,1)*POWER(2,1)+MID(HE12,14,1)*POWER(2,2)+MID(HE12,13,1)*POWER(2,3)+MID(HE12,12,1)*POWER(2,4)+MID(HE12,11,1)*POWER(2,5)+MID(HE12,10,1)*POWER(2,6)+MID(HE12,9,1)*POWER(2,7)+MID(HE12,8,1)*POWER(2,8)+MID(HE12,7,1)*POWER(2,9)+MID(HE12,6,1)*POWER(2,10)+MID(HE12,5,1)*POWER(2,11)+MID(HE12,4,1)*POWER(2,12)+MID(HE12,3,1)*POWER(2,13)+MID(HE12,2,1)*POWER(2,14)+MID(HE12,1,1)*POWER(2,15)-(MID(HE13,16,1)*POWER(2,0)+MID(HE13,15,1)*POWER(2,1)+MID(HE13,14,1)*POWER(2,2)+MID(HE13,13,1)*POWER(2,3)+MID(HE13,12,1)*POWER(2,4)+MID(HE13,11,1)*POWER(2,5)+MID(HE13,10,1)*POWER(2,6)+MID(HE13,9,1)*POWER(2,7)+MID(HE13,8,1)*POWER(2,8)+MID(HE13,7,1)*POWER(2,9)+MID(HE13,6,1)*POWER(2,10)+MID(HE13,5,1)*POWER(2,11)+MID(HE13,4,1)*POWER(2,12)+MID(HE13,3,1)*POWER(2,13)+MID(HE13,2,1)*POWER(2,14)+MID(HE13,1,1)*POWER(2,15))</f>
        <v>68</v>
      </c>
      <c r="HH12" s="45" t="str">
        <f>GE12</f>
        <v>00000000010000000000000001000100</v>
      </c>
      <c r="HI12" s="26" t="str">
        <f t="shared" si="128"/>
        <v>00000000</v>
      </c>
      <c r="HJ12" s="26" t="str">
        <f t="shared" si="107"/>
        <v>01000000</v>
      </c>
      <c r="HK12" s="26" t="str">
        <f t="shared" si="108"/>
        <v>00000000</v>
      </c>
      <c r="HL12" s="26" t="str">
        <f t="shared" si="109"/>
        <v>01000100</v>
      </c>
      <c r="HM12" s="77">
        <f>BIN2DEC(HI12)-BIN2DEC(HI13)</f>
        <v>-32</v>
      </c>
      <c r="HN12" s="77">
        <f>BIN2DEC(HJ12)-BIN2DEC(HJ13)</f>
        <v>32</v>
      </c>
      <c r="HO12" s="77">
        <f>BIN2DEC(HK12)-BIN2DEC(HK13)</f>
        <v>0</v>
      </c>
      <c r="HP12" s="77">
        <f>BIN2DEC(HL12)-BIN2DEC(HL13)</f>
        <v>68</v>
      </c>
      <c r="HQ12" s="27" t="str">
        <f t="shared" si="110"/>
        <v>0001</v>
      </c>
      <c r="HR12" s="27" t="str">
        <f t="shared" si="111"/>
        <v>0000</v>
      </c>
      <c r="HS12" s="27" t="str">
        <f t="shared" si="112"/>
        <v>1100</v>
      </c>
      <c r="HT12" s="27" t="str">
        <f t="shared" si="113"/>
        <v>0000</v>
      </c>
      <c r="HU12" s="27" t="str">
        <f t="shared" si="114"/>
        <v>1001</v>
      </c>
      <c r="HV12" s="27" t="str">
        <f t="shared" si="115"/>
        <v>0011</v>
      </c>
      <c r="HW12" s="27" t="str">
        <f t="shared" si="116"/>
        <v>0101</v>
      </c>
      <c r="HX12" s="27" t="str">
        <f t="shared" si="117"/>
        <v>1111</v>
      </c>
      <c r="HY12" s="77">
        <f>BIN2DEC(HQ12)-BIN2DEC(HQ13)</f>
        <v>-9</v>
      </c>
      <c r="HZ12" s="77">
        <f t="shared" ref="HZ12:IE12" si="161">BIN2DEC(HR12)-BIN2DEC(HR13)</f>
        <v>0</v>
      </c>
      <c r="IA12" s="77">
        <f t="shared" si="161"/>
        <v>-2</v>
      </c>
      <c r="IB12" s="77">
        <f t="shared" si="161"/>
        <v>-13</v>
      </c>
      <c r="IC12" s="77">
        <f t="shared" si="161"/>
        <v>4</v>
      </c>
      <c r="ID12" s="77">
        <f t="shared" si="161"/>
        <v>-9</v>
      </c>
      <c r="IE12" s="77">
        <f t="shared" si="161"/>
        <v>-7</v>
      </c>
      <c r="IF12" s="77">
        <f>BIN2DEC(HX12)-BIN2DEC(HX13)</f>
        <v>11</v>
      </c>
      <c r="IG12" s="26" t="str">
        <f t="shared" si="24"/>
        <v>0000000001000000</v>
      </c>
      <c r="IH12" s="26" t="str">
        <f t="shared" si="25"/>
        <v>0000000001000100</v>
      </c>
      <c r="II12" s="77">
        <f>MID(IG12,16,1)*POWER(2,0)+MID(IG12,15,1)*POWER(2,1)+MID(IG12,14,1)*POWER(2,2)+MID(IG12,13,1)*POWER(2,3)+MID(IG12,12,1)*POWER(2,4)+MID(IG12,11,1)*POWER(2,5)+MID(IG12,10,1)*POWER(2,6)+MID(IG12,9,1)*POWER(2,7)+MID(IG12,8,1)*POWER(2,8)+MID(IG12,7,1)*POWER(2,9)+MID(IG12,6,1)*POWER(2,10)+MID(IG12,5,1)*POWER(2,11)+MID(IG12,4,1)*POWER(2,12)+MID(IG12,3,1)*POWER(2,13)+MID(IG12,2,1)*POWER(2,14)+MID(IG12,1,1)*POWER(2,15)-(MID(IG13,16,1)*POWER(2,0)+MID(IG13,15,1)*POWER(2,1)+MID(IG13,14,1)*POWER(2,2)+MID(IG13,13,1)*POWER(2,3)+MID(IG13,12,1)*POWER(2,4)+MID(IG13,11,1)*POWER(2,5)+MID(IG13,10,1)*POWER(2,6)+MID(IG13,9,1)*POWER(2,7)+MID(IG13,8,1)*POWER(2,8)+MID(IG13,7,1)*POWER(2,9)+MID(IG13,6,1)*POWER(2,10)+MID(IG13,5,1)*POWER(2,11)+MID(IG13,4,1)*POWER(2,12)+MID(IG13,3,1)*POWER(2,13)+MID(IG13,2,1)*POWER(2,14)+MID(IG13,1,1)*POWER(2,15))</f>
        <v>-8160</v>
      </c>
      <c r="IJ12" s="77">
        <f>MID(IH12,16,1)*POWER(2,0)+MID(IH12,15,1)*POWER(2,1)+MID(IH12,14,1)*POWER(2,2)+MID(IH12,13,1)*POWER(2,3)+MID(IH12,12,1)*POWER(2,4)+MID(IH12,11,1)*POWER(2,5)+MID(IH12,10,1)*POWER(2,6)+MID(IH12,9,1)*POWER(2,7)+MID(IH12,8,1)*POWER(2,8)+MID(IH12,7,1)*POWER(2,9)+MID(IH12,6,1)*POWER(2,10)+MID(IH12,5,1)*POWER(2,11)+MID(IH12,4,1)*POWER(2,12)+MID(IH12,3,1)*POWER(2,13)+MID(IH12,2,1)*POWER(2,14)+MID(IH12,1,1)*POWER(2,15)-(MID(IH13,16,1)*POWER(2,0)+MID(IH13,15,1)*POWER(2,1)+MID(IH13,14,1)*POWER(2,2)+MID(IH13,13,1)*POWER(2,3)+MID(IH13,12,1)*POWER(2,4)+MID(IH13,11,1)*POWER(2,5)+MID(IH13,10,1)*POWER(2,6)+MID(IH13,9,1)*POWER(2,7)+MID(IH13,8,1)*POWER(2,8)+MID(IH13,7,1)*POWER(2,9)+MID(IH13,6,1)*POWER(2,10)+MID(IH13,5,1)*POWER(2,11)+MID(IH13,4,1)*POWER(2,12)+MID(IH13,3,1)*POWER(2,13)+MID(IH13,2,1)*POWER(2,14)+MID(IH13,1,1)*POWER(2,15))</f>
        <v>68</v>
      </c>
      <c r="IL12" s="26"/>
      <c r="IM12" s="26"/>
      <c r="IN12" s="26"/>
      <c r="IO12" s="26"/>
      <c r="IP12" s="22"/>
      <c r="IQ12" s="22"/>
      <c r="IR12" s="22"/>
      <c r="IS12" s="22"/>
      <c r="JB12" s="22"/>
      <c r="JC12" s="22"/>
      <c r="JD12" s="22"/>
      <c r="JE12" s="22"/>
      <c r="JF12" s="22"/>
      <c r="JG12" s="22"/>
      <c r="JH12" s="22"/>
      <c r="JI12" s="22"/>
      <c r="JJ12" s="26"/>
      <c r="JK12" s="26"/>
      <c r="JL12" s="22"/>
      <c r="JM12" s="22"/>
    </row>
    <row r="13" spans="1:273" s="31" customFormat="1" ht="18.600000000000001" thickBot="1" x14ac:dyDescent="0.4">
      <c r="A13" s="28"/>
      <c r="B13" s="29"/>
      <c r="C13" s="21" t="s">
        <v>6</v>
      </c>
      <c r="D13" s="21" t="s">
        <v>157</v>
      </c>
      <c r="E13" s="21">
        <v>18</v>
      </c>
      <c r="F13" s="21" t="s">
        <v>155</v>
      </c>
      <c r="G13" s="21" t="s">
        <v>147</v>
      </c>
      <c r="H13" s="21" t="str">
        <f t="shared" si="0"/>
        <v>10001011000110001011010010011101</v>
      </c>
      <c r="I13" s="21">
        <f t="shared" si="1"/>
        <v>15</v>
      </c>
      <c r="J13" s="21"/>
      <c r="K13" s="21"/>
      <c r="L13" s="44" t="str">
        <f>CONCATENATE(MID(H13,20,5),MID(H13,9,3),MID(H13,28,5),MID(H13,17,3),MID(H13,4,5),MID(H13,25,3),MID(H13,12,5),MID(H13,1,3))</f>
        <v>10100000111011010101110011000100</v>
      </c>
      <c r="M13" s="30" t="str">
        <f t="shared" si="26"/>
        <v>10100000</v>
      </c>
      <c r="N13" s="30" t="str">
        <f t="shared" si="27"/>
        <v>11101101</v>
      </c>
      <c r="O13" s="30" t="str">
        <f t="shared" si="28"/>
        <v>01011100</v>
      </c>
      <c r="P13" s="30" t="str">
        <f t="shared" si="29"/>
        <v>11000100</v>
      </c>
      <c r="Q13" s="78"/>
      <c r="R13" s="78"/>
      <c r="S13" s="78"/>
      <c r="T13" s="78"/>
      <c r="U13" s="31" t="str">
        <f t="shared" si="30"/>
        <v>1010</v>
      </c>
      <c r="V13" s="31" t="str">
        <f t="shared" si="31"/>
        <v>0000</v>
      </c>
      <c r="W13" s="31" t="str">
        <f t="shared" si="32"/>
        <v>1110</v>
      </c>
      <c r="X13" s="31" t="str">
        <f t="shared" si="33"/>
        <v>1101</v>
      </c>
      <c r="Y13" s="31" t="str">
        <f t="shared" si="34"/>
        <v>0101</v>
      </c>
      <c r="Z13" s="31" t="str">
        <f t="shared" si="35"/>
        <v>1100</v>
      </c>
      <c r="AA13" s="31" t="str">
        <f t="shared" si="36"/>
        <v>1100</v>
      </c>
      <c r="AB13" s="31" t="str">
        <f t="shared" si="37"/>
        <v>0100</v>
      </c>
      <c r="AC13" s="78"/>
      <c r="AD13" s="78"/>
      <c r="AE13" s="78"/>
      <c r="AF13" s="78"/>
      <c r="AG13" s="78"/>
      <c r="AH13" s="78"/>
      <c r="AI13" s="78"/>
      <c r="AJ13" s="78"/>
      <c r="AK13" s="30" t="str">
        <f t="shared" si="3"/>
        <v>1010000011101101</v>
      </c>
      <c r="AL13" s="30" t="str">
        <f t="shared" si="4"/>
        <v>0101110011000100</v>
      </c>
      <c r="AM13" s="78"/>
      <c r="AN13" s="78"/>
      <c r="AO13" s="46" t="str">
        <f>CONCATENATE(MID($L13,1,1)*MID($K12,1,1),MID($L13,2,1)*MID($K12,2,1),MID($L13,3,1)*MID($K12,3,1),MID($L13,4,1)*MID($K12,4,1),MID($L13,5,1)*MID($K12,5,1),MID($L13,6,1)*MID($K12,6,1),MID($L13,7,1)*MID($K12,7,1),MID($L13,8,1)*MID($K12,8,1),MID($L13,9,1)*MID($K12,1,1),MID($L13,10,1)*MID($K12,2,1),MID($L13,11,1)*MID($K12,3,1),MID($L13,12,1)*MID($K12,4,1),MID($L13,13,1)*MID($K12,5,1),MID($L13,14,1)*MID($K12,6,1),MID($L13,15,1)*MID($K12,7,1),MID($L13,16,1)*MID($K12,8,1),MID($L13,17,1)*MID($K12,1,1),MID($L13,18,1)*MID($K12,2,1),MID($L13,19,1)*MID($K12,3,1),MID($L13,20,1)*MID($K12,4,1),MID($L13,21,1)*MID($K12,5,1),MID($L13,22,1)*MID($K12,6,1),MID($L13,23,1)*MID($K12,7,1),MID($L13,24,1)*MID($K12,8,1),MID($L13,25,1)*MID($K12,1,1),MID($L13,26,1)*MID($K12,2,1),MID($L13,27,1)*MID($K12,3,1),MID($L13,28,1)*MID($K12,4,1),MID($L13,29,1)*MID($K12,5,1),MID($L13,30,1)*MID($K12,6,1),MID($L13,31,1)*MID($K12,7,1),MID($L13,32,1)*MID($K12,8,1))</f>
        <v>00100000011001000100010001000100</v>
      </c>
      <c r="AP13" s="30" t="str">
        <f t="shared" si="38"/>
        <v>00100000</v>
      </c>
      <c r="AQ13" s="30" t="str">
        <f t="shared" si="39"/>
        <v>01100100</v>
      </c>
      <c r="AR13" s="30" t="str">
        <f t="shared" si="40"/>
        <v>01000100</v>
      </c>
      <c r="AS13" s="30" t="str">
        <f t="shared" si="41"/>
        <v>01000100</v>
      </c>
      <c r="AT13" s="78"/>
      <c r="AU13" s="78"/>
      <c r="AV13" s="78"/>
      <c r="AW13" s="78"/>
      <c r="AX13" s="31" t="str">
        <f t="shared" si="42"/>
        <v>1010</v>
      </c>
      <c r="AY13" s="31" t="str">
        <f t="shared" si="43"/>
        <v>0000</v>
      </c>
      <c r="AZ13" s="31" t="str">
        <f t="shared" si="44"/>
        <v>1110</v>
      </c>
      <c r="BA13" s="31" t="str">
        <f t="shared" si="45"/>
        <v>1101</v>
      </c>
      <c r="BB13" s="31" t="str">
        <f t="shared" si="46"/>
        <v>0101</v>
      </c>
      <c r="BC13" s="31" t="str">
        <f t="shared" si="47"/>
        <v>1100</v>
      </c>
      <c r="BD13" s="31" t="str">
        <f t="shared" si="48"/>
        <v>1100</v>
      </c>
      <c r="BE13" s="31" t="str">
        <f t="shared" si="49"/>
        <v>0100</v>
      </c>
      <c r="BF13" s="78"/>
      <c r="BG13" s="78"/>
      <c r="BH13" s="78"/>
      <c r="BI13" s="78"/>
      <c r="BJ13" s="78"/>
      <c r="BK13" s="78"/>
      <c r="BL13" s="78"/>
      <c r="BM13" s="78"/>
      <c r="BN13" s="30" t="str">
        <f t="shared" si="6"/>
        <v>0010000001100100</v>
      </c>
      <c r="BO13" s="30" t="str">
        <f t="shared" si="7"/>
        <v>0100010001000100</v>
      </c>
      <c r="BP13" s="78"/>
      <c r="BQ13" s="78"/>
      <c r="BR13" s="46" t="str">
        <f>L13</f>
        <v>10100000111011010101110011000100</v>
      </c>
      <c r="BS13" s="30" t="str">
        <f t="shared" si="50"/>
        <v>10100000</v>
      </c>
      <c r="BT13" s="30" t="str">
        <f t="shared" si="51"/>
        <v>11101101</v>
      </c>
      <c r="BU13" s="30" t="str">
        <f t="shared" si="52"/>
        <v>01011100</v>
      </c>
      <c r="BV13" s="30" t="str">
        <f t="shared" si="53"/>
        <v>11000100</v>
      </c>
      <c r="BW13" s="78"/>
      <c r="BX13" s="78"/>
      <c r="BY13" s="78"/>
      <c r="BZ13" s="78"/>
      <c r="CA13" s="31" t="str">
        <f t="shared" si="54"/>
        <v>1010</v>
      </c>
      <c r="CB13" s="31" t="str">
        <f t="shared" si="55"/>
        <v>0000</v>
      </c>
      <c r="CC13" s="31" t="str">
        <f t="shared" si="56"/>
        <v>1110</v>
      </c>
      <c r="CD13" s="31" t="str">
        <f t="shared" si="57"/>
        <v>1101</v>
      </c>
      <c r="CE13" s="31" t="str">
        <f t="shared" si="58"/>
        <v>0101</v>
      </c>
      <c r="CF13" s="31" t="str">
        <f t="shared" si="59"/>
        <v>1100</v>
      </c>
      <c r="CG13" s="31" t="str">
        <f t="shared" si="60"/>
        <v>1100</v>
      </c>
      <c r="CH13" s="31" t="str">
        <f t="shared" si="61"/>
        <v>0100</v>
      </c>
      <c r="CI13" s="78"/>
      <c r="CJ13" s="78"/>
      <c r="CK13" s="78"/>
      <c r="CL13" s="78"/>
      <c r="CM13" s="78"/>
      <c r="CN13" s="78"/>
      <c r="CO13" s="78"/>
      <c r="CP13" s="78"/>
      <c r="CQ13" s="30" t="str">
        <f t="shared" si="9"/>
        <v>1010000011101101</v>
      </c>
      <c r="CR13" s="30" t="str">
        <f t="shared" si="10"/>
        <v>0101110011000100</v>
      </c>
      <c r="CS13" s="78"/>
      <c r="CT13" s="78"/>
      <c r="CU13" s="46" t="str">
        <f>AO13</f>
        <v>00100000011001000100010001000100</v>
      </c>
      <c r="CV13" s="30" t="str">
        <f t="shared" si="62"/>
        <v>00100000</v>
      </c>
      <c r="CW13" s="30" t="str">
        <f t="shared" si="63"/>
        <v>01100100</v>
      </c>
      <c r="CX13" s="30" t="str">
        <f t="shared" si="64"/>
        <v>01000100</v>
      </c>
      <c r="CY13" s="30" t="str">
        <f t="shared" si="65"/>
        <v>01000100</v>
      </c>
      <c r="CZ13" s="78"/>
      <c r="DA13" s="78"/>
      <c r="DB13" s="78"/>
      <c r="DC13" s="78"/>
      <c r="DD13" s="31" t="str">
        <f t="shared" si="66"/>
        <v>1010</v>
      </c>
      <c r="DE13" s="31" t="str">
        <f t="shared" si="67"/>
        <v>0000</v>
      </c>
      <c r="DF13" s="31" t="str">
        <f t="shared" si="68"/>
        <v>1110</v>
      </c>
      <c r="DG13" s="31" t="str">
        <f t="shared" si="69"/>
        <v>1101</v>
      </c>
      <c r="DH13" s="31" t="str">
        <f t="shared" si="70"/>
        <v>0101</v>
      </c>
      <c r="DI13" s="31" t="str">
        <f t="shared" si="71"/>
        <v>1100</v>
      </c>
      <c r="DJ13" s="31" t="str">
        <f t="shared" si="72"/>
        <v>1100</v>
      </c>
      <c r="DK13" s="31" t="str">
        <f t="shared" si="73"/>
        <v>0100</v>
      </c>
      <c r="DL13" s="78"/>
      <c r="DM13" s="78"/>
      <c r="DN13" s="78"/>
      <c r="DO13" s="78"/>
      <c r="DP13" s="78"/>
      <c r="DQ13" s="78"/>
      <c r="DR13" s="78"/>
      <c r="DS13" s="78"/>
      <c r="DT13" s="30" t="str">
        <f t="shared" si="12"/>
        <v>0010000001100100</v>
      </c>
      <c r="DU13" s="30" t="str">
        <f t="shared" si="13"/>
        <v>0100010001000100</v>
      </c>
      <c r="DV13" s="78"/>
      <c r="DW13" s="78"/>
      <c r="DX13" s="23" t="str">
        <f>CONCATENATE(MID($H13,1,1)*MID($K12,1,1),MID($H13,2,1)*MID($K12,2,1),MID($H13,3,1)*MID($K12,3,1),MID($H13,4,1)*MID($K12,4,1),MID($H13,5,1)*MID($K12,5,1),MID($H13,6,1)*MID($K12,6,1),MID($H13,7,1)*MID($K12,7,1),MID($H13,8,1)*MID($K12,8,1),MID($H13,9,1)*MID($K12,1,1),MID($H13,10,1)*MID($K12,2,1),MID($H13,11,1)*MID($K12,3,1),MID($H13,12,1)*MID($K12,4,1),MID($H13,13,1)*MID($K12,5,1),MID($H13,14,1)*MID($K12,6,1),MID($H13,15,1)*MID($K12,7,1),MID($H13,16,1)*MID($K12,8,1),MID($H13,17,1)*MID($K12,1,1),MID($H13,18,1)*MID($K12,2,1),MID($H13,19,1)*MID($K12,3,1),MID($H13,20,1)*MID($K12,4,1),MID($H13,21,1)*MID($K12,5,1),MID($H13,22,1)*MID($K12,6,1),MID($H13,23,1)*MID($K12,7,1),MID($H13,24,1)*MID($K12,8,1),MID($H13,25,1)*MID($K12,1,1),MID($H13,26,1)*MID($K12,2,1),MID($H13,27,1)*MID($K12,3,1),MID($H13,28,1)*MID($K12,4,1),MID($H13,29,1)*MID($K12,5,1),MID($H13,30,1)*MID($K12,6,1),MID($H13,31,1)*MID($K12,7,1),MID($H13,32,1)*MID($K12,8,1))</f>
        <v>00000000000000000010010000000100</v>
      </c>
      <c r="DY13" s="44" t="str">
        <f>CONCATENATE(MID(DX13,20,5),MID(DX13,9,3),MID(DX13,28,5),MID(DX13,17,3),MID(DX13,4,5),MID(DX13,25,3),MID(DX13,12,5),MID(DX13,1,3))</f>
        <v>00100000001000010000000000000000</v>
      </c>
      <c r="DZ13" s="30" t="str">
        <f t="shared" si="122"/>
        <v>00100000</v>
      </c>
      <c r="EA13" s="30" t="str">
        <f t="shared" si="74"/>
        <v>00100001</v>
      </c>
      <c r="EB13" s="30" t="str">
        <f t="shared" si="75"/>
        <v>00000000</v>
      </c>
      <c r="EC13" s="30" t="str">
        <f t="shared" si="76"/>
        <v>00000000</v>
      </c>
      <c r="ED13" s="78"/>
      <c r="EE13" s="78"/>
      <c r="EF13" s="78"/>
      <c r="EG13" s="78"/>
      <c r="EH13" s="31" t="str">
        <f t="shared" si="77"/>
        <v>1010</v>
      </c>
      <c r="EI13" s="31" t="str">
        <f t="shared" si="78"/>
        <v>0000</v>
      </c>
      <c r="EJ13" s="31" t="str">
        <f t="shared" si="79"/>
        <v>1110</v>
      </c>
      <c r="EK13" s="31" t="str">
        <f t="shared" si="80"/>
        <v>1101</v>
      </c>
      <c r="EL13" s="31" t="str">
        <f t="shared" si="81"/>
        <v>0101</v>
      </c>
      <c r="EM13" s="31" t="str">
        <f t="shared" si="82"/>
        <v>1100</v>
      </c>
      <c r="EN13" s="31" t="str">
        <f t="shared" si="83"/>
        <v>1100</v>
      </c>
      <c r="EO13" s="31" t="str">
        <f t="shared" si="84"/>
        <v>0100</v>
      </c>
      <c r="EP13" s="78"/>
      <c r="EQ13" s="78"/>
      <c r="ER13" s="78"/>
      <c r="ES13" s="78"/>
      <c r="ET13" s="78"/>
      <c r="EU13" s="78"/>
      <c r="EV13" s="78"/>
      <c r="EW13" s="78"/>
      <c r="EX13" s="30" t="str">
        <f t="shared" si="15"/>
        <v>0010000000100001</v>
      </c>
      <c r="EY13" s="30" t="str">
        <f t="shared" si="16"/>
        <v>0000000000000000</v>
      </c>
      <c r="EZ13" s="78"/>
      <c r="FA13" s="78"/>
      <c r="FB13" s="46" t="str">
        <f>CONCATENATE(MID(DY13,1,1)*MID($K12,1,1),MID(DY13,2,1)*MID($K12,2,1),MID(DY13,3,1)*MID($K12,3,1),MID(DY13,4,1)*MID($K12,4,1),MID(DY13,5,1)*MID($K12,5,1),MID(DY13,6,1)*MID($K12,6,1),MID(DY13,7,1)*MID($K12,7,1),MID(DY13,8,1)*MID($K12,8,1),MID(DY13,9,1)*MID($K12,1,1),MID(DY13,10,1)*MID($K12,2,1),MID(DY13,11,1)*MID($K12,3,1),MID(DY13,12,1)*MID($K12,4,1),MID(DY13,13,1)*MID($K12,5,1),MID(DY13,14,1)*MID($K12,6,1),MID(DY13,15,1)*MID($K12,7,1),MID(DY13,16,1)*MID($K12,8,1),MID(DY13,17,1)*MID($K12,1,1),MID(DY13,18,1)*MID($K12,2,1),MID(DY13,19,1)*MID($K12,3,1),MID(DY13,20,1)*MID($K12,4,1),MID(DY13,21,1)*MID($K12,5,1),MID(DY13,22,1)*MID($K12,6,1),MID(DY13,23,1)*MID($K12,7,1),MID(DY13,24,1)*MID($K12,8,1),MID(DY13,25,1)*MID($K12,1,1),MID(DY13,26,1)*MID($K12,2,1),MID(DY13,27,1)*MID($K12,3,1),MID(DY13,28,1)*MID($K12,4,1),MID(DY13,29,1)*MID($K12,5,1),MID(DY13,30,1)*MID($K12,6,1),MID(DY13,31,1)*MID($K12,7,1),MID(DY13,32,1)*MID($K12,8,1))</f>
        <v>00100000001000000000000000000000</v>
      </c>
      <c r="FC13" s="30" t="str">
        <f t="shared" si="124"/>
        <v>00100000</v>
      </c>
      <c r="FD13" s="30" t="str">
        <f t="shared" si="85"/>
        <v>00100000</v>
      </c>
      <c r="FE13" s="30" t="str">
        <f t="shared" si="86"/>
        <v>00000000</v>
      </c>
      <c r="FF13" s="30" t="str">
        <f t="shared" si="87"/>
        <v>00000000</v>
      </c>
      <c r="FG13" s="78"/>
      <c r="FH13" s="78"/>
      <c r="FI13" s="78"/>
      <c r="FJ13" s="78"/>
      <c r="FK13" s="31" t="str">
        <f t="shared" si="88"/>
        <v>1010</v>
      </c>
      <c r="FL13" s="31" t="str">
        <f t="shared" si="89"/>
        <v>0000</v>
      </c>
      <c r="FM13" s="31" t="str">
        <f t="shared" si="90"/>
        <v>1110</v>
      </c>
      <c r="FN13" s="31" t="str">
        <f t="shared" si="91"/>
        <v>1101</v>
      </c>
      <c r="FO13" s="31" t="str">
        <f t="shared" si="92"/>
        <v>0101</v>
      </c>
      <c r="FP13" s="31" t="str">
        <f t="shared" si="93"/>
        <v>1100</v>
      </c>
      <c r="FQ13" s="31" t="str">
        <f t="shared" si="94"/>
        <v>1100</v>
      </c>
      <c r="FR13" s="31" t="str">
        <f t="shared" si="95"/>
        <v>0100</v>
      </c>
      <c r="FS13" s="78"/>
      <c r="FT13" s="78"/>
      <c r="FU13" s="78"/>
      <c r="FV13" s="78"/>
      <c r="FW13" s="78"/>
      <c r="FX13" s="78"/>
      <c r="FY13" s="78"/>
      <c r="FZ13" s="78"/>
      <c r="GA13" s="30" t="str">
        <f t="shared" si="18"/>
        <v>0010000000100000</v>
      </c>
      <c r="GB13" s="30" t="str">
        <f t="shared" si="19"/>
        <v>0000000000000000</v>
      </c>
      <c r="GC13" s="78"/>
      <c r="GD13" s="78"/>
      <c r="GE13" s="48" t="str">
        <f>DY13</f>
        <v>00100000001000010000000000000000</v>
      </c>
      <c r="GF13" s="30" t="str">
        <f t="shared" si="126"/>
        <v>00100000</v>
      </c>
      <c r="GG13" s="30" t="str">
        <f t="shared" si="96"/>
        <v>00100001</v>
      </c>
      <c r="GH13" s="30" t="str">
        <f t="shared" si="97"/>
        <v>00000000</v>
      </c>
      <c r="GI13" s="30" t="str">
        <f t="shared" si="98"/>
        <v>00000000</v>
      </c>
      <c r="GJ13" s="78"/>
      <c r="GK13" s="78"/>
      <c r="GL13" s="78"/>
      <c r="GM13" s="78"/>
      <c r="GN13" s="31" t="str">
        <f t="shared" si="99"/>
        <v>1010</v>
      </c>
      <c r="GO13" s="31" t="str">
        <f t="shared" si="100"/>
        <v>0000</v>
      </c>
      <c r="GP13" s="31" t="str">
        <f t="shared" si="101"/>
        <v>1110</v>
      </c>
      <c r="GQ13" s="31" t="str">
        <f t="shared" si="102"/>
        <v>1101</v>
      </c>
      <c r="GR13" s="31" t="str">
        <f t="shared" si="103"/>
        <v>0101</v>
      </c>
      <c r="GS13" s="31" t="str">
        <f t="shared" si="104"/>
        <v>1100</v>
      </c>
      <c r="GT13" s="31" t="str">
        <f t="shared" si="105"/>
        <v>1100</v>
      </c>
      <c r="GU13" s="31" t="str">
        <f t="shared" si="106"/>
        <v>0100</v>
      </c>
      <c r="GV13" s="78"/>
      <c r="GW13" s="78"/>
      <c r="GX13" s="78"/>
      <c r="GY13" s="78"/>
      <c r="GZ13" s="78"/>
      <c r="HA13" s="78"/>
      <c r="HB13" s="78"/>
      <c r="HC13" s="78"/>
      <c r="HD13" s="30" t="str">
        <f t="shared" si="21"/>
        <v>0010000000100001</v>
      </c>
      <c r="HE13" s="30" t="str">
        <f t="shared" si="22"/>
        <v>0000000000000000</v>
      </c>
      <c r="HF13" s="78"/>
      <c r="HG13" s="78"/>
      <c r="HH13" s="48" t="str">
        <f>FB13</f>
        <v>00100000001000000000000000000000</v>
      </c>
      <c r="HI13" s="30" t="str">
        <f t="shared" si="128"/>
        <v>00100000</v>
      </c>
      <c r="HJ13" s="30" t="str">
        <f t="shared" si="107"/>
        <v>00100000</v>
      </c>
      <c r="HK13" s="30" t="str">
        <f t="shared" si="108"/>
        <v>00000000</v>
      </c>
      <c r="HL13" s="30" t="str">
        <f t="shared" si="109"/>
        <v>00000000</v>
      </c>
      <c r="HM13" s="78"/>
      <c r="HN13" s="78"/>
      <c r="HO13" s="78"/>
      <c r="HP13" s="78"/>
      <c r="HQ13" s="31" t="str">
        <f t="shared" si="110"/>
        <v>1010</v>
      </c>
      <c r="HR13" s="31" t="str">
        <f t="shared" si="111"/>
        <v>0000</v>
      </c>
      <c r="HS13" s="31" t="str">
        <f t="shared" si="112"/>
        <v>1110</v>
      </c>
      <c r="HT13" s="31" t="str">
        <f t="shared" si="113"/>
        <v>1101</v>
      </c>
      <c r="HU13" s="31" t="str">
        <f t="shared" si="114"/>
        <v>0101</v>
      </c>
      <c r="HV13" s="31" t="str">
        <f t="shared" si="115"/>
        <v>1100</v>
      </c>
      <c r="HW13" s="31" t="str">
        <f t="shared" si="116"/>
        <v>1100</v>
      </c>
      <c r="HX13" s="31" t="str">
        <f t="shared" si="117"/>
        <v>0100</v>
      </c>
      <c r="HY13" s="78"/>
      <c r="HZ13" s="78"/>
      <c r="IA13" s="78"/>
      <c r="IB13" s="78"/>
      <c r="IC13" s="78"/>
      <c r="ID13" s="78"/>
      <c r="IE13" s="78"/>
      <c r="IF13" s="78"/>
      <c r="IG13" s="30" t="str">
        <f t="shared" si="24"/>
        <v>0010000000100000</v>
      </c>
      <c r="IH13" s="30" t="str">
        <f t="shared" si="25"/>
        <v>0000000000000000</v>
      </c>
      <c r="II13" s="78"/>
      <c r="IJ13" s="78"/>
      <c r="IL13" s="30"/>
      <c r="IM13" s="30"/>
      <c r="IN13" s="30"/>
      <c r="IO13" s="30"/>
      <c r="IP13" s="23"/>
      <c r="IQ13" s="23"/>
      <c r="IR13" s="23"/>
      <c r="IS13" s="23"/>
      <c r="JB13" s="23"/>
      <c r="JC13" s="23"/>
      <c r="JD13" s="23"/>
      <c r="JE13" s="23"/>
      <c r="JF13" s="23"/>
      <c r="JG13" s="23"/>
      <c r="JH13" s="23"/>
      <c r="JI13" s="23"/>
      <c r="JJ13" s="30"/>
      <c r="JK13" s="30"/>
      <c r="JL13" s="23"/>
      <c r="JM13" s="23"/>
    </row>
    <row r="14" spans="1:273" s="27" customFormat="1" x14ac:dyDescent="0.35">
      <c r="A14" s="24"/>
      <c r="B14" s="25"/>
      <c r="C14" s="20" t="s">
        <v>0</v>
      </c>
      <c r="D14" s="20">
        <v>21</v>
      </c>
      <c r="E14" s="20">
        <v>29</v>
      </c>
      <c r="F14" s="20" t="s">
        <v>20</v>
      </c>
      <c r="G14" s="20" t="s">
        <v>127</v>
      </c>
      <c r="H14" s="20" t="str">
        <f t="shared" si="0"/>
        <v>00100001001010010000101010101101</v>
      </c>
      <c r="I14" s="20">
        <f t="shared" si="1"/>
        <v>12</v>
      </c>
      <c r="J14" s="20">
        <v>64</v>
      </c>
      <c r="K14" s="20" t="str">
        <f>HEX2BIN(J14,8)</f>
        <v>01100100</v>
      </c>
      <c r="L14" s="43" t="str">
        <f>H14</f>
        <v>00100001001010010000101010101101</v>
      </c>
      <c r="M14" s="26" t="str">
        <f t="shared" si="26"/>
        <v>00100001</v>
      </c>
      <c r="N14" s="26" t="str">
        <f t="shared" si="27"/>
        <v>00101001</v>
      </c>
      <c r="O14" s="26" t="str">
        <f t="shared" si="28"/>
        <v>00001010</v>
      </c>
      <c r="P14" s="26" t="str">
        <f t="shared" si="29"/>
        <v>10101101</v>
      </c>
      <c r="Q14" s="77">
        <f>BIN2DEC(M14)-BIN2DEC(M15)</f>
        <v>-144</v>
      </c>
      <c r="R14" s="77">
        <f>BIN2DEC(N14)-BIN2DEC(N15)</f>
        <v>-45</v>
      </c>
      <c r="S14" s="77">
        <f>BIN2DEC(O14)-BIN2DEC(O15)</f>
        <v>-201</v>
      </c>
      <c r="T14" s="77">
        <f>BIN2DEC(P14)-BIN2DEC(P15)</f>
        <v>156</v>
      </c>
      <c r="U14" s="27" t="str">
        <f t="shared" si="30"/>
        <v>0010</v>
      </c>
      <c r="V14" s="27" t="str">
        <f t="shared" si="31"/>
        <v>0001</v>
      </c>
      <c r="W14" s="27" t="str">
        <f t="shared" si="32"/>
        <v>0010</v>
      </c>
      <c r="X14" s="27" t="str">
        <f t="shared" si="33"/>
        <v>1001</v>
      </c>
      <c r="Y14" s="27" t="str">
        <f t="shared" si="34"/>
        <v>0000</v>
      </c>
      <c r="Z14" s="27" t="str">
        <f t="shared" si="35"/>
        <v>1010</v>
      </c>
      <c r="AA14" s="27" t="str">
        <f t="shared" si="36"/>
        <v>1010</v>
      </c>
      <c r="AB14" s="27" t="str">
        <f t="shared" si="37"/>
        <v>1101</v>
      </c>
      <c r="AC14" s="77">
        <f>BIN2DEC(U14)-BIN2DEC(U15)</f>
        <v>-9</v>
      </c>
      <c r="AD14" s="77">
        <f t="shared" ref="AD14:AI14" si="162">BIN2DEC(V14)-BIN2DEC(V15)</f>
        <v>0</v>
      </c>
      <c r="AE14" s="77">
        <f t="shared" si="162"/>
        <v>-3</v>
      </c>
      <c r="AF14" s="77">
        <f t="shared" si="162"/>
        <v>3</v>
      </c>
      <c r="AG14" s="77">
        <f t="shared" si="162"/>
        <v>-13</v>
      </c>
      <c r="AH14" s="77">
        <f t="shared" si="162"/>
        <v>7</v>
      </c>
      <c r="AI14" s="77">
        <f t="shared" si="162"/>
        <v>9</v>
      </c>
      <c r="AJ14" s="77">
        <f>BIN2DEC(AB14)-BIN2DEC(AB15)</f>
        <v>12</v>
      </c>
      <c r="AK14" s="26" t="str">
        <f t="shared" si="3"/>
        <v>0010000100101001</v>
      </c>
      <c r="AL14" s="26" t="str">
        <f t="shared" si="4"/>
        <v>0000101010101101</v>
      </c>
      <c r="AM14" s="77">
        <f>MID(AK14,16,1)*POWER(2,0)+MID(AK14,15,1)*POWER(2,1)+MID(AK14,14,1)*POWER(2,2)+MID(AK14,13,1)*POWER(2,3)+MID(AK14,12,1)*POWER(2,4)+MID(AK14,11,1)*POWER(2,5)+MID(AK14,10,1)*POWER(2,6)+MID(AK14,9,1)*POWER(2,7)+MID(AK14,8,1)*POWER(2,8)+MID(AK14,7,1)*POWER(2,9)+MID(AK14,6,1)*POWER(2,10)+MID(AK14,5,1)*POWER(2,11)+MID(AK14,4,1)*POWER(2,12)+MID(AK14,3,1)*POWER(2,13)+MID(AK14,2,1)*POWER(2,14)+MID(AK14,1,1)*POWER(2,15)-(MID(AK15,16,1)*POWER(2,0)+MID(AK15,15,1)*POWER(2,1)+MID(AK15,14,1)*POWER(2,2)+MID(AK15,13,1)*POWER(2,3)+MID(AK15,12,1)*POWER(2,4)+MID(AK15,11,1)*POWER(2,5)+MID(AK15,10,1)*POWER(2,6)+MID(AK15,9,1)*POWER(2,7)+MID(AK15,8,1)*POWER(2,8)+MID(AK15,7,1)*POWER(2,9)+MID(AK15,6,1)*POWER(2,10)+MID(AK15,5,1)*POWER(2,11)+MID(AK15,4,1)*POWER(2,12)+MID(AK15,3,1)*POWER(2,13)+MID(AK15,2,1)*POWER(2,14)+MID(AK15,1,1)*POWER(2,15))</f>
        <v>-36909</v>
      </c>
      <c r="AN14" s="77">
        <f>MID(AL14,16,1)*POWER(2,0)+MID(AL14,15,1)*POWER(2,1)+MID(AL14,14,1)*POWER(2,2)+MID(AL14,13,1)*POWER(2,3)+MID(AL14,12,1)*POWER(2,4)+MID(AL14,11,1)*POWER(2,5)+MID(AL14,10,1)*POWER(2,6)+MID(AL14,9,1)*POWER(2,7)+MID(AL14,8,1)*POWER(2,8)+MID(AL14,7,1)*POWER(2,9)+MID(AL14,6,1)*POWER(2,10)+MID(AL14,5,1)*POWER(2,11)+MID(AL14,4,1)*POWER(2,12)+MID(AL14,3,1)*POWER(2,13)+MID(AL14,2,1)*POWER(2,14)+MID(AL14,1,1)*POWER(2,15)-(MID(AL15,16,1)*POWER(2,0)+MID(AL15,15,1)*POWER(2,1)+MID(AL15,14,1)*POWER(2,2)+MID(AL15,13,1)*POWER(2,3)+MID(AL15,12,1)*POWER(2,4)+MID(AL15,11,1)*POWER(2,5)+MID(AL15,10,1)*POWER(2,6)+MID(AL15,9,1)*POWER(2,7)+MID(AL15,8,1)*POWER(2,8)+MID(AL15,7,1)*POWER(2,9)+MID(AL15,6,1)*POWER(2,10)+MID(AL15,5,1)*POWER(2,11)+MID(AL15,4,1)*POWER(2,12)+MID(AL15,3,1)*POWER(2,13)+MID(AL15,2,1)*POWER(2,14)+MID(AL15,1,1)*POWER(2,15))</f>
        <v>-51300</v>
      </c>
      <c r="AO14" s="45" t="str">
        <f>H14</f>
        <v>00100001001010010000101010101101</v>
      </c>
      <c r="AP14" s="26" t="str">
        <f t="shared" si="38"/>
        <v>00100001</v>
      </c>
      <c r="AQ14" s="26" t="str">
        <f t="shared" si="39"/>
        <v>00101001</v>
      </c>
      <c r="AR14" s="26" t="str">
        <f t="shared" si="40"/>
        <v>00001010</v>
      </c>
      <c r="AS14" s="26" t="str">
        <f t="shared" si="41"/>
        <v>10101101</v>
      </c>
      <c r="AT14" s="77">
        <f>BIN2DEC(AP14)-BIN2DEC(AP15)</f>
        <v>1</v>
      </c>
      <c r="AU14" s="77">
        <f>BIN2DEC(AQ14)-BIN2DEC(AQ15)</f>
        <v>-27</v>
      </c>
      <c r="AV14" s="77">
        <f>BIN2DEC(AR14)-BIN2DEC(AR15)</f>
        <v>-54</v>
      </c>
      <c r="AW14" s="77">
        <f>BIN2DEC(AS14)-BIN2DEC(AS15)</f>
        <v>173</v>
      </c>
      <c r="AX14" s="27" t="str">
        <f t="shared" si="42"/>
        <v>0010</v>
      </c>
      <c r="AY14" s="27" t="str">
        <f t="shared" si="43"/>
        <v>0001</v>
      </c>
      <c r="AZ14" s="27" t="str">
        <f t="shared" si="44"/>
        <v>0010</v>
      </c>
      <c r="BA14" s="27" t="str">
        <f t="shared" si="45"/>
        <v>1001</v>
      </c>
      <c r="BB14" s="27" t="str">
        <f t="shared" si="46"/>
        <v>0000</v>
      </c>
      <c r="BC14" s="27" t="str">
        <f t="shared" si="47"/>
        <v>1010</v>
      </c>
      <c r="BD14" s="27" t="str">
        <f t="shared" si="48"/>
        <v>1010</v>
      </c>
      <c r="BE14" s="27" t="str">
        <f t="shared" si="49"/>
        <v>1101</v>
      </c>
      <c r="BF14" s="77">
        <f>BIN2DEC(AX14)-BIN2DEC(AX15)</f>
        <v>-9</v>
      </c>
      <c r="BG14" s="77">
        <f t="shared" ref="BG14:BL14" si="163">BIN2DEC(AY14)-BIN2DEC(AY15)</f>
        <v>0</v>
      </c>
      <c r="BH14" s="77">
        <f t="shared" si="163"/>
        <v>-3</v>
      </c>
      <c r="BI14" s="77">
        <f t="shared" si="163"/>
        <v>3</v>
      </c>
      <c r="BJ14" s="77">
        <f t="shared" si="163"/>
        <v>-13</v>
      </c>
      <c r="BK14" s="77">
        <f t="shared" si="163"/>
        <v>7</v>
      </c>
      <c r="BL14" s="77">
        <f t="shared" si="163"/>
        <v>9</v>
      </c>
      <c r="BM14" s="77">
        <f>BIN2DEC(BE14)-BIN2DEC(BE15)</f>
        <v>12</v>
      </c>
      <c r="BN14" s="26" t="str">
        <f t="shared" si="6"/>
        <v>0010000100101001</v>
      </c>
      <c r="BO14" s="26" t="str">
        <f t="shared" si="7"/>
        <v>0000101010101101</v>
      </c>
      <c r="BP14" s="77">
        <f>MID(BN14,16,1)*POWER(2,0)+MID(BN14,15,1)*POWER(2,1)+MID(BN14,14,1)*POWER(2,2)+MID(BN14,13,1)*POWER(2,3)+MID(BN14,12,1)*POWER(2,4)+MID(BN14,11,1)*POWER(2,5)+MID(BN14,10,1)*POWER(2,6)+MID(BN14,9,1)*POWER(2,7)+MID(BN14,8,1)*POWER(2,8)+MID(BN14,7,1)*POWER(2,9)+MID(BN14,6,1)*POWER(2,10)+MID(BN14,5,1)*POWER(2,11)+MID(BN14,4,1)*POWER(2,12)+MID(BN14,3,1)*POWER(2,13)+MID(BN14,2,1)*POWER(2,14)+MID(BN14,1,1)*POWER(2,15)-(MID(BN15,16,1)*POWER(2,0)+MID(BN15,15,1)*POWER(2,1)+MID(BN15,14,1)*POWER(2,2)+MID(BN15,13,1)*POWER(2,3)+MID(BN15,12,1)*POWER(2,4)+MID(BN15,11,1)*POWER(2,5)+MID(BN15,10,1)*POWER(2,6)+MID(BN15,9,1)*POWER(2,7)+MID(BN15,8,1)*POWER(2,8)+MID(BN15,7,1)*POWER(2,9)+MID(BN15,6,1)*POWER(2,10)+MID(BN15,5,1)*POWER(2,11)+MID(BN15,4,1)*POWER(2,12)+MID(BN15,3,1)*POWER(2,13)+MID(BN15,2,1)*POWER(2,14)+MID(BN15,1,1)*POWER(2,15))</f>
        <v>229</v>
      </c>
      <c r="BQ14" s="77">
        <f>MID(BO14,16,1)*POWER(2,0)+MID(BO14,15,1)*POWER(2,1)+MID(BO14,14,1)*POWER(2,2)+MID(BO14,13,1)*POWER(2,3)+MID(BO14,12,1)*POWER(2,4)+MID(BO14,11,1)*POWER(2,5)+MID(BO14,10,1)*POWER(2,6)+MID(BO14,9,1)*POWER(2,7)+MID(BO14,8,1)*POWER(2,8)+MID(BO14,7,1)*POWER(2,9)+MID(BO14,6,1)*POWER(2,10)+MID(BO14,5,1)*POWER(2,11)+MID(BO14,4,1)*POWER(2,12)+MID(BO14,3,1)*POWER(2,13)+MID(BO14,2,1)*POWER(2,14)+MID(BO14,1,1)*POWER(2,15)-(MID(BO15,16,1)*POWER(2,0)+MID(BO15,15,1)*POWER(2,1)+MID(BO15,14,1)*POWER(2,2)+MID(BO15,13,1)*POWER(2,3)+MID(BO15,12,1)*POWER(2,4)+MID(BO15,11,1)*POWER(2,5)+MID(BO15,10,1)*POWER(2,6)+MID(BO15,9,1)*POWER(2,7)+MID(BO15,8,1)*POWER(2,8)+MID(BO15,7,1)*POWER(2,9)+MID(BO15,6,1)*POWER(2,10)+MID(BO15,5,1)*POWER(2,11)+MID(BO15,4,1)*POWER(2,12)+MID(BO15,3,1)*POWER(2,13)+MID(BO15,2,1)*POWER(2,14)+MID(BO15,1,1)*POWER(2,15))</f>
        <v>-13651</v>
      </c>
      <c r="BR14" s="45" t="str">
        <f>CONCATENATE(MID($L14,1,1)*MID($K14,1,1),MID($L14,2,1)*MID($K14,2,1),MID($L14,3,1)*MID($K14,3,1),MID($L14,4,1)*MID($K14,4,1),MID($L14,5,1)*MID($K14,5,1),MID($L14,6,1)*MID($K14,6,1),MID($L14,7,1)*MID($K14,7,1),MID($L14,8,1)*MID($K14,8,1),MID($L14,9,1)*MID($K14,1,1),MID($L14,10,1)*MID($K14,2,1),MID($L14,11,1)*MID($K14,3,1),MID($L14,12,1)*MID($K14,4,1),MID($L14,13,1)*MID($K14,5,1),MID($L14,14,1)*MID($K14,6,1),MID($L14,15,1)*MID($K14,7,1),MID($L14,16,1)*MID($K14,8,1),MID($L14,17,1)*MID($K14,1,1),MID($L14,18,1)*MID($K14,2,1),MID($L14,19,1)*MID($K14,3,1),MID($L14,20,1)*MID($K14,4,1),MID($L14,21,1)*MID($K14,5,1),MID($L14,22,1)*MID($K14,6,1),MID($L14,23,1)*MID($K14,7,1),MID($L14,24,1)*MID($K14,8,1),MID($L14,25,1)*MID($K14,1,1),MID($L14,26,1)*MID($K14,2,1),MID($L14,27,1)*MID($K14,3,1),MID($L14,28,1)*MID($K14,4,1),MID($L14,29,1)*MID($K14,5,1),MID($L14,30,1)*MID($K14,6,1),MID($L14,31,1)*MID($K14,7,1),MID($L14,32,1)*MID($K14,8,1))</f>
        <v>00100000001000000000000000100100</v>
      </c>
      <c r="BS14" s="26" t="str">
        <f t="shared" si="50"/>
        <v>00100000</v>
      </c>
      <c r="BT14" s="26" t="str">
        <f t="shared" si="51"/>
        <v>00100000</v>
      </c>
      <c r="BU14" s="26" t="str">
        <f t="shared" si="52"/>
        <v>00000000</v>
      </c>
      <c r="BV14" s="26" t="str">
        <f t="shared" si="53"/>
        <v>00100100</v>
      </c>
      <c r="BW14" s="77">
        <f>BIN2DEC(BS14)-BIN2DEC(BS15)</f>
        <v>-145</v>
      </c>
      <c r="BX14" s="77">
        <f>BIN2DEC(BT14)-BIN2DEC(BT15)</f>
        <v>-54</v>
      </c>
      <c r="BY14" s="77">
        <f>BIN2DEC(BU14)-BIN2DEC(BU15)</f>
        <v>-211</v>
      </c>
      <c r="BZ14" s="77">
        <f>BIN2DEC(BV14)-BIN2DEC(BV15)</f>
        <v>19</v>
      </c>
      <c r="CA14" s="27" t="str">
        <f t="shared" si="54"/>
        <v>0010</v>
      </c>
      <c r="CB14" s="27" t="str">
        <f t="shared" si="55"/>
        <v>0001</v>
      </c>
      <c r="CC14" s="27" t="str">
        <f t="shared" si="56"/>
        <v>0010</v>
      </c>
      <c r="CD14" s="27" t="str">
        <f t="shared" si="57"/>
        <v>1001</v>
      </c>
      <c r="CE14" s="27" t="str">
        <f t="shared" si="58"/>
        <v>0000</v>
      </c>
      <c r="CF14" s="27" t="str">
        <f t="shared" si="59"/>
        <v>1010</v>
      </c>
      <c r="CG14" s="27" t="str">
        <f t="shared" si="60"/>
        <v>1010</v>
      </c>
      <c r="CH14" s="27" t="str">
        <f t="shared" si="61"/>
        <v>1101</v>
      </c>
      <c r="CI14" s="77">
        <f>BIN2DEC(CA14)-BIN2DEC(CA15)</f>
        <v>-9</v>
      </c>
      <c r="CJ14" s="77">
        <f t="shared" ref="CJ14:CO14" si="164">BIN2DEC(CB14)-BIN2DEC(CB15)</f>
        <v>0</v>
      </c>
      <c r="CK14" s="77">
        <f t="shared" si="164"/>
        <v>-3</v>
      </c>
      <c r="CL14" s="77">
        <f t="shared" si="164"/>
        <v>3</v>
      </c>
      <c r="CM14" s="77">
        <f t="shared" si="164"/>
        <v>-13</v>
      </c>
      <c r="CN14" s="77">
        <f t="shared" si="164"/>
        <v>7</v>
      </c>
      <c r="CO14" s="77">
        <f t="shared" si="164"/>
        <v>9</v>
      </c>
      <c r="CP14" s="77">
        <f>BIN2DEC(CH14)-BIN2DEC(CH15)</f>
        <v>12</v>
      </c>
      <c r="CQ14" s="26" t="str">
        <f t="shared" si="9"/>
        <v>0010000000100000</v>
      </c>
      <c r="CR14" s="26" t="str">
        <f t="shared" si="10"/>
        <v>0000000000100100</v>
      </c>
      <c r="CS14" s="77">
        <f>MID(CQ14,16,1)*POWER(2,0)+MID(CQ14,15,1)*POWER(2,1)+MID(CQ14,14,1)*POWER(2,2)+MID(CQ14,13,1)*POWER(2,3)+MID(CQ14,12,1)*POWER(2,4)+MID(CQ14,11,1)*POWER(2,5)+MID(CQ14,10,1)*POWER(2,6)+MID(CQ14,9,1)*POWER(2,7)+MID(CQ14,8,1)*POWER(2,8)+MID(CQ14,7,1)*POWER(2,9)+MID(CQ14,6,1)*POWER(2,10)+MID(CQ14,5,1)*POWER(2,11)+MID(CQ14,4,1)*POWER(2,12)+MID(CQ14,3,1)*POWER(2,13)+MID(CQ14,2,1)*POWER(2,14)+MID(CQ14,1,1)*POWER(2,15)-(MID(CQ15,16,1)*POWER(2,0)+MID(CQ15,15,1)*POWER(2,1)+MID(CQ15,14,1)*POWER(2,2)+MID(CQ15,13,1)*POWER(2,3)+MID(CQ15,12,1)*POWER(2,4)+MID(CQ15,11,1)*POWER(2,5)+MID(CQ15,10,1)*POWER(2,6)+MID(CQ15,9,1)*POWER(2,7)+MID(CQ15,8,1)*POWER(2,8)+MID(CQ15,7,1)*POWER(2,9)+MID(CQ15,6,1)*POWER(2,10)+MID(CQ15,5,1)*POWER(2,11)+MID(CQ15,4,1)*POWER(2,12)+MID(CQ15,3,1)*POWER(2,13)+MID(CQ15,2,1)*POWER(2,14)+MID(CQ15,1,1)*POWER(2,15))</f>
        <v>-37174</v>
      </c>
      <c r="CT14" s="77">
        <f>MID(CR14,16,1)*POWER(2,0)+MID(CR14,15,1)*POWER(2,1)+MID(CR14,14,1)*POWER(2,2)+MID(CR14,13,1)*POWER(2,3)+MID(CR14,12,1)*POWER(2,4)+MID(CR14,11,1)*POWER(2,5)+MID(CR14,10,1)*POWER(2,6)+MID(CR14,9,1)*POWER(2,7)+MID(CR14,8,1)*POWER(2,8)+MID(CR14,7,1)*POWER(2,9)+MID(CR14,6,1)*POWER(2,10)+MID(CR14,5,1)*POWER(2,11)+MID(CR14,4,1)*POWER(2,12)+MID(CR14,3,1)*POWER(2,13)+MID(CR14,2,1)*POWER(2,14)+MID(CR14,1,1)*POWER(2,15)-(MID(CR15,16,1)*POWER(2,0)+MID(CR15,15,1)*POWER(2,1)+MID(CR15,14,1)*POWER(2,2)+MID(CR15,13,1)*POWER(2,3)+MID(CR15,12,1)*POWER(2,4)+MID(CR15,11,1)*POWER(2,5)+MID(CR15,10,1)*POWER(2,6)+MID(CR15,9,1)*POWER(2,7)+MID(CR15,8,1)*POWER(2,8)+MID(CR15,7,1)*POWER(2,9)+MID(CR15,6,1)*POWER(2,10)+MID(CR15,5,1)*POWER(2,11)+MID(CR15,4,1)*POWER(2,12)+MID(CR15,3,1)*POWER(2,13)+MID(CR15,2,1)*POWER(2,14)+MID(CR15,1,1)*POWER(2,15))</f>
        <v>-53997</v>
      </c>
      <c r="CU14" s="45" t="str">
        <f>BR14</f>
        <v>00100000001000000000000000100100</v>
      </c>
      <c r="CV14" s="26" t="str">
        <f t="shared" si="62"/>
        <v>00100000</v>
      </c>
      <c r="CW14" s="26" t="str">
        <f t="shared" si="63"/>
        <v>00100000</v>
      </c>
      <c r="CX14" s="26" t="str">
        <f t="shared" si="64"/>
        <v>00000000</v>
      </c>
      <c r="CY14" s="26" t="str">
        <f t="shared" si="65"/>
        <v>00100100</v>
      </c>
      <c r="CZ14" s="77">
        <f>BIN2DEC(CV14)-BIN2DEC(CV15)</f>
        <v>0</v>
      </c>
      <c r="DA14" s="77">
        <f>BIN2DEC(CW14)-BIN2DEC(CW15)</f>
        <v>-36</v>
      </c>
      <c r="DB14" s="77">
        <f>BIN2DEC(CX14)-BIN2DEC(CX15)</f>
        <v>-64</v>
      </c>
      <c r="DC14" s="77">
        <f>BIN2DEC(CY14)-BIN2DEC(CY15)</f>
        <v>36</v>
      </c>
      <c r="DD14" s="27" t="str">
        <f t="shared" si="66"/>
        <v>0010</v>
      </c>
      <c r="DE14" s="27" t="str">
        <f t="shared" si="67"/>
        <v>0001</v>
      </c>
      <c r="DF14" s="27" t="str">
        <f t="shared" si="68"/>
        <v>0010</v>
      </c>
      <c r="DG14" s="27" t="str">
        <f t="shared" si="69"/>
        <v>1001</v>
      </c>
      <c r="DH14" s="27" t="str">
        <f t="shared" si="70"/>
        <v>0000</v>
      </c>
      <c r="DI14" s="27" t="str">
        <f t="shared" si="71"/>
        <v>1010</v>
      </c>
      <c r="DJ14" s="27" t="str">
        <f t="shared" si="72"/>
        <v>1010</v>
      </c>
      <c r="DK14" s="27" t="str">
        <f t="shared" si="73"/>
        <v>1101</v>
      </c>
      <c r="DL14" s="77">
        <f>BIN2DEC(DD14)-BIN2DEC(DD15)</f>
        <v>-9</v>
      </c>
      <c r="DM14" s="77">
        <f t="shared" ref="DM14:DR14" si="165">BIN2DEC(DE14)-BIN2DEC(DE15)</f>
        <v>0</v>
      </c>
      <c r="DN14" s="77">
        <f t="shared" si="165"/>
        <v>-3</v>
      </c>
      <c r="DO14" s="77">
        <f t="shared" si="165"/>
        <v>3</v>
      </c>
      <c r="DP14" s="77">
        <f t="shared" si="165"/>
        <v>-13</v>
      </c>
      <c r="DQ14" s="77">
        <f t="shared" si="165"/>
        <v>7</v>
      </c>
      <c r="DR14" s="77">
        <f t="shared" si="165"/>
        <v>9</v>
      </c>
      <c r="DS14" s="77">
        <f>BIN2DEC(DK14)-BIN2DEC(DK15)</f>
        <v>12</v>
      </c>
      <c r="DT14" s="26" t="str">
        <f t="shared" si="12"/>
        <v>0010000000100000</v>
      </c>
      <c r="DU14" s="26" t="str">
        <f t="shared" si="13"/>
        <v>0000000000100100</v>
      </c>
      <c r="DV14" s="77">
        <f>MID(DT14,16,1)*POWER(2,0)+MID(DT14,15,1)*POWER(2,1)+MID(DT14,14,1)*POWER(2,2)+MID(DT14,13,1)*POWER(2,3)+MID(DT14,12,1)*POWER(2,4)+MID(DT14,11,1)*POWER(2,5)+MID(DT14,10,1)*POWER(2,6)+MID(DT14,9,1)*POWER(2,7)+MID(DT14,8,1)*POWER(2,8)+MID(DT14,7,1)*POWER(2,9)+MID(DT14,6,1)*POWER(2,10)+MID(DT14,5,1)*POWER(2,11)+MID(DT14,4,1)*POWER(2,12)+MID(DT14,3,1)*POWER(2,13)+MID(DT14,2,1)*POWER(2,14)+MID(DT14,1,1)*POWER(2,15)-(MID(DT15,16,1)*POWER(2,0)+MID(DT15,15,1)*POWER(2,1)+MID(DT15,14,1)*POWER(2,2)+MID(DT15,13,1)*POWER(2,3)+MID(DT15,12,1)*POWER(2,4)+MID(DT15,11,1)*POWER(2,5)+MID(DT15,10,1)*POWER(2,6)+MID(DT15,9,1)*POWER(2,7)+MID(DT15,8,1)*POWER(2,8)+MID(DT15,7,1)*POWER(2,9)+MID(DT15,6,1)*POWER(2,10)+MID(DT15,5,1)*POWER(2,11)+MID(DT15,4,1)*POWER(2,12)+MID(DT15,3,1)*POWER(2,13)+MID(DT15,2,1)*POWER(2,14)+MID(DT15,1,1)*POWER(2,15))</f>
        <v>-36</v>
      </c>
      <c r="DW14" s="77">
        <f>MID(DU14,16,1)*POWER(2,0)+MID(DU14,15,1)*POWER(2,1)+MID(DU14,14,1)*POWER(2,2)+MID(DU14,13,1)*POWER(2,3)+MID(DU14,12,1)*POWER(2,4)+MID(DU14,11,1)*POWER(2,5)+MID(DU14,10,1)*POWER(2,6)+MID(DU14,9,1)*POWER(2,7)+MID(DU14,8,1)*POWER(2,8)+MID(DU14,7,1)*POWER(2,9)+MID(DU14,6,1)*POWER(2,10)+MID(DU14,5,1)*POWER(2,11)+MID(DU14,4,1)*POWER(2,12)+MID(DU14,3,1)*POWER(2,13)+MID(DU14,2,1)*POWER(2,14)+MID(DU14,1,1)*POWER(2,15)-(MID(DU15,16,1)*POWER(2,0)+MID(DU15,15,1)*POWER(2,1)+MID(DU15,14,1)*POWER(2,2)+MID(DU15,13,1)*POWER(2,3)+MID(DU15,12,1)*POWER(2,4)+MID(DU15,11,1)*POWER(2,5)+MID(DU15,10,1)*POWER(2,6)+MID(DU15,9,1)*POWER(2,7)+MID(DU15,8,1)*POWER(2,8)+MID(DU15,7,1)*POWER(2,9)+MID(DU15,6,1)*POWER(2,10)+MID(DU15,5,1)*POWER(2,11)+MID(DU15,4,1)*POWER(2,12)+MID(DU15,3,1)*POWER(2,13)+MID(DU15,2,1)*POWER(2,14)+MID(DU15,1,1)*POWER(2,15))</f>
        <v>-16348</v>
      </c>
      <c r="DX14" s="22"/>
      <c r="DY14" s="43" t="str">
        <f>H14</f>
        <v>00100001001010010000101010101101</v>
      </c>
      <c r="DZ14" s="26" t="str">
        <f t="shared" si="122"/>
        <v>00100001</v>
      </c>
      <c r="EA14" s="26" t="str">
        <f t="shared" si="74"/>
        <v>00101001</v>
      </c>
      <c r="EB14" s="26" t="str">
        <f t="shared" si="75"/>
        <v>00001010</v>
      </c>
      <c r="EC14" s="26" t="str">
        <f t="shared" si="76"/>
        <v>10101101</v>
      </c>
      <c r="ED14" s="77">
        <f>BIN2DEC(DZ14)-BIN2DEC(DZ15)</f>
        <v>0</v>
      </c>
      <c r="EE14" s="77">
        <f>BIN2DEC(EA14)-BIN2DEC(EA15)</f>
        <v>39</v>
      </c>
      <c r="EF14" s="77">
        <f>BIN2DEC(EB14)-BIN2DEC(EB15)</f>
        <v>7</v>
      </c>
      <c r="EG14" s="77">
        <f>BIN2DEC(EC14)-BIN2DEC(EC15)</f>
        <v>172</v>
      </c>
      <c r="EH14" s="27" t="str">
        <f t="shared" si="77"/>
        <v>0010</v>
      </c>
      <c r="EI14" s="27" t="str">
        <f t="shared" si="78"/>
        <v>0001</v>
      </c>
      <c r="EJ14" s="27" t="str">
        <f t="shared" si="79"/>
        <v>0010</v>
      </c>
      <c r="EK14" s="27" t="str">
        <f t="shared" si="80"/>
        <v>1001</v>
      </c>
      <c r="EL14" s="27" t="str">
        <f t="shared" si="81"/>
        <v>0000</v>
      </c>
      <c r="EM14" s="27" t="str">
        <f t="shared" si="82"/>
        <v>1010</v>
      </c>
      <c r="EN14" s="27" t="str">
        <f t="shared" si="83"/>
        <v>1010</v>
      </c>
      <c r="EO14" s="27" t="str">
        <f t="shared" si="84"/>
        <v>1101</v>
      </c>
      <c r="EP14" s="77">
        <f>BIN2DEC(EH14)-BIN2DEC(EH15)</f>
        <v>-9</v>
      </c>
      <c r="EQ14" s="77">
        <f t="shared" ref="EQ14:EV14" si="166">BIN2DEC(EI14)-BIN2DEC(EI15)</f>
        <v>0</v>
      </c>
      <c r="ER14" s="77">
        <f t="shared" si="166"/>
        <v>-3</v>
      </c>
      <c r="ES14" s="77">
        <f t="shared" si="166"/>
        <v>3</v>
      </c>
      <c r="ET14" s="77">
        <f t="shared" si="166"/>
        <v>-13</v>
      </c>
      <c r="EU14" s="77">
        <f t="shared" si="166"/>
        <v>7</v>
      </c>
      <c r="EV14" s="77">
        <f t="shared" si="166"/>
        <v>9</v>
      </c>
      <c r="EW14" s="77">
        <f>BIN2DEC(EO14)-BIN2DEC(EO15)</f>
        <v>12</v>
      </c>
      <c r="EX14" s="26" t="str">
        <f t="shared" si="15"/>
        <v>0010000100101001</v>
      </c>
      <c r="EY14" s="26" t="str">
        <f t="shared" si="16"/>
        <v>0000101010101101</v>
      </c>
      <c r="EZ14" s="77">
        <f>MID(EX14,16,1)*POWER(2,0)+MID(EX14,15,1)*POWER(2,1)+MID(EX14,14,1)*POWER(2,2)+MID(EX14,13,1)*POWER(2,3)+MID(EX14,12,1)*POWER(2,4)+MID(EX14,11,1)*POWER(2,5)+MID(EX14,10,1)*POWER(2,6)+MID(EX14,9,1)*POWER(2,7)+MID(EX14,8,1)*POWER(2,8)+MID(EX14,7,1)*POWER(2,9)+MID(EX14,6,1)*POWER(2,10)+MID(EX14,5,1)*POWER(2,11)+MID(EX14,4,1)*POWER(2,12)+MID(EX14,3,1)*POWER(2,13)+MID(EX14,2,1)*POWER(2,14)+MID(EX14,1,1)*POWER(2,15)-(MID(EX15,16,1)*POWER(2,0)+MID(EX15,15,1)*POWER(2,1)+MID(EX15,14,1)*POWER(2,2)+MID(EX15,13,1)*POWER(2,3)+MID(EX15,12,1)*POWER(2,4)+MID(EX15,11,1)*POWER(2,5)+MID(EX15,10,1)*POWER(2,6)+MID(EX15,9,1)*POWER(2,7)+MID(EX15,8,1)*POWER(2,8)+MID(EX15,7,1)*POWER(2,9)+MID(EX15,6,1)*POWER(2,10)+MID(EX15,5,1)*POWER(2,11)+MID(EX15,4,1)*POWER(2,12)+MID(EX15,3,1)*POWER(2,13)+MID(EX15,2,1)*POWER(2,14)+MID(EX15,1,1)*POWER(2,15))</f>
        <v>39</v>
      </c>
      <c r="FA14" s="77">
        <f>MID(EY14,16,1)*POWER(2,0)+MID(EY14,15,1)*POWER(2,1)+MID(EY14,14,1)*POWER(2,2)+MID(EY14,13,1)*POWER(2,3)+MID(EY14,12,1)*POWER(2,4)+MID(EY14,11,1)*POWER(2,5)+MID(EY14,10,1)*POWER(2,6)+MID(EY14,9,1)*POWER(2,7)+MID(EY14,8,1)*POWER(2,8)+MID(EY14,7,1)*POWER(2,9)+MID(EY14,6,1)*POWER(2,10)+MID(EY14,5,1)*POWER(2,11)+MID(EY14,4,1)*POWER(2,12)+MID(EY14,3,1)*POWER(2,13)+MID(EY14,2,1)*POWER(2,14)+MID(EY14,1,1)*POWER(2,15)-(MID(EY15,16,1)*POWER(2,0)+MID(EY15,15,1)*POWER(2,1)+MID(EY15,14,1)*POWER(2,2)+MID(EY15,13,1)*POWER(2,3)+MID(EY15,12,1)*POWER(2,4)+MID(EY15,11,1)*POWER(2,5)+MID(EY15,10,1)*POWER(2,6)+MID(EY15,9,1)*POWER(2,7)+MID(EY15,8,1)*POWER(2,8)+MID(EY15,7,1)*POWER(2,9)+MID(EY15,6,1)*POWER(2,10)+MID(EY15,5,1)*POWER(2,11)+MID(EY15,4,1)*POWER(2,12)+MID(EY15,3,1)*POWER(2,13)+MID(EY15,2,1)*POWER(2,14)+MID(EY15,1,1)*POWER(2,15))</f>
        <v>1964</v>
      </c>
      <c r="FB14" s="45" t="str">
        <f>H14</f>
        <v>00100001001010010000101010101101</v>
      </c>
      <c r="FC14" s="26" t="str">
        <f t="shared" si="124"/>
        <v>00100001</v>
      </c>
      <c r="FD14" s="26" t="str">
        <f t="shared" si="85"/>
        <v>00101001</v>
      </c>
      <c r="FE14" s="26" t="str">
        <f t="shared" si="86"/>
        <v>00001010</v>
      </c>
      <c r="FF14" s="26" t="str">
        <f t="shared" si="87"/>
        <v>10101101</v>
      </c>
      <c r="FG14" s="77">
        <f>BIN2DEC(FC14)-BIN2DEC(FC15)</f>
        <v>1</v>
      </c>
      <c r="FH14" s="77">
        <f>BIN2DEC(FD14)-BIN2DEC(FD15)</f>
        <v>41</v>
      </c>
      <c r="FI14" s="77">
        <f>BIN2DEC(FE14)-BIN2DEC(FE15)</f>
        <v>10</v>
      </c>
      <c r="FJ14" s="77">
        <f>BIN2DEC(FF14)-BIN2DEC(FF15)</f>
        <v>173</v>
      </c>
      <c r="FK14" s="27" t="str">
        <f t="shared" si="88"/>
        <v>0010</v>
      </c>
      <c r="FL14" s="27" t="str">
        <f t="shared" si="89"/>
        <v>0001</v>
      </c>
      <c r="FM14" s="27" t="str">
        <f t="shared" si="90"/>
        <v>0010</v>
      </c>
      <c r="FN14" s="27" t="str">
        <f t="shared" si="91"/>
        <v>1001</v>
      </c>
      <c r="FO14" s="27" t="str">
        <f t="shared" si="92"/>
        <v>0000</v>
      </c>
      <c r="FP14" s="27" t="str">
        <f t="shared" si="93"/>
        <v>1010</v>
      </c>
      <c r="FQ14" s="27" t="str">
        <f t="shared" si="94"/>
        <v>1010</v>
      </c>
      <c r="FR14" s="27" t="str">
        <f t="shared" si="95"/>
        <v>1101</v>
      </c>
      <c r="FS14" s="77">
        <f>BIN2DEC(FK14)-BIN2DEC(FK15)</f>
        <v>-9</v>
      </c>
      <c r="FT14" s="77">
        <f t="shared" ref="FT14:FY14" si="167">BIN2DEC(FL14)-BIN2DEC(FL15)</f>
        <v>0</v>
      </c>
      <c r="FU14" s="77">
        <f t="shared" si="167"/>
        <v>-3</v>
      </c>
      <c r="FV14" s="77">
        <f t="shared" si="167"/>
        <v>3</v>
      </c>
      <c r="FW14" s="77">
        <f t="shared" si="167"/>
        <v>-13</v>
      </c>
      <c r="FX14" s="77">
        <f t="shared" si="167"/>
        <v>7</v>
      </c>
      <c r="FY14" s="77">
        <f t="shared" si="167"/>
        <v>9</v>
      </c>
      <c r="FZ14" s="77">
        <f>BIN2DEC(FR14)-BIN2DEC(FR15)</f>
        <v>12</v>
      </c>
      <c r="GA14" s="26" t="str">
        <f t="shared" si="18"/>
        <v>0010000100101001</v>
      </c>
      <c r="GB14" s="26" t="str">
        <f t="shared" si="19"/>
        <v>0000101010101101</v>
      </c>
      <c r="GC14" s="77">
        <f>MID(GA14,16,1)*POWER(2,0)+MID(GA14,15,1)*POWER(2,1)+MID(GA14,14,1)*POWER(2,2)+MID(GA14,13,1)*POWER(2,3)+MID(GA14,12,1)*POWER(2,4)+MID(GA14,11,1)*POWER(2,5)+MID(GA14,10,1)*POWER(2,6)+MID(GA14,9,1)*POWER(2,7)+MID(GA14,8,1)*POWER(2,8)+MID(GA14,7,1)*POWER(2,9)+MID(GA14,6,1)*POWER(2,10)+MID(GA14,5,1)*POWER(2,11)+MID(GA14,4,1)*POWER(2,12)+MID(GA14,3,1)*POWER(2,13)+MID(GA14,2,1)*POWER(2,14)+MID(GA14,1,1)*POWER(2,15)-(MID(GA15,16,1)*POWER(2,0)+MID(GA15,15,1)*POWER(2,1)+MID(GA15,14,1)*POWER(2,2)+MID(GA15,13,1)*POWER(2,3)+MID(GA15,12,1)*POWER(2,4)+MID(GA15,11,1)*POWER(2,5)+MID(GA15,10,1)*POWER(2,6)+MID(GA15,9,1)*POWER(2,7)+MID(GA15,8,1)*POWER(2,8)+MID(GA15,7,1)*POWER(2,9)+MID(GA15,6,1)*POWER(2,10)+MID(GA15,5,1)*POWER(2,11)+MID(GA15,4,1)*POWER(2,12)+MID(GA15,3,1)*POWER(2,13)+MID(GA15,2,1)*POWER(2,14)+MID(GA15,1,1)*POWER(2,15))</f>
        <v>297</v>
      </c>
      <c r="GD14" s="77">
        <f>MID(GB14,16,1)*POWER(2,0)+MID(GB14,15,1)*POWER(2,1)+MID(GB14,14,1)*POWER(2,2)+MID(GB14,13,1)*POWER(2,3)+MID(GB14,12,1)*POWER(2,4)+MID(GB14,11,1)*POWER(2,5)+MID(GB14,10,1)*POWER(2,6)+MID(GB14,9,1)*POWER(2,7)+MID(GB14,8,1)*POWER(2,8)+MID(GB14,7,1)*POWER(2,9)+MID(GB14,6,1)*POWER(2,10)+MID(GB14,5,1)*POWER(2,11)+MID(GB14,4,1)*POWER(2,12)+MID(GB14,3,1)*POWER(2,13)+MID(GB14,2,1)*POWER(2,14)+MID(GB14,1,1)*POWER(2,15)-(MID(GB15,16,1)*POWER(2,0)+MID(GB15,15,1)*POWER(2,1)+MID(GB15,14,1)*POWER(2,2)+MID(GB15,13,1)*POWER(2,3)+MID(GB15,12,1)*POWER(2,4)+MID(GB15,11,1)*POWER(2,5)+MID(GB15,10,1)*POWER(2,6)+MID(GB15,9,1)*POWER(2,7)+MID(GB15,8,1)*POWER(2,8)+MID(GB15,7,1)*POWER(2,9)+MID(GB15,6,1)*POWER(2,10)+MID(GB15,5,1)*POWER(2,11)+MID(GB15,4,1)*POWER(2,12)+MID(GB15,3,1)*POWER(2,13)+MID(GB15,2,1)*POWER(2,14)+MID(GB15,1,1)*POWER(2,15))</f>
        <v>2733</v>
      </c>
      <c r="GE14" s="47" t="str">
        <f>CU14</f>
        <v>00100000001000000000000000100100</v>
      </c>
      <c r="GF14" s="26" t="str">
        <f t="shared" si="126"/>
        <v>00100000</v>
      </c>
      <c r="GG14" s="26" t="str">
        <f t="shared" si="96"/>
        <v>00100000</v>
      </c>
      <c r="GH14" s="26" t="str">
        <f t="shared" si="97"/>
        <v>00000000</v>
      </c>
      <c r="GI14" s="26" t="str">
        <f t="shared" si="98"/>
        <v>00100100</v>
      </c>
      <c r="GJ14" s="77">
        <f>BIN2DEC(GF14)-BIN2DEC(GF15)</f>
        <v>-1</v>
      </c>
      <c r="GK14" s="77">
        <f>BIN2DEC(GG14)-BIN2DEC(GG15)</f>
        <v>30</v>
      </c>
      <c r="GL14" s="77">
        <f>BIN2DEC(GH14)-BIN2DEC(GH15)</f>
        <v>-3</v>
      </c>
      <c r="GM14" s="77">
        <f>BIN2DEC(GI14)-BIN2DEC(GI15)</f>
        <v>35</v>
      </c>
      <c r="GN14" s="27" t="str">
        <f t="shared" si="99"/>
        <v>0010</v>
      </c>
      <c r="GO14" s="27" t="str">
        <f t="shared" si="100"/>
        <v>0001</v>
      </c>
      <c r="GP14" s="27" t="str">
        <f t="shared" si="101"/>
        <v>0010</v>
      </c>
      <c r="GQ14" s="27" t="str">
        <f t="shared" si="102"/>
        <v>1001</v>
      </c>
      <c r="GR14" s="27" t="str">
        <f t="shared" si="103"/>
        <v>0000</v>
      </c>
      <c r="GS14" s="27" t="str">
        <f t="shared" si="104"/>
        <v>1010</v>
      </c>
      <c r="GT14" s="27" t="str">
        <f t="shared" si="105"/>
        <v>1010</v>
      </c>
      <c r="GU14" s="27" t="str">
        <f t="shared" si="106"/>
        <v>1101</v>
      </c>
      <c r="GV14" s="77">
        <f>BIN2DEC(GN14)-BIN2DEC(GN15)</f>
        <v>-9</v>
      </c>
      <c r="GW14" s="77">
        <f t="shared" ref="GW14:HB14" si="168">BIN2DEC(GO14)-BIN2DEC(GO15)</f>
        <v>0</v>
      </c>
      <c r="GX14" s="77">
        <f t="shared" si="168"/>
        <v>-3</v>
      </c>
      <c r="GY14" s="77">
        <f t="shared" si="168"/>
        <v>3</v>
      </c>
      <c r="GZ14" s="77">
        <f t="shared" si="168"/>
        <v>-13</v>
      </c>
      <c r="HA14" s="77">
        <f t="shared" si="168"/>
        <v>7</v>
      </c>
      <c r="HB14" s="77">
        <f t="shared" si="168"/>
        <v>9</v>
      </c>
      <c r="HC14" s="77">
        <f>BIN2DEC(GU14)-BIN2DEC(GU15)</f>
        <v>12</v>
      </c>
      <c r="HD14" s="26" t="str">
        <f t="shared" si="21"/>
        <v>0010000000100000</v>
      </c>
      <c r="HE14" s="26" t="str">
        <f t="shared" si="22"/>
        <v>0000000000100100</v>
      </c>
      <c r="HF14" s="77">
        <f>MID(HD14,16,1)*POWER(2,0)+MID(HD14,15,1)*POWER(2,1)+MID(HD14,14,1)*POWER(2,2)+MID(HD14,13,1)*POWER(2,3)+MID(HD14,12,1)*POWER(2,4)+MID(HD14,11,1)*POWER(2,5)+MID(HD14,10,1)*POWER(2,6)+MID(HD14,9,1)*POWER(2,7)+MID(HD14,8,1)*POWER(2,8)+MID(HD14,7,1)*POWER(2,9)+MID(HD14,6,1)*POWER(2,10)+MID(HD14,5,1)*POWER(2,11)+MID(HD14,4,1)*POWER(2,12)+MID(HD14,3,1)*POWER(2,13)+MID(HD14,2,1)*POWER(2,14)+MID(HD14,1,1)*POWER(2,15)-(MID(HD15,16,1)*POWER(2,0)+MID(HD15,15,1)*POWER(2,1)+MID(HD15,14,1)*POWER(2,2)+MID(HD15,13,1)*POWER(2,3)+MID(HD15,12,1)*POWER(2,4)+MID(HD15,11,1)*POWER(2,5)+MID(HD15,10,1)*POWER(2,6)+MID(HD15,9,1)*POWER(2,7)+MID(HD15,8,1)*POWER(2,8)+MID(HD15,7,1)*POWER(2,9)+MID(HD15,6,1)*POWER(2,10)+MID(HD15,5,1)*POWER(2,11)+MID(HD15,4,1)*POWER(2,12)+MID(HD15,3,1)*POWER(2,13)+MID(HD15,2,1)*POWER(2,14)+MID(HD15,1,1)*POWER(2,15))</f>
        <v>-226</v>
      </c>
      <c r="HG14" s="77">
        <f>MID(HE14,16,1)*POWER(2,0)+MID(HE14,15,1)*POWER(2,1)+MID(HE14,14,1)*POWER(2,2)+MID(HE14,13,1)*POWER(2,3)+MID(HE14,12,1)*POWER(2,4)+MID(HE14,11,1)*POWER(2,5)+MID(HE14,10,1)*POWER(2,6)+MID(HE14,9,1)*POWER(2,7)+MID(HE14,8,1)*POWER(2,8)+MID(HE14,7,1)*POWER(2,9)+MID(HE14,6,1)*POWER(2,10)+MID(HE14,5,1)*POWER(2,11)+MID(HE14,4,1)*POWER(2,12)+MID(HE14,3,1)*POWER(2,13)+MID(HE14,2,1)*POWER(2,14)+MID(HE14,1,1)*POWER(2,15)-(MID(HE15,16,1)*POWER(2,0)+MID(HE15,15,1)*POWER(2,1)+MID(HE15,14,1)*POWER(2,2)+MID(HE15,13,1)*POWER(2,3)+MID(HE15,12,1)*POWER(2,4)+MID(HE15,11,1)*POWER(2,5)+MID(HE15,10,1)*POWER(2,6)+MID(HE15,9,1)*POWER(2,7)+MID(HE15,8,1)*POWER(2,8)+MID(HE15,7,1)*POWER(2,9)+MID(HE15,6,1)*POWER(2,10)+MID(HE15,5,1)*POWER(2,11)+MID(HE15,4,1)*POWER(2,12)+MID(HE15,3,1)*POWER(2,13)+MID(HE15,2,1)*POWER(2,14)+MID(HE15,1,1)*POWER(2,15))</f>
        <v>-733</v>
      </c>
      <c r="HH14" s="45" t="str">
        <f>GE14</f>
        <v>00100000001000000000000000100100</v>
      </c>
      <c r="HI14" s="26" t="str">
        <f t="shared" si="128"/>
        <v>00100000</v>
      </c>
      <c r="HJ14" s="26" t="str">
        <f t="shared" si="107"/>
        <v>00100000</v>
      </c>
      <c r="HK14" s="26" t="str">
        <f t="shared" si="108"/>
        <v>00000000</v>
      </c>
      <c r="HL14" s="26" t="str">
        <f t="shared" si="109"/>
        <v>00100100</v>
      </c>
      <c r="HM14" s="77">
        <f>BIN2DEC(HI14)-BIN2DEC(HI15)</f>
        <v>0</v>
      </c>
      <c r="HN14" s="77">
        <f>BIN2DEC(HJ14)-BIN2DEC(HJ15)</f>
        <v>32</v>
      </c>
      <c r="HO14" s="77">
        <f>BIN2DEC(HK14)-BIN2DEC(HK15)</f>
        <v>0</v>
      </c>
      <c r="HP14" s="77">
        <f>BIN2DEC(HL14)-BIN2DEC(HL15)</f>
        <v>36</v>
      </c>
      <c r="HQ14" s="27" t="str">
        <f t="shared" si="110"/>
        <v>0010</v>
      </c>
      <c r="HR14" s="27" t="str">
        <f t="shared" si="111"/>
        <v>0001</v>
      </c>
      <c r="HS14" s="27" t="str">
        <f t="shared" si="112"/>
        <v>0010</v>
      </c>
      <c r="HT14" s="27" t="str">
        <f t="shared" si="113"/>
        <v>1001</v>
      </c>
      <c r="HU14" s="27" t="str">
        <f t="shared" si="114"/>
        <v>0000</v>
      </c>
      <c r="HV14" s="27" t="str">
        <f t="shared" si="115"/>
        <v>1010</v>
      </c>
      <c r="HW14" s="27" t="str">
        <f t="shared" si="116"/>
        <v>1010</v>
      </c>
      <c r="HX14" s="27" t="str">
        <f t="shared" si="117"/>
        <v>1101</v>
      </c>
      <c r="HY14" s="77">
        <f>BIN2DEC(HQ14)-BIN2DEC(HQ15)</f>
        <v>-9</v>
      </c>
      <c r="HZ14" s="77">
        <f t="shared" ref="HZ14:IE14" si="169">BIN2DEC(HR14)-BIN2DEC(HR15)</f>
        <v>0</v>
      </c>
      <c r="IA14" s="77">
        <f t="shared" si="169"/>
        <v>-3</v>
      </c>
      <c r="IB14" s="77">
        <f t="shared" si="169"/>
        <v>3</v>
      </c>
      <c r="IC14" s="77">
        <f t="shared" si="169"/>
        <v>-13</v>
      </c>
      <c r="ID14" s="77">
        <f t="shared" si="169"/>
        <v>7</v>
      </c>
      <c r="IE14" s="77">
        <f t="shared" si="169"/>
        <v>9</v>
      </c>
      <c r="IF14" s="77">
        <f>BIN2DEC(HX14)-BIN2DEC(HX15)</f>
        <v>12</v>
      </c>
      <c r="IG14" s="26" t="str">
        <f t="shared" si="24"/>
        <v>0010000000100000</v>
      </c>
      <c r="IH14" s="26" t="str">
        <f t="shared" si="25"/>
        <v>0000000000100100</v>
      </c>
      <c r="II14" s="77">
        <f>MID(IG14,16,1)*POWER(2,0)+MID(IG14,15,1)*POWER(2,1)+MID(IG14,14,1)*POWER(2,2)+MID(IG14,13,1)*POWER(2,3)+MID(IG14,12,1)*POWER(2,4)+MID(IG14,11,1)*POWER(2,5)+MID(IG14,10,1)*POWER(2,6)+MID(IG14,9,1)*POWER(2,7)+MID(IG14,8,1)*POWER(2,8)+MID(IG14,7,1)*POWER(2,9)+MID(IG14,6,1)*POWER(2,10)+MID(IG14,5,1)*POWER(2,11)+MID(IG14,4,1)*POWER(2,12)+MID(IG14,3,1)*POWER(2,13)+MID(IG14,2,1)*POWER(2,14)+MID(IG14,1,1)*POWER(2,15)-(MID(IG15,16,1)*POWER(2,0)+MID(IG15,15,1)*POWER(2,1)+MID(IG15,14,1)*POWER(2,2)+MID(IG15,13,1)*POWER(2,3)+MID(IG15,12,1)*POWER(2,4)+MID(IG15,11,1)*POWER(2,5)+MID(IG15,10,1)*POWER(2,6)+MID(IG15,9,1)*POWER(2,7)+MID(IG15,8,1)*POWER(2,8)+MID(IG15,7,1)*POWER(2,9)+MID(IG15,6,1)*POWER(2,10)+MID(IG15,5,1)*POWER(2,11)+MID(IG15,4,1)*POWER(2,12)+MID(IG15,3,1)*POWER(2,13)+MID(IG15,2,1)*POWER(2,14)+MID(IG15,1,1)*POWER(2,15))</f>
        <v>32</v>
      </c>
      <c r="IJ14" s="77">
        <f>MID(IH14,16,1)*POWER(2,0)+MID(IH14,15,1)*POWER(2,1)+MID(IH14,14,1)*POWER(2,2)+MID(IH14,13,1)*POWER(2,3)+MID(IH14,12,1)*POWER(2,4)+MID(IH14,11,1)*POWER(2,5)+MID(IH14,10,1)*POWER(2,6)+MID(IH14,9,1)*POWER(2,7)+MID(IH14,8,1)*POWER(2,8)+MID(IH14,7,1)*POWER(2,9)+MID(IH14,6,1)*POWER(2,10)+MID(IH14,5,1)*POWER(2,11)+MID(IH14,4,1)*POWER(2,12)+MID(IH14,3,1)*POWER(2,13)+MID(IH14,2,1)*POWER(2,14)+MID(IH14,1,1)*POWER(2,15)-(MID(IH15,16,1)*POWER(2,0)+MID(IH15,15,1)*POWER(2,1)+MID(IH15,14,1)*POWER(2,2)+MID(IH15,13,1)*POWER(2,3)+MID(IH15,12,1)*POWER(2,4)+MID(IH15,11,1)*POWER(2,5)+MID(IH15,10,1)*POWER(2,6)+MID(IH15,9,1)*POWER(2,7)+MID(IH15,8,1)*POWER(2,8)+MID(IH15,7,1)*POWER(2,9)+MID(IH15,6,1)*POWER(2,10)+MID(IH15,5,1)*POWER(2,11)+MID(IH15,4,1)*POWER(2,12)+MID(IH15,3,1)*POWER(2,13)+MID(IH15,2,1)*POWER(2,14)+MID(IH15,1,1)*POWER(2,15))</f>
        <v>36</v>
      </c>
      <c r="IL14" s="26"/>
      <c r="IM14" s="26"/>
      <c r="IN14" s="26"/>
      <c r="IO14" s="26"/>
      <c r="IP14" s="22"/>
      <c r="IQ14" s="22"/>
      <c r="IR14" s="22"/>
      <c r="IS14" s="22"/>
      <c r="JB14" s="22"/>
      <c r="JC14" s="22"/>
      <c r="JD14" s="22"/>
      <c r="JE14" s="22"/>
      <c r="JF14" s="22"/>
      <c r="JG14" s="22"/>
      <c r="JH14" s="22"/>
      <c r="JI14" s="22"/>
      <c r="JJ14" s="26"/>
      <c r="JK14" s="26"/>
      <c r="JL14" s="22"/>
      <c r="JM14" s="22"/>
    </row>
    <row r="15" spans="1:273" s="31" customFormat="1" ht="18.600000000000001" thickBot="1" x14ac:dyDescent="0.4">
      <c r="A15" s="28"/>
      <c r="B15" s="29"/>
      <c r="C15" s="21" t="s">
        <v>6</v>
      </c>
      <c r="D15" s="21" t="s">
        <v>115</v>
      </c>
      <c r="E15" s="21">
        <v>22</v>
      </c>
      <c r="F15" s="21" t="s">
        <v>35</v>
      </c>
      <c r="G15" s="21" t="s">
        <v>59</v>
      </c>
      <c r="H15" s="21" t="str">
        <f t="shared" si="0"/>
        <v>00111010001000101101011001101010</v>
      </c>
      <c r="I15" s="21">
        <f t="shared" si="1"/>
        <v>15</v>
      </c>
      <c r="J15" s="21"/>
      <c r="K15" s="21"/>
      <c r="L15" s="44" t="str">
        <f>CONCATENATE(MID(H15,20,5),MID(H15,9,3),MID(H15,28,5),MID(H15,17,3),MID(H15,4,5),MID(H15,25,3),MID(H15,12,5),MID(H15,1,3))</f>
        <v>10110001010101101101001100010001</v>
      </c>
      <c r="M15" s="30" t="str">
        <f t="shared" si="26"/>
        <v>10110001</v>
      </c>
      <c r="N15" s="30" t="str">
        <f t="shared" si="27"/>
        <v>01010110</v>
      </c>
      <c r="O15" s="30" t="str">
        <f t="shared" si="28"/>
        <v>11010011</v>
      </c>
      <c r="P15" s="30" t="str">
        <f t="shared" si="29"/>
        <v>00010001</v>
      </c>
      <c r="Q15" s="78"/>
      <c r="R15" s="78"/>
      <c r="S15" s="78"/>
      <c r="T15" s="78"/>
      <c r="U15" s="31" t="str">
        <f t="shared" si="30"/>
        <v>1011</v>
      </c>
      <c r="V15" s="31" t="str">
        <f t="shared" si="31"/>
        <v>0001</v>
      </c>
      <c r="W15" s="31" t="str">
        <f t="shared" si="32"/>
        <v>0101</v>
      </c>
      <c r="X15" s="31" t="str">
        <f t="shared" si="33"/>
        <v>0110</v>
      </c>
      <c r="Y15" s="31" t="str">
        <f t="shared" si="34"/>
        <v>1101</v>
      </c>
      <c r="Z15" s="31" t="str">
        <f t="shared" si="35"/>
        <v>0011</v>
      </c>
      <c r="AA15" s="31" t="str">
        <f t="shared" si="36"/>
        <v>0001</v>
      </c>
      <c r="AB15" s="31" t="str">
        <f t="shared" si="37"/>
        <v>0001</v>
      </c>
      <c r="AC15" s="78"/>
      <c r="AD15" s="78"/>
      <c r="AE15" s="78"/>
      <c r="AF15" s="78"/>
      <c r="AG15" s="78"/>
      <c r="AH15" s="78"/>
      <c r="AI15" s="78"/>
      <c r="AJ15" s="78"/>
      <c r="AK15" s="30" t="str">
        <f t="shared" si="3"/>
        <v>1011000101010110</v>
      </c>
      <c r="AL15" s="30" t="str">
        <f t="shared" si="4"/>
        <v>1101001100010001</v>
      </c>
      <c r="AM15" s="78"/>
      <c r="AN15" s="78"/>
      <c r="AO15" s="46" t="str">
        <f>CONCATENATE(MID($L15,1,1)*MID($K14,1,1),MID($L15,2,1)*MID($K14,2,1),MID($L15,3,1)*MID($K14,3,1),MID($L15,4,1)*MID($K14,4,1),MID($L15,5,1)*MID($K14,5,1),MID($L15,6,1)*MID($K14,6,1),MID($L15,7,1)*MID($K14,7,1),MID($L15,8,1)*MID($K14,8,1),MID($L15,9,1)*MID($K14,1,1),MID($L15,10,1)*MID($K14,2,1),MID($L15,11,1)*MID($K14,3,1),MID($L15,12,1)*MID($K14,4,1),MID($L15,13,1)*MID($K14,5,1),MID($L15,14,1)*MID($K14,6,1),MID($L15,15,1)*MID($K14,7,1),MID($L15,16,1)*MID($K14,8,1),MID($L15,17,1)*MID($K14,1,1),MID($L15,18,1)*MID($K14,2,1),MID($L15,19,1)*MID($K14,3,1),MID($L15,20,1)*MID($K14,4,1),MID($L15,21,1)*MID($K14,5,1),MID($L15,22,1)*MID($K14,6,1),MID($L15,23,1)*MID($K14,7,1),MID($L15,24,1)*MID($K14,8,1),MID($L15,25,1)*MID($K14,1,1),MID($L15,26,1)*MID($K14,2,1),MID($L15,27,1)*MID($K14,3,1),MID($L15,28,1)*MID($K14,4,1),MID($L15,29,1)*MID($K14,5,1),MID($L15,30,1)*MID($K14,6,1),MID($L15,31,1)*MID($K14,7,1),MID($L15,32,1)*MID($K14,8,1))</f>
        <v>00100000010001000100000000000000</v>
      </c>
      <c r="AP15" s="30" t="str">
        <f t="shared" si="38"/>
        <v>00100000</v>
      </c>
      <c r="AQ15" s="30" t="str">
        <f t="shared" si="39"/>
        <v>01000100</v>
      </c>
      <c r="AR15" s="30" t="str">
        <f t="shared" si="40"/>
        <v>01000000</v>
      </c>
      <c r="AS15" s="30" t="str">
        <f t="shared" si="41"/>
        <v>00000000</v>
      </c>
      <c r="AT15" s="78"/>
      <c r="AU15" s="78"/>
      <c r="AV15" s="78"/>
      <c r="AW15" s="78"/>
      <c r="AX15" s="31" t="str">
        <f t="shared" si="42"/>
        <v>1011</v>
      </c>
      <c r="AY15" s="31" t="str">
        <f t="shared" si="43"/>
        <v>0001</v>
      </c>
      <c r="AZ15" s="31" t="str">
        <f t="shared" si="44"/>
        <v>0101</v>
      </c>
      <c r="BA15" s="31" t="str">
        <f t="shared" si="45"/>
        <v>0110</v>
      </c>
      <c r="BB15" s="31" t="str">
        <f t="shared" si="46"/>
        <v>1101</v>
      </c>
      <c r="BC15" s="31" t="str">
        <f t="shared" si="47"/>
        <v>0011</v>
      </c>
      <c r="BD15" s="31" t="str">
        <f t="shared" si="48"/>
        <v>0001</v>
      </c>
      <c r="BE15" s="31" t="str">
        <f t="shared" si="49"/>
        <v>0001</v>
      </c>
      <c r="BF15" s="78"/>
      <c r="BG15" s="78"/>
      <c r="BH15" s="78"/>
      <c r="BI15" s="78"/>
      <c r="BJ15" s="78"/>
      <c r="BK15" s="78"/>
      <c r="BL15" s="78"/>
      <c r="BM15" s="78"/>
      <c r="BN15" s="30" t="str">
        <f t="shared" si="6"/>
        <v>0010000001000100</v>
      </c>
      <c r="BO15" s="30" t="str">
        <f t="shared" si="7"/>
        <v>0100000000000000</v>
      </c>
      <c r="BP15" s="78"/>
      <c r="BQ15" s="78"/>
      <c r="BR15" s="46" t="str">
        <f>L15</f>
        <v>10110001010101101101001100010001</v>
      </c>
      <c r="BS15" s="30" t="str">
        <f t="shared" si="50"/>
        <v>10110001</v>
      </c>
      <c r="BT15" s="30" t="str">
        <f t="shared" si="51"/>
        <v>01010110</v>
      </c>
      <c r="BU15" s="30" t="str">
        <f t="shared" si="52"/>
        <v>11010011</v>
      </c>
      <c r="BV15" s="30" t="str">
        <f t="shared" si="53"/>
        <v>00010001</v>
      </c>
      <c r="BW15" s="78"/>
      <c r="BX15" s="78"/>
      <c r="BY15" s="78"/>
      <c r="BZ15" s="78"/>
      <c r="CA15" s="31" t="str">
        <f t="shared" si="54"/>
        <v>1011</v>
      </c>
      <c r="CB15" s="31" t="str">
        <f t="shared" si="55"/>
        <v>0001</v>
      </c>
      <c r="CC15" s="31" t="str">
        <f t="shared" si="56"/>
        <v>0101</v>
      </c>
      <c r="CD15" s="31" t="str">
        <f t="shared" si="57"/>
        <v>0110</v>
      </c>
      <c r="CE15" s="31" t="str">
        <f t="shared" si="58"/>
        <v>1101</v>
      </c>
      <c r="CF15" s="31" t="str">
        <f t="shared" si="59"/>
        <v>0011</v>
      </c>
      <c r="CG15" s="31" t="str">
        <f t="shared" si="60"/>
        <v>0001</v>
      </c>
      <c r="CH15" s="31" t="str">
        <f t="shared" si="61"/>
        <v>0001</v>
      </c>
      <c r="CI15" s="78"/>
      <c r="CJ15" s="78"/>
      <c r="CK15" s="78"/>
      <c r="CL15" s="78"/>
      <c r="CM15" s="78"/>
      <c r="CN15" s="78"/>
      <c r="CO15" s="78"/>
      <c r="CP15" s="78"/>
      <c r="CQ15" s="30" t="str">
        <f t="shared" si="9"/>
        <v>1011000101010110</v>
      </c>
      <c r="CR15" s="30" t="str">
        <f t="shared" si="10"/>
        <v>1101001100010001</v>
      </c>
      <c r="CS15" s="78"/>
      <c r="CT15" s="78"/>
      <c r="CU15" s="46" t="str">
        <f>AO15</f>
        <v>00100000010001000100000000000000</v>
      </c>
      <c r="CV15" s="30" t="str">
        <f t="shared" si="62"/>
        <v>00100000</v>
      </c>
      <c r="CW15" s="30" t="str">
        <f t="shared" si="63"/>
        <v>01000100</v>
      </c>
      <c r="CX15" s="30" t="str">
        <f t="shared" si="64"/>
        <v>01000000</v>
      </c>
      <c r="CY15" s="30" t="str">
        <f t="shared" si="65"/>
        <v>00000000</v>
      </c>
      <c r="CZ15" s="78"/>
      <c r="DA15" s="78"/>
      <c r="DB15" s="78"/>
      <c r="DC15" s="78"/>
      <c r="DD15" s="31" t="str">
        <f t="shared" si="66"/>
        <v>1011</v>
      </c>
      <c r="DE15" s="31" t="str">
        <f t="shared" si="67"/>
        <v>0001</v>
      </c>
      <c r="DF15" s="31" t="str">
        <f t="shared" si="68"/>
        <v>0101</v>
      </c>
      <c r="DG15" s="31" t="str">
        <f t="shared" si="69"/>
        <v>0110</v>
      </c>
      <c r="DH15" s="31" t="str">
        <f t="shared" si="70"/>
        <v>1101</v>
      </c>
      <c r="DI15" s="31" t="str">
        <f t="shared" si="71"/>
        <v>0011</v>
      </c>
      <c r="DJ15" s="31" t="str">
        <f t="shared" si="72"/>
        <v>0001</v>
      </c>
      <c r="DK15" s="31" t="str">
        <f t="shared" si="73"/>
        <v>0001</v>
      </c>
      <c r="DL15" s="78"/>
      <c r="DM15" s="78"/>
      <c r="DN15" s="78"/>
      <c r="DO15" s="78"/>
      <c r="DP15" s="78"/>
      <c r="DQ15" s="78"/>
      <c r="DR15" s="78"/>
      <c r="DS15" s="78"/>
      <c r="DT15" s="30" t="str">
        <f t="shared" si="12"/>
        <v>0010000001000100</v>
      </c>
      <c r="DU15" s="30" t="str">
        <f t="shared" si="13"/>
        <v>0100000000000000</v>
      </c>
      <c r="DV15" s="78"/>
      <c r="DW15" s="78"/>
      <c r="DX15" s="23" t="str">
        <f>CONCATENATE(MID($H15,1,1)*MID($K14,1,1),MID($H15,2,1)*MID($K14,2,1),MID($H15,3,1)*MID($K14,3,1),MID($H15,4,1)*MID($K14,4,1),MID($H15,5,1)*MID($K14,5,1),MID($H15,6,1)*MID($K14,6,1),MID($H15,7,1)*MID($K14,7,1),MID($H15,8,1)*MID($K14,8,1),MID($H15,9,1)*MID($K14,1,1),MID($H15,10,1)*MID($K14,2,1),MID($H15,11,1)*MID($K14,3,1),MID($H15,12,1)*MID($K14,4,1),MID($H15,13,1)*MID($K14,5,1),MID($H15,14,1)*MID($K14,6,1),MID($H15,15,1)*MID($K14,7,1),MID($H15,16,1)*MID($K14,8,1),MID($H15,17,1)*MID($K14,1,1),MID($H15,18,1)*MID($K14,2,1),MID($H15,19,1)*MID($K14,3,1),MID($H15,20,1)*MID($K14,4,1),MID($H15,21,1)*MID($K14,5,1),MID($H15,22,1)*MID($K14,6,1),MID($H15,23,1)*MID($K14,7,1),MID($H15,24,1)*MID($K14,8,1),MID($H15,25,1)*MID($K14,1,1),MID($H15,26,1)*MID($K14,2,1),MID($H15,27,1)*MID($K14,3,1),MID($H15,28,1)*MID($K14,4,1),MID($H15,29,1)*MID($K14,5,1),MID($H15,30,1)*MID($K14,6,1),MID($H15,31,1)*MID($K14,7,1),MID($H15,32,1)*MID($K14,8,1))</f>
        <v>00100000001000000100010001100000</v>
      </c>
      <c r="DY15" s="44" t="str">
        <f>CONCATENATE(MID(DX15,20,5),MID(DX15,9,3),MID(DX15,28,5),MID(DX15,17,3),MID(DX15,4,5),MID(DX15,25,3),MID(DX15,12,5),MID(DX15,1,3))</f>
        <v>00100001000000100000001100000001</v>
      </c>
      <c r="DZ15" s="30" t="str">
        <f t="shared" si="122"/>
        <v>00100001</v>
      </c>
      <c r="EA15" s="30" t="str">
        <f t="shared" si="74"/>
        <v>00000010</v>
      </c>
      <c r="EB15" s="30" t="str">
        <f t="shared" si="75"/>
        <v>00000011</v>
      </c>
      <c r="EC15" s="30" t="str">
        <f t="shared" si="76"/>
        <v>00000001</v>
      </c>
      <c r="ED15" s="78"/>
      <c r="EE15" s="78"/>
      <c r="EF15" s="78"/>
      <c r="EG15" s="78"/>
      <c r="EH15" s="31" t="str">
        <f t="shared" si="77"/>
        <v>1011</v>
      </c>
      <c r="EI15" s="31" t="str">
        <f t="shared" si="78"/>
        <v>0001</v>
      </c>
      <c r="EJ15" s="31" t="str">
        <f t="shared" si="79"/>
        <v>0101</v>
      </c>
      <c r="EK15" s="31" t="str">
        <f t="shared" si="80"/>
        <v>0110</v>
      </c>
      <c r="EL15" s="31" t="str">
        <f t="shared" si="81"/>
        <v>1101</v>
      </c>
      <c r="EM15" s="31" t="str">
        <f t="shared" si="82"/>
        <v>0011</v>
      </c>
      <c r="EN15" s="31" t="str">
        <f t="shared" si="83"/>
        <v>0001</v>
      </c>
      <c r="EO15" s="31" t="str">
        <f t="shared" si="84"/>
        <v>0001</v>
      </c>
      <c r="EP15" s="78"/>
      <c r="EQ15" s="78"/>
      <c r="ER15" s="78"/>
      <c r="ES15" s="78"/>
      <c r="ET15" s="78"/>
      <c r="EU15" s="78"/>
      <c r="EV15" s="78"/>
      <c r="EW15" s="78"/>
      <c r="EX15" s="30" t="str">
        <f t="shared" si="15"/>
        <v>0010000100000010</v>
      </c>
      <c r="EY15" s="30" t="str">
        <f t="shared" si="16"/>
        <v>0000001100000001</v>
      </c>
      <c r="EZ15" s="78"/>
      <c r="FA15" s="78"/>
      <c r="FB15" s="46" t="str">
        <f>CONCATENATE(MID(DY15,1,1)*MID($K14,1,1),MID(DY15,2,1)*MID($K14,2,1),MID(DY15,3,1)*MID($K14,3,1),MID(DY15,4,1)*MID($K14,4,1),MID(DY15,5,1)*MID($K14,5,1),MID(DY15,6,1)*MID($K14,6,1),MID(DY15,7,1)*MID($K14,7,1),MID(DY15,8,1)*MID($K14,8,1),MID(DY15,9,1)*MID($K14,1,1),MID(DY15,10,1)*MID($K14,2,1),MID(DY15,11,1)*MID($K14,3,1),MID(DY15,12,1)*MID($K14,4,1),MID(DY15,13,1)*MID($K14,5,1),MID(DY15,14,1)*MID($K14,6,1),MID(DY15,15,1)*MID($K14,7,1),MID(DY15,16,1)*MID($K14,8,1),MID(DY15,17,1)*MID($K14,1,1),MID(DY15,18,1)*MID($K14,2,1),MID(DY15,19,1)*MID($K14,3,1),MID(DY15,20,1)*MID($K14,4,1),MID(DY15,21,1)*MID($K14,5,1),MID(DY15,22,1)*MID($K14,6,1),MID(DY15,23,1)*MID($K14,7,1),MID(DY15,24,1)*MID($K14,8,1),MID(DY15,25,1)*MID($K14,1,1),MID(DY15,26,1)*MID($K14,2,1),MID(DY15,27,1)*MID($K14,3,1),MID(DY15,28,1)*MID($K14,4,1),MID(DY15,29,1)*MID($K14,5,1),MID(DY15,30,1)*MID($K14,6,1),MID(DY15,31,1)*MID($K14,7,1),MID(DY15,32,1)*MID($K14,8,1))</f>
        <v>00100000000000000000000000000000</v>
      </c>
      <c r="FC15" s="30" t="str">
        <f t="shared" si="124"/>
        <v>00100000</v>
      </c>
      <c r="FD15" s="30" t="str">
        <f t="shared" si="85"/>
        <v>00000000</v>
      </c>
      <c r="FE15" s="30" t="str">
        <f t="shared" si="86"/>
        <v>00000000</v>
      </c>
      <c r="FF15" s="30" t="str">
        <f t="shared" si="87"/>
        <v>00000000</v>
      </c>
      <c r="FG15" s="78"/>
      <c r="FH15" s="78"/>
      <c r="FI15" s="78"/>
      <c r="FJ15" s="78"/>
      <c r="FK15" s="31" t="str">
        <f t="shared" si="88"/>
        <v>1011</v>
      </c>
      <c r="FL15" s="31" t="str">
        <f t="shared" si="89"/>
        <v>0001</v>
      </c>
      <c r="FM15" s="31" t="str">
        <f t="shared" si="90"/>
        <v>0101</v>
      </c>
      <c r="FN15" s="31" t="str">
        <f t="shared" si="91"/>
        <v>0110</v>
      </c>
      <c r="FO15" s="31" t="str">
        <f t="shared" si="92"/>
        <v>1101</v>
      </c>
      <c r="FP15" s="31" t="str">
        <f t="shared" si="93"/>
        <v>0011</v>
      </c>
      <c r="FQ15" s="31" t="str">
        <f t="shared" si="94"/>
        <v>0001</v>
      </c>
      <c r="FR15" s="31" t="str">
        <f t="shared" si="95"/>
        <v>0001</v>
      </c>
      <c r="FS15" s="78"/>
      <c r="FT15" s="78"/>
      <c r="FU15" s="78"/>
      <c r="FV15" s="78"/>
      <c r="FW15" s="78"/>
      <c r="FX15" s="78"/>
      <c r="FY15" s="78"/>
      <c r="FZ15" s="78"/>
      <c r="GA15" s="30" t="str">
        <f t="shared" si="18"/>
        <v>0010000000000000</v>
      </c>
      <c r="GB15" s="30" t="str">
        <f t="shared" si="19"/>
        <v>0000000000000000</v>
      </c>
      <c r="GC15" s="78"/>
      <c r="GD15" s="78"/>
      <c r="GE15" s="48" t="str">
        <f>DY15</f>
        <v>00100001000000100000001100000001</v>
      </c>
      <c r="GF15" s="30" t="str">
        <f t="shared" si="126"/>
        <v>00100001</v>
      </c>
      <c r="GG15" s="30" t="str">
        <f t="shared" si="96"/>
        <v>00000010</v>
      </c>
      <c r="GH15" s="30" t="str">
        <f t="shared" si="97"/>
        <v>00000011</v>
      </c>
      <c r="GI15" s="30" t="str">
        <f t="shared" si="98"/>
        <v>00000001</v>
      </c>
      <c r="GJ15" s="78"/>
      <c r="GK15" s="78"/>
      <c r="GL15" s="78"/>
      <c r="GM15" s="78"/>
      <c r="GN15" s="31" t="str">
        <f t="shared" si="99"/>
        <v>1011</v>
      </c>
      <c r="GO15" s="31" t="str">
        <f t="shared" si="100"/>
        <v>0001</v>
      </c>
      <c r="GP15" s="31" t="str">
        <f t="shared" si="101"/>
        <v>0101</v>
      </c>
      <c r="GQ15" s="31" t="str">
        <f t="shared" si="102"/>
        <v>0110</v>
      </c>
      <c r="GR15" s="31" t="str">
        <f t="shared" si="103"/>
        <v>1101</v>
      </c>
      <c r="GS15" s="31" t="str">
        <f t="shared" si="104"/>
        <v>0011</v>
      </c>
      <c r="GT15" s="31" t="str">
        <f t="shared" si="105"/>
        <v>0001</v>
      </c>
      <c r="GU15" s="31" t="str">
        <f t="shared" si="106"/>
        <v>0001</v>
      </c>
      <c r="GV15" s="78"/>
      <c r="GW15" s="78"/>
      <c r="GX15" s="78"/>
      <c r="GY15" s="78"/>
      <c r="GZ15" s="78"/>
      <c r="HA15" s="78"/>
      <c r="HB15" s="78"/>
      <c r="HC15" s="78"/>
      <c r="HD15" s="30" t="str">
        <f t="shared" si="21"/>
        <v>0010000100000010</v>
      </c>
      <c r="HE15" s="30" t="str">
        <f t="shared" si="22"/>
        <v>0000001100000001</v>
      </c>
      <c r="HF15" s="78"/>
      <c r="HG15" s="78"/>
      <c r="HH15" s="48" t="str">
        <f>FB15</f>
        <v>00100000000000000000000000000000</v>
      </c>
      <c r="HI15" s="30" t="str">
        <f t="shared" si="128"/>
        <v>00100000</v>
      </c>
      <c r="HJ15" s="30" t="str">
        <f t="shared" si="107"/>
        <v>00000000</v>
      </c>
      <c r="HK15" s="30" t="str">
        <f t="shared" si="108"/>
        <v>00000000</v>
      </c>
      <c r="HL15" s="30" t="str">
        <f t="shared" si="109"/>
        <v>00000000</v>
      </c>
      <c r="HM15" s="78"/>
      <c r="HN15" s="78"/>
      <c r="HO15" s="78"/>
      <c r="HP15" s="78"/>
      <c r="HQ15" s="31" t="str">
        <f t="shared" si="110"/>
        <v>1011</v>
      </c>
      <c r="HR15" s="31" t="str">
        <f t="shared" si="111"/>
        <v>0001</v>
      </c>
      <c r="HS15" s="31" t="str">
        <f t="shared" si="112"/>
        <v>0101</v>
      </c>
      <c r="HT15" s="31" t="str">
        <f t="shared" si="113"/>
        <v>0110</v>
      </c>
      <c r="HU15" s="31" t="str">
        <f t="shared" si="114"/>
        <v>1101</v>
      </c>
      <c r="HV15" s="31" t="str">
        <f t="shared" si="115"/>
        <v>0011</v>
      </c>
      <c r="HW15" s="31" t="str">
        <f t="shared" si="116"/>
        <v>0001</v>
      </c>
      <c r="HX15" s="31" t="str">
        <f t="shared" si="117"/>
        <v>0001</v>
      </c>
      <c r="HY15" s="78"/>
      <c r="HZ15" s="78"/>
      <c r="IA15" s="78"/>
      <c r="IB15" s="78"/>
      <c r="IC15" s="78"/>
      <c r="ID15" s="78"/>
      <c r="IE15" s="78"/>
      <c r="IF15" s="78"/>
      <c r="IG15" s="30" t="str">
        <f t="shared" si="24"/>
        <v>0010000000000000</v>
      </c>
      <c r="IH15" s="30" t="str">
        <f t="shared" si="25"/>
        <v>0000000000000000</v>
      </c>
      <c r="II15" s="78"/>
      <c r="IJ15" s="78"/>
      <c r="IL15" s="30"/>
      <c r="IM15" s="30"/>
      <c r="IN15" s="30"/>
      <c r="IO15" s="30"/>
      <c r="IP15" s="23"/>
      <c r="IQ15" s="23"/>
      <c r="IR15" s="23"/>
      <c r="IS15" s="23"/>
      <c r="JB15" s="23"/>
      <c r="JC15" s="23"/>
      <c r="JD15" s="23"/>
      <c r="JE15" s="23"/>
      <c r="JF15" s="23"/>
      <c r="JG15" s="23"/>
      <c r="JH15" s="23"/>
      <c r="JI15" s="23"/>
      <c r="JJ15" s="30"/>
      <c r="JK15" s="30"/>
      <c r="JL15" s="23"/>
      <c r="JM15" s="23"/>
    </row>
    <row r="16" spans="1:273" s="27" customFormat="1" x14ac:dyDescent="0.35">
      <c r="A16" s="24"/>
      <c r="B16" s="25"/>
      <c r="C16" s="20" t="s">
        <v>0</v>
      </c>
      <c r="D16" s="20">
        <v>54</v>
      </c>
      <c r="E16" s="20">
        <v>68</v>
      </c>
      <c r="F16" s="20" t="s">
        <v>137</v>
      </c>
      <c r="G16" s="20" t="s">
        <v>157</v>
      </c>
      <c r="H16" s="20" t="str">
        <f>CONCATENATE(HEX2BIN(D16,8),HEX2BIN(E16,8),HEX2BIN(F16,8),HEX2BIN(G16,8))</f>
        <v>01010100011010001001101010001011</v>
      </c>
      <c r="I16" s="20">
        <f>MID(H16,1,1)+MID(H16,2,1)+MID(H16,3,1)+MID(H16,4,1)+MID(H16,5,1)+MID(H16,6,1)+MID(H16,7,1)+MID(H16,8,1)+MID(H16,9,1)+MID(H16,10,1)+MID(H16,11,1)+MID(H16,12,1)+MID(H16,13,1)+MID(H16,14,1)+MID(H16,15,1)+MID(H16,16,1)+MID(H16,17,1)+MID(H16,18,1)+MID(H16,19,1)+MID(H16,20,1)+MID(H16,21,1)+MID(H16,22,1)+MID(H16,23,1)+MID(H16,24,1)+MID(H16,25,1)+MID(H16,26,1)+MID(H16,27,1)+MID(H16,28,1)+MID(H16,29,1)+MID(H16,30,1)+MID(H16,31,1)+MID(H16,32,1)</f>
        <v>14</v>
      </c>
      <c r="J16" s="20">
        <v>64</v>
      </c>
      <c r="K16" s="20" t="str">
        <f>HEX2BIN(J16,8)</f>
        <v>01100100</v>
      </c>
      <c r="L16" s="43" t="str">
        <f>H16</f>
        <v>01010100011010001001101010001011</v>
      </c>
      <c r="M16" s="26" t="str">
        <f t="shared" si="26"/>
        <v>01010100</v>
      </c>
      <c r="N16" s="26" t="str">
        <f t="shared" si="27"/>
        <v>01101000</v>
      </c>
      <c r="O16" s="26" t="str">
        <f t="shared" si="28"/>
        <v>10011010</v>
      </c>
      <c r="P16" s="26" t="str">
        <f t="shared" si="29"/>
        <v>10001011</v>
      </c>
      <c r="Q16" s="77">
        <f>BIN2DEC(M16)-BIN2DEC(M17)</f>
        <v>-144</v>
      </c>
      <c r="R16" s="77">
        <f>BIN2DEC(N16)-BIN2DEC(N17)</f>
        <v>-45</v>
      </c>
      <c r="S16" s="77">
        <f>BIN2DEC(O16)-BIN2DEC(O17)</f>
        <v>55</v>
      </c>
      <c r="T16" s="77">
        <f>BIN2DEC(P16)-BIN2DEC(P17)</f>
        <v>-101</v>
      </c>
      <c r="U16" s="27" t="str">
        <f t="shared" si="30"/>
        <v>0101</v>
      </c>
      <c r="V16" s="27" t="str">
        <f t="shared" si="31"/>
        <v>0100</v>
      </c>
      <c r="W16" s="27" t="str">
        <f t="shared" si="32"/>
        <v>0110</v>
      </c>
      <c r="X16" s="27" t="str">
        <f t="shared" si="33"/>
        <v>1000</v>
      </c>
      <c r="Y16" s="27" t="str">
        <f t="shared" si="34"/>
        <v>1001</v>
      </c>
      <c r="Z16" s="27" t="str">
        <f t="shared" si="35"/>
        <v>1010</v>
      </c>
      <c r="AA16" s="27" t="str">
        <f t="shared" si="36"/>
        <v>1000</v>
      </c>
      <c r="AB16" s="27" t="str">
        <f t="shared" si="37"/>
        <v>1011</v>
      </c>
      <c r="AC16" s="77">
        <f>BIN2DEC(U16)-BIN2DEC(U17)</f>
        <v>-9</v>
      </c>
      <c r="AD16" s="77">
        <f t="shared" ref="AD16:AI16" si="170">BIN2DEC(V16)-BIN2DEC(V17)</f>
        <v>0</v>
      </c>
      <c r="AE16" s="77">
        <f t="shared" si="170"/>
        <v>-3</v>
      </c>
      <c r="AF16" s="77">
        <f t="shared" si="170"/>
        <v>3</v>
      </c>
      <c r="AG16" s="77">
        <f t="shared" si="170"/>
        <v>3</v>
      </c>
      <c r="AH16" s="77">
        <f t="shared" si="170"/>
        <v>7</v>
      </c>
      <c r="AI16" s="77">
        <f t="shared" si="170"/>
        <v>-7</v>
      </c>
      <c r="AJ16" s="77">
        <f>BIN2DEC(AB16)-BIN2DEC(AB17)</f>
        <v>11</v>
      </c>
      <c r="AK16" s="26" t="str">
        <f t="shared" si="3"/>
        <v>0101010001101000</v>
      </c>
      <c r="AL16" s="26" t="str">
        <f t="shared" si="4"/>
        <v>1001101010001011</v>
      </c>
      <c r="AM16" s="77">
        <f>MID(AK16,16,1)*POWER(2,0)+MID(AK16,15,1)*POWER(2,1)+MID(AK16,14,1)*POWER(2,2)+MID(AK16,13,1)*POWER(2,3)+MID(AK16,12,1)*POWER(2,4)+MID(AK16,11,1)*POWER(2,5)+MID(AK16,10,1)*POWER(2,6)+MID(AK16,9,1)*POWER(2,7)+MID(AK16,8,1)*POWER(2,8)+MID(AK16,7,1)*POWER(2,9)+MID(AK16,6,1)*POWER(2,10)+MID(AK16,5,1)*POWER(2,11)+MID(AK16,4,1)*POWER(2,12)+MID(AK16,3,1)*POWER(2,13)+MID(AK16,2,1)*POWER(2,14)+MID(AK16,1,1)*POWER(2,15)-(MID(AK17,16,1)*POWER(2,0)+MID(AK17,15,1)*POWER(2,1)+MID(AK17,14,1)*POWER(2,2)+MID(AK17,13,1)*POWER(2,3)+MID(AK17,12,1)*POWER(2,4)+MID(AK17,11,1)*POWER(2,5)+MID(AK17,10,1)*POWER(2,6)+MID(AK17,9,1)*POWER(2,7)+MID(AK17,8,1)*POWER(2,8)+MID(AK17,7,1)*POWER(2,9)+MID(AK17,6,1)*POWER(2,10)+MID(AK17,5,1)*POWER(2,11)+MID(AK17,4,1)*POWER(2,12)+MID(AK17,3,1)*POWER(2,13)+MID(AK17,2,1)*POWER(2,14)+MID(AK17,1,1)*POWER(2,15))</f>
        <v>-36909</v>
      </c>
      <c r="AN16" s="77">
        <f>MID(AL16,16,1)*POWER(2,0)+MID(AL16,15,1)*POWER(2,1)+MID(AL16,14,1)*POWER(2,2)+MID(AL16,13,1)*POWER(2,3)+MID(AL16,12,1)*POWER(2,4)+MID(AL16,11,1)*POWER(2,5)+MID(AL16,10,1)*POWER(2,6)+MID(AL16,9,1)*POWER(2,7)+MID(AL16,8,1)*POWER(2,8)+MID(AL16,7,1)*POWER(2,9)+MID(AL16,6,1)*POWER(2,10)+MID(AL16,5,1)*POWER(2,11)+MID(AL16,4,1)*POWER(2,12)+MID(AL16,3,1)*POWER(2,13)+MID(AL16,2,1)*POWER(2,14)+MID(AL16,1,1)*POWER(2,15)-(MID(AL17,16,1)*POWER(2,0)+MID(AL17,15,1)*POWER(2,1)+MID(AL17,14,1)*POWER(2,2)+MID(AL17,13,1)*POWER(2,3)+MID(AL17,12,1)*POWER(2,4)+MID(AL17,11,1)*POWER(2,5)+MID(AL17,10,1)*POWER(2,6)+MID(AL17,9,1)*POWER(2,7)+MID(AL17,8,1)*POWER(2,8)+MID(AL17,7,1)*POWER(2,9)+MID(AL17,6,1)*POWER(2,10)+MID(AL17,5,1)*POWER(2,11)+MID(AL17,4,1)*POWER(2,12)+MID(AL17,3,1)*POWER(2,13)+MID(AL17,2,1)*POWER(2,14)+MID(AL17,1,1)*POWER(2,15))</f>
        <v>13979</v>
      </c>
      <c r="AO16" s="45" t="str">
        <f>H16</f>
        <v>01010100011010001001101010001011</v>
      </c>
      <c r="AP16" s="26" t="str">
        <f t="shared" si="38"/>
        <v>01010100</v>
      </c>
      <c r="AQ16" s="26" t="str">
        <f t="shared" si="39"/>
        <v>01101000</v>
      </c>
      <c r="AR16" s="26" t="str">
        <f t="shared" si="40"/>
        <v>10011010</v>
      </c>
      <c r="AS16" s="26" t="str">
        <f t="shared" si="41"/>
        <v>10001011</v>
      </c>
      <c r="AT16" s="77">
        <f>BIN2DEC(AP16)-BIN2DEC(AP17)</f>
        <v>-16</v>
      </c>
      <c r="AU16" s="77">
        <f>BIN2DEC(AQ16)-BIN2DEC(AQ17)</f>
        <v>100</v>
      </c>
      <c r="AV16" s="77">
        <f>BIN2DEC(AR16)-BIN2DEC(AR17)</f>
        <v>58</v>
      </c>
      <c r="AW16" s="77">
        <f>BIN2DEC(AS16)-BIN2DEC(AS17)</f>
        <v>43</v>
      </c>
      <c r="AX16" s="27" t="str">
        <f t="shared" si="42"/>
        <v>0101</v>
      </c>
      <c r="AY16" s="27" t="str">
        <f t="shared" si="43"/>
        <v>0100</v>
      </c>
      <c r="AZ16" s="27" t="str">
        <f t="shared" si="44"/>
        <v>0110</v>
      </c>
      <c r="BA16" s="27" t="str">
        <f t="shared" si="45"/>
        <v>1000</v>
      </c>
      <c r="BB16" s="27" t="str">
        <f t="shared" si="46"/>
        <v>1001</v>
      </c>
      <c r="BC16" s="27" t="str">
        <f t="shared" si="47"/>
        <v>1010</v>
      </c>
      <c r="BD16" s="27" t="str">
        <f t="shared" si="48"/>
        <v>1000</v>
      </c>
      <c r="BE16" s="27" t="str">
        <f t="shared" si="49"/>
        <v>1011</v>
      </c>
      <c r="BF16" s="77">
        <f>BIN2DEC(AX16)-BIN2DEC(AX17)</f>
        <v>-9</v>
      </c>
      <c r="BG16" s="77">
        <f t="shared" ref="BG16:BL16" si="171">BIN2DEC(AY16)-BIN2DEC(AY17)</f>
        <v>0</v>
      </c>
      <c r="BH16" s="77">
        <f t="shared" si="171"/>
        <v>-3</v>
      </c>
      <c r="BI16" s="77">
        <f t="shared" si="171"/>
        <v>3</v>
      </c>
      <c r="BJ16" s="77">
        <f t="shared" si="171"/>
        <v>3</v>
      </c>
      <c r="BK16" s="77">
        <f t="shared" si="171"/>
        <v>7</v>
      </c>
      <c r="BL16" s="77">
        <f t="shared" si="171"/>
        <v>-7</v>
      </c>
      <c r="BM16" s="77">
        <f>BIN2DEC(BE16)-BIN2DEC(BE17)</f>
        <v>11</v>
      </c>
      <c r="BN16" s="26" t="str">
        <f t="shared" si="6"/>
        <v>0101010001101000</v>
      </c>
      <c r="BO16" s="26" t="str">
        <f t="shared" si="7"/>
        <v>1001101010001011</v>
      </c>
      <c r="BP16" s="77">
        <f>MID(BN16,16,1)*POWER(2,0)+MID(BN16,15,1)*POWER(2,1)+MID(BN16,14,1)*POWER(2,2)+MID(BN16,13,1)*POWER(2,3)+MID(BN16,12,1)*POWER(2,4)+MID(BN16,11,1)*POWER(2,5)+MID(BN16,10,1)*POWER(2,6)+MID(BN16,9,1)*POWER(2,7)+MID(BN16,8,1)*POWER(2,8)+MID(BN16,7,1)*POWER(2,9)+MID(BN16,6,1)*POWER(2,10)+MID(BN16,5,1)*POWER(2,11)+MID(BN16,4,1)*POWER(2,12)+MID(BN16,3,1)*POWER(2,13)+MID(BN16,2,1)*POWER(2,14)+MID(BN16,1,1)*POWER(2,15)-(MID(BN17,16,1)*POWER(2,0)+MID(BN17,15,1)*POWER(2,1)+MID(BN17,14,1)*POWER(2,2)+MID(BN17,13,1)*POWER(2,3)+MID(BN17,12,1)*POWER(2,4)+MID(BN17,11,1)*POWER(2,5)+MID(BN17,10,1)*POWER(2,6)+MID(BN17,9,1)*POWER(2,7)+MID(BN17,8,1)*POWER(2,8)+MID(BN17,7,1)*POWER(2,9)+MID(BN17,6,1)*POWER(2,10)+MID(BN17,5,1)*POWER(2,11)+MID(BN17,4,1)*POWER(2,12)+MID(BN17,3,1)*POWER(2,13)+MID(BN17,2,1)*POWER(2,14)+MID(BN17,1,1)*POWER(2,15))</f>
        <v>-3996</v>
      </c>
      <c r="BQ16" s="77">
        <f>MID(BO16,16,1)*POWER(2,0)+MID(BO16,15,1)*POWER(2,1)+MID(BO16,14,1)*POWER(2,2)+MID(BO16,13,1)*POWER(2,3)+MID(BO16,12,1)*POWER(2,4)+MID(BO16,11,1)*POWER(2,5)+MID(BO16,10,1)*POWER(2,6)+MID(BO16,9,1)*POWER(2,7)+MID(BO16,8,1)*POWER(2,8)+MID(BO16,7,1)*POWER(2,9)+MID(BO16,6,1)*POWER(2,10)+MID(BO16,5,1)*POWER(2,11)+MID(BO16,4,1)*POWER(2,12)+MID(BO16,3,1)*POWER(2,13)+MID(BO16,2,1)*POWER(2,14)+MID(BO16,1,1)*POWER(2,15)-(MID(BO17,16,1)*POWER(2,0)+MID(BO17,15,1)*POWER(2,1)+MID(BO17,14,1)*POWER(2,2)+MID(BO17,13,1)*POWER(2,3)+MID(BO17,12,1)*POWER(2,4)+MID(BO17,11,1)*POWER(2,5)+MID(BO17,10,1)*POWER(2,6)+MID(BO17,9,1)*POWER(2,7)+MID(BO17,8,1)*POWER(2,8)+MID(BO17,7,1)*POWER(2,9)+MID(BO17,6,1)*POWER(2,10)+MID(BO17,5,1)*POWER(2,11)+MID(BO17,4,1)*POWER(2,12)+MID(BO17,3,1)*POWER(2,13)+MID(BO17,2,1)*POWER(2,14)+MID(BO17,1,1)*POWER(2,15))</f>
        <v>14891</v>
      </c>
      <c r="BR16" s="45" t="str">
        <f>CONCATENATE(MID($L16,1,1)*MID($K16,1,1),MID($L16,2,1)*MID($K16,2,1),MID($L16,3,1)*MID($K16,3,1),MID($L16,4,1)*MID($K16,4,1),MID($L16,5,1)*MID($K16,5,1),MID($L16,6,1)*MID($K16,6,1),MID($L16,7,1)*MID($K16,7,1),MID($L16,8,1)*MID($K16,8,1),MID($L16,9,1)*MID($K16,1,1),MID($L16,10,1)*MID($K16,2,1),MID($L16,11,1)*MID($K16,3,1),MID($L16,12,1)*MID($K16,4,1),MID($L16,13,1)*MID($K16,5,1),MID($L16,14,1)*MID($K16,6,1),MID($L16,15,1)*MID($K16,7,1),MID($L16,16,1)*MID($K16,8,1),MID($L16,17,1)*MID($K16,1,1),MID($L16,18,1)*MID($K16,2,1),MID($L16,19,1)*MID($K16,3,1),MID($L16,20,1)*MID($K16,4,1),MID($L16,21,1)*MID($K16,5,1),MID($L16,22,1)*MID($K16,6,1),MID($L16,23,1)*MID($K16,7,1),MID($L16,24,1)*MID($K16,8,1),MID($L16,25,1)*MID($K16,1,1),MID($L16,26,1)*MID($K16,2,1),MID($L16,27,1)*MID($K16,3,1),MID($L16,28,1)*MID($K16,4,1),MID($L16,29,1)*MID($K16,5,1),MID($L16,30,1)*MID($K16,6,1),MID($L16,31,1)*MID($K16,7,1),MID($L16,32,1)*MID($K16,8,1))</f>
        <v>01000100011000000000000000000000</v>
      </c>
      <c r="BS16" s="26" t="str">
        <f t="shared" si="50"/>
        <v>01000100</v>
      </c>
      <c r="BT16" s="26" t="str">
        <f t="shared" si="51"/>
        <v>01100000</v>
      </c>
      <c r="BU16" s="26" t="str">
        <f t="shared" si="52"/>
        <v>00000000</v>
      </c>
      <c r="BV16" s="26" t="str">
        <f t="shared" si="53"/>
        <v>00000000</v>
      </c>
      <c r="BW16" s="77">
        <f>BIN2DEC(BS16)-BIN2DEC(BS17)</f>
        <v>-160</v>
      </c>
      <c r="BX16" s="77">
        <f>BIN2DEC(BT16)-BIN2DEC(BT17)</f>
        <v>-53</v>
      </c>
      <c r="BY16" s="77">
        <f>BIN2DEC(BU16)-BIN2DEC(BU17)</f>
        <v>-99</v>
      </c>
      <c r="BZ16" s="77">
        <f>BIN2DEC(BV16)-BIN2DEC(BV17)</f>
        <v>-240</v>
      </c>
      <c r="CA16" s="27" t="str">
        <f t="shared" si="54"/>
        <v>0101</v>
      </c>
      <c r="CB16" s="27" t="str">
        <f t="shared" si="55"/>
        <v>0100</v>
      </c>
      <c r="CC16" s="27" t="str">
        <f t="shared" si="56"/>
        <v>0110</v>
      </c>
      <c r="CD16" s="27" t="str">
        <f t="shared" si="57"/>
        <v>1000</v>
      </c>
      <c r="CE16" s="27" t="str">
        <f t="shared" si="58"/>
        <v>1001</v>
      </c>
      <c r="CF16" s="27" t="str">
        <f t="shared" si="59"/>
        <v>1010</v>
      </c>
      <c r="CG16" s="27" t="str">
        <f t="shared" si="60"/>
        <v>1000</v>
      </c>
      <c r="CH16" s="27" t="str">
        <f t="shared" si="61"/>
        <v>1011</v>
      </c>
      <c r="CI16" s="77">
        <f>BIN2DEC(CA16)-BIN2DEC(CA17)</f>
        <v>-9</v>
      </c>
      <c r="CJ16" s="77">
        <f t="shared" ref="CJ16:CO16" si="172">BIN2DEC(CB16)-BIN2DEC(CB17)</f>
        <v>0</v>
      </c>
      <c r="CK16" s="77">
        <f t="shared" si="172"/>
        <v>-3</v>
      </c>
      <c r="CL16" s="77">
        <f t="shared" si="172"/>
        <v>3</v>
      </c>
      <c r="CM16" s="77">
        <f t="shared" si="172"/>
        <v>3</v>
      </c>
      <c r="CN16" s="77">
        <f t="shared" si="172"/>
        <v>7</v>
      </c>
      <c r="CO16" s="77">
        <f t="shared" si="172"/>
        <v>-7</v>
      </c>
      <c r="CP16" s="77">
        <f>BIN2DEC(CH16)-BIN2DEC(CH17)</f>
        <v>11</v>
      </c>
      <c r="CQ16" s="26" t="str">
        <f t="shared" si="9"/>
        <v>0100010001100000</v>
      </c>
      <c r="CR16" s="26" t="str">
        <f t="shared" si="10"/>
        <v>0000000000000000</v>
      </c>
      <c r="CS16" s="77">
        <f>MID(CQ16,16,1)*POWER(2,0)+MID(CQ16,15,1)*POWER(2,1)+MID(CQ16,14,1)*POWER(2,2)+MID(CQ16,13,1)*POWER(2,3)+MID(CQ16,12,1)*POWER(2,4)+MID(CQ16,11,1)*POWER(2,5)+MID(CQ16,10,1)*POWER(2,6)+MID(CQ16,9,1)*POWER(2,7)+MID(CQ16,8,1)*POWER(2,8)+MID(CQ16,7,1)*POWER(2,9)+MID(CQ16,6,1)*POWER(2,10)+MID(CQ16,5,1)*POWER(2,11)+MID(CQ16,4,1)*POWER(2,12)+MID(CQ16,3,1)*POWER(2,13)+MID(CQ16,2,1)*POWER(2,14)+MID(CQ16,1,1)*POWER(2,15)-(MID(CQ17,16,1)*POWER(2,0)+MID(CQ17,15,1)*POWER(2,1)+MID(CQ17,14,1)*POWER(2,2)+MID(CQ17,13,1)*POWER(2,3)+MID(CQ17,12,1)*POWER(2,4)+MID(CQ17,11,1)*POWER(2,5)+MID(CQ17,10,1)*POWER(2,6)+MID(CQ17,9,1)*POWER(2,7)+MID(CQ17,8,1)*POWER(2,8)+MID(CQ17,7,1)*POWER(2,9)+MID(CQ17,6,1)*POWER(2,10)+MID(CQ17,5,1)*POWER(2,11)+MID(CQ17,4,1)*POWER(2,12)+MID(CQ17,3,1)*POWER(2,13)+MID(CQ17,2,1)*POWER(2,14)+MID(CQ17,1,1)*POWER(2,15))</f>
        <v>-41013</v>
      </c>
      <c r="CT16" s="77">
        <f>MID(CR16,16,1)*POWER(2,0)+MID(CR16,15,1)*POWER(2,1)+MID(CR16,14,1)*POWER(2,2)+MID(CR16,13,1)*POWER(2,3)+MID(CR16,12,1)*POWER(2,4)+MID(CR16,11,1)*POWER(2,5)+MID(CR16,10,1)*POWER(2,6)+MID(CR16,9,1)*POWER(2,7)+MID(CR16,8,1)*POWER(2,8)+MID(CR16,7,1)*POWER(2,9)+MID(CR16,6,1)*POWER(2,10)+MID(CR16,5,1)*POWER(2,11)+MID(CR16,4,1)*POWER(2,12)+MID(CR16,3,1)*POWER(2,13)+MID(CR16,2,1)*POWER(2,14)+MID(CR16,1,1)*POWER(2,15)-(MID(CR17,16,1)*POWER(2,0)+MID(CR17,15,1)*POWER(2,1)+MID(CR17,14,1)*POWER(2,2)+MID(CR17,13,1)*POWER(2,3)+MID(CR17,12,1)*POWER(2,4)+MID(CR17,11,1)*POWER(2,5)+MID(CR17,10,1)*POWER(2,6)+MID(CR17,9,1)*POWER(2,7)+MID(CR17,8,1)*POWER(2,8)+MID(CR17,7,1)*POWER(2,9)+MID(CR17,6,1)*POWER(2,10)+MID(CR17,5,1)*POWER(2,11)+MID(CR17,4,1)*POWER(2,12)+MID(CR17,3,1)*POWER(2,13)+MID(CR17,2,1)*POWER(2,14)+MID(CR17,1,1)*POWER(2,15))</f>
        <v>-25584</v>
      </c>
      <c r="CU16" s="45" t="str">
        <f>BR16</f>
        <v>01000100011000000000000000000000</v>
      </c>
      <c r="CV16" s="26" t="str">
        <f t="shared" si="62"/>
        <v>01000100</v>
      </c>
      <c r="CW16" s="26" t="str">
        <f t="shared" si="63"/>
        <v>01100000</v>
      </c>
      <c r="CX16" s="26" t="str">
        <f t="shared" si="64"/>
        <v>00000000</v>
      </c>
      <c r="CY16" s="26" t="str">
        <f t="shared" si="65"/>
        <v>00000000</v>
      </c>
      <c r="CZ16" s="77">
        <f>BIN2DEC(CV16)-BIN2DEC(CV17)</f>
        <v>-32</v>
      </c>
      <c r="DA16" s="77">
        <f>BIN2DEC(CW16)-BIN2DEC(CW17)</f>
        <v>92</v>
      </c>
      <c r="DB16" s="77">
        <f>BIN2DEC(CX16)-BIN2DEC(CX17)</f>
        <v>-96</v>
      </c>
      <c r="DC16" s="77">
        <f>BIN2DEC(CY16)-BIN2DEC(CY17)</f>
        <v>-96</v>
      </c>
      <c r="DD16" s="27" t="str">
        <f t="shared" si="66"/>
        <v>0101</v>
      </c>
      <c r="DE16" s="27" t="str">
        <f t="shared" si="67"/>
        <v>0100</v>
      </c>
      <c r="DF16" s="27" t="str">
        <f t="shared" si="68"/>
        <v>0110</v>
      </c>
      <c r="DG16" s="27" t="str">
        <f t="shared" si="69"/>
        <v>1000</v>
      </c>
      <c r="DH16" s="27" t="str">
        <f t="shared" si="70"/>
        <v>1001</v>
      </c>
      <c r="DI16" s="27" t="str">
        <f t="shared" si="71"/>
        <v>1010</v>
      </c>
      <c r="DJ16" s="27" t="str">
        <f t="shared" si="72"/>
        <v>1000</v>
      </c>
      <c r="DK16" s="27" t="str">
        <f t="shared" si="73"/>
        <v>1011</v>
      </c>
      <c r="DL16" s="77">
        <f>BIN2DEC(DD16)-BIN2DEC(DD17)</f>
        <v>-9</v>
      </c>
      <c r="DM16" s="77">
        <f t="shared" ref="DM16:DR16" si="173">BIN2DEC(DE16)-BIN2DEC(DE17)</f>
        <v>0</v>
      </c>
      <c r="DN16" s="77">
        <f t="shared" si="173"/>
        <v>-3</v>
      </c>
      <c r="DO16" s="77">
        <f t="shared" si="173"/>
        <v>3</v>
      </c>
      <c r="DP16" s="77">
        <f t="shared" si="173"/>
        <v>3</v>
      </c>
      <c r="DQ16" s="77">
        <f t="shared" si="173"/>
        <v>7</v>
      </c>
      <c r="DR16" s="77">
        <f t="shared" si="173"/>
        <v>-7</v>
      </c>
      <c r="DS16" s="77">
        <f>BIN2DEC(DK16)-BIN2DEC(DK17)</f>
        <v>11</v>
      </c>
      <c r="DT16" s="26" t="str">
        <f t="shared" si="12"/>
        <v>0100010001100000</v>
      </c>
      <c r="DU16" s="26" t="str">
        <f t="shared" si="13"/>
        <v>0000000000000000</v>
      </c>
      <c r="DV16" s="77">
        <f>MID(DT16,16,1)*POWER(2,0)+MID(DT16,15,1)*POWER(2,1)+MID(DT16,14,1)*POWER(2,2)+MID(DT16,13,1)*POWER(2,3)+MID(DT16,12,1)*POWER(2,4)+MID(DT16,11,1)*POWER(2,5)+MID(DT16,10,1)*POWER(2,6)+MID(DT16,9,1)*POWER(2,7)+MID(DT16,8,1)*POWER(2,8)+MID(DT16,7,1)*POWER(2,9)+MID(DT16,6,1)*POWER(2,10)+MID(DT16,5,1)*POWER(2,11)+MID(DT16,4,1)*POWER(2,12)+MID(DT16,3,1)*POWER(2,13)+MID(DT16,2,1)*POWER(2,14)+MID(DT16,1,1)*POWER(2,15)-(MID(DT17,16,1)*POWER(2,0)+MID(DT17,15,1)*POWER(2,1)+MID(DT17,14,1)*POWER(2,2)+MID(DT17,13,1)*POWER(2,3)+MID(DT17,12,1)*POWER(2,4)+MID(DT17,11,1)*POWER(2,5)+MID(DT17,10,1)*POWER(2,6)+MID(DT17,9,1)*POWER(2,7)+MID(DT17,8,1)*POWER(2,8)+MID(DT17,7,1)*POWER(2,9)+MID(DT17,6,1)*POWER(2,10)+MID(DT17,5,1)*POWER(2,11)+MID(DT17,4,1)*POWER(2,12)+MID(DT17,3,1)*POWER(2,13)+MID(DT17,2,1)*POWER(2,14)+MID(DT17,1,1)*POWER(2,15))</f>
        <v>-8100</v>
      </c>
      <c r="DW16" s="77">
        <f>MID(DU16,16,1)*POWER(2,0)+MID(DU16,15,1)*POWER(2,1)+MID(DU16,14,1)*POWER(2,2)+MID(DU16,13,1)*POWER(2,3)+MID(DU16,12,1)*POWER(2,4)+MID(DU16,11,1)*POWER(2,5)+MID(DU16,10,1)*POWER(2,6)+MID(DU16,9,1)*POWER(2,7)+MID(DU16,8,1)*POWER(2,8)+MID(DU16,7,1)*POWER(2,9)+MID(DU16,6,1)*POWER(2,10)+MID(DU16,5,1)*POWER(2,11)+MID(DU16,4,1)*POWER(2,12)+MID(DU16,3,1)*POWER(2,13)+MID(DU16,2,1)*POWER(2,14)+MID(DU16,1,1)*POWER(2,15)-(MID(DU17,16,1)*POWER(2,0)+MID(DU17,15,1)*POWER(2,1)+MID(DU17,14,1)*POWER(2,2)+MID(DU17,13,1)*POWER(2,3)+MID(DU17,12,1)*POWER(2,4)+MID(DU17,11,1)*POWER(2,5)+MID(DU17,10,1)*POWER(2,6)+MID(DU17,9,1)*POWER(2,7)+MID(DU17,8,1)*POWER(2,8)+MID(DU17,7,1)*POWER(2,9)+MID(DU17,6,1)*POWER(2,10)+MID(DU17,5,1)*POWER(2,11)+MID(DU17,4,1)*POWER(2,12)+MID(DU17,3,1)*POWER(2,13)+MID(DU17,2,1)*POWER(2,14)+MID(DU17,1,1)*POWER(2,15))</f>
        <v>-24672</v>
      </c>
      <c r="DX16" s="22"/>
      <c r="DY16" s="43" t="str">
        <f>H16</f>
        <v>01010100011010001001101010001011</v>
      </c>
      <c r="DZ16" s="26" t="str">
        <f t="shared" si="122"/>
        <v>01010100</v>
      </c>
      <c r="EA16" s="26" t="str">
        <f t="shared" si="74"/>
        <v>01101000</v>
      </c>
      <c r="EB16" s="26" t="str">
        <f t="shared" si="75"/>
        <v>10011010</v>
      </c>
      <c r="EC16" s="26" t="str">
        <f t="shared" si="76"/>
        <v>10001011</v>
      </c>
      <c r="ED16" s="77">
        <f>BIN2DEC(DZ16)-BIN2DEC(DZ17)</f>
        <v>52</v>
      </c>
      <c r="EE16" s="77">
        <f>BIN2DEC(EA16)-BIN2DEC(EA17)</f>
        <v>103</v>
      </c>
      <c r="EF16" s="77">
        <f>BIN2DEC(EB16)-BIN2DEC(EB17)</f>
        <v>119</v>
      </c>
      <c r="EG16" s="77">
        <f>BIN2DEC(EC16)-BIN2DEC(EC17)</f>
        <v>107</v>
      </c>
      <c r="EH16" s="27" t="str">
        <f t="shared" si="77"/>
        <v>0101</v>
      </c>
      <c r="EI16" s="27" t="str">
        <f t="shared" si="78"/>
        <v>0100</v>
      </c>
      <c r="EJ16" s="27" t="str">
        <f t="shared" si="79"/>
        <v>0110</v>
      </c>
      <c r="EK16" s="27" t="str">
        <f t="shared" si="80"/>
        <v>1000</v>
      </c>
      <c r="EL16" s="27" t="str">
        <f t="shared" si="81"/>
        <v>1001</v>
      </c>
      <c r="EM16" s="27" t="str">
        <f t="shared" si="82"/>
        <v>1010</v>
      </c>
      <c r="EN16" s="27" t="str">
        <f t="shared" si="83"/>
        <v>1000</v>
      </c>
      <c r="EO16" s="27" t="str">
        <f t="shared" si="84"/>
        <v>1011</v>
      </c>
      <c r="EP16" s="77">
        <f>BIN2DEC(EH16)-BIN2DEC(EH17)</f>
        <v>-9</v>
      </c>
      <c r="EQ16" s="77">
        <f t="shared" ref="EQ16:EV16" si="174">BIN2DEC(EI16)-BIN2DEC(EI17)</f>
        <v>0</v>
      </c>
      <c r="ER16" s="77">
        <f t="shared" si="174"/>
        <v>-3</v>
      </c>
      <c r="ES16" s="77">
        <f t="shared" si="174"/>
        <v>3</v>
      </c>
      <c r="ET16" s="77">
        <f t="shared" si="174"/>
        <v>3</v>
      </c>
      <c r="EU16" s="77">
        <f t="shared" si="174"/>
        <v>7</v>
      </c>
      <c r="EV16" s="77">
        <f t="shared" si="174"/>
        <v>-7</v>
      </c>
      <c r="EW16" s="77">
        <f>BIN2DEC(EO16)-BIN2DEC(EO17)</f>
        <v>11</v>
      </c>
      <c r="EX16" s="26" t="str">
        <f t="shared" si="15"/>
        <v>0101010001101000</v>
      </c>
      <c r="EY16" s="26" t="str">
        <f t="shared" si="16"/>
        <v>1001101010001011</v>
      </c>
      <c r="EZ16" s="77">
        <f>MID(EX16,16,1)*POWER(2,0)+MID(EX16,15,1)*POWER(2,1)+MID(EX16,14,1)*POWER(2,2)+MID(EX16,13,1)*POWER(2,3)+MID(EX16,12,1)*POWER(2,4)+MID(EX16,11,1)*POWER(2,5)+MID(EX16,10,1)*POWER(2,6)+MID(EX16,9,1)*POWER(2,7)+MID(EX16,8,1)*POWER(2,8)+MID(EX16,7,1)*POWER(2,9)+MID(EX16,6,1)*POWER(2,10)+MID(EX16,5,1)*POWER(2,11)+MID(EX16,4,1)*POWER(2,12)+MID(EX16,3,1)*POWER(2,13)+MID(EX16,2,1)*POWER(2,14)+MID(EX16,1,1)*POWER(2,15)-(MID(EX17,16,1)*POWER(2,0)+MID(EX17,15,1)*POWER(2,1)+MID(EX17,14,1)*POWER(2,2)+MID(EX17,13,1)*POWER(2,3)+MID(EX17,12,1)*POWER(2,4)+MID(EX17,11,1)*POWER(2,5)+MID(EX17,10,1)*POWER(2,6)+MID(EX17,9,1)*POWER(2,7)+MID(EX17,8,1)*POWER(2,8)+MID(EX17,7,1)*POWER(2,9)+MID(EX17,6,1)*POWER(2,10)+MID(EX17,5,1)*POWER(2,11)+MID(EX17,4,1)*POWER(2,12)+MID(EX17,3,1)*POWER(2,13)+MID(EX17,2,1)*POWER(2,14)+MID(EX17,1,1)*POWER(2,15))</f>
        <v>13415</v>
      </c>
      <c r="FA16" s="77">
        <f>MID(EY16,16,1)*POWER(2,0)+MID(EY16,15,1)*POWER(2,1)+MID(EY16,14,1)*POWER(2,2)+MID(EY16,13,1)*POWER(2,3)+MID(EY16,12,1)*POWER(2,4)+MID(EY16,11,1)*POWER(2,5)+MID(EY16,10,1)*POWER(2,6)+MID(EY16,9,1)*POWER(2,7)+MID(EY16,8,1)*POWER(2,8)+MID(EY16,7,1)*POWER(2,9)+MID(EY16,6,1)*POWER(2,10)+MID(EY16,5,1)*POWER(2,11)+MID(EY16,4,1)*POWER(2,12)+MID(EY16,3,1)*POWER(2,13)+MID(EY16,2,1)*POWER(2,14)+MID(EY16,1,1)*POWER(2,15)-(MID(EY17,16,1)*POWER(2,0)+MID(EY17,15,1)*POWER(2,1)+MID(EY17,14,1)*POWER(2,2)+MID(EY17,13,1)*POWER(2,3)+MID(EY17,12,1)*POWER(2,4)+MID(EY17,11,1)*POWER(2,5)+MID(EY17,10,1)*POWER(2,6)+MID(EY17,9,1)*POWER(2,7)+MID(EY17,8,1)*POWER(2,8)+MID(EY17,7,1)*POWER(2,9)+MID(EY17,6,1)*POWER(2,10)+MID(EY17,5,1)*POWER(2,11)+MID(EY17,4,1)*POWER(2,12)+MID(EY17,3,1)*POWER(2,13)+MID(EY17,2,1)*POWER(2,14)+MID(EY17,1,1)*POWER(2,15))</f>
        <v>30571</v>
      </c>
      <c r="FB16" s="45" t="str">
        <f>H16</f>
        <v>01010100011010001001101010001011</v>
      </c>
      <c r="FC16" s="26" t="str">
        <f t="shared" si="124"/>
        <v>01010100</v>
      </c>
      <c r="FD16" s="26" t="str">
        <f t="shared" si="85"/>
        <v>01101000</v>
      </c>
      <c r="FE16" s="26" t="str">
        <f t="shared" si="86"/>
        <v>10011010</v>
      </c>
      <c r="FF16" s="26" t="str">
        <f t="shared" si="87"/>
        <v>10001011</v>
      </c>
      <c r="FG16" s="77">
        <f>BIN2DEC(FC16)-BIN2DEC(FC17)</f>
        <v>52</v>
      </c>
      <c r="FH16" s="77">
        <f>BIN2DEC(FD16)-BIN2DEC(FD17)</f>
        <v>104</v>
      </c>
      <c r="FI16" s="77">
        <f>BIN2DEC(FE16)-BIN2DEC(FE17)</f>
        <v>122</v>
      </c>
      <c r="FJ16" s="77">
        <f>BIN2DEC(FF16)-BIN2DEC(FF17)</f>
        <v>107</v>
      </c>
      <c r="FK16" s="27" t="str">
        <f t="shared" si="88"/>
        <v>0101</v>
      </c>
      <c r="FL16" s="27" t="str">
        <f t="shared" si="89"/>
        <v>0100</v>
      </c>
      <c r="FM16" s="27" t="str">
        <f t="shared" si="90"/>
        <v>0110</v>
      </c>
      <c r="FN16" s="27" t="str">
        <f t="shared" si="91"/>
        <v>1000</v>
      </c>
      <c r="FO16" s="27" t="str">
        <f t="shared" si="92"/>
        <v>1001</v>
      </c>
      <c r="FP16" s="27" t="str">
        <f t="shared" si="93"/>
        <v>1010</v>
      </c>
      <c r="FQ16" s="27" t="str">
        <f t="shared" si="94"/>
        <v>1000</v>
      </c>
      <c r="FR16" s="27" t="str">
        <f t="shared" si="95"/>
        <v>1011</v>
      </c>
      <c r="FS16" s="77">
        <f>BIN2DEC(FK16)-BIN2DEC(FK17)</f>
        <v>-9</v>
      </c>
      <c r="FT16" s="77">
        <f t="shared" ref="FT16:FY16" si="175">BIN2DEC(FL16)-BIN2DEC(FL17)</f>
        <v>0</v>
      </c>
      <c r="FU16" s="77">
        <f t="shared" si="175"/>
        <v>-3</v>
      </c>
      <c r="FV16" s="77">
        <f t="shared" si="175"/>
        <v>3</v>
      </c>
      <c r="FW16" s="77">
        <f t="shared" si="175"/>
        <v>3</v>
      </c>
      <c r="FX16" s="77">
        <f t="shared" si="175"/>
        <v>7</v>
      </c>
      <c r="FY16" s="77">
        <f t="shared" si="175"/>
        <v>-7</v>
      </c>
      <c r="FZ16" s="77">
        <f>BIN2DEC(FR16)-BIN2DEC(FR17)</f>
        <v>11</v>
      </c>
      <c r="GA16" s="26" t="str">
        <f t="shared" si="18"/>
        <v>0101010001101000</v>
      </c>
      <c r="GB16" s="26" t="str">
        <f t="shared" si="19"/>
        <v>1001101010001011</v>
      </c>
      <c r="GC16" s="77">
        <f>MID(GA16,16,1)*POWER(2,0)+MID(GA16,15,1)*POWER(2,1)+MID(GA16,14,1)*POWER(2,2)+MID(GA16,13,1)*POWER(2,3)+MID(GA16,12,1)*POWER(2,4)+MID(GA16,11,1)*POWER(2,5)+MID(GA16,10,1)*POWER(2,6)+MID(GA16,9,1)*POWER(2,7)+MID(GA16,8,1)*POWER(2,8)+MID(GA16,7,1)*POWER(2,9)+MID(GA16,6,1)*POWER(2,10)+MID(GA16,5,1)*POWER(2,11)+MID(GA16,4,1)*POWER(2,12)+MID(GA16,3,1)*POWER(2,13)+MID(GA16,2,1)*POWER(2,14)+MID(GA16,1,1)*POWER(2,15)-(MID(GA17,16,1)*POWER(2,0)+MID(GA17,15,1)*POWER(2,1)+MID(GA17,14,1)*POWER(2,2)+MID(GA17,13,1)*POWER(2,3)+MID(GA17,12,1)*POWER(2,4)+MID(GA17,11,1)*POWER(2,5)+MID(GA17,10,1)*POWER(2,6)+MID(GA17,9,1)*POWER(2,7)+MID(GA17,8,1)*POWER(2,8)+MID(GA17,7,1)*POWER(2,9)+MID(GA17,6,1)*POWER(2,10)+MID(GA17,5,1)*POWER(2,11)+MID(GA17,4,1)*POWER(2,12)+MID(GA17,3,1)*POWER(2,13)+MID(GA17,2,1)*POWER(2,14)+MID(GA17,1,1)*POWER(2,15))</f>
        <v>13416</v>
      </c>
      <c r="GD16" s="77">
        <f>MID(GB16,16,1)*POWER(2,0)+MID(GB16,15,1)*POWER(2,1)+MID(GB16,14,1)*POWER(2,2)+MID(GB16,13,1)*POWER(2,3)+MID(GB16,12,1)*POWER(2,4)+MID(GB16,11,1)*POWER(2,5)+MID(GB16,10,1)*POWER(2,6)+MID(GB16,9,1)*POWER(2,7)+MID(GB16,8,1)*POWER(2,8)+MID(GB16,7,1)*POWER(2,9)+MID(GB16,6,1)*POWER(2,10)+MID(GB16,5,1)*POWER(2,11)+MID(GB16,4,1)*POWER(2,12)+MID(GB16,3,1)*POWER(2,13)+MID(GB16,2,1)*POWER(2,14)+MID(GB16,1,1)*POWER(2,15)-(MID(GB17,16,1)*POWER(2,0)+MID(GB17,15,1)*POWER(2,1)+MID(GB17,14,1)*POWER(2,2)+MID(GB17,13,1)*POWER(2,3)+MID(GB17,12,1)*POWER(2,4)+MID(GB17,11,1)*POWER(2,5)+MID(GB17,10,1)*POWER(2,6)+MID(GB17,9,1)*POWER(2,7)+MID(GB17,8,1)*POWER(2,8)+MID(GB17,7,1)*POWER(2,9)+MID(GB17,6,1)*POWER(2,10)+MID(GB17,5,1)*POWER(2,11)+MID(GB17,4,1)*POWER(2,12)+MID(GB17,3,1)*POWER(2,13)+MID(GB17,2,1)*POWER(2,14)+MID(GB17,1,1)*POWER(2,15))</f>
        <v>31339</v>
      </c>
      <c r="GE16" s="47" t="str">
        <f>CU16</f>
        <v>01000100011000000000000000000000</v>
      </c>
      <c r="GF16" s="26" t="str">
        <f t="shared" si="126"/>
        <v>01000100</v>
      </c>
      <c r="GG16" s="26" t="str">
        <f t="shared" si="96"/>
        <v>01100000</v>
      </c>
      <c r="GH16" s="26" t="str">
        <f t="shared" si="97"/>
        <v>00000000</v>
      </c>
      <c r="GI16" s="26" t="str">
        <f t="shared" si="98"/>
        <v>00000000</v>
      </c>
      <c r="GJ16" s="77">
        <f>BIN2DEC(GF16)-BIN2DEC(GF17)</f>
        <v>36</v>
      </c>
      <c r="GK16" s="77">
        <f>BIN2DEC(GG16)-BIN2DEC(GG17)</f>
        <v>95</v>
      </c>
      <c r="GL16" s="77">
        <f>BIN2DEC(GH16)-BIN2DEC(GH17)</f>
        <v>-35</v>
      </c>
      <c r="GM16" s="77">
        <f>BIN2DEC(GI16)-BIN2DEC(GI17)</f>
        <v>-32</v>
      </c>
      <c r="GN16" s="27" t="str">
        <f t="shared" si="99"/>
        <v>0101</v>
      </c>
      <c r="GO16" s="27" t="str">
        <f t="shared" si="100"/>
        <v>0100</v>
      </c>
      <c r="GP16" s="27" t="str">
        <f t="shared" si="101"/>
        <v>0110</v>
      </c>
      <c r="GQ16" s="27" t="str">
        <f t="shared" si="102"/>
        <v>1000</v>
      </c>
      <c r="GR16" s="27" t="str">
        <f t="shared" si="103"/>
        <v>1001</v>
      </c>
      <c r="GS16" s="27" t="str">
        <f t="shared" si="104"/>
        <v>1010</v>
      </c>
      <c r="GT16" s="27" t="str">
        <f t="shared" si="105"/>
        <v>1000</v>
      </c>
      <c r="GU16" s="27" t="str">
        <f t="shared" si="106"/>
        <v>1011</v>
      </c>
      <c r="GV16" s="77">
        <f>BIN2DEC(GN16)-BIN2DEC(GN17)</f>
        <v>-9</v>
      </c>
      <c r="GW16" s="77">
        <f t="shared" ref="GW16:HB16" si="176">BIN2DEC(GO16)-BIN2DEC(GO17)</f>
        <v>0</v>
      </c>
      <c r="GX16" s="77">
        <f t="shared" si="176"/>
        <v>-3</v>
      </c>
      <c r="GY16" s="77">
        <f t="shared" si="176"/>
        <v>3</v>
      </c>
      <c r="GZ16" s="77">
        <f t="shared" si="176"/>
        <v>3</v>
      </c>
      <c r="HA16" s="77">
        <f t="shared" si="176"/>
        <v>7</v>
      </c>
      <c r="HB16" s="77">
        <f t="shared" si="176"/>
        <v>-7</v>
      </c>
      <c r="HC16" s="77">
        <f>BIN2DEC(GU16)-BIN2DEC(GU17)</f>
        <v>11</v>
      </c>
      <c r="HD16" s="26" t="str">
        <f t="shared" si="21"/>
        <v>0100010001100000</v>
      </c>
      <c r="HE16" s="26" t="str">
        <f t="shared" si="22"/>
        <v>0000000000000000</v>
      </c>
      <c r="HF16" s="77">
        <f>MID(HD16,16,1)*POWER(2,0)+MID(HD16,15,1)*POWER(2,1)+MID(HD16,14,1)*POWER(2,2)+MID(HD16,13,1)*POWER(2,3)+MID(HD16,12,1)*POWER(2,4)+MID(HD16,11,1)*POWER(2,5)+MID(HD16,10,1)*POWER(2,6)+MID(HD16,9,1)*POWER(2,7)+MID(HD16,8,1)*POWER(2,8)+MID(HD16,7,1)*POWER(2,9)+MID(HD16,6,1)*POWER(2,10)+MID(HD16,5,1)*POWER(2,11)+MID(HD16,4,1)*POWER(2,12)+MID(HD16,3,1)*POWER(2,13)+MID(HD16,2,1)*POWER(2,14)+MID(HD16,1,1)*POWER(2,15)-(MID(HD17,16,1)*POWER(2,0)+MID(HD17,15,1)*POWER(2,1)+MID(HD17,14,1)*POWER(2,2)+MID(HD17,13,1)*POWER(2,3)+MID(HD17,12,1)*POWER(2,4)+MID(HD17,11,1)*POWER(2,5)+MID(HD17,10,1)*POWER(2,6)+MID(HD17,9,1)*POWER(2,7)+MID(HD17,8,1)*POWER(2,8)+MID(HD17,7,1)*POWER(2,9)+MID(HD17,6,1)*POWER(2,10)+MID(HD17,5,1)*POWER(2,11)+MID(HD17,4,1)*POWER(2,12)+MID(HD17,3,1)*POWER(2,13)+MID(HD17,2,1)*POWER(2,14)+MID(HD17,1,1)*POWER(2,15))</f>
        <v>9311</v>
      </c>
      <c r="HG16" s="77">
        <f>MID(HE16,16,1)*POWER(2,0)+MID(HE16,15,1)*POWER(2,1)+MID(HE16,14,1)*POWER(2,2)+MID(HE16,13,1)*POWER(2,3)+MID(HE16,12,1)*POWER(2,4)+MID(HE16,11,1)*POWER(2,5)+MID(HE16,10,1)*POWER(2,6)+MID(HE16,9,1)*POWER(2,7)+MID(HE16,8,1)*POWER(2,8)+MID(HE16,7,1)*POWER(2,9)+MID(HE16,6,1)*POWER(2,10)+MID(HE16,5,1)*POWER(2,11)+MID(HE16,4,1)*POWER(2,12)+MID(HE16,3,1)*POWER(2,13)+MID(HE16,2,1)*POWER(2,14)+MID(HE16,1,1)*POWER(2,15)-(MID(HE17,16,1)*POWER(2,0)+MID(HE17,15,1)*POWER(2,1)+MID(HE17,14,1)*POWER(2,2)+MID(HE17,13,1)*POWER(2,3)+MID(HE17,12,1)*POWER(2,4)+MID(HE17,11,1)*POWER(2,5)+MID(HE17,10,1)*POWER(2,6)+MID(HE17,9,1)*POWER(2,7)+MID(HE17,8,1)*POWER(2,8)+MID(HE17,7,1)*POWER(2,9)+MID(HE17,6,1)*POWER(2,10)+MID(HE17,5,1)*POWER(2,11)+MID(HE17,4,1)*POWER(2,12)+MID(HE17,3,1)*POWER(2,13)+MID(HE17,2,1)*POWER(2,14)+MID(HE17,1,1)*POWER(2,15))</f>
        <v>-8992</v>
      </c>
      <c r="HH16" s="45" t="str">
        <f>GE16</f>
        <v>01000100011000000000000000000000</v>
      </c>
      <c r="HI16" s="26" t="str">
        <f t="shared" si="128"/>
        <v>01000100</v>
      </c>
      <c r="HJ16" s="26" t="str">
        <f t="shared" si="107"/>
        <v>01100000</v>
      </c>
      <c r="HK16" s="26" t="str">
        <f t="shared" si="108"/>
        <v>00000000</v>
      </c>
      <c r="HL16" s="26" t="str">
        <f t="shared" si="109"/>
        <v>00000000</v>
      </c>
      <c r="HM16" s="77">
        <f>BIN2DEC(HI16)-BIN2DEC(HI17)</f>
        <v>36</v>
      </c>
      <c r="HN16" s="77">
        <f>BIN2DEC(HJ16)-BIN2DEC(HJ17)</f>
        <v>96</v>
      </c>
      <c r="HO16" s="77">
        <f>BIN2DEC(HK16)-BIN2DEC(HK17)</f>
        <v>-32</v>
      </c>
      <c r="HP16" s="77">
        <f>BIN2DEC(HL16)-BIN2DEC(HL17)</f>
        <v>-32</v>
      </c>
      <c r="HQ16" s="27" t="str">
        <f t="shared" si="110"/>
        <v>0101</v>
      </c>
      <c r="HR16" s="27" t="str">
        <f t="shared" si="111"/>
        <v>0100</v>
      </c>
      <c r="HS16" s="27" t="str">
        <f t="shared" si="112"/>
        <v>0110</v>
      </c>
      <c r="HT16" s="27" t="str">
        <f t="shared" si="113"/>
        <v>1000</v>
      </c>
      <c r="HU16" s="27" t="str">
        <f t="shared" si="114"/>
        <v>1001</v>
      </c>
      <c r="HV16" s="27" t="str">
        <f t="shared" si="115"/>
        <v>1010</v>
      </c>
      <c r="HW16" s="27" t="str">
        <f t="shared" si="116"/>
        <v>1000</v>
      </c>
      <c r="HX16" s="27" t="str">
        <f t="shared" si="117"/>
        <v>1011</v>
      </c>
      <c r="HY16" s="77">
        <f>BIN2DEC(HQ16)-BIN2DEC(HQ17)</f>
        <v>-9</v>
      </c>
      <c r="HZ16" s="77">
        <f t="shared" ref="HZ16:IE16" si="177">BIN2DEC(HR16)-BIN2DEC(HR17)</f>
        <v>0</v>
      </c>
      <c r="IA16" s="77">
        <f t="shared" si="177"/>
        <v>-3</v>
      </c>
      <c r="IB16" s="77">
        <f t="shared" si="177"/>
        <v>3</v>
      </c>
      <c r="IC16" s="77">
        <f t="shared" si="177"/>
        <v>3</v>
      </c>
      <c r="ID16" s="77">
        <f t="shared" si="177"/>
        <v>7</v>
      </c>
      <c r="IE16" s="77">
        <f t="shared" si="177"/>
        <v>-7</v>
      </c>
      <c r="IF16" s="77">
        <f>BIN2DEC(HX16)-BIN2DEC(HX17)</f>
        <v>11</v>
      </c>
      <c r="IG16" s="26" t="str">
        <f t="shared" si="24"/>
        <v>0100010001100000</v>
      </c>
      <c r="IH16" s="26" t="str">
        <f t="shared" si="25"/>
        <v>0000000000000000</v>
      </c>
      <c r="II16" s="77">
        <f>MID(IG16,16,1)*POWER(2,0)+MID(IG16,15,1)*POWER(2,1)+MID(IG16,14,1)*POWER(2,2)+MID(IG16,13,1)*POWER(2,3)+MID(IG16,12,1)*POWER(2,4)+MID(IG16,11,1)*POWER(2,5)+MID(IG16,10,1)*POWER(2,6)+MID(IG16,9,1)*POWER(2,7)+MID(IG16,8,1)*POWER(2,8)+MID(IG16,7,1)*POWER(2,9)+MID(IG16,6,1)*POWER(2,10)+MID(IG16,5,1)*POWER(2,11)+MID(IG16,4,1)*POWER(2,12)+MID(IG16,3,1)*POWER(2,13)+MID(IG16,2,1)*POWER(2,14)+MID(IG16,1,1)*POWER(2,15)-(MID(IG17,16,1)*POWER(2,0)+MID(IG17,15,1)*POWER(2,1)+MID(IG17,14,1)*POWER(2,2)+MID(IG17,13,1)*POWER(2,3)+MID(IG17,12,1)*POWER(2,4)+MID(IG17,11,1)*POWER(2,5)+MID(IG17,10,1)*POWER(2,6)+MID(IG17,9,1)*POWER(2,7)+MID(IG17,8,1)*POWER(2,8)+MID(IG17,7,1)*POWER(2,9)+MID(IG17,6,1)*POWER(2,10)+MID(IG17,5,1)*POWER(2,11)+MID(IG17,4,1)*POWER(2,12)+MID(IG17,3,1)*POWER(2,13)+MID(IG17,2,1)*POWER(2,14)+MID(IG17,1,1)*POWER(2,15))</f>
        <v>9312</v>
      </c>
      <c r="IJ16" s="77">
        <f>MID(IH16,16,1)*POWER(2,0)+MID(IH16,15,1)*POWER(2,1)+MID(IH16,14,1)*POWER(2,2)+MID(IH16,13,1)*POWER(2,3)+MID(IH16,12,1)*POWER(2,4)+MID(IH16,11,1)*POWER(2,5)+MID(IH16,10,1)*POWER(2,6)+MID(IH16,9,1)*POWER(2,7)+MID(IH16,8,1)*POWER(2,8)+MID(IH16,7,1)*POWER(2,9)+MID(IH16,6,1)*POWER(2,10)+MID(IH16,5,1)*POWER(2,11)+MID(IH16,4,1)*POWER(2,12)+MID(IH16,3,1)*POWER(2,13)+MID(IH16,2,1)*POWER(2,14)+MID(IH16,1,1)*POWER(2,15)-(MID(IH17,16,1)*POWER(2,0)+MID(IH17,15,1)*POWER(2,1)+MID(IH17,14,1)*POWER(2,2)+MID(IH17,13,1)*POWER(2,3)+MID(IH17,12,1)*POWER(2,4)+MID(IH17,11,1)*POWER(2,5)+MID(IH17,10,1)*POWER(2,6)+MID(IH17,9,1)*POWER(2,7)+MID(IH17,8,1)*POWER(2,8)+MID(IH17,7,1)*POWER(2,9)+MID(IH17,6,1)*POWER(2,10)+MID(IH17,5,1)*POWER(2,11)+MID(IH17,4,1)*POWER(2,12)+MID(IH17,3,1)*POWER(2,13)+MID(IH17,2,1)*POWER(2,14)+MID(IH17,1,1)*POWER(2,15))</f>
        <v>-8224</v>
      </c>
      <c r="IL16" s="26"/>
      <c r="IM16" s="26"/>
      <c r="IN16" s="26"/>
      <c r="IO16" s="26"/>
      <c r="IP16" s="22"/>
      <c r="IQ16" s="22"/>
      <c r="IR16" s="22"/>
      <c r="IS16" s="22"/>
      <c r="JB16" s="22"/>
      <c r="JC16" s="22"/>
      <c r="JD16" s="22"/>
      <c r="JE16" s="22"/>
      <c r="JF16" s="22"/>
      <c r="JG16" s="22"/>
      <c r="JH16" s="22"/>
      <c r="JI16" s="22"/>
      <c r="JJ16" s="26"/>
      <c r="JK16" s="26"/>
      <c r="JL16" s="22"/>
      <c r="JM16" s="22"/>
    </row>
    <row r="17" spans="1:273" s="31" customFormat="1" ht="18.600000000000001" thickBot="1" x14ac:dyDescent="0.4">
      <c r="A17" s="28"/>
      <c r="B17" s="29"/>
      <c r="C17" s="21" t="s">
        <v>6</v>
      </c>
      <c r="D17" s="21" t="s">
        <v>118</v>
      </c>
      <c r="E17" s="21" t="s">
        <v>13</v>
      </c>
      <c r="F17" s="21" t="s">
        <v>102</v>
      </c>
      <c r="G17" s="21">
        <v>72</v>
      </c>
      <c r="H17" s="21" t="str">
        <f>CONCATENATE(HEX2BIN(D17,8),HEX2BIN(E17,8),HEX2BIN(F17,8),HEX2BIN(G17,8))</f>
        <v>00001100100111101011110001110010</v>
      </c>
      <c r="I17" s="21">
        <f>MID(H17,1,1)+MID(H17,2,1)+MID(H17,3,1)+MID(H17,4,1)+MID(H17,5,1)+MID(H17,6,1)+MID(H17,7,1)+MID(H17,8,1)+MID(H17,9,1)+MID(H17,10,1)+MID(H17,11,1)+MID(H17,12,1)+MID(H17,13,1)+MID(H17,14,1)+MID(H17,15,1)+MID(H17,16,1)+MID(H17,17,1)+MID(H17,18,1)+MID(H17,19,1)+MID(H17,20,1)+MID(H17,21,1)+MID(H17,22,1)+MID(H17,23,1)+MID(H17,24,1)+MID(H17,25,1)+MID(H17,26,1)+MID(H17,27,1)+MID(H17,28,1)+MID(H17,29,1)+MID(H17,30,1)+MID(H17,31,1)+MID(H17,32,1)</f>
        <v>16</v>
      </c>
      <c r="J17" s="21"/>
      <c r="K17" s="21"/>
      <c r="L17" s="44" t="str">
        <f>CONCATENATE(MID(H17,20,5),MID(H17,9,3),MID(H17,28,5),MID(H17,17,3),MID(H17,4,5),MID(H17,25,3),MID(H17,12,5),MID(H17,1,3))</f>
        <v>11100100100101010110001111110000</v>
      </c>
      <c r="M17" s="30" t="str">
        <f t="shared" si="26"/>
        <v>11100100</v>
      </c>
      <c r="N17" s="30" t="str">
        <f t="shared" si="27"/>
        <v>10010101</v>
      </c>
      <c r="O17" s="30" t="str">
        <f t="shared" si="28"/>
        <v>01100011</v>
      </c>
      <c r="P17" s="30" t="str">
        <f t="shared" si="29"/>
        <v>11110000</v>
      </c>
      <c r="Q17" s="78"/>
      <c r="R17" s="78"/>
      <c r="S17" s="78"/>
      <c r="T17" s="78"/>
      <c r="U17" s="31" t="str">
        <f t="shared" si="30"/>
        <v>1110</v>
      </c>
      <c r="V17" s="31" t="str">
        <f t="shared" si="31"/>
        <v>0100</v>
      </c>
      <c r="W17" s="31" t="str">
        <f t="shared" si="32"/>
        <v>1001</v>
      </c>
      <c r="X17" s="31" t="str">
        <f t="shared" si="33"/>
        <v>0101</v>
      </c>
      <c r="Y17" s="31" t="str">
        <f t="shared" si="34"/>
        <v>0110</v>
      </c>
      <c r="Z17" s="31" t="str">
        <f t="shared" si="35"/>
        <v>0011</v>
      </c>
      <c r="AA17" s="31" t="str">
        <f t="shared" si="36"/>
        <v>1111</v>
      </c>
      <c r="AB17" s="31" t="str">
        <f t="shared" si="37"/>
        <v>0000</v>
      </c>
      <c r="AC17" s="78"/>
      <c r="AD17" s="78"/>
      <c r="AE17" s="78"/>
      <c r="AF17" s="78"/>
      <c r="AG17" s="78"/>
      <c r="AH17" s="78"/>
      <c r="AI17" s="78"/>
      <c r="AJ17" s="78"/>
      <c r="AK17" s="30" t="str">
        <f t="shared" si="3"/>
        <v>1110010010010101</v>
      </c>
      <c r="AL17" s="30" t="str">
        <f t="shared" si="4"/>
        <v>0110001111110000</v>
      </c>
      <c r="AM17" s="78"/>
      <c r="AN17" s="78"/>
      <c r="AO17" s="46" t="str">
        <f>CONCATENATE(MID($L17,1,1)*MID($K16,1,1),MID($L17,2,1)*MID($K16,2,1),MID($L17,3,1)*MID($K16,3,1),MID($L17,4,1)*MID($K16,4,1),MID($L17,5,1)*MID($K16,5,1),MID($L17,6,1)*MID($K16,6,1),MID($L17,7,1)*MID($K16,7,1),MID($L17,8,1)*MID($K16,8,1),MID($L17,9,1)*MID($K16,1,1),MID($L17,10,1)*MID($K16,2,1),MID($L17,11,1)*MID($K16,3,1),MID($L17,12,1)*MID($K16,4,1),MID($L17,13,1)*MID($K16,5,1),MID($L17,14,1)*MID($K16,6,1),MID($L17,15,1)*MID($K16,7,1),MID($L17,16,1)*MID($K16,8,1),MID($L17,17,1)*MID($K16,1,1),MID($L17,18,1)*MID($K16,2,1),MID($L17,19,1)*MID($K16,3,1),MID($L17,20,1)*MID($K16,4,1),MID($L17,21,1)*MID($K16,5,1),MID($L17,22,1)*MID($K16,6,1),MID($L17,23,1)*MID($K16,7,1),MID($L17,24,1)*MID($K16,8,1),MID($L17,25,1)*MID($K16,1,1),MID($L17,26,1)*MID($K16,2,1),MID($L17,27,1)*MID($K16,3,1),MID($L17,28,1)*MID($K16,4,1),MID($L17,29,1)*MID($K16,5,1),MID($L17,30,1)*MID($K16,6,1),MID($L17,31,1)*MID($K16,7,1),MID($L17,32,1)*MID($K16,8,1))</f>
        <v>01100100000001000110000001100000</v>
      </c>
      <c r="AP17" s="30" t="str">
        <f t="shared" si="38"/>
        <v>01100100</v>
      </c>
      <c r="AQ17" s="30" t="str">
        <f t="shared" si="39"/>
        <v>00000100</v>
      </c>
      <c r="AR17" s="30" t="str">
        <f t="shared" si="40"/>
        <v>01100000</v>
      </c>
      <c r="AS17" s="30" t="str">
        <f t="shared" si="41"/>
        <v>01100000</v>
      </c>
      <c r="AT17" s="78"/>
      <c r="AU17" s="78"/>
      <c r="AV17" s="78"/>
      <c r="AW17" s="78"/>
      <c r="AX17" s="31" t="str">
        <f t="shared" si="42"/>
        <v>1110</v>
      </c>
      <c r="AY17" s="31" t="str">
        <f t="shared" si="43"/>
        <v>0100</v>
      </c>
      <c r="AZ17" s="31" t="str">
        <f t="shared" si="44"/>
        <v>1001</v>
      </c>
      <c r="BA17" s="31" t="str">
        <f t="shared" si="45"/>
        <v>0101</v>
      </c>
      <c r="BB17" s="31" t="str">
        <f t="shared" si="46"/>
        <v>0110</v>
      </c>
      <c r="BC17" s="31" t="str">
        <f t="shared" si="47"/>
        <v>0011</v>
      </c>
      <c r="BD17" s="31" t="str">
        <f t="shared" si="48"/>
        <v>1111</v>
      </c>
      <c r="BE17" s="31" t="str">
        <f t="shared" si="49"/>
        <v>0000</v>
      </c>
      <c r="BF17" s="78"/>
      <c r="BG17" s="78"/>
      <c r="BH17" s="78"/>
      <c r="BI17" s="78"/>
      <c r="BJ17" s="78"/>
      <c r="BK17" s="78"/>
      <c r="BL17" s="78"/>
      <c r="BM17" s="78"/>
      <c r="BN17" s="30" t="str">
        <f t="shared" si="6"/>
        <v>0110010000000100</v>
      </c>
      <c r="BO17" s="30" t="str">
        <f t="shared" si="7"/>
        <v>0110000001100000</v>
      </c>
      <c r="BP17" s="78"/>
      <c r="BQ17" s="78"/>
      <c r="BR17" s="46" t="str">
        <f>L17</f>
        <v>11100100100101010110001111110000</v>
      </c>
      <c r="BS17" s="30" t="str">
        <f t="shared" si="50"/>
        <v>11100100</v>
      </c>
      <c r="BT17" s="30" t="str">
        <f t="shared" si="51"/>
        <v>10010101</v>
      </c>
      <c r="BU17" s="30" t="str">
        <f t="shared" si="52"/>
        <v>01100011</v>
      </c>
      <c r="BV17" s="30" t="str">
        <f t="shared" si="53"/>
        <v>11110000</v>
      </c>
      <c r="BW17" s="78"/>
      <c r="BX17" s="78"/>
      <c r="BY17" s="78"/>
      <c r="BZ17" s="78"/>
      <c r="CA17" s="31" t="str">
        <f t="shared" si="54"/>
        <v>1110</v>
      </c>
      <c r="CB17" s="31" t="str">
        <f t="shared" si="55"/>
        <v>0100</v>
      </c>
      <c r="CC17" s="31" t="str">
        <f t="shared" si="56"/>
        <v>1001</v>
      </c>
      <c r="CD17" s="31" t="str">
        <f t="shared" si="57"/>
        <v>0101</v>
      </c>
      <c r="CE17" s="31" t="str">
        <f t="shared" si="58"/>
        <v>0110</v>
      </c>
      <c r="CF17" s="31" t="str">
        <f t="shared" si="59"/>
        <v>0011</v>
      </c>
      <c r="CG17" s="31" t="str">
        <f t="shared" si="60"/>
        <v>1111</v>
      </c>
      <c r="CH17" s="31" t="str">
        <f t="shared" si="61"/>
        <v>0000</v>
      </c>
      <c r="CI17" s="78"/>
      <c r="CJ17" s="78"/>
      <c r="CK17" s="78"/>
      <c r="CL17" s="78"/>
      <c r="CM17" s="78"/>
      <c r="CN17" s="78"/>
      <c r="CO17" s="78"/>
      <c r="CP17" s="78"/>
      <c r="CQ17" s="30" t="str">
        <f t="shared" si="9"/>
        <v>1110010010010101</v>
      </c>
      <c r="CR17" s="30" t="str">
        <f t="shared" si="10"/>
        <v>0110001111110000</v>
      </c>
      <c r="CS17" s="78"/>
      <c r="CT17" s="78"/>
      <c r="CU17" s="46" t="str">
        <f>AO17</f>
        <v>01100100000001000110000001100000</v>
      </c>
      <c r="CV17" s="30" t="str">
        <f t="shared" si="62"/>
        <v>01100100</v>
      </c>
      <c r="CW17" s="30" t="str">
        <f t="shared" si="63"/>
        <v>00000100</v>
      </c>
      <c r="CX17" s="30" t="str">
        <f t="shared" si="64"/>
        <v>01100000</v>
      </c>
      <c r="CY17" s="30" t="str">
        <f t="shared" si="65"/>
        <v>01100000</v>
      </c>
      <c r="CZ17" s="78"/>
      <c r="DA17" s="78"/>
      <c r="DB17" s="78"/>
      <c r="DC17" s="78"/>
      <c r="DD17" s="31" t="str">
        <f t="shared" si="66"/>
        <v>1110</v>
      </c>
      <c r="DE17" s="31" t="str">
        <f t="shared" si="67"/>
        <v>0100</v>
      </c>
      <c r="DF17" s="31" t="str">
        <f t="shared" si="68"/>
        <v>1001</v>
      </c>
      <c r="DG17" s="31" t="str">
        <f t="shared" si="69"/>
        <v>0101</v>
      </c>
      <c r="DH17" s="31" t="str">
        <f t="shared" si="70"/>
        <v>0110</v>
      </c>
      <c r="DI17" s="31" t="str">
        <f t="shared" si="71"/>
        <v>0011</v>
      </c>
      <c r="DJ17" s="31" t="str">
        <f t="shared" si="72"/>
        <v>1111</v>
      </c>
      <c r="DK17" s="31" t="str">
        <f t="shared" si="73"/>
        <v>0000</v>
      </c>
      <c r="DL17" s="78"/>
      <c r="DM17" s="78"/>
      <c r="DN17" s="78"/>
      <c r="DO17" s="78"/>
      <c r="DP17" s="78"/>
      <c r="DQ17" s="78"/>
      <c r="DR17" s="78"/>
      <c r="DS17" s="78"/>
      <c r="DT17" s="30" t="str">
        <f t="shared" si="12"/>
        <v>0110010000000100</v>
      </c>
      <c r="DU17" s="30" t="str">
        <f t="shared" si="13"/>
        <v>0110000001100000</v>
      </c>
      <c r="DV17" s="78"/>
      <c r="DW17" s="78"/>
      <c r="DX17" s="23" t="str">
        <f>CONCATENATE(MID($H17,1,1)*MID($K16,1,1),MID($H17,2,1)*MID($K16,2,1),MID($H17,3,1)*MID($K16,3,1),MID($H17,4,1)*MID($K16,4,1),MID($H17,5,1)*MID($K16,5,1),MID($H17,6,1)*MID($K16,6,1),MID($H17,7,1)*MID($K16,7,1),MID($H17,8,1)*MID($K16,8,1),MID($H17,9,1)*MID($K16,1,1),MID($H17,10,1)*MID($K16,2,1),MID($H17,11,1)*MID($K16,3,1),MID($H17,12,1)*MID($K16,4,1),MID($H17,13,1)*MID($K16,5,1),MID($H17,14,1)*MID($K16,6,1),MID($H17,15,1)*MID($K16,7,1),MID($H17,16,1)*MID($K16,8,1),MID($H17,17,1)*MID($K16,1,1),MID($H17,18,1)*MID($K16,2,1),MID($H17,19,1)*MID($K16,3,1),MID($H17,20,1)*MID($K16,4,1),MID($H17,21,1)*MID($K16,5,1),MID($H17,22,1)*MID($K16,6,1),MID($H17,23,1)*MID($K16,7,1),MID($H17,24,1)*MID($K16,8,1),MID($H17,25,1)*MID($K16,1,1),MID($H17,26,1)*MID($K16,2,1),MID($H17,27,1)*MID($K16,3,1),MID($H17,28,1)*MID($K16,4,1),MID($H17,29,1)*MID($K16,5,1),MID($H17,30,1)*MID($K16,6,1),MID($H17,31,1)*MID($K16,7,1),MID($H17,32,1)*MID($K16,8,1))</f>
        <v>00000100000001000010010001100000</v>
      </c>
      <c r="DY17" s="44" t="str">
        <f>CONCATENATE(MID(DX17,20,5),MID(DX17,9,3),MID(DX17,28,5),MID(DX17,17,3),MID(DX17,4,5),MID(DX17,25,3),MID(DX17,12,5),MID(DX17,1,3))</f>
        <v>00100000000000010010001100100000</v>
      </c>
      <c r="DZ17" s="30" t="str">
        <f t="shared" si="122"/>
        <v>00100000</v>
      </c>
      <c r="EA17" s="30" t="str">
        <f t="shared" si="74"/>
        <v>00000001</v>
      </c>
      <c r="EB17" s="30" t="str">
        <f t="shared" si="75"/>
        <v>00100011</v>
      </c>
      <c r="EC17" s="30" t="str">
        <f t="shared" si="76"/>
        <v>00100000</v>
      </c>
      <c r="ED17" s="78"/>
      <c r="EE17" s="78"/>
      <c r="EF17" s="78"/>
      <c r="EG17" s="78"/>
      <c r="EH17" s="31" t="str">
        <f t="shared" si="77"/>
        <v>1110</v>
      </c>
      <c r="EI17" s="31" t="str">
        <f t="shared" si="78"/>
        <v>0100</v>
      </c>
      <c r="EJ17" s="31" t="str">
        <f t="shared" si="79"/>
        <v>1001</v>
      </c>
      <c r="EK17" s="31" t="str">
        <f t="shared" si="80"/>
        <v>0101</v>
      </c>
      <c r="EL17" s="31" t="str">
        <f t="shared" si="81"/>
        <v>0110</v>
      </c>
      <c r="EM17" s="31" t="str">
        <f t="shared" si="82"/>
        <v>0011</v>
      </c>
      <c r="EN17" s="31" t="str">
        <f t="shared" si="83"/>
        <v>1111</v>
      </c>
      <c r="EO17" s="31" t="str">
        <f t="shared" si="84"/>
        <v>0000</v>
      </c>
      <c r="EP17" s="78"/>
      <c r="EQ17" s="78"/>
      <c r="ER17" s="78"/>
      <c r="ES17" s="78"/>
      <c r="ET17" s="78"/>
      <c r="EU17" s="78"/>
      <c r="EV17" s="78"/>
      <c r="EW17" s="78"/>
      <c r="EX17" s="30" t="str">
        <f t="shared" si="15"/>
        <v>0010000000000001</v>
      </c>
      <c r="EY17" s="30" t="str">
        <f t="shared" si="16"/>
        <v>0010001100100000</v>
      </c>
      <c r="EZ17" s="78"/>
      <c r="FA17" s="78"/>
      <c r="FB17" s="46" t="str">
        <f>CONCATENATE(MID(DY17,1,1)*MID($K16,1,1),MID(DY17,2,1)*MID($K16,2,1),MID(DY17,3,1)*MID($K16,3,1),MID(DY17,4,1)*MID($K16,4,1),MID(DY17,5,1)*MID($K16,5,1),MID(DY17,6,1)*MID($K16,6,1),MID(DY17,7,1)*MID($K16,7,1),MID(DY17,8,1)*MID($K16,8,1),MID(DY17,9,1)*MID($K16,1,1),MID(DY17,10,1)*MID($K16,2,1),MID(DY17,11,1)*MID($K16,3,1),MID(DY17,12,1)*MID($K16,4,1),MID(DY17,13,1)*MID($K16,5,1),MID(DY17,14,1)*MID($K16,6,1),MID(DY17,15,1)*MID($K16,7,1),MID(DY17,16,1)*MID($K16,8,1),MID(DY17,17,1)*MID($K16,1,1),MID(DY17,18,1)*MID($K16,2,1),MID(DY17,19,1)*MID($K16,3,1),MID(DY17,20,1)*MID($K16,4,1),MID(DY17,21,1)*MID($K16,5,1),MID(DY17,22,1)*MID($K16,6,1),MID(DY17,23,1)*MID($K16,7,1),MID(DY17,24,1)*MID($K16,8,1),MID(DY17,25,1)*MID($K16,1,1),MID(DY17,26,1)*MID($K16,2,1),MID(DY17,27,1)*MID($K16,3,1),MID(DY17,28,1)*MID($K16,4,1),MID(DY17,29,1)*MID($K16,5,1),MID(DY17,30,1)*MID($K16,6,1),MID(DY17,31,1)*MID($K16,7,1),MID(DY17,32,1)*MID($K16,8,1))</f>
        <v>00100000000000000010000000100000</v>
      </c>
      <c r="FC17" s="30" t="str">
        <f t="shared" si="124"/>
        <v>00100000</v>
      </c>
      <c r="FD17" s="30" t="str">
        <f t="shared" si="85"/>
        <v>00000000</v>
      </c>
      <c r="FE17" s="30" t="str">
        <f t="shared" si="86"/>
        <v>00100000</v>
      </c>
      <c r="FF17" s="30" t="str">
        <f t="shared" si="87"/>
        <v>00100000</v>
      </c>
      <c r="FG17" s="78"/>
      <c r="FH17" s="78"/>
      <c r="FI17" s="78"/>
      <c r="FJ17" s="78"/>
      <c r="FK17" s="31" t="str">
        <f t="shared" si="88"/>
        <v>1110</v>
      </c>
      <c r="FL17" s="31" t="str">
        <f t="shared" si="89"/>
        <v>0100</v>
      </c>
      <c r="FM17" s="31" t="str">
        <f t="shared" si="90"/>
        <v>1001</v>
      </c>
      <c r="FN17" s="31" t="str">
        <f t="shared" si="91"/>
        <v>0101</v>
      </c>
      <c r="FO17" s="31" t="str">
        <f t="shared" si="92"/>
        <v>0110</v>
      </c>
      <c r="FP17" s="31" t="str">
        <f t="shared" si="93"/>
        <v>0011</v>
      </c>
      <c r="FQ17" s="31" t="str">
        <f t="shared" si="94"/>
        <v>1111</v>
      </c>
      <c r="FR17" s="31" t="str">
        <f t="shared" si="95"/>
        <v>0000</v>
      </c>
      <c r="FS17" s="78"/>
      <c r="FT17" s="78"/>
      <c r="FU17" s="78"/>
      <c r="FV17" s="78"/>
      <c r="FW17" s="78"/>
      <c r="FX17" s="78"/>
      <c r="FY17" s="78"/>
      <c r="FZ17" s="78"/>
      <c r="GA17" s="30" t="str">
        <f t="shared" si="18"/>
        <v>0010000000000000</v>
      </c>
      <c r="GB17" s="30" t="str">
        <f t="shared" si="19"/>
        <v>0010000000100000</v>
      </c>
      <c r="GC17" s="78"/>
      <c r="GD17" s="78"/>
      <c r="GE17" s="48" t="str">
        <f>DY17</f>
        <v>00100000000000010010001100100000</v>
      </c>
      <c r="GF17" s="30" t="str">
        <f t="shared" si="126"/>
        <v>00100000</v>
      </c>
      <c r="GG17" s="30" t="str">
        <f t="shared" si="96"/>
        <v>00000001</v>
      </c>
      <c r="GH17" s="30" t="str">
        <f t="shared" si="97"/>
        <v>00100011</v>
      </c>
      <c r="GI17" s="30" t="str">
        <f t="shared" si="98"/>
        <v>00100000</v>
      </c>
      <c r="GJ17" s="78"/>
      <c r="GK17" s="78"/>
      <c r="GL17" s="78"/>
      <c r="GM17" s="78"/>
      <c r="GN17" s="31" t="str">
        <f t="shared" si="99"/>
        <v>1110</v>
      </c>
      <c r="GO17" s="31" t="str">
        <f t="shared" si="100"/>
        <v>0100</v>
      </c>
      <c r="GP17" s="31" t="str">
        <f t="shared" si="101"/>
        <v>1001</v>
      </c>
      <c r="GQ17" s="31" t="str">
        <f t="shared" si="102"/>
        <v>0101</v>
      </c>
      <c r="GR17" s="31" t="str">
        <f t="shared" si="103"/>
        <v>0110</v>
      </c>
      <c r="GS17" s="31" t="str">
        <f t="shared" si="104"/>
        <v>0011</v>
      </c>
      <c r="GT17" s="31" t="str">
        <f t="shared" si="105"/>
        <v>1111</v>
      </c>
      <c r="GU17" s="31" t="str">
        <f t="shared" si="106"/>
        <v>0000</v>
      </c>
      <c r="GV17" s="78"/>
      <c r="GW17" s="78"/>
      <c r="GX17" s="78"/>
      <c r="GY17" s="78"/>
      <c r="GZ17" s="78"/>
      <c r="HA17" s="78"/>
      <c r="HB17" s="78"/>
      <c r="HC17" s="78"/>
      <c r="HD17" s="30" t="str">
        <f t="shared" si="21"/>
        <v>0010000000000001</v>
      </c>
      <c r="HE17" s="30" t="str">
        <f t="shared" si="22"/>
        <v>0010001100100000</v>
      </c>
      <c r="HF17" s="78"/>
      <c r="HG17" s="78"/>
      <c r="HH17" s="48" t="str">
        <f>FB17</f>
        <v>00100000000000000010000000100000</v>
      </c>
      <c r="HI17" s="30" t="str">
        <f t="shared" si="128"/>
        <v>00100000</v>
      </c>
      <c r="HJ17" s="30" t="str">
        <f t="shared" si="107"/>
        <v>00000000</v>
      </c>
      <c r="HK17" s="30" t="str">
        <f t="shared" si="108"/>
        <v>00100000</v>
      </c>
      <c r="HL17" s="30" t="str">
        <f t="shared" si="109"/>
        <v>00100000</v>
      </c>
      <c r="HM17" s="78"/>
      <c r="HN17" s="78"/>
      <c r="HO17" s="78"/>
      <c r="HP17" s="78"/>
      <c r="HQ17" s="31" t="str">
        <f t="shared" si="110"/>
        <v>1110</v>
      </c>
      <c r="HR17" s="31" t="str">
        <f t="shared" si="111"/>
        <v>0100</v>
      </c>
      <c r="HS17" s="31" t="str">
        <f t="shared" si="112"/>
        <v>1001</v>
      </c>
      <c r="HT17" s="31" t="str">
        <f t="shared" si="113"/>
        <v>0101</v>
      </c>
      <c r="HU17" s="31" t="str">
        <f t="shared" si="114"/>
        <v>0110</v>
      </c>
      <c r="HV17" s="31" t="str">
        <f t="shared" si="115"/>
        <v>0011</v>
      </c>
      <c r="HW17" s="31" t="str">
        <f t="shared" si="116"/>
        <v>1111</v>
      </c>
      <c r="HX17" s="31" t="str">
        <f t="shared" si="117"/>
        <v>0000</v>
      </c>
      <c r="HY17" s="78"/>
      <c r="HZ17" s="78"/>
      <c r="IA17" s="78"/>
      <c r="IB17" s="78"/>
      <c r="IC17" s="78"/>
      <c r="ID17" s="78"/>
      <c r="IE17" s="78"/>
      <c r="IF17" s="78"/>
      <c r="IG17" s="30" t="str">
        <f t="shared" si="24"/>
        <v>0010000000000000</v>
      </c>
      <c r="IH17" s="30" t="str">
        <f t="shared" si="25"/>
        <v>0010000000100000</v>
      </c>
      <c r="II17" s="78"/>
      <c r="IJ17" s="78"/>
      <c r="IL17" s="30"/>
      <c r="IM17" s="30"/>
      <c r="IN17" s="30"/>
      <c r="IO17" s="30"/>
      <c r="IP17" s="23"/>
      <c r="IQ17" s="23"/>
      <c r="IR17" s="23"/>
      <c r="IS17" s="23"/>
      <c r="JB17" s="23"/>
      <c r="JC17" s="23"/>
      <c r="JD17" s="23"/>
      <c r="JE17" s="23"/>
      <c r="JF17" s="23"/>
      <c r="JG17" s="23"/>
      <c r="JH17" s="23"/>
      <c r="JI17" s="23"/>
      <c r="JJ17" s="30"/>
      <c r="JK17" s="30"/>
      <c r="JL17" s="23"/>
      <c r="JM17" s="23"/>
    </row>
    <row r="18" spans="1:273" s="27" customFormat="1" x14ac:dyDescent="0.35">
      <c r="A18" s="24"/>
      <c r="B18" s="25"/>
      <c r="C18" s="20" t="s">
        <v>0</v>
      </c>
      <c r="D18" s="20" t="s">
        <v>72</v>
      </c>
      <c r="E18" s="20">
        <v>94</v>
      </c>
      <c r="F18" s="20" t="s">
        <v>12</v>
      </c>
      <c r="G18" s="20" t="s">
        <v>45</v>
      </c>
      <c r="H18" s="20" t="str">
        <f>CONCATENATE(HEX2BIN(D18,8),HEX2BIN(E18,8),HEX2BIN(F18,8),HEX2BIN(G18,8))</f>
        <v>01011010100101001010001101111100</v>
      </c>
      <c r="I18" s="20">
        <f>MID(H18,1,1)+MID(H18,2,1)+MID(H18,3,1)+MID(H18,4,1)+MID(H18,5,1)+MID(H18,6,1)+MID(H18,7,1)+MID(H18,8,1)+MID(H18,9,1)+MID(H18,10,1)+MID(H18,11,1)+MID(H18,12,1)+MID(H18,13,1)+MID(H18,14,1)+MID(H18,15,1)+MID(H18,16,1)+MID(H18,17,1)+MID(H18,18,1)+MID(H18,19,1)+MID(H18,20,1)+MID(H18,21,1)+MID(H18,22,1)+MID(H18,23,1)+MID(H18,24,1)+MID(H18,25,1)+MID(H18,26,1)+MID(H18,27,1)+MID(H18,28,1)+MID(H18,29,1)+MID(H18,30,1)+MID(H18,31,1)+MID(H18,32,1)</f>
        <v>16</v>
      </c>
      <c r="J18" s="20">
        <v>64</v>
      </c>
      <c r="K18" s="20" t="str">
        <f>HEX2BIN(J18,8)</f>
        <v>01100100</v>
      </c>
      <c r="L18" s="43" t="str">
        <f>H18</f>
        <v>01011010100101001010001101111100</v>
      </c>
      <c r="M18" s="26" t="str">
        <f t="shared" si="26"/>
        <v>01011010</v>
      </c>
      <c r="N18" s="26" t="str">
        <f t="shared" si="27"/>
        <v>10010100</v>
      </c>
      <c r="O18" s="26" t="str">
        <f t="shared" si="28"/>
        <v>10100011</v>
      </c>
      <c r="P18" s="26" t="str">
        <f t="shared" si="29"/>
        <v>01111100</v>
      </c>
      <c r="Q18" s="77">
        <f>BIN2DEC(M18)-BIN2DEC(M19)</f>
        <v>-144</v>
      </c>
      <c r="R18" s="77">
        <f>BIN2DEC(N18)-BIN2DEC(N19)</f>
        <v>-45</v>
      </c>
      <c r="S18" s="77">
        <f>BIN2DEC(O18)-BIN2DEC(O19)</f>
        <v>55</v>
      </c>
      <c r="T18" s="77">
        <f>BIN2DEC(P18)-BIN2DEC(P19)</f>
        <v>-101</v>
      </c>
      <c r="U18" s="27" t="str">
        <f t="shared" si="30"/>
        <v>0101</v>
      </c>
      <c r="V18" s="27" t="str">
        <f t="shared" si="31"/>
        <v>1010</v>
      </c>
      <c r="W18" s="27" t="str">
        <f t="shared" si="32"/>
        <v>1001</v>
      </c>
      <c r="X18" s="27" t="str">
        <f t="shared" si="33"/>
        <v>0100</v>
      </c>
      <c r="Y18" s="27" t="str">
        <f t="shared" si="34"/>
        <v>1010</v>
      </c>
      <c r="Z18" s="27" t="str">
        <f t="shared" si="35"/>
        <v>0011</v>
      </c>
      <c r="AA18" s="27" t="str">
        <f t="shared" si="36"/>
        <v>0111</v>
      </c>
      <c r="AB18" s="27" t="str">
        <f t="shared" si="37"/>
        <v>1100</v>
      </c>
      <c r="AC18" s="77">
        <f>BIN2DEC(U18)-BIN2DEC(U19)</f>
        <v>-9</v>
      </c>
      <c r="AD18" s="77">
        <f t="shared" ref="AD18:AI18" si="178">BIN2DEC(V18)-BIN2DEC(V19)</f>
        <v>0</v>
      </c>
      <c r="AE18" s="77">
        <f t="shared" si="178"/>
        <v>-3</v>
      </c>
      <c r="AF18" s="77">
        <f t="shared" si="178"/>
        <v>3</v>
      </c>
      <c r="AG18" s="77">
        <f t="shared" si="178"/>
        <v>4</v>
      </c>
      <c r="AH18" s="77">
        <f t="shared" si="178"/>
        <v>-9</v>
      </c>
      <c r="AI18" s="77">
        <f t="shared" si="178"/>
        <v>-7</v>
      </c>
      <c r="AJ18" s="77">
        <f>BIN2DEC(AB18)-BIN2DEC(AB19)</f>
        <v>11</v>
      </c>
      <c r="AK18" s="26" t="str">
        <f t="shared" si="3"/>
        <v>0101101010010100</v>
      </c>
      <c r="AL18" s="26" t="str">
        <f t="shared" si="4"/>
        <v>1010001101111100</v>
      </c>
      <c r="AM18" s="77">
        <f>MID(AK18,16,1)*POWER(2,0)+MID(AK18,15,1)*POWER(2,1)+MID(AK18,14,1)*POWER(2,2)+MID(AK18,13,1)*POWER(2,3)+MID(AK18,12,1)*POWER(2,4)+MID(AK18,11,1)*POWER(2,5)+MID(AK18,10,1)*POWER(2,6)+MID(AK18,9,1)*POWER(2,7)+MID(AK18,8,1)*POWER(2,8)+MID(AK18,7,1)*POWER(2,9)+MID(AK18,6,1)*POWER(2,10)+MID(AK18,5,1)*POWER(2,11)+MID(AK18,4,1)*POWER(2,12)+MID(AK18,3,1)*POWER(2,13)+MID(AK18,2,1)*POWER(2,14)+MID(AK18,1,1)*POWER(2,15)-(MID(AK19,16,1)*POWER(2,0)+MID(AK19,15,1)*POWER(2,1)+MID(AK19,14,1)*POWER(2,2)+MID(AK19,13,1)*POWER(2,3)+MID(AK19,12,1)*POWER(2,4)+MID(AK19,11,1)*POWER(2,5)+MID(AK19,10,1)*POWER(2,6)+MID(AK19,9,1)*POWER(2,7)+MID(AK19,8,1)*POWER(2,8)+MID(AK19,7,1)*POWER(2,9)+MID(AK19,6,1)*POWER(2,10)+MID(AK19,5,1)*POWER(2,11)+MID(AK19,4,1)*POWER(2,12)+MID(AK19,3,1)*POWER(2,13)+MID(AK19,2,1)*POWER(2,14)+MID(AK19,1,1)*POWER(2,15))</f>
        <v>-36909</v>
      </c>
      <c r="AN18" s="77">
        <f>MID(AL18,16,1)*POWER(2,0)+MID(AL18,15,1)*POWER(2,1)+MID(AL18,14,1)*POWER(2,2)+MID(AL18,13,1)*POWER(2,3)+MID(AL18,12,1)*POWER(2,4)+MID(AL18,11,1)*POWER(2,5)+MID(AL18,10,1)*POWER(2,6)+MID(AL18,9,1)*POWER(2,7)+MID(AL18,8,1)*POWER(2,8)+MID(AL18,7,1)*POWER(2,9)+MID(AL18,6,1)*POWER(2,10)+MID(AL18,5,1)*POWER(2,11)+MID(AL18,4,1)*POWER(2,12)+MID(AL18,3,1)*POWER(2,13)+MID(AL18,2,1)*POWER(2,14)+MID(AL18,1,1)*POWER(2,15)-(MID(AL19,16,1)*POWER(2,0)+MID(AL19,15,1)*POWER(2,1)+MID(AL19,14,1)*POWER(2,2)+MID(AL19,13,1)*POWER(2,3)+MID(AL19,12,1)*POWER(2,4)+MID(AL19,11,1)*POWER(2,5)+MID(AL19,10,1)*POWER(2,6)+MID(AL19,9,1)*POWER(2,7)+MID(AL19,8,1)*POWER(2,8)+MID(AL19,7,1)*POWER(2,9)+MID(AL19,6,1)*POWER(2,10)+MID(AL19,5,1)*POWER(2,11)+MID(AL19,4,1)*POWER(2,12)+MID(AL19,3,1)*POWER(2,13)+MID(AL19,2,1)*POWER(2,14)+MID(AL19,1,1)*POWER(2,15))</f>
        <v>13979</v>
      </c>
      <c r="AO18" s="45" t="str">
        <f>H18</f>
        <v>01011010100101001010001101111100</v>
      </c>
      <c r="AP18" s="26" t="str">
        <f t="shared" si="38"/>
        <v>01011010</v>
      </c>
      <c r="AQ18" s="26" t="str">
        <f t="shared" si="39"/>
        <v>10010100</v>
      </c>
      <c r="AR18" s="26" t="str">
        <f t="shared" si="40"/>
        <v>10100011</v>
      </c>
      <c r="AS18" s="26" t="str">
        <f t="shared" si="41"/>
        <v>01111100</v>
      </c>
      <c r="AT18" s="77">
        <f>BIN2DEC(AP18)-BIN2DEC(AP19)</f>
        <v>-6</v>
      </c>
      <c r="AU18" s="77">
        <f>BIN2DEC(AQ18)-BIN2DEC(AQ19)</f>
        <v>84</v>
      </c>
      <c r="AV18" s="77">
        <f>BIN2DEC(AR18)-BIN2DEC(AR19)</f>
        <v>63</v>
      </c>
      <c r="AW18" s="77">
        <f>BIN2DEC(AS18)-BIN2DEC(AS19)</f>
        <v>28</v>
      </c>
      <c r="AX18" s="27" t="str">
        <f t="shared" si="42"/>
        <v>0101</v>
      </c>
      <c r="AY18" s="27" t="str">
        <f t="shared" si="43"/>
        <v>1010</v>
      </c>
      <c r="AZ18" s="27" t="str">
        <f t="shared" si="44"/>
        <v>1001</v>
      </c>
      <c r="BA18" s="27" t="str">
        <f t="shared" si="45"/>
        <v>0100</v>
      </c>
      <c r="BB18" s="27" t="str">
        <f t="shared" si="46"/>
        <v>1010</v>
      </c>
      <c r="BC18" s="27" t="str">
        <f t="shared" si="47"/>
        <v>0011</v>
      </c>
      <c r="BD18" s="27" t="str">
        <f t="shared" si="48"/>
        <v>0111</v>
      </c>
      <c r="BE18" s="27" t="str">
        <f t="shared" si="49"/>
        <v>1100</v>
      </c>
      <c r="BF18" s="77">
        <f>BIN2DEC(AX18)-BIN2DEC(AX19)</f>
        <v>-9</v>
      </c>
      <c r="BG18" s="77">
        <f t="shared" ref="BG18:BL18" si="179">BIN2DEC(AY18)-BIN2DEC(AY19)</f>
        <v>0</v>
      </c>
      <c r="BH18" s="77">
        <f t="shared" si="179"/>
        <v>-3</v>
      </c>
      <c r="BI18" s="77">
        <f t="shared" si="179"/>
        <v>3</v>
      </c>
      <c r="BJ18" s="77">
        <f t="shared" si="179"/>
        <v>4</v>
      </c>
      <c r="BK18" s="77">
        <f t="shared" si="179"/>
        <v>-9</v>
      </c>
      <c r="BL18" s="77">
        <f t="shared" si="179"/>
        <v>-7</v>
      </c>
      <c r="BM18" s="77">
        <f>BIN2DEC(BE18)-BIN2DEC(BE19)</f>
        <v>11</v>
      </c>
      <c r="BN18" s="26" t="str">
        <f t="shared" si="6"/>
        <v>0101101010010100</v>
      </c>
      <c r="BO18" s="26" t="str">
        <f t="shared" si="7"/>
        <v>1010001101111100</v>
      </c>
      <c r="BP18" s="77">
        <f>MID(BN18,16,1)*POWER(2,0)+MID(BN18,15,1)*POWER(2,1)+MID(BN18,14,1)*POWER(2,2)+MID(BN18,13,1)*POWER(2,3)+MID(BN18,12,1)*POWER(2,4)+MID(BN18,11,1)*POWER(2,5)+MID(BN18,10,1)*POWER(2,6)+MID(BN18,9,1)*POWER(2,7)+MID(BN18,8,1)*POWER(2,8)+MID(BN18,7,1)*POWER(2,9)+MID(BN18,6,1)*POWER(2,10)+MID(BN18,5,1)*POWER(2,11)+MID(BN18,4,1)*POWER(2,12)+MID(BN18,3,1)*POWER(2,13)+MID(BN18,2,1)*POWER(2,14)+MID(BN18,1,1)*POWER(2,15)-(MID(BN19,16,1)*POWER(2,0)+MID(BN19,15,1)*POWER(2,1)+MID(BN19,14,1)*POWER(2,2)+MID(BN19,13,1)*POWER(2,3)+MID(BN19,12,1)*POWER(2,4)+MID(BN19,11,1)*POWER(2,5)+MID(BN19,10,1)*POWER(2,6)+MID(BN19,9,1)*POWER(2,7)+MID(BN19,8,1)*POWER(2,8)+MID(BN19,7,1)*POWER(2,9)+MID(BN19,6,1)*POWER(2,10)+MID(BN19,5,1)*POWER(2,11)+MID(BN19,4,1)*POWER(2,12)+MID(BN19,3,1)*POWER(2,13)+MID(BN19,2,1)*POWER(2,14)+MID(BN19,1,1)*POWER(2,15))</f>
        <v>-1452</v>
      </c>
      <c r="BQ18" s="77">
        <f>MID(BO18,16,1)*POWER(2,0)+MID(BO18,15,1)*POWER(2,1)+MID(BO18,14,1)*POWER(2,2)+MID(BO18,13,1)*POWER(2,3)+MID(BO18,12,1)*POWER(2,4)+MID(BO18,11,1)*POWER(2,5)+MID(BO18,10,1)*POWER(2,6)+MID(BO18,9,1)*POWER(2,7)+MID(BO18,8,1)*POWER(2,8)+MID(BO18,7,1)*POWER(2,9)+MID(BO18,6,1)*POWER(2,10)+MID(BO18,5,1)*POWER(2,11)+MID(BO18,4,1)*POWER(2,12)+MID(BO18,3,1)*POWER(2,13)+MID(BO18,2,1)*POWER(2,14)+MID(BO18,1,1)*POWER(2,15)-(MID(BO19,16,1)*POWER(2,0)+MID(BO19,15,1)*POWER(2,1)+MID(BO19,14,1)*POWER(2,2)+MID(BO19,13,1)*POWER(2,3)+MID(BO19,12,1)*POWER(2,4)+MID(BO19,11,1)*POWER(2,5)+MID(BO19,10,1)*POWER(2,6)+MID(BO19,9,1)*POWER(2,7)+MID(BO19,8,1)*POWER(2,8)+MID(BO19,7,1)*POWER(2,9)+MID(BO19,6,1)*POWER(2,10)+MID(BO19,5,1)*POWER(2,11)+MID(BO19,4,1)*POWER(2,12)+MID(BO19,3,1)*POWER(2,13)+MID(BO19,2,1)*POWER(2,14)+MID(BO19,1,1)*POWER(2,15))</f>
        <v>16156</v>
      </c>
      <c r="BR18" s="45" t="str">
        <f>CONCATENATE(MID($L18,1,1)*MID($K18,1,1),MID($L18,2,1)*MID($K18,2,1),MID($L18,3,1)*MID($K18,3,1),MID($L18,4,1)*MID($K18,4,1),MID($L18,5,1)*MID($K18,5,1),MID($L18,6,1)*MID($K18,6,1),MID($L18,7,1)*MID($K18,7,1),MID($L18,8,1)*MID($K18,8,1),MID($L18,9,1)*MID($K18,1,1),MID($L18,10,1)*MID($K18,2,1),MID($L18,11,1)*MID($K18,3,1),MID($L18,12,1)*MID($K18,4,1),MID($L18,13,1)*MID($K18,5,1),MID($L18,14,1)*MID($K18,6,1),MID($L18,15,1)*MID($K18,7,1),MID($L18,16,1)*MID($K18,8,1),MID($L18,17,1)*MID($K18,1,1),MID($L18,18,1)*MID($K18,2,1),MID($L18,19,1)*MID($K18,3,1),MID($L18,20,1)*MID($K18,4,1),MID($L18,21,1)*MID($K18,5,1),MID($L18,22,1)*MID($K18,6,1),MID($L18,23,1)*MID($K18,7,1),MID($L18,24,1)*MID($K18,8,1),MID($L18,25,1)*MID($K18,1,1),MID($L18,26,1)*MID($K18,2,1),MID($L18,27,1)*MID($K18,3,1),MID($L18,28,1)*MID($K18,4,1),MID($L18,29,1)*MID($K18,5,1),MID($L18,30,1)*MID($K18,6,1),MID($L18,31,1)*MID($K18,7,1),MID($L18,32,1)*MID($K18,8,1))</f>
        <v>01000000000001000010000001100100</v>
      </c>
      <c r="BS18" s="26" t="str">
        <f t="shared" si="50"/>
        <v>01000000</v>
      </c>
      <c r="BT18" s="26" t="str">
        <f t="shared" si="51"/>
        <v>00000100</v>
      </c>
      <c r="BU18" s="26" t="str">
        <f t="shared" si="52"/>
        <v>00100000</v>
      </c>
      <c r="BV18" s="26" t="str">
        <f t="shared" si="53"/>
        <v>01100100</v>
      </c>
      <c r="BW18" s="77">
        <f>BIN2DEC(BS18)-BIN2DEC(BS19)</f>
        <v>-170</v>
      </c>
      <c r="BX18" s="77">
        <f>BIN2DEC(BT18)-BIN2DEC(BT19)</f>
        <v>-189</v>
      </c>
      <c r="BY18" s="77">
        <f>BIN2DEC(BU18)-BIN2DEC(BU19)</f>
        <v>-76</v>
      </c>
      <c r="BZ18" s="77">
        <f>BIN2DEC(BV18)-BIN2DEC(BV19)</f>
        <v>-125</v>
      </c>
      <c r="CA18" s="27" t="str">
        <f t="shared" si="54"/>
        <v>0101</v>
      </c>
      <c r="CB18" s="27" t="str">
        <f t="shared" si="55"/>
        <v>1010</v>
      </c>
      <c r="CC18" s="27" t="str">
        <f t="shared" si="56"/>
        <v>1001</v>
      </c>
      <c r="CD18" s="27" t="str">
        <f t="shared" si="57"/>
        <v>0100</v>
      </c>
      <c r="CE18" s="27" t="str">
        <f t="shared" si="58"/>
        <v>1010</v>
      </c>
      <c r="CF18" s="27" t="str">
        <f t="shared" si="59"/>
        <v>0011</v>
      </c>
      <c r="CG18" s="27" t="str">
        <f t="shared" si="60"/>
        <v>0111</v>
      </c>
      <c r="CH18" s="27" t="str">
        <f t="shared" si="61"/>
        <v>1100</v>
      </c>
      <c r="CI18" s="77">
        <f>BIN2DEC(CA18)-BIN2DEC(CA19)</f>
        <v>-9</v>
      </c>
      <c r="CJ18" s="77">
        <f t="shared" ref="CJ18:CO18" si="180">BIN2DEC(CB18)-BIN2DEC(CB19)</f>
        <v>0</v>
      </c>
      <c r="CK18" s="77">
        <f t="shared" si="180"/>
        <v>-3</v>
      </c>
      <c r="CL18" s="77">
        <f t="shared" si="180"/>
        <v>3</v>
      </c>
      <c r="CM18" s="77">
        <f t="shared" si="180"/>
        <v>4</v>
      </c>
      <c r="CN18" s="77">
        <f t="shared" si="180"/>
        <v>-9</v>
      </c>
      <c r="CO18" s="77">
        <f t="shared" si="180"/>
        <v>-7</v>
      </c>
      <c r="CP18" s="77">
        <f>BIN2DEC(CH18)-BIN2DEC(CH19)</f>
        <v>11</v>
      </c>
      <c r="CQ18" s="26" t="str">
        <f t="shared" si="9"/>
        <v>0100000000000100</v>
      </c>
      <c r="CR18" s="26" t="str">
        <f t="shared" si="10"/>
        <v>0010000001100100</v>
      </c>
      <c r="CS18" s="77">
        <f>MID(CQ18,16,1)*POWER(2,0)+MID(CQ18,15,1)*POWER(2,1)+MID(CQ18,14,1)*POWER(2,2)+MID(CQ18,13,1)*POWER(2,3)+MID(CQ18,12,1)*POWER(2,4)+MID(CQ18,11,1)*POWER(2,5)+MID(CQ18,10,1)*POWER(2,6)+MID(CQ18,9,1)*POWER(2,7)+MID(CQ18,8,1)*POWER(2,8)+MID(CQ18,7,1)*POWER(2,9)+MID(CQ18,6,1)*POWER(2,10)+MID(CQ18,5,1)*POWER(2,11)+MID(CQ18,4,1)*POWER(2,12)+MID(CQ18,3,1)*POWER(2,13)+MID(CQ18,2,1)*POWER(2,14)+MID(CQ18,1,1)*POWER(2,15)-(MID(CQ19,16,1)*POWER(2,0)+MID(CQ19,15,1)*POWER(2,1)+MID(CQ19,14,1)*POWER(2,2)+MID(CQ19,13,1)*POWER(2,3)+MID(CQ19,12,1)*POWER(2,4)+MID(CQ19,11,1)*POWER(2,5)+MID(CQ19,10,1)*POWER(2,6)+MID(CQ19,9,1)*POWER(2,7)+MID(CQ19,8,1)*POWER(2,8)+MID(CQ19,7,1)*POWER(2,9)+MID(CQ19,6,1)*POWER(2,10)+MID(CQ19,5,1)*POWER(2,11)+MID(CQ19,4,1)*POWER(2,12)+MID(CQ19,3,1)*POWER(2,13)+MID(CQ19,2,1)*POWER(2,14)+MID(CQ19,1,1)*POWER(2,15))</f>
        <v>-43709</v>
      </c>
      <c r="CT18" s="77">
        <f>MID(CR18,16,1)*POWER(2,0)+MID(CR18,15,1)*POWER(2,1)+MID(CR18,14,1)*POWER(2,2)+MID(CR18,13,1)*POWER(2,3)+MID(CR18,12,1)*POWER(2,4)+MID(CR18,11,1)*POWER(2,5)+MID(CR18,10,1)*POWER(2,6)+MID(CR18,9,1)*POWER(2,7)+MID(CR18,8,1)*POWER(2,8)+MID(CR18,7,1)*POWER(2,9)+MID(CR18,6,1)*POWER(2,10)+MID(CR18,5,1)*POWER(2,11)+MID(CR18,4,1)*POWER(2,12)+MID(CR18,3,1)*POWER(2,13)+MID(CR18,2,1)*POWER(2,14)+MID(CR18,1,1)*POWER(2,15)-(MID(CR19,16,1)*POWER(2,0)+MID(CR19,15,1)*POWER(2,1)+MID(CR19,14,1)*POWER(2,2)+MID(CR19,13,1)*POWER(2,3)+MID(CR19,12,1)*POWER(2,4)+MID(CR19,11,1)*POWER(2,5)+MID(CR19,10,1)*POWER(2,6)+MID(CR19,9,1)*POWER(2,7)+MID(CR19,8,1)*POWER(2,8)+MID(CR19,7,1)*POWER(2,9)+MID(CR19,6,1)*POWER(2,10)+MID(CR19,5,1)*POWER(2,11)+MID(CR19,4,1)*POWER(2,12)+MID(CR19,3,1)*POWER(2,13)+MID(CR19,2,1)*POWER(2,14)+MID(CR19,1,1)*POWER(2,15))</f>
        <v>-19581</v>
      </c>
      <c r="CU18" s="45" t="str">
        <f>BR18</f>
        <v>01000000000001000010000001100100</v>
      </c>
      <c r="CV18" s="26" t="str">
        <f t="shared" si="62"/>
        <v>01000000</v>
      </c>
      <c r="CW18" s="26" t="str">
        <f t="shared" si="63"/>
        <v>00000100</v>
      </c>
      <c r="CX18" s="26" t="str">
        <f t="shared" si="64"/>
        <v>00100000</v>
      </c>
      <c r="CY18" s="26" t="str">
        <f t="shared" si="65"/>
        <v>01100100</v>
      </c>
      <c r="CZ18" s="77">
        <f>BIN2DEC(CV18)-BIN2DEC(CV19)</f>
        <v>-32</v>
      </c>
      <c r="DA18" s="77">
        <f>BIN2DEC(CW18)-BIN2DEC(CW19)</f>
        <v>-60</v>
      </c>
      <c r="DB18" s="77">
        <f>BIN2DEC(CX18)-BIN2DEC(CX19)</f>
        <v>-68</v>
      </c>
      <c r="DC18" s="77">
        <f>BIN2DEC(CY18)-BIN2DEC(CY19)</f>
        <v>4</v>
      </c>
      <c r="DD18" s="27" t="str">
        <f t="shared" si="66"/>
        <v>0101</v>
      </c>
      <c r="DE18" s="27" t="str">
        <f t="shared" si="67"/>
        <v>1010</v>
      </c>
      <c r="DF18" s="27" t="str">
        <f t="shared" si="68"/>
        <v>1001</v>
      </c>
      <c r="DG18" s="27" t="str">
        <f t="shared" si="69"/>
        <v>0100</v>
      </c>
      <c r="DH18" s="27" t="str">
        <f t="shared" si="70"/>
        <v>1010</v>
      </c>
      <c r="DI18" s="27" t="str">
        <f t="shared" si="71"/>
        <v>0011</v>
      </c>
      <c r="DJ18" s="27" t="str">
        <f t="shared" si="72"/>
        <v>0111</v>
      </c>
      <c r="DK18" s="27" t="str">
        <f t="shared" si="73"/>
        <v>1100</v>
      </c>
      <c r="DL18" s="77">
        <f>BIN2DEC(DD18)-BIN2DEC(DD19)</f>
        <v>-9</v>
      </c>
      <c r="DM18" s="77">
        <f t="shared" ref="DM18:DR18" si="181">BIN2DEC(DE18)-BIN2DEC(DE19)</f>
        <v>0</v>
      </c>
      <c r="DN18" s="77">
        <f t="shared" si="181"/>
        <v>-3</v>
      </c>
      <c r="DO18" s="77">
        <f t="shared" si="181"/>
        <v>3</v>
      </c>
      <c r="DP18" s="77">
        <f t="shared" si="181"/>
        <v>4</v>
      </c>
      <c r="DQ18" s="77">
        <f t="shared" si="181"/>
        <v>-9</v>
      </c>
      <c r="DR18" s="77">
        <f t="shared" si="181"/>
        <v>-7</v>
      </c>
      <c r="DS18" s="77">
        <f>BIN2DEC(DK18)-BIN2DEC(DK19)</f>
        <v>11</v>
      </c>
      <c r="DT18" s="26" t="str">
        <f t="shared" si="12"/>
        <v>0100000000000100</v>
      </c>
      <c r="DU18" s="26" t="str">
        <f t="shared" si="13"/>
        <v>0010000001100100</v>
      </c>
      <c r="DV18" s="77">
        <f>MID(DT18,16,1)*POWER(2,0)+MID(DT18,15,1)*POWER(2,1)+MID(DT18,14,1)*POWER(2,2)+MID(DT18,13,1)*POWER(2,3)+MID(DT18,12,1)*POWER(2,4)+MID(DT18,11,1)*POWER(2,5)+MID(DT18,10,1)*POWER(2,6)+MID(DT18,9,1)*POWER(2,7)+MID(DT18,8,1)*POWER(2,8)+MID(DT18,7,1)*POWER(2,9)+MID(DT18,6,1)*POWER(2,10)+MID(DT18,5,1)*POWER(2,11)+MID(DT18,4,1)*POWER(2,12)+MID(DT18,3,1)*POWER(2,13)+MID(DT18,2,1)*POWER(2,14)+MID(DT18,1,1)*POWER(2,15)-(MID(DT19,16,1)*POWER(2,0)+MID(DT19,15,1)*POWER(2,1)+MID(DT19,14,1)*POWER(2,2)+MID(DT19,13,1)*POWER(2,3)+MID(DT19,12,1)*POWER(2,4)+MID(DT19,11,1)*POWER(2,5)+MID(DT19,10,1)*POWER(2,6)+MID(DT19,9,1)*POWER(2,7)+MID(DT19,8,1)*POWER(2,8)+MID(DT19,7,1)*POWER(2,9)+MID(DT19,6,1)*POWER(2,10)+MID(DT19,5,1)*POWER(2,11)+MID(DT19,4,1)*POWER(2,12)+MID(DT19,3,1)*POWER(2,13)+MID(DT19,2,1)*POWER(2,14)+MID(DT19,1,1)*POWER(2,15))</f>
        <v>-8252</v>
      </c>
      <c r="DW18" s="77">
        <f>MID(DU18,16,1)*POWER(2,0)+MID(DU18,15,1)*POWER(2,1)+MID(DU18,14,1)*POWER(2,2)+MID(DU18,13,1)*POWER(2,3)+MID(DU18,12,1)*POWER(2,4)+MID(DU18,11,1)*POWER(2,5)+MID(DU18,10,1)*POWER(2,6)+MID(DU18,9,1)*POWER(2,7)+MID(DU18,8,1)*POWER(2,8)+MID(DU18,7,1)*POWER(2,9)+MID(DU18,6,1)*POWER(2,10)+MID(DU18,5,1)*POWER(2,11)+MID(DU18,4,1)*POWER(2,12)+MID(DU18,3,1)*POWER(2,13)+MID(DU18,2,1)*POWER(2,14)+MID(DU18,1,1)*POWER(2,15)-(MID(DU19,16,1)*POWER(2,0)+MID(DU19,15,1)*POWER(2,1)+MID(DU19,14,1)*POWER(2,2)+MID(DU19,13,1)*POWER(2,3)+MID(DU19,12,1)*POWER(2,4)+MID(DU19,11,1)*POWER(2,5)+MID(DU19,10,1)*POWER(2,6)+MID(DU19,9,1)*POWER(2,7)+MID(DU19,8,1)*POWER(2,8)+MID(DU19,7,1)*POWER(2,9)+MID(DU19,6,1)*POWER(2,10)+MID(DU19,5,1)*POWER(2,11)+MID(DU19,4,1)*POWER(2,12)+MID(DU19,3,1)*POWER(2,13)+MID(DU19,2,1)*POWER(2,14)+MID(DU19,1,1)*POWER(2,15))</f>
        <v>-17404</v>
      </c>
      <c r="DX18" s="22"/>
      <c r="DY18" s="43" t="str">
        <f>H18</f>
        <v>01011010100101001010001101111100</v>
      </c>
      <c r="DZ18" s="26" t="str">
        <f t="shared" si="122"/>
        <v>01011010</v>
      </c>
      <c r="EA18" s="26" t="str">
        <f t="shared" si="74"/>
        <v>10010100</v>
      </c>
      <c r="EB18" s="26" t="str">
        <f t="shared" si="75"/>
        <v>10100011</v>
      </c>
      <c r="EC18" s="26" t="str">
        <f t="shared" si="76"/>
        <v>01111100</v>
      </c>
      <c r="ED18" s="77">
        <f>BIN2DEC(DZ18)-BIN2DEC(DZ19)</f>
        <v>56</v>
      </c>
      <c r="EE18" s="77">
        <f>BIN2DEC(EA18)-BIN2DEC(EA19)</f>
        <v>147</v>
      </c>
      <c r="EF18" s="77">
        <f>BIN2DEC(EB18)-BIN2DEC(EB19)</f>
        <v>131</v>
      </c>
      <c r="EG18" s="77">
        <f>BIN2DEC(EC18)-BIN2DEC(EC19)</f>
        <v>91</v>
      </c>
      <c r="EH18" s="27" t="str">
        <f t="shared" si="77"/>
        <v>0101</v>
      </c>
      <c r="EI18" s="27" t="str">
        <f t="shared" si="78"/>
        <v>1010</v>
      </c>
      <c r="EJ18" s="27" t="str">
        <f t="shared" si="79"/>
        <v>1001</v>
      </c>
      <c r="EK18" s="27" t="str">
        <f t="shared" si="80"/>
        <v>0100</v>
      </c>
      <c r="EL18" s="27" t="str">
        <f t="shared" si="81"/>
        <v>1010</v>
      </c>
      <c r="EM18" s="27" t="str">
        <f t="shared" si="82"/>
        <v>0011</v>
      </c>
      <c r="EN18" s="27" t="str">
        <f t="shared" si="83"/>
        <v>0111</v>
      </c>
      <c r="EO18" s="27" t="str">
        <f t="shared" si="84"/>
        <v>1100</v>
      </c>
      <c r="EP18" s="77">
        <f>BIN2DEC(EH18)-BIN2DEC(EH19)</f>
        <v>-9</v>
      </c>
      <c r="EQ18" s="77">
        <f t="shared" ref="EQ18:EV18" si="182">BIN2DEC(EI18)-BIN2DEC(EI19)</f>
        <v>0</v>
      </c>
      <c r="ER18" s="77">
        <f t="shared" si="182"/>
        <v>-3</v>
      </c>
      <c r="ES18" s="77">
        <f t="shared" si="182"/>
        <v>3</v>
      </c>
      <c r="ET18" s="77">
        <f t="shared" si="182"/>
        <v>4</v>
      </c>
      <c r="EU18" s="77">
        <f t="shared" si="182"/>
        <v>-9</v>
      </c>
      <c r="EV18" s="77">
        <f t="shared" si="182"/>
        <v>-7</v>
      </c>
      <c r="EW18" s="77">
        <f>BIN2DEC(EO18)-BIN2DEC(EO19)</f>
        <v>11</v>
      </c>
      <c r="EX18" s="26" t="str">
        <f t="shared" si="15"/>
        <v>0101101010010100</v>
      </c>
      <c r="EY18" s="26" t="str">
        <f t="shared" si="16"/>
        <v>1010001101111100</v>
      </c>
      <c r="EZ18" s="77">
        <f>MID(EX18,16,1)*POWER(2,0)+MID(EX18,15,1)*POWER(2,1)+MID(EX18,14,1)*POWER(2,2)+MID(EX18,13,1)*POWER(2,3)+MID(EX18,12,1)*POWER(2,4)+MID(EX18,11,1)*POWER(2,5)+MID(EX18,10,1)*POWER(2,6)+MID(EX18,9,1)*POWER(2,7)+MID(EX18,8,1)*POWER(2,8)+MID(EX18,7,1)*POWER(2,9)+MID(EX18,6,1)*POWER(2,10)+MID(EX18,5,1)*POWER(2,11)+MID(EX18,4,1)*POWER(2,12)+MID(EX18,3,1)*POWER(2,13)+MID(EX18,2,1)*POWER(2,14)+MID(EX18,1,1)*POWER(2,15)-(MID(EX19,16,1)*POWER(2,0)+MID(EX19,15,1)*POWER(2,1)+MID(EX19,14,1)*POWER(2,2)+MID(EX19,13,1)*POWER(2,3)+MID(EX19,12,1)*POWER(2,4)+MID(EX19,11,1)*POWER(2,5)+MID(EX19,10,1)*POWER(2,6)+MID(EX19,9,1)*POWER(2,7)+MID(EX19,8,1)*POWER(2,8)+MID(EX19,7,1)*POWER(2,9)+MID(EX19,6,1)*POWER(2,10)+MID(EX19,5,1)*POWER(2,11)+MID(EX19,4,1)*POWER(2,12)+MID(EX19,3,1)*POWER(2,13)+MID(EX19,2,1)*POWER(2,14)+MID(EX19,1,1)*POWER(2,15))</f>
        <v>14483</v>
      </c>
      <c r="FA18" s="77">
        <f>MID(EY18,16,1)*POWER(2,0)+MID(EY18,15,1)*POWER(2,1)+MID(EY18,14,1)*POWER(2,2)+MID(EY18,13,1)*POWER(2,3)+MID(EY18,12,1)*POWER(2,4)+MID(EY18,11,1)*POWER(2,5)+MID(EY18,10,1)*POWER(2,6)+MID(EY18,9,1)*POWER(2,7)+MID(EY18,8,1)*POWER(2,8)+MID(EY18,7,1)*POWER(2,9)+MID(EY18,6,1)*POWER(2,10)+MID(EY18,5,1)*POWER(2,11)+MID(EY18,4,1)*POWER(2,12)+MID(EY18,3,1)*POWER(2,13)+MID(EY18,2,1)*POWER(2,14)+MID(EY18,1,1)*POWER(2,15)-(MID(EY19,16,1)*POWER(2,0)+MID(EY19,15,1)*POWER(2,1)+MID(EY19,14,1)*POWER(2,2)+MID(EY19,13,1)*POWER(2,3)+MID(EY19,12,1)*POWER(2,4)+MID(EY19,11,1)*POWER(2,5)+MID(EY19,10,1)*POWER(2,6)+MID(EY19,9,1)*POWER(2,7)+MID(EY19,8,1)*POWER(2,8)+MID(EY19,7,1)*POWER(2,9)+MID(EY19,6,1)*POWER(2,10)+MID(EY19,5,1)*POWER(2,11)+MID(EY19,4,1)*POWER(2,12)+MID(EY19,3,1)*POWER(2,13)+MID(EY19,2,1)*POWER(2,14)+MID(EY19,1,1)*POWER(2,15))</f>
        <v>33627</v>
      </c>
      <c r="FB18" s="45" t="str">
        <f>H18</f>
        <v>01011010100101001010001101111100</v>
      </c>
      <c r="FC18" s="26" t="str">
        <f t="shared" si="124"/>
        <v>01011010</v>
      </c>
      <c r="FD18" s="26" t="str">
        <f t="shared" si="85"/>
        <v>10010100</v>
      </c>
      <c r="FE18" s="26" t="str">
        <f t="shared" si="86"/>
        <v>10100011</v>
      </c>
      <c r="FF18" s="26" t="str">
        <f t="shared" si="87"/>
        <v>01111100</v>
      </c>
      <c r="FG18" s="77">
        <f>BIN2DEC(FC18)-BIN2DEC(FC19)</f>
        <v>58</v>
      </c>
      <c r="FH18" s="77">
        <f>BIN2DEC(FD18)-BIN2DEC(FD19)</f>
        <v>148</v>
      </c>
      <c r="FI18" s="77">
        <f>BIN2DEC(FE18)-BIN2DEC(FE19)</f>
        <v>131</v>
      </c>
      <c r="FJ18" s="77">
        <f>BIN2DEC(FF18)-BIN2DEC(FF19)</f>
        <v>92</v>
      </c>
      <c r="FK18" s="27" t="str">
        <f t="shared" si="88"/>
        <v>0101</v>
      </c>
      <c r="FL18" s="27" t="str">
        <f t="shared" si="89"/>
        <v>1010</v>
      </c>
      <c r="FM18" s="27" t="str">
        <f t="shared" si="90"/>
        <v>1001</v>
      </c>
      <c r="FN18" s="27" t="str">
        <f t="shared" si="91"/>
        <v>0100</v>
      </c>
      <c r="FO18" s="27" t="str">
        <f t="shared" si="92"/>
        <v>1010</v>
      </c>
      <c r="FP18" s="27" t="str">
        <f t="shared" si="93"/>
        <v>0011</v>
      </c>
      <c r="FQ18" s="27" t="str">
        <f t="shared" si="94"/>
        <v>0111</v>
      </c>
      <c r="FR18" s="27" t="str">
        <f t="shared" si="95"/>
        <v>1100</v>
      </c>
      <c r="FS18" s="77">
        <f>BIN2DEC(FK18)-BIN2DEC(FK19)</f>
        <v>-9</v>
      </c>
      <c r="FT18" s="77">
        <f t="shared" ref="FT18:FY18" si="183">BIN2DEC(FL18)-BIN2DEC(FL19)</f>
        <v>0</v>
      </c>
      <c r="FU18" s="77">
        <f t="shared" si="183"/>
        <v>-3</v>
      </c>
      <c r="FV18" s="77">
        <f t="shared" si="183"/>
        <v>3</v>
      </c>
      <c r="FW18" s="77">
        <f t="shared" si="183"/>
        <v>4</v>
      </c>
      <c r="FX18" s="77">
        <f t="shared" si="183"/>
        <v>-9</v>
      </c>
      <c r="FY18" s="77">
        <f t="shared" si="183"/>
        <v>-7</v>
      </c>
      <c r="FZ18" s="77">
        <f>BIN2DEC(FR18)-BIN2DEC(FR19)</f>
        <v>11</v>
      </c>
      <c r="GA18" s="26" t="str">
        <f t="shared" si="18"/>
        <v>0101101010010100</v>
      </c>
      <c r="GB18" s="26" t="str">
        <f t="shared" si="19"/>
        <v>1010001101111100</v>
      </c>
      <c r="GC18" s="77">
        <f>MID(GA18,16,1)*POWER(2,0)+MID(GA18,15,1)*POWER(2,1)+MID(GA18,14,1)*POWER(2,2)+MID(GA18,13,1)*POWER(2,3)+MID(GA18,12,1)*POWER(2,4)+MID(GA18,11,1)*POWER(2,5)+MID(GA18,10,1)*POWER(2,6)+MID(GA18,9,1)*POWER(2,7)+MID(GA18,8,1)*POWER(2,8)+MID(GA18,7,1)*POWER(2,9)+MID(GA18,6,1)*POWER(2,10)+MID(GA18,5,1)*POWER(2,11)+MID(GA18,4,1)*POWER(2,12)+MID(GA18,3,1)*POWER(2,13)+MID(GA18,2,1)*POWER(2,14)+MID(GA18,1,1)*POWER(2,15)-(MID(GA19,16,1)*POWER(2,0)+MID(GA19,15,1)*POWER(2,1)+MID(GA19,14,1)*POWER(2,2)+MID(GA19,13,1)*POWER(2,3)+MID(GA19,12,1)*POWER(2,4)+MID(GA19,11,1)*POWER(2,5)+MID(GA19,10,1)*POWER(2,6)+MID(GA19,9,1)*POWER(2,7)+MID(GA19,8,1)*POWER(2,8)+MID(GA19,7,1)*POWER(2,9)+MID(GA19,6,1)*POWER(2,10)+MID(GA19,5,1)*POWER(2,11)+MID(GA19,4,1)*POWER(2,12)+MID(GA19,3,1)*POWER(2,13)+MID(GA19,2,1)*POWER(2,14)+MID(GA19,1,1)*POWER(2,15))</f>
        <v>14996</v>
      </c>
      <c r="GD18" s="77">
        <f>MID(GB18,16,1)*POWER(2,0)+MID(GB18,15,1)*POWER(2,1)+MID(GB18,14,1)*POWER(2,2)+MID(GB18,13,1)*POWER(2,3)+MID(GB18,12,1)*POWER(2,4)+MID(GB18,11,1)*POWER(2,5)+MID(GB18,10,1)*POWER(2,6)+MID(GB18,9,1)*POWER(2,7)+MID(GB18,8,1)*POWER(2,8)+MID(GB18,7,1)*POWER(2,9)+MID(GB18,6,1)*POWER(2,10)+MID(GB18,5,1)*POWER(2,11)+MID(GB18,4,1)*POWER(2,12)+MID(GB18,3,1)*POWER(2,13)+MID(GB18,2,1)*POWER(2,14)+MID(GB18,1,1)*POWER(2,15)-(MID(GB19,16,1)*POWER(2,0)+MID(GB19,15,1)*POWER(2,1)+MID(GB19,14,1)*POWER(2,2)+MID(GB19,13,1)*POWER(2,3)+MID(GB19,12,1)*POWER(2,4)+MID(GB19,11,1)*POWER(2,5)+MID(GB19,10,1)*POWER(2,6)+MID(GB19,9,1)*POWER(2,7)+MID(GB19,8,1)*POWER(2,8)+MID(GB19,7,1)*POWER(2,9)+MID(GB19,6,1)*POWER(2,10)+MID(GB19,5,1)*POWER(2,11)+MID(GB19,4,1)*POWER(2,12)+MID(GB19,3,1)*POWER(2,13)+MID(GB19,2,1)*POWER(2,14)+MID(GB19,1,1)*POWER(2,15))</f>
        <v>33628</v>
      </c>
      <c r="GE18" s="47" t="str">
        <f>CU18</f>
        <v>01000000000001000010000001100100</v>
      </c>
      <c r="GF18" s="26" t="str">
        <f t="shared" si="126"/>
        <v>01000000</v>
      </c>
      <c r="GG18" s="26" t="str">
        <f t="shared" si="96"/>
        <v>00000100</v>
      </c>
      <c r="GH18" s="26" t="str">
        <f t="shared" si="97"/>
        <v>00100000</v>
      </c>
      <c r="GI18" s="26" t="str">
        <f t="shared" si="98"/>
        <v>01100100</v>
      </c>
      <c r="GJ18" s="77">
        <f>BIN2DEC(GF18)-BIN2DEC(GF19)</f>
        <v>30</v>
      </c>
      <c r="GK18" s="77">
        <f>BIN2DEC(GG18)-BIN2DEC(GG19)</f>
        <v>3</v>
      </c>
      <c r="GL18" s="77">
        <f>BIN2DEC(GH18)-BIN2DEC(GH19)</f>
        <v>0</v>
      </c>
      <c r="GM18" s="77">
        <f>BIN2DEC(GI18)-BIN2DEC(GI19)</f>
        <v>67</v>
      </c>
      <c r="GN18" s="27" t="str">
        <f t="shared" si="99"/>
        <v>0101</v>
      </c>
      <c r="GO18" s="27" t="str">
        <f t="shared" si="100"/>
        <v>1010</v>
      </c>
      <c r="GP18" s="27" t="str">
        <f t="shared" si="101"/>
        <v>1001</v>
      </c>
      <c r="GQ18" s="27" t="str">
        <f t="shared" si="102"/>
        <v>0100</v>
      </c>
      <c r="GR18" s="27" t="str">
        <f t="shared" si="103"/>
        <v>1010</v>
      </c>
      <c r="GS18" s="27" t="str">
        <f t="shared" si="104"/>
        <v>0011</v>
      </c>
      <c r="GT18" s="27" t="str">
        <f t="shared" si="105"/>
        <v>0111</v>
      </c>
      <c r="GU18" s="27" t="str">
        <f t="shared" si="106"/>
        <v>1100</v>
      </c>
      <c r="GV18" s="77">
        <f>BIN2DEC(GN18)-BIN2DEC(GN19)</f>
        <v>-9</v>
      </c>
      <c r="GW18" s="77">
        <f t="shared" ref="GW18:HB18" si="184">BIN2DEC(GO18)-BIN2DEC(GO19)</f>
        <v>0</v>
      </c>
      <c r="GX18" s="77">
        <f t="shared" si="184"/>
        <v>-3</v>
      </c>
      <c r="GY18" s="77">
        <f t="shared" si="184"/>
        <v>3</v>
      </c>
      <c r="GZ18" s="77">
        <f t="shared" si="184"/>
        <v>4</v>
      </c>
      <c r="HA18" s="77">
        <f t="shared" si="184"/>
        <v>-9</v>
      </c>
      <c r="HB18" s="77">
        <f t="shared" si="184"/>
        <v>-7</v>
      </c>
      <c r="HC18" s="77">
        <f>BIN2DEC(GU18)-BIN2DEC(GU19)</f>
        <v>11</v>
      </c>
      <c r="HD18" s="26" t="str">
        <f t="shared" si="21"/>
        <v>0100000000000100</v>
      </c>
      <c r="HE18" s="26" t="str">
        <f t="shared" si="22"/>
        <v>0010000001100100</v>
      </c>
      <c r="HF18" s="77">
        <f>MID(HD18,16,1)*POWER(2,0)+MID(HD18,15,1)*POWER(2,1)+MID(HD18,14,1)*POWER(2,2)+MID(HD18,13,1)*POWER(2,3)+MID(HD18,12,1)*POWER(2,4)+MID(HD18,11,1)*POWER(2,5)+MID(HD18,10,1)*POWER(2,6)+MID(HD18,9,1)*POWER(2,7)+MID(HD18,8,1)*POWER(2,8)+MID(HD18,7,1)*POWER(2,9)+MID(HD18,6,1)*POWER(2,10)+MID(HD18,5,1)*POWER(2,11)+MID(HD18,4,1)*POWER(2,12)+MID(HD18,3,1)*POWER(2,13)+MID(HD18,2,1)*POWER(2,14)+MID(HD18,1,1)*POWER(2,15)-(MID(HD19,16,1)*POWER(2,0)+MID(HD19,15,1)*POWER(2,1)+MID(HD19,14,1)*POWER(2,2)+MID(HD19,13,1)*POWER(2,3)+MID(HD19,12,1)*POWER(2,4)+MID(HD19,11,1)*POWER(2,5)+MID(HD19,10,1)*POWER(2,6)+MID(HD19,9,1)*POWER(2,7)+MID(HD19,8,1)*POWER(2,8)+MID(HD19,7,1)*POWER(2,9)+MID(HD19,6,1)*POWER(2,10)+MID(HD19,5,1)*POWER(2,11)+MID(HD19,4,1)*POWER(2,12)+MID(HD19,3,1)*POWER(2,13)+MID(HD19,2,1)*POWER(2,14)+MID(HD19,1,1)*POWER(2,15))</f>
        <v>7683</v>
      </c>
      <c r="HG18" s="77">
        <f>MID(HE18,16,1)*POWER(2,0)+MID(HE18,15,1)*POWER(2,1)+MID(HE18,14,1)*POWER(2,2)+MID(HE18,13,1)*POWER(2,3)+MID(HE18,12,1)*POWER(2,4)+MID(HE18,11,1)*POWER(2,5)+MID(HE18,10,1)*POWER(2,6)+MID(HE18,9,1)*POWER(2,7)+MID(HE18,8,1)*POWER(2,8)+MID(HE18,7,1)*POWER(2,9)+MID(HE18,6,1)*POWER(2,10)+MID(HE18,5,1)*POWER(2,11)+MID(HE18,4,1)*POWER(2,12)+MID(HE18,3,1)*POWER(2,13)+MID(HE18,2,1)*POWER(2,14)+MID(HE18,1,1)*POWER(2,15)-(MID(HE19,16,1)*POWER(2,0)+MID(HE19,15,1)*POWER(2,1)+MID(HE19,14,1)*POWER(2,2)+MID(HE19,13,1)*POWER(2,3)+MID(HE19,12,1)*POWER(2,4)+MID(HE19,11,1)*POWER(2,5)+MID(HE19,10,1)*POWER(2,6)+MID(HE19,9,1)*POWER(2,7)+MID(HE19,8,1)*POWER(2,8)+MID(HE19,7,1)*POWER(2,9)+MID(HE19,6,1)*POWER(2,10)+MID(HE19,5,1)*POWER(2,11)+MID(HE19,4,1)*POWER(2,12)+MID(HE19,3,1)*POWER(2,13)+MID(HE19,2,1)*POWER(2,14)+MID(HE19,1,1)*POWER(2,15))</f>
        <v>67</v>
      </c>
      <c r="HH18" s="45" t="str">
        <f>GE18</f>
        <v>01000000000001000010000001100100</v>
      </c>
      <c r="HI18" s="26" t="str">
        <f t="shared" si="128"/>
        <v>01000000</v>
      </c>
      <c r="HJ18" s="26" t="str">
        <f t="shared" si="107"/>
        <v>00000100</v>
      </c>
      <c r="HK18" s="26" t="str">
        <f t="shared" si="108"/>
        <v>00100000</v>
      </c>
      <c r="HL18" s="26" t="str">
        <f t="shared" si="109"/>
        <v>01100100</v>
      </c>
      <c r="HM18" s="77">
        <f>BIN2DEC(HI18)-BIN2DEC(HI19)</f>
        <v>32</v>
      </c>
      <c r="HN18" s="77">
        <f>BIN2DEC(HJ18)-BIN2DEC(HJ19)</f>
        <v>4</v>
      </c>
      <c r="HO18" s="77">
        <f>BIN2DEC(HK18)-BIN2DEC(HK19)</f>
        <v>0</v>
      </c>
      <c r="HP18" s="77">
        <f>BIN2DEC(HL18)-BIN2DEC(HL19)</f>
        <v>68</v>
      </c>
      <c r="HQ18" s="27" t="str">
        <f t="shared" si="110"/>
        <v>0101</v>
      </c>
      <c r="HR18" s="27" t="str">
        <f t="shared" si="111"/>
        <v>1010</v>
      </c>
      <c r="HS18" s="27" t="str">
        <f t="shared" si="112"/>
        <v>1001</v>
      </c>
      <c r="HT18" s="27" t="str">
        <f t="shared" si="113"/>
        <v>0100</v>
      </c>
      <c r="HU18" s="27" t="str">
        <f t="shared" si="114"/>
        <v>1010</v>
      </c>
      <c r="HV18" s="27" t="str">
        <f t="shared" si="115"/>
        <v>0011</v>
      </c>
      <c r="HW18" s="27" t="str">
        <f t="shared" si="116"/>
        <v>0111</v>
      </c>
      <c r="HX18" s="27" t="str">
        <f t="shared" si="117"/>
        <v>1100</v>
      </c>
      <c r="HY18" s="77">
        <f>BIN2DEC(HQ18)-BIN2DEC(HQ19)</f>
        <v>-9</v>
      </c>
      <c r="HZ18" s="77">
        <f t="shared" ref="HZ18:IE18" si="185">BIN2DEC(HR18)-BIN2DEC(HR19)</f>
        <v>0</v>
      </c>
      <c r="IA18" s="77">
        <f t="shared" si="185"/>
        <v>-3</v>
      </c>
      <c r="IB18" s="77">
        <f t="shared" si="185"/>
        <v>3</v>
      </c>
      <c r="IC18" s="77">
        <f t="shared" si="185"/>
        <v>4</v>
      </c>
      <c r="ID18" s="77">
        <f t="shared" si="185"/>
        <v>-9</v>
      </c>
      <c r="IE18" s="77">
        <f t="shared" si="185"/>
        <v>-7</v>
      </c>
      <c r="IF18" s="77">
        <f>BIN2DEC(HX18)-BIN2DEC(HX19)</f>
        <v>11</v>
      </c>
      <c r="IG18" s="26" t="str">
        <f t="shared" si="24"/>
        <v>0100000000000100</v>
      </c>
      <c r="IH18" s="26" t="str">
        <f t="shared" si="25"/>
        <v>0010000001100100</v>
      </c>
      <c r="II18" s="77">
        <f>MID(IG18,16,1)*POWER(2,0)+MID(IG18,15,1)*POWER(2,1)+MID(IG18,14,1)*POWER(2,2)+MID(IG18,13,1)*POWER(2,3)+MID(IG18,12,1)*POWER(2,4)+MID(IG18,11,1)*POWER(2,5)+MID(IG18,10,1)*POWER(2,6)+MID(IG18,9,1)*POWER(2,7)+MID(IG18,8,1)*POWER(2,8)+MID(IG18,7,1)*POWER(2,9)+MID(IG18,6,1)*POWER(2,10)+MID(IG18,5,1)*POWER(2,11)+MID(IG18,4,1)*POWER(2,12)+MID(IG18,3,1)*POWER(2,13)+MID(IG18,2,1)*POWER(2,14)+MID(IG18,1,1)*POWER(2,15)-(MID(IG19,16,1)*POWER(2,0)+MID(IG19,15,1)*POWER(2,1)+MID(IG19,14,1)*POWER(2,2)+MID(IG19,13,1)*POWER(2,3)+MID(IG19,12,1)*POWER(2,4)+MID(IG19,11,1)*POWER(2,5)+MID(IG19,10,1)*POWER(2,6)+MID(IG19,9,1)*POWER(2,7)+MID(IG19,8,1)*POWER(2,8)+MID(IG19,7,1)*POWER(2,9)+MID(IG19,6,1)*POWER(2,10)+MID(IG19,5,1)*POWER(2,11)+MID(IG19,4,1)*POWER(2,12)+MID(IG19,3,1)*POWER(2,13)+MID(IG19,2,1)*POWER(2,14)+MID(IG19,1,1)*POWER(2,15))</f>
        <v>8196</v>
      </c>
      <c r="IJ18" s="77">
        <f>MID(IH18,16,1)*POWER(2,0)+MID(IH18,15,1)*POWER(2,1)+MID(IH18,14,1)*POWER(2,2)+MID(IH18,13,1)*POWER(2,3)+MID(IH18,12,1)*POWER(2,4)+MID(IH18,11,1)*POWER(2,5)+MID(IH18,10,1)*POWER(2,6)+MID(IH18,9,1)*POWER(2,7)+MID(IH18,8,1)*POWER(2,8)+MID(IH18,7,1)*POWER(2,9)+MID(IH18,6,1)*POWER(2,10)+MID(IH18,5,1)*POWER(2,11)+MID(IH18,4,1)*POWER(2,12)+MID(IH18,3,1)*POWER(2,13)+MID(IH18,2,1)*POWER(2,14)+MID(IH18,1,1)*POWER(2,15)-(MID(IH19,16,1)*POWER(2,0)+MID(IH19,15,1)*POWER(2,1)+MID(IH19,14,1)*POWER(2,2)+MID(IH19,13,1)*POWER(2,3)+MID(IH19,12,1)*POWER(2,4)+MID(IH19,11,1)*POWER(2,5)+MID(IH19,10,1)*POWER(2,6)+MID(IH19,9,1)*POWER(2,7)+MID(IH19,8,1)*POWER(2,8)+MID(IH19,7,1)*POWER(2,9)+MID(IH19,6,1)*POWER(2,10)+MID(IH19,5,1)*POWER(2,11)+MID(IH19,4,1)*POWER(2,12)+MID(IH19,3,1)*POWER(2,13)+MID(IH19,2,1)*POWER(2,14)+MID(IH19,1,1)*POWER(2,15))</f>
        <v>68</v>
      </c>
      <c r="IL18" s="26"/>
      <c r="IM18" s="26"/>
      <c r="IN18" s="26"/>
      <c r="IO18" s="26"/>
      <c r="IP18" s="22"/>
      <c r="IQ18" s="22"/>
      <c r="IR18" s="22"/>
      <c r="IS18" s="22"/>
      <c r="JB18" s="22"/>
      <c r="JC18" s="22"/>
      <c r="JD18" s="22"/>
      <c r="JE18" s="22"/>
      <c r="JF18" s="22"/>
      <c r="JG18" s="22"/>
      <c r="JH18" s="22"/>
      <c r="JI18" s="22"/>
      <c r="JJ18" s="26"/>
      <c r="JK18" s="26"/>
      <c r="JL18" s="22"/>
      <c r="JM18" s="22"/>
    </row>
    <row r="19" spans="1:273" s="31" customFormat="1" ht="18.600000000000001" thickBot="1" x14ac:dyDescent="0.4">
      <c r="A19" s="28"/>
      <c r="B19" s="29"/>
      <c r="C19" s="21" t="s">
        <v>6</v>
      </c>
      <c r="D19" s="21" t="s">
        <v>61</v>
      </c>
      <c r="E19" s="21" t="s">
        <v>58</v>
      </c>
      <c r="F19" s="21" t="s">
        <v>60</v>
      </c>
      <c r="G19" s="21">
        <v>98</v>
      </c>
      <c r="H19" s="21" t="str">
        <f>CONCATENATE(HEX2BIN(D19,8),HEX2BIN(E19,8),HEX2BIN(F19,8),HEX2BIN(G19,8))</f>
        <v>00101101010111000011110110011000</v>
      </c>
      <c r="I19" s="21">
        <f>MID(H19,1,1)+MID(H19,2,1)+MID(H19,3,1)+MID(H19,4,1)+MID(H19,5,1)+MID(H19,6,1)+MID(H19,7,1)+MID(H19,8,1)+MID(H19,9,1)+MID(H19,10,1)+MID(H19,11,1)+MID(H19,12,1)+MID(H19,13,1)+MID(H19,14,1)+MID(H19,15,1)+MID(H19,16,1)+MID(H19,17,1)+MID(H19,18,1)+MID(H19,19,1)+MID(H19,20,1)+MID(H19,21,1)+MID(H19,22,1)+MID(H19,23,1)+MID(H19,24,1)+MID(H19,25,1)+MID(H19,26,1)+MID(H19,27,1)+MID(H19,28,1)+MID(H19,29,1)+MID(H19,30,1)+MID(H19,31,1)+MID(H19,32,1)</f>
        <v>16</v>
      </c>
      <c r="J19" s="21"/>
      <c r="K19" s="21"/>
      <c r="L19" s="44" t="str">
        <f>CONCATENATE(MID(H19,20,5),MID(H19,9,3),MID(H19,28,5),MID(H19,17,3),MID(H19,4,5),MID(H19,25,3),MID(H19,12,5),MID(H19,1,3))</f>
        <v>11101010110000010110110011100001</v>
      </c>
      <c r="M19" s="30" t="str">
        <f t="shared" si="26"/>
        <v>11101010</v>
      </c>
      <c r="N19" s="30" t="str">
        <f t="shared" si="27"/>
        <v>11000001</v>
      </c>
      <c r="O19" s="30" t="str">
        <f t="shared" si="28"/>
        <v>01101100</v>
      </c>
      <c r="P19" s="30" t="str">
        <f t="shared" si="29"/>
        <v>11100001</v>
      </c>
      <c r="Q19" s="78"/>
      <c r="R19" s="78"/>
      <c r="S19" s="78"/>
      <c r="T19" s="78"/>
      <c r="U19" s="31" t="str">
        <f t="shared" si="30"/>
        <v>1110</v>
      </c>
      <c r="V19" s="31" t="str">
        <f t="shared" si="31"/>
        <v>1010</v>
      </c>
      <c r="W19" s="31" t="str">
        <f t="shared" si="32"/>
        <v>1100</v>
      </c>
      <c r="X19" s="31" t="str">
        <f t="shared" si="33"/>
        <v>0001</v>
      </c>
      <c r="Y19" s="31" t="str">
        <f t="shared" si="34"/>
        <v>0110</v>
      </c>
      <c r="Z19" s="31" t="str">
        <f t="shared" si="35"/>
        <v>1100</v>
      </c>
      <c r="AA19" s="31" t="str">
        <f t="shared" si="36"/>
        <v>1110</v>
      </c>
      <c r="AB19" s="31" t="str">
        <f t="shared" si="37"/>
        <v>0001</v>
      </c>
      <c r="AC19" s="78"/>
      <c r="AD19" s="78"/>
      <c r="AE19" s="78"/>
      <c r="AF19" s="78"/>
      <c r="AG19" s="78"/>
      <c r="AH19" s="78"/>
      <c r="AI19" s="78"/>
      <c r="AJ19" s="78"/>
      <c r="AK19" s="30" t="str">
        <f t="shared" si="3"/>
        <v>1110101011000001</v>
      </c>
      <c r="AL19" s="30" t="str">
        <f t="shared" si="4"/>
        <v>0110110011100001</v>
      </c>
      <c r="AM19" s="78"/>
      <c r="AN19" s="78"/>
      <c r="AO19" s="46" t="str">
        <f>CONCATENATE(MID($L19,1,1)*MID($K18,1,1),MID($L19,2,1)*MID($K18,2,1),MID($L19,3,1)*MID($K18,3,1),MID($L19,4,1)*MID($K18,4,1),MID($L19,5,1)*MID($K18,5,1),MID($L19,6,1)*MID($K18,6,1),MID($L19,7,1)*MID($K18,7,1),MID($L19,8,1)*MID($K18,8,1),MID($L19,9,1)*MID($K18,1,1),MID($L19,10,1)*MID($K18,2,1),MID($L19,11,1)*MID($K18,3,1),MID($L19,12,1)*MID($K18,4,1),MID($L19,13,1)*MID($K18,5,1),MID($L19,14,1)*MID($K18,6,1),MID($L19,15,1)*MID($K18,7,1),MID($L19,16,1)*MID($K18,8,1),MID($L19,17,1)*MID($K18,1,1),MID($L19,18,1)*MID($K18,2,1),MID($L19,19,1)*MID($K18,3,1),MID($L19,20,1)*MID($K18,4,1),MID($L19,21,1)*MID($K18,5,1),MID($L19,22,1)*MID($K18,6,1),MID($L19,23,1)*MID($K18,7,1),MID($L19,24,1)*MID($K18,8,1),MID($L19,25,1)*MID($K18,1,1),MID($L19,26,1)*MID($K18,2,1),MID($L19,27,1)*MID($K18,3,1),MID($L19,28,1)*MID($K18,4,1),MID($L19,29,1)*MID($K18,5,1),MID($L19,30,1)*MID($K18,6,1),MID($L19,31,1)*MID($K18,7,1),MID($L19,32,1)*MID($K18,8,1))</f>
        <v>01100000010000000110010001100000</v>
      </c>
      <c r="AP19" s="30" t="str">
        <f t="shared" si="38"/>
        <v>01100000</v>
      </c>
      <c r="AQ19" s="30" t="str">
        <f t="shared" si="39"/>
        <v>01000000</v>
      </c>
      <c r="AR19" s="30" t="str">
        <f t="shared" si="40"/>
        <v>01100100</v>
      </c>
      <c r="AS19" s="30" t="str">
        <f t="shared" si="41"/>
        <v>01100000</v>
      </c>
      <c r="AT19" s="78"/>
      <c r="AU19" s="78"/>
      <c r="AV19" s="78"/>
      <c r="AW19" s="78"/>
      <c r="AX19" s="31" t="str">
        <f t="shared" si="42"/>
        <v>1110</v>
      </c>
      <c r="AY19" s="31" t="str">
        <f t="shared" si="43"/>
        <v>1010</v>
      </c>
      <c r="AZ19" s="31" t="str">
        <f t="shared" si="44"/>
        <v>1100</v>
      </c>
      <c r="BA19" s="31" t="str">
        <f t="shared" si="45"/>
        <v>0001</v>
      </c>
      <c r="BB19" s="31" t="str">
        <f t="shared" si="46"/>
        <v>0110</v>
      </c>
      <c r="BC19" s="31" t="str">
        <f t="shared" si="47"/>
        <v>1100</v>
      </c>
      <c r="BD19" s="31" t="str">
        <f t="shared" si="48"/>
        <v>1110</v>
      </c>
      <c r="BE19" s="31" t="str">
        <f t="shared" si="49"/>
        <v>0001</v>
      </c>
      <c r="BF19" s="78"/>
      <c r="BG19" s="78"/>
      <c r="BH19" s="78"/>
      <c r="BI19" s="78"/>
      <c r="BJ19" s="78"/>
      <c r="BK19" s="78"/>
      <c r="BL19" s="78"/>
      <c r="BM19" s="78"/>
      <c r="BN19" s="30" t="str">
        <f t="shared" si="6"/>
        <v>0110000001000000</v>
      </c>
      <c r="BO19" s="30" t="str">
        <f t="shared" si="7"/>
        <v>0110010001100000</v>
      </c>
      <c r="BP19" s="78"/>
      <c r="BQ19" s="78"/>
      <c r="BR19" s="46" t="str">
        <f>L19</f>
        <v>11101010110000010110110011100001</v>
      </c>
      <c r="BS19" s="30" t="str">
        <f t="shared" si="50"/>
        <v>11101010</v>
      </c>
      <c r="BT19" s="30" t="str">
        <f t="shared" si="51"/>
        <v>11000001</v>
      </c>
      <c r="BU19" s="30" t="str">
        <f t="shared" si="52"/>
        <v>01101100</v>
      </c>
      <c r="BV19" s="30" t="str">
        <f t="shared" si="53"/>
        <v>11100001</v>
      </c>
      <c r="BW19" s="78"/>
      <c r="BX19" s="78"/>
      <c r="BY19" s="78"/>
      <c r="BZ19" s="78"/>
      <c r="CA19" s="31" t="str">
        <f t="shared" si="54"/>
        <v>1110</v>
      </c>
      <c r="CB19" s="31" t="str">
        <f t="shared" si="55"/>
        <v>1010</v>
      </c>
      <c r="CC19" s="31" t="str">
        <f t="shared" si="56"/>
        <v>1100</v>
      </c>
      <c r="CD19" s="31" t="str">
        <f t="shared" si="57"/>
        <v>0001</v>
      </c>
      <c r="CE19" s="31" t="str">
        <f t="shared" si="58"/>
        <v>0110</v>
      </c>
      <c r="CF19" s="31" t="str">
        <f t="shared" si="59"/>
        <v>1100</v>
      </c>
      <c r="CG19" s="31" t="str">
        <f t="shared" si="60"/>
        <v>1110</v>
      </c>
      <c r="CH19" s="31" t="str">
        <f t="shared" si="61"/>
        <v>0001</v>
      </c>
      <c r="CI19" s="78"/>
      <c r="CJ19" s="78"/>
      <c r="CK19" s="78"/>
      <c r="CL19" s="78"/>
      <c r="CM19" s="78"/>
      <c r="CN19" s="78"/>
      <c r="CO19" s="78"/>
      <c r="CP19" s="78"/>
      <c r="CQ19" s="30" t="str">
        <f t="shared" si="9"/>
        <v>1110101011000001</v>
      </c>
      <c r="CR19" s="30" t="str">
        <f t="shared" si="10"/>
        <v>0110110011100001</v>
      </c>
      <c r="CS19" s="78"/>
      <c r="CT19" s="78"/>
      <c r="CU19" s="46" t="str">
        <f>AO19</f>
        <v>01100000010000000110010001100000</v>
      </c>
      <c r="CV19" s="30" t="str">
        <f t="shared" si="62"/>
        <v>01100000</v>
      </c>
      <c r="CW19" s="30" t="str">
        <f t="shared" si="63"/>
        <v>01000000</v>
      </c>
      <c r="CX19" s="30" t="str">
        <f t="shared" si="64"/>
        <v>01100100</v>
      </c>
      <c r="CY19" s="30" t="str">
        <f t="shared" si="65"/>
        <v>01100000</v>
      </c>
      <c r="CZ19" s="78"/>
      <c r="DA19" s="78"/>
      <c r="DB19" s="78"/>
      <c r="DC19" s="78"/>
      <c r="DD19" s="31" t="str">
        <f t="shared" si="66"/>
        <v>1110</v>
      </c>
      <c r="DE19" s="31" t="str">
        <f t="shared" si="67"/>
        <v>1010</v>
      </c>
      <c r="DF19" s="31" t="str">
        <f t="shared" si="68"/>
        <v>1100</v>
      </c>
      <c r="DG19" s="31" t="str">
        <f t="shared" si="69"/>
        <v>0001</v>
      </c>
      <c r="DH19" s="31" t="str">
        <f t="shared" si="70"/>
        <v>0110</v>
      </c>
      <c r="DI19" s="31" t="str">
        <f t="shared" si="71"/>
        <v>1100</v>
      </c>
      <c r="DJ19" s="31" t="str">
        <f t="shared" si="72"/>
        <v>1110</v>
      </c>
      <c r="DK19" s="31" t="str">
        <f t="shared" si="73"/>
        <v>0001</v>
      </c>
      <c r="DL19" s="78"/>
      <c r="DM19" s="78"/>
      <c r="DN19" s="78"/>
      <c r="DO19" s="78"/>
      <c r="DP19" s="78"/>
      <c r="DQ19" s="78"/>
      <c r="DR19" s="78"/>
      <c r="DS19" s="78"/>
      <c r="DT19" s="30" t="str">
        <f t="shared" si="12"/>
        <v>0110000001000000</v>
      </c>
      <c r="DU19" s="30" t="str">
        <f t="shared" si="13"/>
        <v>0110010001100000</v>
      </c>
      <c r="DV19" s="78"/>
      <c r="DW19" s="78"/>
      <c r="DX19" s="23" t="str">
        <f>CONCATENATE(MID($H19,1,1)*MID($K18,1,1),MID($H19,2,1)*MID($K18,2,1),MID($H19,3,1)*MID($K18,3,1),MID($H19,4,1)*MID($K18,4,1),MID($H19,5,1)*MID($K18,5,1),MID($H19,6,1)*MID($K18,6,1),MID($H19,7,1)*MID($K18,7,1),MID($H19,8,1)*MID($K18,8,1),MID($H19,9,1)*MID($K18,1,1),MID($H19,10,1)*MID($K18,2,1),MID($H19,11,1)*MID($K18,3,1),MID($H19,12,1)*MID($K18,4,1),MID($H19,13,1)*MID($K18,5,1),MID($H19,14,1)*MID($K18,6,1),MID($H19,15,1)*MID($K18,7,1),MID($H19,16,1)*MID($K18,8,1),MID($H19,17,1)*MID($K18,1,1),MID($H19,18,1)*MID($K18,2,1),MID($H19,19,1)*MID($K18,3,1),MID($H19,20,1)*MID($K18,4,1),MID($H19,21,1)*MID($K18,5,1),MID($H19,22,1)*MID($K18,6,1),MID($H19,23,1)*MID($K18,7,1),MID($H19,24,1)*MID($K18,8,1),MID($H19,25,1)*MID($K18,1,1),MID($H19,26,1)*MID($K18,2,1),MID($H19,27,1)*MID($K18,3,1),MID($H19,28,1)*MID($K18,4,1),MID($H19,29,1)*MID($K18,5,1),MID($H19,30,1)*MID($K18,6,1),MID($H19,31,1)*MID($K18,7,1),MID($H19,32,1)*MID($K18,8,1))</f>
        <v>00100100010001000010010000000000</v>
      </c>
      <c r="DY19" s="44" t="str">
        <f>CONCATENATE(MID(DX19,20,5),MID(DX19,9,3),MID(DX19,28,5),MID(DX19,17,3),MID(DX19,4,5),MID(DX19,25,3),MID(DX19,12,5),MID(DX19,1,3))</f>
        <v>00100010000000010010000000100001</v>
      </c>
      <c r="DZ19" s="30" t="str">
        <f t="shared" si="122"/>
        <v>00100010</v>
      </c>
      <c r="EA19" s="30" t="str">
        <f t="shared" si="74"/>
        <v>00000001</v>
      </c>
      <c r="EB19" s="30" t="str">
        <f t="shared" si="75"/>
        <v>00100000</v>
      </c>
      <c r="EC19" s="30" t="str">
        <f t="shared" si="76"/>
        <v>00100001</v>
      </c>
      <c r="ED19" s="78"/>
      <c r="EE19" s="78"/>
      <c r="EF19" s="78"/>
      <c r="EG19" s="78"/>
      <c r="EH19" s="31" t="str">
        <f t="shared" si="77"/>
        <v>1110</v>
      </c>
      <c r="EI19" s="31" t="str">
        <f t="shared" si="78"/>
        <v>1010</v>
      </c>
      <c r="EJ19" s="31" t="str">
        <f t="shared" si="79"/>
        <v>1100</v>
      </c>
      <c r="EK19" s="31" t="str">
        <f t="shared" si="80"/>
        <v>0001</v>
      </c>
      <c r="EL19" s="31" t="str">
        <f t="shared" si="81"/>
        <v>0110</v>
      </c>
      <c r="EM19" s="31" t="str">
        <f t="shared" si="82"/>
        <v>1100</v>
      </c>
      <c r="EN19" s="31" t="str">
        <f t="shared" si="83"/>
        <v>1110</v>
      </c>
      <c r="EO19" s="31" t="str">
        <f t="shared" si="84"/>
        <v>0001</v>
      </c>
      <c r="EP19" s="78"/>
      <c r="EQ19" s="78"/>
      <c r="ER19" s="78"/>
      <c r="ES19" s="78"/>
      <c r="ET19" s="78"/>
      <c r="EU19" s="78"/>
      <c r="EV19" s="78"/>
      <c r="EW19" s="78"/>
      <c r="EX19" s="30" t="str">
        <f t="shared" si="15"/>
        <v>0010001000000001</v>
      </c>
      <c r="EY19" s="30" t="str">
        <f t="shared" si="16"/>
        <v>0010000000100001</v>
      </c>
      <c r="EZ19" s="78"/>
      <c r="FA19" s="78"/>
      <c r="FB19" s="46" t="str">
        <f>CONCATENATE(MID(DY19,1,1)*MID($K18,1,1),MID(DY19,2,1)*MID($K18,2,1),MID(DY19,3,1)*MID($K18,3,1),MID(DY19,4,1)*MID($K18,4,1),MID(DY19,5,1)*MID($K18,5,1),MID(DY19,6,1)*MID($K18,6,1),MID(DY19,7,1)*MID($K18,7,1),MID(DY19,8,1)*MID($K18,8,1),MID(DY19,9,1)*MID($K18,1,1),MID(DY19,10,1)*MID($K18,2,1),MID(DY19,11,1)*MID($K18,3,1),MID(DY19,12,1)*MID($K18,4,1),MID(DY19,13,1)*MID($K18,5,1),MID(DY19,14,1)*MID($K18,6,1),MID(DY19,15,1)*MID($K18,7,1),MID(DY19,16,1)*MID($K18,8,1),MID(DY19,17,1)*MID($K18,1,1),MID(DY19,18,1)*MID($K18,2,1),MID(DY19,19,1)*MID($K18,3,1),MID(DY19,20,1)*MID($K18,4,1),MID(DY19,21,1)*MID($K18,5,1),MID(DY19,22,1)*MID($K18,6,1),MID(DY19,23,1)*MID($K18,7,1),MID(DY19,24,1)*MID($K18,8,1),MID(DY19,25,1)*MID($K18,1,1),MID(DY19,26,1)*MID($K18,2,1),MID(DY19,27,1)*MID($K18,3,1),MID(DY19,28,1)*MID($K18,4,1),MID(DY19,29,1)*MID($K18,5,1),MID(DY19,30,1)*MID($K18,6,1),MID(DY19,31,1)*MID($K18,7,1),MID(DY19,32,1)*MID($K18,8,1))</f>
        <v>00100000000000000010000000100000</v>
      </c>
      <c r="FC19" s="30" t="str">
        <f t="shared" si="124"/>
        <v>00100000</v>
      </c>
      <c r="FD19" s="30" t="str">
        <f t="shared" si="85"/>
        <v>00000000</v>
      </c>
      <c r="FE19" s="30" t="str">
        <f t="shared" si="86"/>
        <v>00100000</v>
      </c>
      <c r="FF19" s="30" t="str">
        <f t="shared" si="87"/>
        <v>00100000</v>
      </c>
      <c r="FG19" s="78"/>
      <c r="FH19" s="78"/>
      <c r="FI19" s="78"/>
      <c r="FJ19" s="78"/>
      <c r="FK19" s="31" t="str">
        <f t="shared" si="88"/>
        <v>1110</v>
      </c>
      <c r="FL19" s="31" t="str">
        <f t="shared" si="89"/>
        <v>1010</v>
      </c>
      <c r="FM19" s="31" t="str">
        <f t="shared" si="90"/>
        <v>1100</v>
      </c>
      <c r="FN19" s="31" t="str">
        <f t="shared" si="91"/>
        <v>0001</v>
      </c>
      <c r="FO19" s="31" t="str">
        <f t="shared" si="92"/>
        <v>0110</v>
      </c>
      <c r="FP19" s="31" t="str">
        <f t="shared" si="93"/>
        <v>1100</v>
      </c>
      <c r="FQ19" s="31" t="str">
        <f t="shared" si="94"/>
        <v>1110</v>
      </c>
      <c r="FR19" s="31" t="str">
        <f t="shared" si="95"/>
        <v>0001</v>
      </c>
      <c r="FS19" s="78"/>
      <c r="FT19" s="78"/>
      <c r="FU19" s="78"/>
      <c r="FV19" s="78"/>
      <c r="FW19" s="78"/>
      <c r="FX19" s="78"/>
      <c r="FY19" s="78"/>
      <c r="FZ19" s="78"/>
      <c r="GA19" s="30" t="str">
        <f t="shared" si="18"/>
        <v>0010000000000000</v>
      </c>
      <c r="GB19" s="30" t="str">
        <f t="shared" si="19"/>
        <v>0010000000100000</v>
      </c>
      <c r="GC19" s="78"/>
      <c r="GD19" s="78"/>
      <c r="GE19" s="48" t="str">
        <f>DY19</f>
        <v>00100010000000010010000000100001</v>
      </c>
      <c r="GF19" s="30" t="str">
        <f t="shared" si="126"/>
        <v>00100010</v>
      </c>
      <c r="GG19" s="30" t="str">
        <f t="shared" si="96"/>
        <v>00000001</v>
      </c>
      <c r="GH19" s="30" t="str">
        <f t="shared" si="97"/>
        <v>00100000</v>
      </c>
      <c r="GI19" s="30" t="str">
        <f t="shared" si="98"/>
        <v>00100001</v>
      </c>
      <c r="GJ19" s="78"/>
      <c r="GK19" s="78"/>
      <c r="GL19" s="78"/>
      <c r="GM19" s="78"/>
      <c r="GN19" s="31" t="str">
        <f t="shared" si="99"/>
        <v>1110</v>
      </c>
      <c r="GO19" s="31" t="str">
        <f t="shared" si="100"/>
        <v>1010</v>
      </c>
      <c r="GP19" s="31" t="str">
        <f t="shared" si="101"/>
        <v>1100</v>
      </c>
      <c r="GQ19" s="31" t="str">
        <f t="shared" si="102"/>
        <v>0001</v>
      </c>
      <c r="GR19" s="31" t="str">
        <f t="shared" si="103"/>
        <v>0110</v>
      </c>
      <c r="GS19" s="31" t="str">
        <f t="shared" si="104"/>
        <v>1100</v>
      </c>
      <c r="GT19" s="31" t="str">
        <f t="shared" si="105"/>
        <v>1110</v>
      </c>
      <c r="GU19" s="31" t="str">
        <f t="shared" si="106"/>
        <v>0001</v>
      </c>
      <c r="GV19" s="78"/>
      <c r="GW19" s="78"/>
      <c r="GX19" s="78"/>
      <c r="GY19" s="78"/>
      <c r="GZ19" s="78"/>
      <c r="HA19" s="78"/>
      <c r="HB19" s="78"/>
      <c r="HC19" s="78"/>
      <c r="HD19" s="30" t="str">
        <f t="shared" si="21"/>
        <v>0010001000000001</v>
      </c>
      <c r="HE19" s="30" t="str">
        <f t="shared" si="22"/>
        <v>0010000000100001</v>
      </c>
      <c r="HF19" s="78"/>
      <c r="HG19" s="78"/>
      <c r="HH19" s="48" t="str">
        <f>FB19</f>
        <v>00100000000000000010000000100000</v>
      </c>
      <c r="HI19" s="30" t="str">
        <f t="shared" si="128"/>
        <v>00100000</v>
      </c>
      <c r="HJ19" s="30" t="str">
        <f t="shared" si="107"/>
        <v>00000000</v>
      </c>
      <c r="HK19" s="30" t="str">
        <f t="shared" si="108"/>
        <v>00100000</v>
      </c>
      <c r="HL19" s="30" t="str">
        <f t="shared" si="109"/>
        <v>00100000</v>
      </c>
      <c r="HM19" s="78"/>
      <c r="HN19" s="78"/>
      <c r="HO19" s="78"/>
      <c r="HP19" s="78"/>
      <c r="HQ19" s="31" t="str">
        <f t="shared" si="110"/>
        <v>1110</v>
      </c>
      <c r="HR19" s="31" t="str">
        <f t="shared" si="111"/>
        <v>1010</v>
      </c>
      <c r="HS19" s="31" t="str">
        <f t="shared" si="112"/>
        <v>1100</v>
      </c>
      <c r="HT19" s="31" t="str">
        <f t="shared" si="113"/>
        <v>0001</v>
      </c>
      <c r="HU19" s="31" t="str">
        <f t="shared" si="114"/>
        <v>0110</v>
      </c>
      <c r="HV19" s="31" t="str">
        <f t="shared" si="115"/>
        <v>1100</v>
      </c>
      <c r="HW19" s="31" t="str">
        <f t="shared" si="116"/>
        <v>1110</v>
      </c>
      <c r="HX19" s="31" t="str">
        <f t="shared" si="117"/>
        <v>0001</v>
      </c>
      <c r="HY19" s="78"/>
      <c r="HZ19" s="78"/>
      <c r="IA19" s="78"/>
      <c r="IB19" s="78"/>
      <c r="IC19" s="78"/>
      <c r="ID19" s="78"/>
      <c r="IE19" s="78"/>
      <c r="IF19" s="78"/>
      <c r="IG19" s="30" t="str">
        <f t="shared" si="24"/>
        <v>0010000000000000</v>
      </c>
      <c r="IH19" s="30" t="str">
        <f t="shared" si="25"/>
        <v>0010000000100000</v>
      </c>
      <c r="II19" s="78"/>
      <c r="IJ19" s="78"/>
      <c r="IL19" s="30"/>
      <c r="IM19" s="30"/>
      <c r="IN19" s="30"/>
      <c r="IO19" s="30"/>
      <c r="IP19" s="23"/>
      <c r="IQ19" s="23"/>
      <c r="IR19" s="23"/>
      <c r="IS19" s="23"/>
      <c r="JB19" s="23"/>
      <c r="JC19" s="23"/>
      <c r="JD19" s="23"/>
      <c r="JE19" s="23"/>
      <c r="JF19" s="23"/>
      <c r="JG19" s="23"/>
      <c r="JH19" s="23"/>
      <c r="JI19" s="23"/>
      <c r="JJ19" s="30"/>
      <c r="JK19" s="30"/>
      <c r="JL19" s="23"/>
      <c r="JM19" s="23"/>
    </row>
    <row r="20" spans="1:273" s="27" customFormat="1" x14ac:dyDescent="0.35">
      <c r="A20" s="24"/>
      <c r="B20" s="25"/>
      <c r="C20" s="20" t="s">
        <v>0</v>
      </c>
      <c r="D20" s="20">
        <v>37</v>
      </c>
      <c r="E20" s="20" t="s">
        <v>89</v>
      </c>
      <c r="F20" s="20" t="s">
        <v>24</v>
      </c>
      <c r="G20" s="20">
        <v>92</v>
      </c>
      <c r="H20" s="20" t="str">
        <f t="shared" ref="H20:H41" si="186">CONCATENATE(HEX2BIN(D20,8),HEX2BIN(E20,8),HEX2BIN(F20,8),HEX2BIN(G20,8))</f>
        <v>00110111111000111011010110010010</v>
      </c>
      <c r="I20" s="20">
        <f t="shared" ref="I20:I41" si="187">MID(H20,1,1)+MID(H20,2,1)+MID(H20,3,1)+MID(H20,4,1)+MID(H20,5,1)+MID(H20,6,1)+MID(H20,7,1)+MID(H20,8,1)+MID(H20,9,1)+MID(H20,10,1)+MID(H20,11,1)+MID(H20,12,1)+MID(H20,13,1)+MID(H20,14,1)+MID(H20,15,1)+MID(H20,16,1)+MID(H20,17,1)+MID(H20,18,1)+MID(H20,19,1)+MID(H20,20,1)+MID(H20,21,1)+MID(H20,22,1)+MID(H20,23,1)+MID(H20,24,1)+MID(H20,25,1)+MID(H20,26,1)+MID(H20,27,1)+MID(H20,28,1)+MID(H20,29,1)+MID(H20,30,1)+MID(H20,31,1)+MID(H20,32,1)</f>
        <v>18</v>
      </c>
      <c r="J20" s="20">
        <v>64</v>
      </c>
      <c r="K20" s="20" t="str">
        <f>HEX2BIN(J20,8)</f>
        <v>01100100</v>
      </c>
      <c r="L20" s="43" t="str">
        <f>H20</f>
        <v>00110111111000111011010110010010</v>
      </c>
      <c r="M20" s="26" t="str">
        <f t="shared" si="26"/>
        <v>00110111</v>
      </c>
      <c r="N20" s="26" t="str">
        <f t="shared" si="27"/>
        <v>11100011</v>
      </c>
      <c r="O20" s="26" t="str">
        <f t="shared" si="28"/>
        <v>10110101</v>
      </c>
      <c r="P20" s="26" t="str">
        <f t="shared" si="29"/>
        <v>10010010</v>
      </c>
      <c r="Q20" s="77">
        <f>BIN2DEC(M20)-BIN2DEC(M21)</f>
        <v>-144</v>
      </c>
      <c r="R20" s="77">
        <f>BIN2DEC(N20)-BIN2DEC(N21)</f>
        <v>211</v>
      </c>
      <c r="S20" s="77">
        <f>BIN2DEC(O20)-BIN2DEC(O21)</f>
        <v>54</v>
      </c>
      <c r="T20" s="77">
        <f>BIN2DEC(P20)-BIN2DEC(P21)</f>
        <v>-101</v>
      </c>
      <c r="U20" s="27" t="str">
        <f t="shared" si="30"/>
        <v>0011</v>
      </c>
      <c r="V20" s="27" t="str">
        <f t="shared" si="31"/>
        <v>0111</v>
      </c>
      <c r="W20" s="27" t="str">
        <f t="shared" si="32"/>
        <v>1110</v>
      </c>
      <c r="X20" s="27" t="str">
        <f t="shared" si="33"/>
        <v>0011</v>
      </c>
      <c r="Y20" s="27" t="str">
        <f t="shared" si="34"/>
        <v>1011</v>
      </c>
      <c r="Z20" s="27" t="str">
        <f t="shared" si="35"/>
        <v>0101</v>
      </c>
      <c r="AA20" s="27" t="str">
        <f t="shared" si="36"/>
        <v>1001</v>
      </c>
      <c r="AB20" s="27" t="str">
        <f t="shared" si="37"/>
        <v>0010</v>
      </c>
      <c r="AC20" s="77">
        <f>BIN2DEC(U20)-BIN2DEC(U21)</f>
        <v>-9</v>
      </c>
      <c r="AD20" s="77">
        <f t="shared" ref="AD20:AI20" si="188">BIN2DEC(V20)-BIN2DEC(V21)</f>
        <v>0</v>
      </c>
      <c r="AE20" s="77">
        <f t="shared" si="188"/>
        <v>13</v>
      </c>
      <c r="AF20" s="77">
        <f t="shared" si="188"/>
        <v>3</v>
      </c>
      <c r="AG20" s="77">
        <f t="shared" si="188"/>
        <v>4</v>
      </c>
      <c r="AH20" s="77">
        <f t="shared" si="188"/>
        <v>-10</v>
      </c>
      <c r="AI20" s="77">
        <f t="shared" si="188"/>
        <v>-6</v>
      </c>
      <c r="AJ20" s="77">
        <f>BIN2DEC(AB20)-BIN2DEC(AB21)</f>
        <v>-5</v>
      </c>
      <c r="AK20" s="26" t="str">
        <f t="shared" si="3"/>
        <v>0011011111100011</v>
      </c>
      <c r="AL20" s="26" t="str">
        <f t="shared" si="4"/>
        <v>1011010110010010</v>
      </c>
      <c r="AM20" s="77">
        <f>MID(AK20,16,1)*POWER(2,0)+MID(AK20,15,1)*POWER(2,1)+MID(AK20,14,1)*POWER(2,2)+MID(AK20,13,1)*POWER(2,3)+MID(AK20,12,1)*POWER(2,4)+MID(AK20,11,1)*POWER(2,5)+MID(AK20,10,1)*POWER(2,6)+MID(AK20,9,1)*POWER(2,7)+MID(AK20,8,1)*POWER(2,8)+MID(AK20,7,1)*POWER(2,9)+MID(AK20,6,1)*POWER(2,10)+MID(AK20,5,1)*POWER(2,11)+MID(AK20,4,1)*POWER(2,12)+MID(AK20,3,1)*POWER(2,13)+MID(AK20,2,1)*POWER(2,14)+MID(AK20,1,1)*POWER(2,15)-(MID(AK21,16,1)*POWER(2,0)+MID(AK21,15,1)*POWER(2,1)+MID(AK21,14,1)*POWER(2,2)+MID(AK21,13,1)*POWER(2,3)+MID(AK21,12,1)*POWER(2,4)+MID(AK21,11,1)*POWER(2,5)+MID(AK21,10,1)*POWER(2,6)+MID(AK21,9,1)*POWER(2,7)+MID(AK21,8,1)*POWER(2,8)+MID(AK21,7,1)*POWER(2,9)+MID(AK21,6,1)*POWER(2,10)+MID(AK21,5,1)*POWER(2,11)+MID(AK21,4,1)*POWER(2,12)+MID(AK21,3,1)*POWER(2,13)+MID(AK21,2,1)*POWER(2,14)+MID(AK21,1,1)*POWER(2,15))</f>
        <v>-36653</v>
      </c>
      <c r="AN20" s="77">
        <f>MID(AL20,16,1)*POWER(2,0)+MID(AL20,15,1)*POWER(2,1)+MID(AL20,14,1)*POWER(2,2)+MID(AL20,13,1)*POWER(2,3)+MID(AL20,12,1)*POWER(2,4)+MID(AL20,11,1)*POWER(2,5)+MID(AL20,10,1)*POWER(2,6)+MID(AL20,9,1)*POWER(2,7)+MID(AL20,8,1)*POWER(2,8)+MID(AL20,7,1)*POWER(2,9)+MID(AL20,6,1)*POWER(2,10)+MID(AL20,5,1)*POWER(2,11)+MID(AL20,4,1)*POWER(2,12)+MID(AL20,3,1)*POWER(2,13)+MID(AL20,2,1)*POWER(2,14)+MID(AL20,1,1)*POWER(2,15)-(MID(AL21,16,1)*POWER(2,0)+MID(AL21,15,1)*POWER(2,1)+MID(AL21,14,1)*POWER(2,2)+MID(AL21,13,1)*POWER(2,3)+MID(AL21,12,1)*POWER(2,4)+MID(AL21,11,1)*POWER(2,5)+MID(AL21,10,1)*POWER(2,6)+MID(AL21,9,1)*POWER(2,7)+MID(AL21,8,1)*POWER(2,8)+MID(AL21,7,1)*POWER(2,9)+MID(AL21,6,1)*POWER(2,10)+MID(AL21,5,1)*POWER(2,11)+MID(AL21,4,1)*POWER(2,12)+MID(AL21,3,1)*POWER(2,13)+MID(AL21,2,1)*POWER(2,14)+MID(AL21,1,1)*POWER(2,15))</f>
        <v>13723</v>
      </c>
      <c r="AO20" s="45" t="str">
        <f>H20</f>
        <v>00110111111000111011010110010010</v>
      </c>
      <c r="AP20" s="26" t="str">
        <f t="shared" si="38"/>
        <v>00110111</v>
      </c>
      <c r="AQ20" s="26" t="str">
        <f t="shared" si="39"/>
        <v>11100011</v>
      </c>
      <c r="AR20" s="26" t="str">
        <f t="shared" si="40"/>
        <v>10110101</v>
      </c>
      <c r="AS20" s="26" t="str">
        <f t="shared" si="41"/>
        <v>10010010</v>
      </c>
      <c r="AT20" s="77">
        <f>BIN2DEC(AP20)-BIN2DEC(AP21)</f>
        <v>-13</v>
      </c>
      <c r="AU20" s="77">
        <f>BIN2DEC(AQ20)-BIN2DEC(AQ21)</f>
        <v>227</v>
      </c>
      <c r="AV20" s="77">
        <f>BIN2DEC(AR20)-BIN2DEC(AR21)</f>
        <v>81</v>
      </c>
      <c r="AW20" s="77">
        <f>BIN2DEC(AS20)-BIN2DEC(AS21)</f>
        <v>46</v>
      </c>
      <c r="AX20" s="27" t="str">
        <f t="shared" si="42"/>
        <v>0011</v>
      </c>
      <c r="AY20" s="27" t="str">
        <f t="shared" si="43"/>
        <v>0111</v>
      </c>
      <c r="AZ20" s="27" t="str">
        <f t="shared" si="44"/>
        <v>1110</v>
      </c>
      <c r="BA20" s="27" t="str">
        <f t="shared" si="45"/>
        <v>0011</v>
      </c>
      <c r="BB20" s="27" t="str">
        <f t="shared" si="46"/>
        <v>1011</v>
      </c>
      <c r="BC20" s="27" t="str">
        <f t="shared" si="47"/>
        <v>0101</v>
      </c>
      <c r="BD20" s="27" t="str">
        <f t="shared" si="48"/>
        <v>1001</v>
      </c>
      <c r="BE20" s="27" t="str">
        <f t="shared" si="49"/>
        <v>0010</v>
      </c>
      <c r="BF20" s="77">
        <f>BIN2DEC(AX20)-BIN2DEC(AX21)</f>
        <v>-9</v>
      </c>
      <c r="BG20" s="77">
        <f t="shared" ref="BG20:BL20" si="189">BIN2DEC(AY20)-BIN2DEC(AY21)</f>
        <v>0</v>
      </c>
      <c r="BH20" s="77">
        <f t="shared" si="189"/>
        <v>13</v>
      </c>
      <c r="BI20" s="77">
        <f t="shared" si="189"/>
        <v>3</v>
      </c>
      <c r="BJ20" s="77">
        <f t="shared" si="189"/>
        <v>4</v>
      </c>
      <c r="BK20" s="77">
        <f t="shared" si="189"/>
        <v>-10</v>
      </c>
      <c r="BL20" s="77">
        <f t="shared" si="189"/>
        <v>-6</v>
      </c>
      <c r="BM20" s="77">
        <f>BIN2DEC(BE20)-BIN2DEC(BE21)</f>
        <v>-5</v>
      </c>
      <c r="BN20" s="26" t="str">
        <f t="shared" si="6"/>
        <v>0011011111100011</v>
      </c>
      <c r="BO20" s="26" t="str">
        <f t="shared" si="7"/>
        <v>1011010110010010</v>
      </c>
      <c r="BP20" s="77">
        <f>MID(BN20,16,1)*POWER(2,0)+MID(BN20,15,1)*POWER(2,1)+MID(BN20,14,1)*POWER(2,2)+MID(BN20,13,1)*POWER(2,3)+MID(BN20,12,1)*POWER(2,4)+MID(BN20,11,1)*POWER(2,5)+MID(BN20,10,1)*POWER(2,6)+MID(BN20,9,1)*POWER(2,7)+MID(BN20,8,1)*POWER(2,8)+MID(BN20,7,1)*POWER(2,9)+MID(BN20,6,1)*POWER(2,10)+MID(BN20,5,1)*POWER(2,11)+MID(BN20,4,1)*POWER(2,12)+MID(BN20,3,1)*POWER(2,13)+MID(BN20,2,1)*POWER(2,14)+MID(BN20,1,1)*POWER(2,15)-(MID(BN21,16,1)*POWER(2,0)+MID(BN21,15,1)*POWER(2,1)+MID(BN21,14,1)*POWER(2,2)+MID(BN21,13,1)*POWER(2,3)+MID(BN21,12,1)*POWER(2,4)+MID(BN21,11,1)*POWER(2,5)+MID(BN21,10,1)*POWER(2,6)+MID(BN21,9,1)*POWER(2,7)+MID(BN21,8,1)*POWER(2,8)+MID(BN21,7,1)*POWER(2,9)+MID(BN21,6,1)*POWER(2,10)+MID(BN21,5,1)*POWER(2,11)+MID(BN21,4,1)*POWER(2,12)+MID(BN21,3,1)*POWER(2,13)+MID(BN21,2,1)*POWER(2,14)+MID(BN21,1,1)*POWER(2,15))</f>
        <v>-3101</v>
      </c>
      <c r="BQ20" s="77">
        <f>MID(BO20,16,1)*POWER(2,0)+MID(BO20,15,1)*POWER(2,1)+MID(BO20,14,1)*POWER(2,2)+MID(BO20,13,1)*POWER(2,3)+MID(BO20,12,1)*POWER(2,4)+MID(BO20,11,1)*POWER(2,5)+MID(BO20,10,1)*POWER(2,6)+MID(BO20,9,1)*POWER(2,7)+MID(BO20,8,1)*POWER(2,8)+MID(BO20,7,1)*POWER(2,9)+MID(BO20,6,1)*POWER(2,10)+MID(BO20,5,1)*POWER(2,11)+MID(BO20,4,1)*POWER(2,12)+MID(BO20,3,1)*POWER(2,13)+MID(BO20,2,1)*POWER(2,14)+MID(BO20,1,1)*POWER(2,15)-(MID(BO21,16,1)*POWER(2,0)+MID(BO21,15,1)*POWER(2,1)+MID(BO21,14,1)*POWER(2,2)+MID(BO21,13,1)*POWER(2,3)+MID(BO21,12,1)*POWER(2,4)+MID(BO21,11,1)*POWER(2,5)+MID(BO21,10,1)*POWER(2,6)+MID(BO21,9,1)*POWER(2,7)+MID(BO21,8,1)*POWER(2,8)+MID(BO21,7,1)*POWER(2,9)+MID(BO21,6,1)*POWER(2,10)+MID(BO21,5,1)*POWER(2,11)+MID(BO21,4,1)*POWER(2,12)+MID(BO21,3,1)*POWER(2,13)+MID(BO21,2,1)*POWER(2,14)+MID(BO21,1,1)*POWER(2,15))</f>
        <v>20782</v>
      </c>
      <c r="BR20" s="45" t="str">
        <f>CONCATENATE(MID($L20,1,1)*MID($K20,1,1),MID($L20,2,1)*MID($K20,2,1),MID($L20,3,1)*MID($K20,3,1),MID($L20,4,1)*MID($K20,4,1),MID($L20,5,1)*MID($K20,5,1),MID($L20,6,1)*MID($K20,6,1),MID($L20,7,1)*MID($K20,7,1),MID($L20,8,1)*MID($K20,8,1),MID($L20,9,1)*MID($K20,1,1),MID($L20,10,1)*MID($K20,2,1),MID($L20,11,1)*MID($K20,3,1),MID($L20,12,1)*MID($K20,4,1),MID($L20,13,1)*MID($K20,5,1),MID($L20,14,1)*MID($K20,6,1),MID($L20,15,1)*MID($K20,7,1),MID($L20,16,1)*MID($K20,8,1),MID($L20,17,1)*MID($K20,1,1),MID($L20,18,1)*MID($K20,2,1),MID($L20,19,1)*MID($K20,3,1),MID($L20,20,1)*MID($K20,4,1),MID($L20,21,1)*MID($K20,5,1),MID($L20,22,1)*MID($K20,6,1),MID($L20,23,1)*MID($K20,7,1),MID($L20,24,1)*MID($K20,8,1),MID($L20,25,1)*MID($K20,1,1),MID($L20,26,1)*MID($K20,2,1),MID($L20,27,1)*MID($K20,3,1),MID($L20,28,1)*MID($K20,4,1),MID($L20,29,1)*MID($K20,5,1),MID($L20,30,1)*MID($K20,6,1),MID($L20,31,1)*MID($K20,7,1),MID($L20,32,1)*MID($K20,8,1))</f>
        <v>00100100011000000010010000000000</v>
      </c>
      <c r="BS20" s="26" t="str">
        <f t="shared" si="50"/>
        <v>00100100</v>
      </c>
      <c r="BT20" s="26" t="str">
        <f t="shared" si="51"/>
        <v>01100000</v>
      </c>
      <c r="BU20" s="26" t="str">
        <f t="shared" si="52"/>
        <v>00100100</v>
      </c>
      <c r="BV20" s="26" t="str">
        <f t="shared" si="53"/>
        <v>00000000</v>
      </c>
      <c r="BW20" s="77">
        <f>BIN2DEC(BS20)-BIN2DEC(BS21)</f>
        <v>-163</v>
      </c>
      <c r="BX20" s="77">
        <f>BIN2DEC(BT20)-BIN2DEC(BT21)</f>
        <v>80</v>
      </c>
      <c r="BY20" s="77">
        <f>BIN2DEC(BU20)-BIN2DEC(BU21)</f>
        <v>-91</v>
      </c>
      <c r="BZ20" s="77">
        <f>BIN2DEC(BV20)-BIN2DEC(BV21)</f>
        <v>-247</v>
      </c>
      <c r="CA20" s="27" t="str">
        <f t="shared" si="54"/>
        <v>0011</v>
      </c>
      <c r="CB20" s="27" t="str">
        <f t="shared" si="55"/>
        <v>0111</v>
      </c>
      <c r="CC20" s="27" t="str">
        <f t="shared" si="56"/>
        <v>1110</v>
      </c>
      <c r="CD20" s="27" t="str">
        <f t="shared" si="57"/>
        <v>0011</v>
      </c>
      <c r="CE20" s="27" t="str">
        <f t="shared" si="58"/>
        <v>1011</v>
      </c>
      <c r="CF20" s="27" t="str">
        <f t="shared" si="59"/>
        <v>0101</v>
      </c>
      <c r="CG20" s="27" t="str">
        <f t="shared" si="60"/>
        <v>1001</v>
      </c>
      <c r="CH20" s="27" t="str">
        <f t="shared" si="61"/>
        <v>0010</v>
      </c>
      <c r="CI20" s="77">
        <f>BIN2DEC(CA20)-BIN2DEC(CA21)</f>
        <v>-9</v>
      </c>
      <c r="CJ20" s="77">
        <f t="shared" ref="CJ20:CO20" si="190">BIN2DEC(CB20)-BIN2DEC(CB21)</f>
        <v>0</v>
      </c>
      <c r="CK20" s="77">
        <f t="shared" si="190"/>
        <v>13</v>
      </c>
      <c r="CL20" s="77">
        <f t="shared" si="190"/>
        <v>3</v>
      </c>
      <c r="CM20" s="77">
        <f t="shared" si="190"/>
        <v>4</v>
      </c>
      <c r="CN20" s="77">
        <f t="shared" si="190"/>
        <v>-10</v>
      </c>
      <c r="CO20" s="77">
        <f t="shared" si="190"/>
        <v>-6</v>
      </c>
      <c r="CP20" s="77">
        <f>BIN2DEC(CH20)-BIN2DEC(CH21)</f>
        <v>-5</v>
      </c>
      <c r="CQ20" s="26" t="str">
        <f t="shared" si="9"/>
        <v>0010010001100000</v>
      </c>
      <c r="CR20" s="26" t="str">
        <f t="shared" si="10"/>
        <v>0010010000000000</v>
      </c>
      <c r="CS20" s="77">
        <f>MID(CQ20,16,1)*POWER(2,0)+MID(CQ20,15,1)*POWER(2,1)+MID(CQ20,14,1)*POWER(2,2)+MID(CQ20,13,1)*POWER(2,3)+MID(CQ20,12,1)*POWER(2,4)+MID(CQ20,11,1)*POWER(2,5)+MID(CQ20,10,1)*POWER(2,6)+MID(CQ20,9,1)*POWER(2,7)+MID(CQ20,8,1)*POWER(2,8)+MID(CQ20,7,1)*POWER(2,9)+MID(CQ20,6,1)*POWER(2,10)+MID(CQ20,5,1)*POWER(2,11)+MID(CQ20,4,1)*POWER(2,12)+MID(CQ20,3,1)*POWER(2,13)+MID(CQ20,2,1)*POWER(2,14)+MID(CQ20,1,1)*POWER(2,15)-(MID(CQ21,16,1)*POWER(2,0)+MID(CQ21,15,1)*POWER(2,1)+MID(CQ21,14,1)*POWER(2,2)+MID(CQ21,13,1)*POWER(2,3)+MID(CQ21,12,1)*POWER(2,4)+MID(CQ21,11,1)*POWER(2,5)+MID(CQ21,10,1)*POWER(2,6)+MID(CQ21,9,1)*POWER(2,7)+MID(CQ21,8,1)*POWER(2,8)+MID(CQ21,7,1)*POWER(2,9)+MID(CQ21,6,1)*POWER(2,10)+MID(CQ21,5,1)*POWER(2,11)+MID(CQ21,4,1)*POWER(2,12)+MID(CQ21,3,1)*POWER(2,13)+MID(CQ21,2,1)*POWER(2,14)+MID(CQ21,1,1)*POWER(2,15))</f>
        <v>-41648</v>
      </c>
      <c r="CT20" s="77">
        <f>MID(CR20,16,1)*POWER(2,0)+MID(CR20,15,1)*POWER(2,1)+MID(CR20,14,1)*POWER(2,2)+MID(CR20,13,1)*POWER(2,3)+MID(CR20,12,1)*POWER(2,4)+MID(CR20,11,1)*POWER(2,5)+MID(CR20,10,1)*POWER(2,6)+MID(CR20,9,1)*POWER(2,7)+MID(CR20,8,1)*POWER(2,8)+MID(CR20,7,1)*POWER(2,9)+MID(CR20,6,1)*POWER(2,10)+MID(CR20,5,1)*POWER(2,11)+MID(CR20,4,1)*POWER(2,12)+MID(CR20,3,1)*POWER(2,13)+MID(CR20,2,1)*POWER(2,14)+MID(CR20,1,1)*POWER(2,15)-(MID(CR21,16,1)*POWER(2,0)+MID(CR21,15,1)*POWER(2,1)+MID(CR21,14,1)*POWER(2,2)+MID(CR21,13,1)*POWER(2,3)+MID(CR21,12,1)*POWER(2,4)+MID(CR21,11,1)*POWER(2,5)+MID(CR21,10,1)*POWER(2,6)+MID(CR21,9,1)*POWER(2,7)+MID(CR21,8,1)*POWER(2,8)+MID(CR21,7,1)*POWER(2,9)+MID(CR21,6,1)*POWER(2,10)+MID(CR21,5,1)*POWER(2,11)+MID(CR21,4,1)*POWER(2,12)+MID(CR21,3,1)*POWER(2,13)+MID(CR21,2,1)*POWER(2,14)+MID(CR21,1,1)*POWER(2,15))</f>
        <v>-23543</v>
      </c>
      <c r="CU20" s="45" t="str">
        <f>BR20</f>
        <v>00100100011000000010010000000000</v>
      </c>
      <c r="CV20" s="26" t="str">
        <f t="shared" si="62"/>
        <v>00100100</v>
      </c>
      <c r="CW20" s="26" t="str">
        <f t="shared" si="63"/>
        <v>01100000</v>
      </c>
      <c r="CX20" s="26" t="str">
        <f t="shared" si="64"/>
        <v>00100100</v>
      </c>
      <c r="CY20" s="26" t="str">
        <f t="shared" si="65"/>
        <v>00000000</v>
      </c>
      <c r="CZ20" s="77">
        <f>BIN2DEC(CV20)-BIN2DEC(CV21)</f>
        <v>-32</v>
      </c>
      <c r="DA20" s="77">
        <f>BIN2DEC(CW20)-BIN2DEC(CW21)</f>
        <v>96</v>
      </c>
      <c r="DB20" s="77">
        <f>BIN2DEC(CX20)-BIN2DEC(CX21)</f>
        <v>-64</v>
      </c>
      <c r="DC20" s="77">
        <f>BIN2DEC(CY20)-BIN2DEC(CY21)</f>
        <v>-100</v>
      </c>
      <c r="DD20" s="27" t="str">
        <f t="shared" si="66"/>
        <v>0011</v>
      </c>
      <c r="DE20" s="27" t="str">
        <f t="shared" si="67"/>
        <v>0111</v>
      </c>
      <c r="DF20" s="27" t="str">
        <f t="shared" si="68"/>
        <v>1110</v>
      </c>
      <c r="DG20" s="27" t="str">
        <f t="shared" si="69"/>
        <v>0011</v>
      </c>
      <c r="DH20" s="27" t="str">
        <f t="shared" si="70"/>
        <v>1011</v>
      </c>
      <c r="DI20" s="27" t="str">
        <f t="shared" si="71"/>
        <v>0101</v>
      </c>
      <c r="DJ20" s="27" t="str">
        <f t="shared" si="72"/>
        <v>1001</v>
      </c>
      <c r="DK20" s="27" t="str">
        <f t="shared" si="73"/>
        <v>0010</v>
      </c>
      <c r="DL20" s="77">
        <f>BIN2DEC(DD20)-BIN2DEC(DD21)</f>
        <v>-9</v>
      </c>
      <c r="DM20" s="77">
        <f t="shared" ref="DM20:DR20" si="191">BIN2DEC(DE20)-BIN2DEC(DE21)</f>
        <v>0</v>
      </c>
      <c r="DN20" s="77">
        <f t="shared" si="191"/>
        <v>13</v>
      </c>
      <c r="DO20" s="77">
        <f t="shared" si="191"/>
        <v>3</v>
      </c>
      <c r="DP20" s="77">
        <f t="shared" si="191"/>
        <v>4</v>
      </c>
      <c r="DQ20" s="77">
        <f t="shared" si="191"/>
        <v>-10</v>
      </c>
      <c r="DR20" s="77">
        <f t="shared" si="191"/>
        <v>-6</v>
      </c>
      <c r="DS20" s="77">
        <f>BIN2DEC(DK20)-BIN2DEC(DK21)</f>
        <v>-5</v>
      </c>
      <c r="DT20" s="26" t="str">
        <f t="shared" si="12"/>
        <v>0010010001100000</v>
      </c>
      <c r="DU20" s="26" t="str">
        <f t="shared" si="13"/>
        <v>0010010000000000</v>
      </c>
      <c r="DV20" s="77">
        <f>MID(DT20,16,1)*POWER(2,0)+MID(DT20,15,1)*POWER(2,1)+MID(DT20,14,1)*POWER(2,2)+MID(DT20,13,1)*POWER(2,3)+MID(DT20,12,1)*POWER(2,4)+MID(DT20,11,1)*POWER(2,5)+MID(DT20,10,1)*POWER(2,6)+MID(DT20,9,1)*POWER(2,7)+MID(DT20,8,1)*POWER(2,8)+MID(DT20,7,1)*POWER(2,9)+MID(DT20,6,1)*POWER(2,10)+MID(DT20,5,1)*POWER(2,11)+MID(DT20,4,1)*POWER(2,12)+MID(DT20,3,1)*POWER(2,13)+MID(DT20,2,1)*POWER(2,14)+MID(DT20,1,1)*POWER(2,15)-(MID(DT21,16,1)*POWER(2,0)+MID(DT21,15,1)*POWER(2,1)+MID(DT21,14,1)*POWER(2,2)+MID(DT21,13,1)*POWER(2,3)+MID(DT21,12,1)*POWER(2,4)+MID(DT21,11,1)*POWER(2,5)+MID(DT21,10,1)*POWER(2,6)+MID(DT21,9,1)*POWER(2,7)+MID(DT21,8,1)*POWER(2,8)+MID(DT21,7,1)*POWER(2,9)+MID(DT21,6,1)*POWER(2,10)+MID(DT21,5,1)*POWER(2,11)+MID(DT21,4,1)*POWER(2,12)+MID(DT21,3,1)*POWER(2,13)+MID(DT21,2,1)*POWER(2,14)+MID(DT21,1,1)*POWER(2,15))</f>
        <v>-8096</v>
      </c>
      <c r="DW20" s="77">
        <f>MID(DU20,16,1)*POWER(2,0)+MID(DU20,15,1)*POWER(2,1)+MID(DU20,14,1)*POWER(2,2)+MID(DU20,13,1)*POWER(2,3)+MID(DU20,12,1)*POWER(2,4)+MID(DU20,11,1)*POWER(2,5)+MID(DU20,10,1)*POWER(2,6)+MID(DU20,9,1)*POWER(2,7)+MID(DU20,8,1)*POWER(2,8)+MID(DU20,7,1)*POWER(2,9)+MID(DU20,6,1)*POWER(2,10)+MID(DU20,5,1)*POWER(2,11)+MID(DU20,4,1)*POWER(2,12)+MID(DU20,3,1)*POWER(2,13)+MID(DU20,2,1)*POWER(2,14)+MID(DU20,1,1)*POWER(2,15)-(MID(DU21,16,1)*POWER(2,0)+MID(DU21,15,1)*POWER(2,1)+MID(DU21,14,1)*POWER(2,2)+MID(DU21,13,1)*POWER(2,3)+MID(DU21,12,1)*POWER(2,4)+MID(DU21,11,1)*POWER(2,5)+MID(DU21,10,1)*POWER(2,6)+MID(DU21,9,1)*POWER(2,7)+MID(DU21,8,1)*POWER(2,8)+MID(DU21,7,1)*POWER(2,9)+MID(DU21,6,1)*POWER(2,10)+MID(DU21,5,1)*POWER(2,11)+MID(DU21,4,1)*POWER(2,12)+MID(DU21,3,1)*POWER(2,13)+MID(DU21,2,1)*POWER(2,14)+MID(DU21,1,1)*POWER(2,15))</f>
        <v>-16484</v>
      </c>
      <c r="DX20" s="22"/>
      <c r="DY20" s="43" t="str">
        <f>H20</f>
        <v>00110111111000111011010110010010</v>
      </c>
      <c r="DZ20" s="26" t="str">
        <f t="shared" si="122"/>
        <v>00110111</v>
      </c>
      <c r="EA20" s="26" t="str">
        <f t="shared" si="74"/>
        <v>11100011</v>
      </c>
      <c r="EB20" s="26" t="str">
        <f t="shared" si="75"/>
        <v>10110101</v>
      </c>
      <c r="EC20" s="26" t="str">
        <f t="shared" si="76"/>
        <v>10010010</v>
      </c>
      <c r="ED20" s="77">
        <f>BIN2DEC(DZ20)-BIN2DEC(DZ21)</f>
        <v>52</v>
      </c>
      <c r="EE20" s="77">
        <f>BIN2DEC(EA20)-BIN2DEC(EA21)</f>
        <v>227</v>
      </c>
      <c r="EF20" s="77">
        <f>BIN2DEC(EB20)-BIN2DEC(EB21)</f>
        <v>146</v>
      </c>
      <c r="EG20" s="77">
        <f>BIN2DEC(EC20)-BIN2DEC(EC21)</f>
        <v>111</v>
      </c>
      <c r="EH20" s="27" t="str">
        <f t="shared" si="77"/>
        <v>0011</v>
      </c>
      <c r="EI20" s="27" t="str">
        <f t="shared" si="78"/>
        <v>0111</v>
      </c>
      <c r="EJ20" s="27" t="str">
        <f t="shared" si="79"/>
        <v>1110</v>
      </c>
      <c r="EK20" s="27" t="str">
        <f t="shared" si="80"/>
        <v>0011</v>
      </c>
      <c r="EL20" s="27" t="str">
        <f t="shared" si="81"/>
        <v>1011</v>
      </c>
      <c r="EM20" s="27" t="str">
        <f t="shared" si="82"/>
        <v>0101</v>
      </c>
      <c r="EN20" s="27" t="str">
        <f t="shared" si="83"/>
        <v>1001</v>
      </c>
      <c r="EO20" s="27" t="str">
        <f t="shared" si="84"/>
        <v>0010</v>
      </c>
      <c r="EP20" s="77">
        <f>BIN2DEC(EH20)-BIN2DEC(EH21)</f>
        <v>-9</v>
      </c>
      <c r="EQ20" s="77">
        <f t="shared" ref="EQ20:EV20" si="192">BIN2DEC(EI20)-BIN2DEC(EI21)</f>
        <v>0</v>
      </c>
      <c r="ER20" s="77">
        <f t="shared" si="192"/>
        <v>13</v>
      </c>
      <c r="ES20" s="77">
        <f t="shared" si="192"/>
        <v>3</v>
      </c>
      <c r="ET20" s="77">
        <f t="shared" si="192"/>
        <v>4</v>
      </c>
      <c r="EU20" s="77">
        <f t="shared" si="192"/>
        <v>-10</v>
      </c>
      <c r="EV20" s="77">
        <f t="shared" si="192"/>
        <v>-6</v>
      </c>
      <c r="EW20" s="77">
        <f>BIN2DEC(EO20)-BIN2DEC(EO21)</f>
        <v>-5</v>
      </c>
      <c r="EX20" s="26" t="str">
        <f t="shared" si="15"/>
        <v>0011011111100011</v>
      </c>
      <c r="EY20" s="26" t="str">
        <f t="shared" si="16"/>
        <v>1011010110010010</v>
      </c>
      <c r="EZ20" s="77">
        <f>MID(EX20,16,1)*POWER(2,0)+MID(EX20,15,1)*POWER(2,1)+MID(EX20,14,1)*POWER(2,2)+MID(EX20,13,1)*POWER(2,3)+MID(EX20,12,1)*POWER(2,4)+MID(EX20,11,1)*POWER(2,5)+MID(EX20,10,1)*POWER(2,6)+MID(EX20,9,1)*POWER(2,7)+MID(EX20,8,1)*POWER(2,8)+MID(EX20,7,1)*POWER(2,9)+MID(EX20,6,1)*POWER(2,10)+MID(EX20,5,1)*POWER(2,11)+MID(EX20,4,1)*POWER(2,12)+MID(EX20,3,1)*POWER(2,13)+MID(EX20,2,1)*POWER(2,14)+MID(EX20,1,1)*POWER(2,15)-(MID(EX21,16,1)*POWER(2,0)+MID(EX21,15,1)*POWER(2,1)+MID(EX21,14,1)*POWER(2,2)+MID(EX21,13,1)*POWER(2,3)+MID(EX21,12,1)*POWER(2,4)+MID(EX21,11,1)*POWER(2,5)+MID(EX21,10,1)*POWER(2,6)+MID(EX21,9,1)*POWER(2,7)+MID(EX21,8,1)*POWER(2,8)+MID(EX21,7,1)*POWER(2,9)+MID(EX21,6,1)*POWER(2,10)+MID(EX21,5,1)*POWER(2,11)+MID(EX21,4,1)*POWER(2,12)+MID(EX21,3,1)*POWER(2,13)+MID(EX21,2,1)*POWER(2,14)+MID(EX21,1,1)*POWER(2,15))</f>
        <v>13539</v>
      </c>
      <c r="FA20" s="77">
        <f>MID(EY20,16,1)*POWER(2,0)+MID(EY20,15,1)*POWER(2,1)+MID(EY20,14,1)*POWER(2,2)+MID(EY20,13,1)*POWER(2,3)+MID(EY20,12,1)*POWER(2,4)+MID(EY20,11,1)*POWER(2,5)+MID(EY20,10,1)*POWER(2,6)+MID(EY20,9,1)*POWER(2,7)+MID(EY20,8,1)*POWER(2,8)+MID(EY20,7,1)*POWER(2,9)+MID(EY20,6,1)*POWER(2,10)+MID(EY20,5,1)*POWER(2,11)+MID(EY20,4,1)*POWER(2,12)+MID(EY20,3,1)*POWER(2,13)+MID(EY20,2,1)*POWER(2,14)+MID(EY20,1,1)*POWER(2,15)-(MID(EY21,16,1)*POWER(2,0)+MID(EY21,15,1)*POWER(2,1)+MID(EY21,14,1)*POWER(2,2)+MID(EY21,13,1)*POWER(2,3)+MID(EY21,12,1)*POWER(2,4)+MID(EY21,11,1)*POWER(2,5)+MID(EY21,10,1)*POWER(2,6)+MID(EY21,9,1)*POWER(2,7)+MID(EY21,8,1)*POWER(2,8)+MID(EY21,7,1)*POWER(2,9)+MID(EY21,6,1)*POWER(2,10)+MID(EY21,5,1)*POWER(2,11)+MID(EY21,4,1)*POWER(2,12)+MID(EY21,3,1)*POWER(2,13)+MID(EY21,2,1)*POWER(2,14)+MID(EY21,1,1)*POWER(2,15))</f>
        <v>37487</v>
      </c>
      <c r="FB20" s="45" t="str">
        <f>H20</f>
        <v>00110111111000111011010110010010</v>
      </c>
      <c r="FC20" s="26" t="str">
        <f t="shared" si="124"/>
        <v>00110111</v>
      </c>
      <c r="FD20" s="26" t="str">
        <f t="shared" si="85"/>
        <v>11100011</v>
      </c>
      <c r="FE20" s="26" t="str">
        <f t="shared" si="86"/>
        <v>10110101</v>
      </c>
      <c r="FF20" s="26" t="str">
        <f t="shared" si="87"/>
        <v>10010010</v>
      </c>
      <c r="FG20" s="77">
        <f>BIN2DEC(FC20)-BIN2DEC(FC21)</f>
        <v>55</v>
      </c>
      <c r="FH20" s="77">
        <f>BIN2DEC(FD20)-BIN2DEC(FD21)</f>
        <v>227</v>
      </c>
      <c r="FI20" s="77">
        <f>BIN2DEC(FE20)-BIN2DEC(FE21)</f>
        <v>149</v>
      </c>
      <c r="FJ20" s="77">
        <f>BIN2DEC(FF20)-BIN2DEC(FF21)</f>
        <v>114</v>
      </c>
      <c r="FK20" s="27" t="str">
        <f t="shared" si="88"/>
        <v>0011</v>
      </c>
      <c r="FL20" s="27" t="str">
        <f t="shared" si="89"/>
        <v>0111</v>
      </c>
      <c r="FM20" s="27" t="str">
        <f t="shared" si="90"/>
        <v>1110</v>
      </c>
      <c r="FN20" s="27" t="str">
        <f t="shared" si="91"/>
        <v>0011</v>
      </c>
      <c r="FO20" s="27" t="str">
        <f t="shared" si="92"/>
        <v>1011</v>
      </c>
      <c r="FP20" s="27" t="str">
        <f t="shared" si="93"/>
        <v>0101</v>
      </c>
      <c r="FQ20" s="27" t="str">
        <f t="shared" si="94"/>
        <v>1001</v>
      </c>
      <c r="FR20" s="27" t="str">
        <f t="shared" si="95"/>
        <v>0010</v>
      </c>
      <c r="FS20" s="77">
        <f>BIN2DEC(FK20)-BIN2DEC(FK21)</f>
        <v>-9</v>
      </c>
      <c r="FT20" s="77">
        <f t="shared" ref="FT20:FY20" si="193">BIN2DEC(FL20)-BIN2DEC(FL21)</f>
        <v>0</v>
      </c>
      <c r="FU20" s="77">
        <f t="shared" si="193"/>
        <v>13</v>
      </c>
      <c r="FV20" s="77">
        <f t="shared" si="193"/>
        <v>3</v>
      </c>
      <c r="FW20" s="77">
        <f t="shared" si="193"/>
        <v>4</v>
      </c>
      <c r="FX20" s="77">
        <f t="shared" si="193"/>
        <v>-10</v>
      </c>
      <c r="FY20" s="77">
        <f t="shared" si="193"/>
        <v>-6</v>
      </c>
      <c r="FZ20" s="77">
        <f>BIN2DEC(FR20)-BIN2DEC(FR21)</f>
        <v>-5</v>
      </c>
      <c r="GA20" s="26" t="str">
        <f t="shared" si="18"/>
        <v>0011011111100011</v>
      </c>
      <c r="GB20" s="26" t="str">
        <f t="shared" si="19"/>
        <v>1011010110010010</v>
      </c>
      <c r="GC20" s="77">
        <f>MID(GA20,16,1)*POWER(2,0)+MID(GA20,15,1)*POWER(2,1)+MID(GA20,14,1)*POWER(2,2)+MID(GA20,13,1)*POWER(2,3)+MID(GA20,12,1)*POWER(2,4)+MID(GA20,11,1)*POWER(2,5)+MID(GA20,10,1)*POWER(2,6)+MID(GA20,9,1)*POWER(2,7)+MID(GA20,8,1)*POWER(2,8)+MID(GA20,7,1)*POWER(2,9)+MID(GA20,6,1)*POWER(2,10)+MID(GA20,5,1)*POWER(2,11)+MID(GA20,4,1)*POWER(2,12)+MID(GA20,3,1)*POWER(2,13)+MID(GA20,2,1)*POWER(2,14)+MID(GA20,1,1)*POWER(2,15)-(MID(GA21,16,1)*POWER(2,0)+MID(GA21,15,1)*POWER(2,1)+MID(GA21,14,1)*POWER(2,2)+MID(GA21,13,1)*POWER(2,3)+MID(GA21,12,1)*POWER(2,4)+MID(GA21,11,1)*POWER(2,5)+MID(GA21,10,1)*POWER(2,6)+MID(GA21,9,1)*POWER(2,7)+MID(GA21,8,1)*POWER(2,8)+MID(GA21,7,1)*POWER(2,9)+MID(GA21,6,1)*POWER(2,10)+MID(GA21,5,1)*POWER(2,11)+MID(GA21,4,1)*POWER(2,12)+MID(GA21,3,1)*POWER(2,13)+MID(GA21,2,1)*POWER(2,14)+MID(GA21,1,1)*POWER(2,15))</f>
        <v>14307</v>
      </c>
      <c r="GD20" s="77">
        <f>MID(GB20,16,1)*POWER(2,0)+MID(GB20,15,1)*POWER(2,1)+MID(GB20,14,1)*POWER(2,2)+MID(GB20,13,1)*POWER(2,3)+MID(GB20,12,1)*POWER(2,4)+MID(GB20,11,1)*POWER(2,5)+MID(GB20,10,1)*POWER(2,6)+MID(GB20,9,1)*POWER(2,7)+MID(GB20,8,1)*POWER(2,8)+MID(GB20,7,1)*POWER(2,9)+MID(GB20,6,1)*POWER(2,10)+MID(GB20,5,1)*POWER(2,11)+MID(GB20,4,1)*POWER(2,12)+MID(GB20,3,1)*POWER(2,13)+MID(GB20,2,1)*POWER(2,14)+MID(GB20,1,1)*POWER(2,15)-(MID(GB21,16,1)*POWER(2,0)+MID(GB21,15,1)*POWER(2,1)+MID(GB21,14,1)*POWER(2,2)+MID(GB21,13,1)*POWER(2,3)+MID(GB21,12,1)*POWER(2,4)+MID(GB21,11,1)*POWER(2,5)+MID(GB21,10,1)*POWER(2,6)+MID(GB21,9,1)*POWER(2,7)+MID(GB21,8,1)*POWER(2,8)+MID(GB21,7,1)*POWER(2,9)+MID(GB21,6,1)*POWER(2,10)+MID(GB21,5,1)*POWER(2,11)+MID(GB21,4,1)*POWER(2,12)+MID(GB21,3,1)*POWER(2,13)+MID(GB21,2,1)*POWER(2,14)+MID(GB21,1,1)*POWER(2,15))</f>
        <v>38258</v>
      </c>
      <c r="GE20" s="47" t="str">
        <f>CU20</f>
        <v>00100100011000000010010000000000</v>
      </c>
      <c r="GF20" s="26" t="str">
        <f t="shared" si="126"/>
        <v>00100100</v>
      </c>
      <c r="GG20" s="26" t="str">
        <f t="shared" si="96"/>
        <v>01100000</v>
      </c>
      <c r="GH20" s="26" t="str">
        <f t="shared" si="97"/>
        <v>00100100</v>
      </c>
      <c r="GI20" s="26" t="str">
        <f t="shared" si="98"/>
        <v>00000000</v>
      </c>
      <c r="GJ20" s="77">
        <f>BIN2DEC(GF20)-BIN2DEC(GF21)</f>
        <v>33</v>
      </c>
      <c r="GK20" s="77">
        <f>BIN2DEC(GG20)-BIN2DEC(GG21)</f>
        <v>96</v>
      </c>
      <c r="GL20" s="77">
        <f>BIN2DEC(GH20)-BIN2DEC(GH21)</f>
        <v>1</v>
      </c>
      <c r="GM20" s="77">
        <f>BIN2DEC(GI20)-BIN2DEC(GI21)</f>
        <v>-35</v>
      </c>
      <c r="GN20" s="27" t="str">
        <f t="shared" si="99"/>
        <v>0011</v>
      </c>
      <c r="GO20" s="27" t="str">
        <f t="shared" si="100"/>
        <v>0111</v>
      </c>
      <c r="GP20" s="27" t="str">
        <f t="shared" si="101"/>
        <v>1110</v>
      </c>
      <c r="GQ20" s="27" t="str">
        <f t="shared" si="102"/>
        <v>0011</v>
      </c>
      <c r="GR20" s="27" t="str">
        <f t="shared" si="103"/>
        <v>1011</v>
      </c>
      <c r="GS20" s="27" t="str">
        <f t="shared" si="104"/>
        <v>0101</v>
      </c>
      <c r="GT20" s="27" t="str">
        <f t="shared" si="105"/>
        <v>1001</v>
      </c>
      <c r="GU20" s="27" t="str">
        <f t="shared" si="106"/>
        <v>0010</v>
      </c>
      <c r="GV20" s="77">
        <f>BIN2DEC(GN20)-BIN2DEC(GN21)</f>
        <v>-9</v>
      </c>
      <c r="GW20" s="77">
        <f t="shared" ref="GW20:HB20" si="194">BIN2DEC(GO20)-BIN2DEC(GO21)</f>
        <v>0</v>
      </c>
      <c r="GX20" s="77">
        <f t="shared" si="194"/>
        <v>13</v>
      </c>
      <c r="GY20" s="77">
        <f t="shared" si="194"/>
        <v>3</v>
      </c>
      <c r="GZ20" s="77">
        <f t="shared" si="194"/>
        <v>4</v>
      </c>
      <c r="HA20" s="77">
        <f t="shared" si="194"/>
        <v>-10</v>
      </c>
      <c r="HB20" s="77">
        <f t="shared" si="194"/>
        <v>-6</v>
      </c>
      <c r="HC20" s="77">
        <f>BIN2DEC(GU20)-BIN2DEC(GU21)</f>
        <v>-5</v>
      </c>
      <c r="HD20" s="26" t="str">
        <f t="shared" si="21"/>
        <v>0010010001100000</v>
      </c>
      <c r="HE20" s="26" t="str">
        <f t="shared" si="22"/>
        <v>0010010000000000</v>
      </c>
      <c r="HF20" s="77">
        <f>MID(HD20,16,1)*POWER(2,0)+MID(HD20,15,1)*POWER(2,1)+MID(HD20,14,1)*POWER(2,2)+MID(HD20,13,1)*POWER(2,3)+MID(HD20,12,1)*POWER(2,4)+MID(HD20,11,1)*POWER(2,5)+MID(HD20,10,1)*POWER(2,6)+MID(HD20,9,1)*POWER(2,7)+MID(HD20,8,1)*POWER(2,8)+MID(HD20,7,1)*POWER(2,9)+MID(HD20,6,1)*POWER(2,10)+MID(HD20,5,1)*POWER(2,11)+MID(HD20,4,1)*POWER(2,12)+MID(HD20,3,1)*POWER(2,13)+MID(HD20,2,1)*POWER(2,14)+MID(HD20,1,1)*POWER(2,15)-(MID(HD21,16,1)*POWER(2,0)+MID(HD21,15,1)*POWER(2,1)+MID(HD21,14,1)*POWER(2,2)+MID(HD21,13,1)*POWER(2,3)+MID(HD21,12,1)*POWER(2,4)+MID(HD21,11,1)*POWER(2,5)+MID(HD21,10,1)*POWER(2,6)+MID(HD21,9,1)*POWER(2,7)+MID(HD21,8,1)*POWER(2,8)+MID(HD21,7,1)*POWER(2,9)+MID(HD21,6,1)*POWER(2,10)+MID(HD21,5,1)*POWER(2,11)+MID(HD21,4,1)*POWER(2,12)+MID(HD21,3,1)*POWER(2,13)+MID(HD21,2,1)*POWER(2,14)+MID(HD21,1,1)*POWER(2,15))</f>
        <v>8544</v>
      </c>
      <c r="HG20" s="77">
        <f>MID(HE20,16,1)*POWER(2,0)+MID(HE20,15,1)*POWER(2,1)+MID(HE20,14,1)*POWER(2,2)+MID(HE20,13,1)*POWER(2,3)+MID(HE20,12,1)*POWER(2,4)+MID(HE20,11,1)*POWER(2,5)+MID(HE20,10,1)*POWER(2,6)+MID(HE20,9,1)*POWER(2,7)+MID(HE20,8,1)*POWER(2,8)+MID(HE20,7,1)*POWER(2,9)+MID(HE20,6,1)*POWER(2,10)+MID(HE20,5,1)*POWER(2,11)+MID(HE20,4,1)*POWER(2,12)+MID(HE20,3,1)*POWER(2,13)+MID(HE20,2,1)*POWER(2,14)+MID(HE20,1,1)*POWER(2,15)-(MID(HE21,16,1)*POWER(2,0)+MID(HE21,15,1)*POWER(2,1)+MID(HE21,14,1)*POWER(2,2)+MID(HE21,13,1)*POWER(2,3)+MID(HE21,12,1)*POWER(2,4)+MID(HE21,11,1)*POWER(2,5)+MID(HE21,10,1)*POWER(2,6)+MID(HE21,9,1)*POWER(2,7)+MID(HE21,8,1)*POWER(2,8)+MID(HE21,7,1)*POWER(2,9)+MID(HE21,6,1)*POWER(2,10)+MID(HE21,5,1)*POWER(2,11)+MID(HE21,4,1)*POWER(2,12)+MID(HE21,3,1)*POWER(2,13)+MID(HE21,2,1)*POWER(2,14)+MID(HE21,1,1)*POWER(2,15))</f>
        <v>221</v>
      </c>
      <c r="HH20" s="45" t="str">
        <f>GE20</f>
        <v>00100100011000000010010000000000</v>
      </c>
      <c r="HI20" s="26" t="str">
        <f t="shared" si="128"/>
        <v>00100100</v>
      </c>
      <c r="HJ20" s="26" t="str">
        <f t="shared" si="107"/>
        <v>01100000</v>
      </c>
      <c r="HK20" s="26" t="str">
        <f t="shared" si="108"/>
        <v>00100100</v>
      </c>
      <c r="HL20" s="26" t="str">
        <f t="shared" si="109"/>
        <v>00000000</v>
      </c>
      <c r="HM20" s="77">
        <f>BIN2DEC(HI20)-BIN2DEC(HI21)</f>
        <v>36</v>
      </c>
      <c r="HN20" s="77">
        <f>BIN2DEC(HJ20)-BIN2DEC(HJ21)</f>
        <v>96</v>
      </c>
      <c r="HO20" s="77">
        <f>BIN2DEC(HK20)-BIN2DEC(HK21)</f>
        <v>4</v>
      </c>
      <c r="HP20" s="77">
        <f>BIN2DEC(HL20)-BIN2DEC(HL21)</f>
        <v>-32</v>
      </c>
      <c r="HQ20" s="27" t="str">
        <f t="shared" si="110"/>
        <v>0011</v>
      </c>
      <c r="HR20" s="27" t="str">
        <f t="shared" si="111"/>
        <v>0111</v>
      </c>
      <c r="HS20" s="27" t="str">
        <f t="shared" si="112"/>
        <v>1110</v>
      </c>
      <c r="HT20" s="27" t="str">
        <f t="shared" si="113"/>
        <v>0011</v>
      </c>
      <c r="HU20" s="27" t="str">
        <f t="shared" si="114"/>
        <v>1011</v>
      </c>
      <c r="HV20" s="27" t="str">
        <f t="shared" si="115"/>
        <v>0101</v>
      </c>
      <c r="HW20" s="27" t="str">
        <f t="shared" si="116"/>
        <v>1001</v>
      </c>
      <c r="HX20" s="27" t="str">
        <f t="shared" si="117"/>
        <v>0010</v>
      </c>
      <c r="HY20" s="77">
        <f>BIN2DEC(HQ20)-BIN2DEC(HQ21)</f>
        <v>-9</v>
      </c>
      <c r="HZ20" s="77">
        <f t="shared" ref="HZ20:IE20" si="195">BIN2DEC(HR20)-BIN2DEC(HR21)</f>
        <v>0</v>
      </c>
      <c r="IA20" s="77">
        <f t="shared" si="195"/>
        <v>13</v>
      </c>
      <c r="IB20" s="77">
        <f t="shared" si="195"/>
        <v>3</v>
      </c>
      <c r="IC20" s="77">
        <f t="shared" si="195"/>
        <v>4</v>
      </c>
      <c r="ID20" s="77">
        <f t="shared" si="195"/>
        <v>-10</v>
      </c>
      <c r="IE20" s="77">
        <f t="shared" si="195"/>
        <v>-6</v>
      </c>
      <c r="IF20" s="77">
        <f>BIN2DEC(HX20)-BIN2DEC(HX21)</f>
        <v>-5</v>
      </c>
      <c r="IG20" s="26" t="str">
        <f t="shared" si="24"/>
        <v>0010010001100000</v>
      </c>
      <c r="IH20" s="26" t="str">
        <f t="shared" si="25"/>
        <v>0010010000000000</v>
      </c>
      <c r="II20" s="77">
        <f>MID(IG20,16,1)*POWER(2,0)+MID(IG20,15,1)*POWER(2,1)+MID(IG20,14,1)*POWER(2,2)+MID(IG20,13,1)*POWER(2,3)+MID(IG20,12,1)*POWER(2,4)+MID(IG20,11,1)*POWER(2,5)+MID(IG20,10,1)*POWER(2,6)+MID(IG20,9,1)*POWER(2,7)+MID(IG20,8,1)*POWER(2,8)+MID(IG20,7,1)*POWER(2,9)+MID(IG20,6,1)*POWER(2,10)+MID(IG20,5,1)*POWER(2,11)+MID(IG20,4,1)*POWER(2,12)+MID(IG20,3,1)*POWER(2,13)+MID(IG20,2,1)*POWER(2,14)+MID(IG20,1,1)*POWER(2,15)-(MID(IG21,16,1)*POWER(2,0)+MID(IG21,15,1)*POWER(2,1)+MID(IG21,14,1)*POWER(2,2)+MID(IG21,13,1)*POWER(2,3)+MID(IG21,12,1)*POWER(2,4)+MID(IG21,11,1)*POWER(2,5)+MID(IG21,10,1)*POWER(2,6)+MID(IG21,9,1)*POWER(2,7)+MID(IG21,8,1)*POWER(2,8)+MID(IG21,7,1)*POWER(2,9)+MID(IG21,6,1)*POWER(2,10)+MID(IG21,5,1)*POWER(2,11)+MID(IG21,4,1)*POWER(2,12)+MID(IG21,3,1)*POWER(2,13)+MID(IG21,2,1)*POWER(2,14)+MID(IG21,1,1)*POWER(2,15))</f>
        <v>9312</v>
      </c>
      <c r="IJ20" s="77">
        <f>MID(IH20,16,1)*POWER(2,0)+MID(IH20,15,1)*POWER(2,1)+MID(IH20,14,1)*POWER(2,2)+MID(IH20,13,1)*POWER(2,3)+MID(IH20,12,1)*POWER(2,4)+MID(IH20,11,1)*POWER(2,5)+MID(IH20,10,1)*POWER(2,6)+MID(IH20,9,1)*POWER(2,7)+MID(IH20,8,1)*POWER(2,8)+MID(IH20,7,1)*POWER(2,9)+MID(IH20,6,1)*POWER(2,10)+MID(IH20,5,1)*POWER(2,11)+MID(IH20,4,1)*POWER(2,12)+MID(IH20,3,1)*POWER(2,13)+MID(IH20,2,1)*POWER(2,14)+MID(IH20,1,1)*POWER(2,15)-(MID(IH21,16,1)*POWER(2,0)+MID(IH21,15,1)*POWER(2,1)+MID(IH21,14,1)*POWER(2,2)+MID(IH21,13,1)*POWER(2,3)+MID(IH21,12,1)*POWER(2,4)+MID(IH21,11,1)*POWER(2,5)+MID(IH21,10,1)*POWER(2,6)+MID(IH21,9,1)*POWER(2,7)+MID(IH21,8,1)*POWER(2,8)+MID(IH21,7,1)*POWER(2,9)+MID(IH21,6,1)*POWER(2,10)+MID(IH21,5,1)*POWER(2,11)+MID(IH21,4,1)*POWER(2,12)+MID(IH21,3,1)*POWER(2,13)+MID(IH21,2,1)*POWER(2,14)+MID(IH21,1,1)*POWER(2,15))</f>
        <v>992</v>
      </c>
      <c r="IL20" s="26"/>
      <c r="IM20" s="26"/>
      <c r="IN20" s="26"/>
      <c r="IO20" s="26"/>
      <c r="IP20" s="22"/>
      <c r="IQ20" s="22"/>
      <c r="IR20" s="22"/>
      <c r="IS20" s="22"/>
      <c r="JB20" s="22"/>
      <c r="JC20" s="22"/>
      <c r="JD20" s="22"/>
      <c r="JE20" s="22"/>
      <c r="JF20" s="22"/>
      <c r="JG20" s="22"/>
      <c r="JH20" s="22"/>
      <c r="JI20" s="22"/>
      <c r="JJ20" s="26"/>
      <c r="JK20" s="26"/>
      <c r="JL20" s="22"/>
      <c r="JM20" s="22"/>
    </row>
    <row r="21" spans="1:273" s="31" customFormat="1" ht="18.600000000000001" thickBot="1" x14ac:dyDescent="0.4">
      <c r="A21" s="28"/>
      <c r="B21" s="29"/>
      <c r="C21" s="21" t="s">
        <v>6</v>
      </c>
      <c r="D21" s="21" t="s">
        <v>56</v>
      </c>
      <c r="E21" s="21" t="s">
        <v>68</v>
      </c>
      <c r="F21" s="21">
        <v>18</v>
      </c>
      <c r="G21" s="21" t="s">
        <v>50</v>
      </c>
      <c r="H21" s="21" t="str">
        <f t="shared" si="186"/>
        <v>11101111111111100001100011100010</v>
      </c>
      <c r="I21" s="21">
        <f t="shared" si="187"/>
        <v>20</v>
      </c>
      <c r="J21" s="21"/>
      <c r="K21" s="21"/>
      <c r="L21" s="44" t="str">
        <f>CONCATENATE(MID(H21,20,5),MID(H21,9,3),MID(H21,28,5),MID(H21,17,3),MID(H21,4,5),MID(H21,25,3),MID(H21,12,5),MID(H21,1,3))</f>
        <v>11000111000100000111111111110111</v>
      </c>
      <c r="M21" s="30" t="str">
        <f t="shared" si="26"/>
        <v>11000111</v>
      </c>
      <c r="N21" s="30" t="str">
        <f t="shared" si="27"/>
        <v>00010000</v>
      </c>
      <c r="O21" s="30" t="str">
        <f t="shared" si="28"/>
        <v>01111111</v>
      </c>
      <c r="P21" s="30" t="str">
        <f t="shared" si="29"/>
        <v>11110111</v>
      </c>
      <c r="Q21" s="78"/>
      <c r="R21" s="78"/>
      <c r="S21" s="78"/>
      <c r="T21" s="78"/>
      <c r="U21" s="31" t="str">
        <f t="shared" si="30"/>
        <v>1100</v>
      </c>
      <c r="V21" s="31" t="str">
        <f t="shared" si="31"/>
        <v>0111</v>
      </c>
      <c r="W21" s="31" t="str">
        <f t="shared" si="32"/>
        <v>0001</v>
      </c>
      <c r="X21" s="31" t="str">
        <f t="shared" si="33"/>
        <v>0000</v>
      </c>
      <c r="Y21" s="31" t="str">
        <f t="shared" si="34"/>
        <v>0111</v>
      </c>
      <c r="Z21" s="31" t="str">
        <f t="shared" si="35"/>
        <v>1111</v>
      </c>
      <c r="AA21" s="31" t="str">
        <f t="shared" si="36"/>
        <v>1111</v>
      </c>
      <c r="AB21" s="31" t="str">
        <f t="shared" si="37"/>
        <v>0111</v>
      </c>
      <c r="AC21" s="78"/>
      <c r="AD21" s="78"/>
      <c r="AE21" s="78"/>
      <c r="AF21" s="78"/>
      <c r="AG21" s="78"/>
      <c r="AH21" s="78"/>
      <c r="AI21" s="78"/>
      <c r="AJ21" s="78"/>
      <c r="AK21" s="30" t="str">
        <f t="shared" si="3"/>
        <v>1100011100010000</v>
      </c>
      <c r="AL21" s="30" t="str">
        <f t="shared" si="4"/>
        <v>0111111111110111</v>
      </c>
      <c r="AM21" s="78"/>
      <c r="AN21" s="78"/>
      <c r="AO21" s="46" t="str">
        <f>CONCATENATE(MID($L21,1,1)*MID($K20,1,1),MID($L21,2,1)*MID($K20,2,1),MID($L21,3,1)*MID($K20,3,1),MID($L21,4,1)*MID($K20,4,1),MID($L21,5,1)*MID($K20,5,1),MID($L21,6,1)*MID($K20,6,1),MID($L21,7,1)*MID($K20,7,1),MID($L21,8,1)*MID($K20,8,1),MID($L21,9,1)*MID($K20,1,1),MID($L21,10,1)*MID($K20,2,1),MID($L21,11,1)*MID($K20,3,1),MID($L21,12,1)*MID($K20,4,1),MID($L21,13,1)*MID($K20,5,1),MID($L21,14,1)*MID($K20,6,1),MID($L21,15,1)*MID($K20,7,1),MID($L21,16,1)*MID($K20,8,1),MID($L21,17,1)*MID($K20,1,1),MID($L21,18,1)*MID($K20,2,1),MID($L21,19,1)*MID($K20,3,1),MID($L21,20,1)*MID($K20,4,1),MID($L21,21,1)*MID($K20,5,1),MID($L21,22,1)*MID($K20,6,1),MID($L21,23,1)*MID($K20,7,1),MID($L21,24,1)*MID($K20,8,1),MID($L21,25,1)*MID($K20,1,1),MID($L21,26,1)*MID($K20,2,1),MID($L21,27,1)*MID($K20,3,1),MID($L21,28,1)*MID($K20,4,1),MID($L21,29,1)*MID($K20,5,1),MID($L21,30,1)*MID($K20,6,1),MID($L21,31,1)*MID($K20,7,1),MID($L21,32,1)*MID($K20,8,1))</f>
        <v>01000100000000000110010001100100</v>
      </c>
      <c r="AP21" s="30" t="str">
        <f t="shared" si="38"/>
        <v>01000100</v>
      </c>
      <c r="AQ21" s="30" t="str">
        <f t="shared" si="39"/>
        <v>00000000</v>
      </c>
      <c r="AR21" s="30" t="str">
        <f t="shared" si="40"/>
        <v>01100100</v>
      </c>
      <c r="AS21" s="30" t="str">
        <f t="shared" si="41"/>
        <v>01100100</v>
      </c>
      <c r="AT21" s="78"/>
      <c r="AU21" s="78"/>
      <c r="AV21" s="78"/>
      <c r="AW21" s="78"/>
      <c r="AX21" s="31" t="str">
        <f t="shared" si="42"/>
        <v>1100</v>
      </c>
      <c r="AY21" s="31" t="str">
        <f t="shared" si="43"/>
        <v>0111</v>
      </c>
      <c r="AZ21" s="31" t="str">
        <f t="shared" si="44"/>
        <v>0001</v>
      </c>
      <c r="BA21" s="31" t="str">
        <f t="shared" si="45"/>
        <v>0000</v>
      </c>
      <c r="BB21" s="31" t="str">
        <f t="shared" si="46"/>
        <v>0111</v>
      </c>
      <c r="BC21" s="31" t="str">
        <f t="shared" si="47"/>
        <v>1111</v>
      </c>
      <c r="BD21" s="31" t="str">
        <f t="shared" si="48"/>
        <v>1111</v>
      </c>
      <c r="BE21" s="31" t="str">
        <f t="shared" si="49"/>
        <v>0111</v>
      </c>
      <c r="BF21" s="78"/>
      <c r="BG21" s="78"/>
      <c r="BH21" s="78"/>
      <c r="BI21" s="78"/>
      <c r="BJ21" s="78"/>
      <c r="BK21" s="78"/>
      <c r="BL21" s="78"/>
      <c r="BM21" s="78"/>
      <c r="BN21" s="30" t="str">
        <f t="shared" si="6"/>
        <v>0100010000000000</v>
      </c>
      <c r="BO21" s="30" t="str">
        <f t="shared" si="7"/>
        <v>0110010001100100</v>
      </c>
      <c r="BP21" s="78"/>
      <c r="BQ21" s="78"/>
      <c r="BR21" s="46" t="str">
        <f>L21</f>
        <v>11000111000100000111111111110111</v>
      </c>
      <c r="BS21" s="30" t="str">
        <f t="shared" si="50"/>
        <v>11000111</v>
      </c>
      <c r="BT21" s="30" t="str">
        <f t="shared" si="51"/>
        <v>00010000</v>
      </c>
      <c r="BU21" s="30" t="str">
        <f t="shared" si="52"/>
        <v>01111111</v>
      </c>
      <c r="BV21" s="30" t="str">
        <f t="shared" si="53"/>
        <v>11110111</v>
      </c>
      <c r="BW21" s="78"/>
      <c r="BX21" s="78"/>
      <c r="BY21" s="78"/>
      <c r="BZ21" s="78"/>
      <c r="CA21" s="31" t="str">
        <f t="shared" si="54"/>
        <v>1100</v>
      </c>
      <c r="CB21" s="31" t="str">
        <f t="shared" si="55"/>
        <v>0111</v>
      </c>
      <c r="CC21" s="31" t="str">
        <f t="shared" si="56"/>
        <v>0001</v>
      </c>
      <c r="CD21" s="31" t="str">
        <f t="shared" si="57"/>
        <v>0000</v>
      </c>
      <c r="CE21" s="31" t="str">
        <f t="shared" si="58"/>
        <v>0111</v>
      </c>
      <c r="CF21" s="31" t="str">
        <f t="shared" si="59"/>
        <v>1111</v>
      </c>
      <c r="CG21" s="31" t="str">
        <f t="shared" si="60"/>
        <v>1111</v>
      </c>
      <c r="CH21" s="31" t="str">
        <f t="shared" si="61"/>
        <v>0111</v>
      </c>
      <c r="CI21" s="78"/>
      <c r="CJ21" s="78"/>
      <c r="CK21" s="78"/>
      <c r="CL21" s="78"/>
      <c r="CM21" s="78"/>
      <c r="CN21" s="78"/>
      <c r="CO21" s="78"/>
      <c r="CP21" s="78"/>
      <c r="CQ21" s="30" t="str">
        <f t="shared" si="9"/>
        <v>1100011100010000</v>
      </c>
      <c r="CR21" s="30" t="str">
        <f t="shared" si="10"/>
        <v>0111111111110111</v>
      </c>
      <c r="CS21" s="78"/>
      <c r="CT21" s="78"/>
      <c r="CU21" s="46" t="str">
        <f>AO21</f>
        <v>01000100000000000110010001100100</v>
      </c>
      <c r="CV21" s="30" t="str">
        <f t="shared" si="62"/>
        <v>01000100</v>
      </c>
      <c r="CW21" s="30" t="str">
        <f t="shared" si="63"/>
        <v>00000000</v>
      </c>
      <c r="CX21" s="30" t="str">
        <f t="shared" si="64"/>
        <v>01100100</v>
      </c>
      <c r="CY21" s="30" t="str">
        <f t="shared" si="65"/>
        <v>01100100</v>
      </c>
      <c r="CZ21" s="78"/>
      <c r="DA21" s="78"/>
      <c r="DB21" s="78"/>
      <c r="DC21" s="78"/>
      <c r="DD21" s="31" t="str">
        <f t="shared" si="66"/>
        <v>1100</v>
      </c>
      <c r="DE21" s="31" t="str">
        <f t="shared" si="67"/>
        <v>0111</v>
      </c>
      <c r="DF21" s="31" t="str">
        <f t="shared" si="68"/>
        <v>0001</v>
      </c>
      <c r="DG21" s="31" t="str">
        <f t="shared" si="69"/>
        <v>0000</v>
      </c>
      <c r="DH21" s="31" t="str">
        <f t="shared" si="70"/>
        <v>0111</v>
      </c>
      <c r="DI21" s="31" t="str">
        <f t="shared" si="71"/>
        <v>1111</v>
      </c>
      <c r="DJ21" s="31" t="str">
        <f t="shared" si="72"/>
        <v>1111</v>
      </c>
      <c r="DK21" s="31" t="str">
        <f t="shared" si="73"/>
        <v>0111</v>
      </c>
      <c r="DL21" s="78"/>
      <c r="DM21" s="78"/>
      <c r="DN21" s="78"/>
      <c r="DO21" s="78"/>
      <c r="DP21" s="78"/>
      <c r="DQ21" s="78"/>
      <c r="DR21" s="78"/>
      <c r="DS21" s="78"/>
      <c r="DT21" s="30" t="str">
        <f t="shared" si="12"/>
        <v>0100010000000000</v>
      </c>
      <c r="DU21" s="30" t="str">
        <f t="shared" si="13"/>
        <v>0110010001100100</v>
      </c>
      <c r="DV21" s="78"/>
      <c r="DW21" s="78"/>
      <c r="DX21" s="23" t="str">
        <f>CONCATENATE(MID($H21,1,1)*MID($K20,1,1),MID($H21,2,1)*MID($K20,2,1),MID($H21,3,1)*MID($K20,3,1),MID($H21,4,1)*MID($K20,4,1),MID($H21,5,1)*MID($K20,5,1),MID($H21,6,1)*MID($K20,6,1),MID($H21,7,1)*MID($K20,7,1),MID($H21,8,1)*MID($K20,8,1),MID($H21,9,1)*MID($K20,1,1),MID($H21,10,1)*MID($K20,2,1),MID($H21,11,1)*MID($K20,3,1),MID($H21,12,1)*MID($K20,4,1),MID($H21,13,1)*MID($K20,5,1),MID($H21,14,1)*MID($K20,6,1),MID($H21,15,1)*MID($K20,7,1),MID($H21,16,1)*MID($K20,8,1),MID($H21,17,1)*MID($K20,1,1),MID($H21,18,1)*MID($K20,2,1),MID($H21,19,1)*MID($K20,3,1),MID($H21,20,1)*MID($K20,4,1),MID($H21,21,1)*MID($K20,5,1),MID($H21,22,1)*MID($K20,6,1),MID($H21,23,1)*MID($K20,7,1),MID($H21,24,1)*MID($K20,8,1),MID($H21,25,1)*MID($K20,1,1),MID($H21,26,1)*MID($K20,2,1),MID($H21,27,1)*MID($K20,3,1),MID($H21,28,1)*MID($K20,4,1),MID($H21,29,1)*MID($K20,5,1),MID($H21,30,1)*MID($K20,6,1),MID($H21,31,1)*MID($K20,7,1),MID($H21,32,1)*MID($K20,8,1))</f>
        <v>01100100011001000000000001100000</v>
      </c>
      <c r="DY21" s="44" t="str">
        <f>CONCATENATE(MID(DX21,20,5),MID(DX21,9,3),MID(DX21,28,5),MID(DX21,17,3),MID(DX21,4,5),MID(DX21,25,3),MID(DX21,12,5),MID(DX21,1,3))</f>
        <v>00000011000000000010001100100011</v>
      </c>
      <c r="DZ21" s="30" t="str">
        <f t="shared" si="122"/>
        <v>00000011</v>
      </c>
      <c r="EA21" s="30" t="str">
        <f t="shared" si="74"/>
        <v>00000000</v>
      </c>
      <c r="EB21" s="30" t="str">
        <f t="shared" si="75"/>
        <v>00100011</v>
      </c>
      <c r="EC21" s="30" t="str">
        <f t="shared" si="76"/>
        <v>00100011</v>
      </c>
      <c r="ED21" s="78"/>
      <c r="EE21" s="78"/>
      <c r="EF21" s="78"/>
      <c r="EG21" s="78"/>
      <c r="EH21" s="31" t="str">
        <f t="shared" si="77"/>
        <v>1100</v>
      </c>
      <c r="EI21" s="31" t="str">
        <f t="shared" si="78"/>
        <v>0111</v>
      </c>
      <c r="EJ21" s="31" t="str">
        <f t="shared" si="79"/>
        <v>0001</v>
      </c>
      <c r="EK21" s="31" t="str">
        <f t="shared" si="80"/>
        <v>0000</v>
      </c>
      <c r="EL21" s="31" t="str">
        <f t="shared" si="81"/>
        <v>0111</v>
      </c>
      <c r="EM21" s="31" t="str">
        <f t="shared" si="82"/>
        <v>1111</v>
      </c>
      <c r="EN21" s="31" t="str">
        <f t="shared" si="83"/>
        <v>1111</v>
      </c>
      <c r="EO21" s="31" t="str">
        <f t="shared" si="84"/>
        <v>0111</v>
      </c>
      <c r="EP21" s="78"/>
      <c r="EQ21" s="78"/>
      <c r="ER21" s="78"/>
      <c r="ES21" s="78"/>
      <c r="ET21" s="78"/>
      <c r="EU21" s="78"/>
      <c r="EV21" s="78"/>
      <c r="EW21" s="78"/>
      <c r="EX21" s="30" t="str">
        <f t="shared" si="15"/>
        <v>0000001100000000</v>
      </c>
      <c r="EY21" s="30" t="str">
        <f t="shared" si="16"/>
        <v>0010001100100011</v>
      </c>
      <c r="EZ21" s="78"/>
      <c r="FA21" s="78"/>
      <c r="FB21" s="46" t="str">
        <f>CONCATENATE(MID(DY21,1,1)*MID($K20,1,1),MID(DY21,2,1)*MID($K20,2,1),MID(DY21,3,1)*MID($K20,3,1),MID(DY21,4,1)*MID($K20,4,1),MID(DY21,5,1)*MID($K20,5,1),MID(DY21,6,1)*MID($K20,6,1),MID(DY21,7,1)*MID($K20,7,1),MID(DY21,8,1)*MID($K20,8,1),MID(DY21,9,1)*MID($K20,1,1),MID(DY21,10,1)*MID($K20,2,1),MID(DY21,11,1)*MID($K20,3,1),MID(DY21,12,1)*MID($K20,4,1),MID(DY21,13,1)*MID($K20,5,1),MID(DY21,14,1)*MID($K20,6,1),MID(DY21,15,1)*MID($K20,7,1),MID(DY21,16,1)*MID($K20,8,1),MID(DY21,17,1)*MID($K20,1,1),MID(DY21,18,1)*MID($K20,2,1),MID(DY21,19,1)*MID($K20,3,1),MID(DY21,20,1)*MID($K20,4,1),MID(DY21,21,1)*MID($K20,5,1),MID(DY21,22,1)*MID($K20,6,1),MID(DY21,23,1)*MID($K20,7,1),MID(DY21,24,1)*MID($K20,8,1),MID(DY21,25,1)*MID($K20,1,1),MID(DY21,26,1)*MID($K20,2,1),MID(DY21,27,1)*MID($K20,3,1),MID(DY21,28,1)*MID($K20,4,1),MID(DY21,29,1)*MID($K20,5,1),MID(DY21,30,1)*MID($K20,6,1),MID(DY21,31,1)*MID($K20,7,1),MID(DY21,32,1)*MID($K20,8,1))</f>
        <v>00000000000000000010000000100000</v>
      </c>
      <c r="FC21" s="30" t="str">
        <f t="shared" si="124"/>
        <v>00000000</v>
      </c>
      <c r="FD21" s="30" t="str">
        <f t="shared" si="85"/>
        <v>00000000</v>
      </c>
      <c r="FE21" s="30" t="str">
        <f t="shared" si="86"/>
        <v>00100000</v>
      </c>
      <c r="FF21" s="30" t="str">
        <f t="shared" si="87"/>
        <v>00100000</v>
      </c>
      <c r="FG21" s="78"/>
      <c r="FH21" s="78"/>
      <c r="FI21" s="78"/>
      <c r="FJ21" s="78"/>
      <c r="FK21" s="31" t="str">
        <f t="shared" si="88"/>
        <v>1100</v>
      </c>
      <c r="FL21" s="31" t="str">
        <f t="shared" si="89"/>
        <v>0111</v>
      </c>
      <c r="FM21" s="31" t="str">
        <f t="shared" si="90"/>
        <v>0001</v>
      </c>
      <c r="FN21" s="31" t="str">
        <f t="shared" si="91"/>
        <v>0000</v>
      </c>
      <c r="FO21" s="31" t="str">
        <f t="shared" si="92"/>
        <v>0111</v>
      </c>
      <c r="FP21" s="31" t="str">
        <f t="shared" si="93"/>
        <v>1111</v>
      </c>
      <c r="FQ21" s="31" t="str">
        <f t="shared" si="94"/>
        <v>1111</v>
      </c>
      <c r="FR21" s="31" t="str">
        <f t="shared" si="95"/>
        <v>0111</v>
      </c>
      <c r="FS21" s="78"/>
      <c r="FT21" s="78"/>
      <c r="FU21" s="78"/>
      <c r="FV21" s="78"/>
      <c r="FW21" s="78"/>
      <c r="FX21" s="78"/>
      <c r="FY21" s="78"/>
      <c r="FZ21" s="78"/>
      <c r="GA21" s="30" t="str">
        <f t="shared" si="18"/>
        <v>0000000000000000</v>
      </c>
      <c r="GB21" s="30" t="str">
        <f t="shared" si="19"/>
        <v>0010000000100000</v>
      </c>
      <c r="GC21" s="78"/>
      <c r="GD21" s="78"/>
      <c r="GE21" s="48" t="str">
        <f>DY21</f>
        <v>00000011000000000010001100100011</v>
      </c>
      <c r="GF21" s="30" t="str">
        <f t="shared" si="126"/>
        <v>00000011</v>
      </c>
      <c r="GG21" s="30" t="str">
        <f t="shared" si="96"/>
        <v>00000000</v>
      </c>
      <c r="GH21" s="30" t="str">
        <f t="shared" si="97"/>
        <v>00100011</v>
      </c>
      <c r="GI21" s="30" t="str">
        <f t="shared" si="98"/>
        <v>00100011</v>
      </c>
      <c r="GJ21" s="78"/>
      <c r="GK21" s="78"/>
      <c r="GL21" s="78"/>
      <c r="GM21" s="78"/>
      <c r="GN21" s="31" t="str">
        <f t="shared" si="99"/>
        <v>1100</v>
      </c>
      <c r="GO21" s="31" t="str">
        <f t="shared" si="100"/>
        <v>0111</v>
      </c>
      <c r="GP21" s="31" t="str">
        <f t="shared" si="101"/>
        <v>0001</v>
      </c>
      <c r="GQ21" s="31" t="str">
        <f t="shared" si="102"/>
        <v>0000</v>
      </c>
      <c r="GR21" s="31" t="str">
        <f t="shared" si="103"/>
        <v>0111</v>
      </c>
      <c r="GS21" s="31" t="str">
        <f t="shared" si="104"/>
        <v>1111</v>
      </c>
      <c r="GT21" s="31" t="str">
        <f t="shared" si="105"/>
        <v>1111</v>
      </c>
      <c r="GU21" s="31" t="str">
        <f t="shared" si="106"/>
        <v>0111</v>
      </c>
      <c r="GV21" s="78"/>
      <c r="GW21" s="78"/>
      <c r="GX21" s="78"/>
      <c r="GY21" s="78"/>
      <c r="GZ21" s="78"/>
      <c r="HA21" s="78"/>
      <c r="HB21" s="78"/>
      <c r="HC21" s="78"/>
      <c r="HD21" s="30" t="str">
        <f t="shared" si="21"/>
        <v>0000001100000000</v>
      </c>
      <c r="HE21" s="30" t="str">
        <f t="shared" si="22"/>
        <v>0010001100100011</v>
      </c>
      <c r="HF21" s="78"/>
      <c r="HG21" s="78"/>
      <c r="HH21" s="48" t="str">
        <f>FB21</f>
        <v>00000000000000000010000000100000</v>
      </c>
      <c r="HI21" s="30" t="str">
        <f t="shared" si="128"/>
        <v>00000000</v>
      </c>
      <c r="HJ21" s="30" t="str">
        <f t="shared" si="107"/>
        <v>00000000</v>
      </c>
      <c r="HK21" s="30" t="str">
        <f t="shared" si="108"/>
        <v>00100000</v>
      </c>
      <c r="HL21" s="30" t="str">
        <f t="shared" si="109"/>
        <v>00100000</v>
      </c>
      <c r="HM21" s="78"/>
      <c r="HN21" s="78"/>
      <c r="HO21" s="78"/>
      <c r="HP21" s="78"/>
      <c r="HQ21" s="31" t="str">
        <f t="shared" si="110"/>
        <v>1100</v>
      </c>
      <c r="HR21" s="31" t="str">
        <f t="shared" si="111"/>
        <v>0111</v>
      </c>
      <c r="HS21" s="31" t="str">
        <f t="shared" si="112"/>
        <v>0001</v>
      </c>
      <c r="HT21" s="31" t="str">
        <f t="shared" si="113"/>
        <v>0000</v>
      </c>
      <c r="HU21" s="31" t="str">
        <f t="shared" si="114"/>
        <v>0111</v>
      </c>
      <c r="HV21" s="31" t="str">
        <f t="shared" si="115"/>
        <v>1111</v>
      </c>
      <c r="HW21" s="31" t="str">
        <f t="shared" si="116"/>
        <v>1111</v>
      </c>
      <c r="HX21" s="31" t="str">
        <f t="shared" si="117"/>
        <v>0111</v>
      </c>
      <c r="HY21" s="78"/>
      <c r="HZ21" s="78"/>
      <c r="IA21" s="78"/>
      <c r="IB21" s="78"/>
      <c r="IC21" s="78"/>
      <c r="ID21" s="78"/>
      <c r="IE21" s="78"/>
      <c r="IF21" s="78"/>
      <c r="IG21" s="30" t="str">
        <f t="shared" si="24"/>
        <v>0000000000000000</v>
      </c>
      <c r="IH21" s="30" t="str">
        <f t="shared" si="25"/>
        <v>0010000000100000</v>
      </c>
      <c r="II21" s="78"/>
      <c r="IJ21" s="78"/>
      <c r="IL21" s="30"/>
      <c r="IM21" s="30"/>
      <c r="IN21" s="30"/>
      <c r="IO21" s="30"/>
      <c r="IP21" s="23"/>
      <c r="IQ21" s="23"/>
      <c r="IR21" s="23"/>
      <c r="IS21" s="23"/>
      <c r="JB21" s="23"/>
      <c r="JC21" s="23"/>
      <c r="JD21" s="23"/>
      <c r="JE21" s="23"/>
      <c r="JF21" s="23"/>
      <c r="JG21" s="23"/>
      <c r="JH21" s="23"/>
      <c r="JI21" s="23"/>
      <c r="JJ21" s="30"/>
      <c r="JK21" s="30"/>
      <c r="JL21" s="23"/>
      <c r="JM21" s="23"/>
    </row>
    <row r="22" spans="1:273" s="35" customFormat="1" x14ac:dyDescent="0.35">
      <c r="A22" s="32"/>
      <c r="B22" s="33"/>
      <c r="C22" s="6" t="s">
        <v>0</v>
      </c>
      <c r="D22" s="6" t="s">
        <v>103</v>
      </c>
      <c r="E22" s="6">
        <v>87</v>
      </c>
      <c r="F22" s="6" t="s">
        <v>118</v>
      </c>
      <c r="G22" s="6" t="s">
        <v>113</v>
      </c>
      <c r="H22" s="6" t="str">
        <f t="shared" si="186"/>
        <v>10101111100001110000110000011011</v>
      </c>
      <c r="I22" s="6">
        <f t="shared" si="187"/>
        <v>16</v>
      </c>
      <c r="J22" s="6">
        <v>63</v>
      </c>
      <c r="K22" s="6" t="str">
        <f>HEX2BIN(J22,8)</f>
        <v>01100011</v>
      </c>
      <c r="L22" s="34" t="str">
        <f>H22</f>
        <v>10101111100001110000110000011011</v>
      </c>
      <c r="M22" s="34" t="str">
        <f t="shared" si="26"/>
        <v>10101111</v>
      </c>
      <c r="N22" s="34" t="str">
        <f t="shared" si="27"/>
        <v>10000111</v>
      </c>
      <c r="O22" s="34" t="str">
        <f t="shared" si="28"/>
        <v>00001100</v>
      </c>
      <c r="P22" s="34" t="str">
        <f t="shared" si="29"/>
        <v>00011011</v>
      </c>
      <c r="Q22" s="87">
        <f>BIN2DEC(M22)-BIN2DEC(M23)</f>
        <v>116</v>
      </c>
      <c r="R22" s="87">
        <f>BIN2DEC(N22)-BIN2DEC(N23)</f>
        <v>-43</v>
      </c>
      <c r="S22" s="87">
        <f>BIN2DEC(O22)-BIN2DEC(O23)</f>
        <v>-199</v>
      </c>
      <c r="T22" s="87">
        <f>BIN2DEC(P22)-BIN2DEC(P23)</f>
        <v>-99</v>
      </c>
      <c r="U22" s="35" t="str">
        <f t="shared" si="30"/>
        <v>1010</v>
      </c>
      <c r="V22" s="35" t="str">
        <f t="shared" si="31"/>
        <v>1111</v>
      </c>
      <c r="W22" s="35" t="str">
        <f t="shared" si="32"/>
        <v>1000</v>
      </c>
      <c r="X22" s="35" t="str">
        <f t="shared" si="33"/>
        <v>0111</v>
      </c>
      <c r="Y22" s="35" t="str">
        <f t="shared" si="34"/>
        <v>0000</v>
      </c>
      <c r="Z22" s="35" t="str">
        <f t="shared" si="35"/>
        <v>1100</v>
      </c>
      <c r="AA22" s="35" t="str">
        <f t="shared" si="36"/>
        <v>0001</v>
      </c>
      <c r="AB22" s="35" t="str">
        <f t="shared" si="37"/>
        <v>1011</v>
      </c>
      <c r="AC22" s="87">
        <f>BIN2DEC(U22)-BIN2DEC(U23)</f>
        <v>7</v>
      </c>
      <c r="AD22" s="87">
        <f t="shared" ref="AD22:AI22" si="196">BIN2DEC(V22)-BIN2DEC(V23)</f>
        <v>4</v>
      </c>
      <c r="AE22" s="87">
        <f t="shared" si="196"/>
        <v>-3</v>
      </c>
      <c r="AF22" s="87">
        <f t="shared" si="196"/>
        <v>5</v>
      </c>
      <c r="AG22" s="87">
        <f t="shared" si="196"/>
        <v>-13</v>
      </c>
      <c r="AH22" s="87">
        <f t="shared" si="196"/>
        <v>9</v>
      </c>
      <c r="AI22" s="87">
        <f t="shared" si="196"/>
        <v>-6</v>
      </c>
      <c r="AJ22" s="87">
        <f>BIN2DEC(AB22)-BIN2DEC(AB23)</f>
        <v>-3</v>
      </c>
      <c r="AK22" s="34" t="str">
        <f t="shared" si="3"/>
        <v>1010111110000111</v>
      </c>
      <c r="AL22" s="34" t="str">
        <f t="shared" si="4"/>
        <v>0000110000011011</v>
      </c>
      <c r="AM22" s="87">
        <f>MID(AK22,16,1)*POWER(2,0)+MID(AK22,15,1)*POWER(2,1)+MID(AK22,14,1)*POWER(2,2)+MID(AK22,13,1)*POWER(2,3)+MID(AK22,12,1)*POWER(2,4)+MID(AK22,11,1)*POWER(2,5)+MID(AK22,10,1)*POWER(2,6)+MID(AK22,9,1)*POWER(2,7)+MID(AK22,8,1)*POWER(2,8)+MID(AK22,7,1)*POWER(2,9)+MID(AK22,6,1)*POWER(2,10)+MID(AK22,5,1)*POWER(2,11)+MID(AK22,4,1)*POWER(2,12)+MID(AK22,3,1)*POWER(2,13)+MID(AK22,2,1)*POWER(2,14)+MID(AK22,1,1)*POWER(2,15)-(MID(AK23,16,1)*POWER(2,0)+MID(AK23,15,1)*POWER(2,1)+MID(AK23,14,1)*POWER(2,2)+MID(AK23,13,1)*POWER(2,3)+MID(AK23,12,1)*POWER(2,4)+MID(AK23,11,1)*POWER(2,5)+MID(AK23,10,1)*POWER(2,6)+MID(AK23,9,1)*POWER(2,7)+MID(AK23,8,1)*POWER(2,8)+MID(AK23,7,1)*POWER(2,9)+MID(AK23,6,1)*POWER(2,10)+MID(AK23,5,1)*POWER(2,11)+MID(AK23,4,1)*POWER(2,12)+MID(AK23,3,1)*POWER(2,13)+MID(AK23,2,1)*POWER(2,14)+MID(AK23,1,1)*POWER(2,15))</f>
        <v>29653</v>
      </c>
      <c r="AN22" s="87">
        <f>MID(AL22,16,1)*POWER(2,0)+MID(AL22,15,1)*POWER(2,1)+MID(AL22,14,1)*POWER(2,2)+MID(AL22,13,1)*POWER(2,3)+MID(AL22,12,1)*POWER(2,4)+MID(AL22,11,1)*POWER(2,5)+MID(AL22,10,1)*POWER(2,6)+MID(AL22,9,1)*POWER(2,7)+MID(AL22,8,1)*POWER(2,8)+MID(AL22,7,1)*POWER(2,9)+MID(AL22,6,1)*POWER(2,10)+MID(AL22,5,1)*POWER(2,11)+MID(AL22,4,1)*POWER(2,12)+MID(AL22,3,1)*POWER(2,13)+MID(AL22,2,1)*POWER(2,14)+MID(AL22,1,1)*POWER(2,15)-(MID(AL23,16,1)*POWER(2,0)+MID(AL23,15,1)*POWER(2,1)+MID(AL23,14,1)*POWER(2,2)+MID(AL23,13,1)*POWER(2,3)+MID(AL23,12,1)*POWER(2,4)+MID(AL23,11,1)*POWER(2,5)+MID(AL23,10,1)*POWER(2,6)+MID(AL23,9,1)*POWER(2,7)+MID(AL23,8,1)*POWER(2,8)+MID(AL23,7,1)*POWER(2,9)+MID(AL23,6,1)*POWER(2,10)+MID(AL23,5,1)*POWER(2,11)+MID(AL23,4,1)*POWER(2,12)+MID(AL23,3,1)*POWER(2,13)+MID(AL23,2,1)*POWER(2,14)+MID(AL23,1,1)*POWER(2,15))</f>
        <v>-51043</v>
      </c>
      <c r="AO22" s="33" t="str">
        <f>H22</f>
        <v>10101111100001110000110000011011</v>
      </c>
      <c r="AP22" s="34" t="str">
        <f t="shared" si="38"/>
        <v>10101111</v>
      </c>
      <c r="AQ22" s="34" t="str">
        <f t="shared" si="39"/>
        <v>10000111</v>
      </c>
      <c r="AR22" s="34" t="str">
        <f t="shared" si="40"/>
        <v>00001100</v>
      </c>
      <c r="AS22" s="34" t="str">
        <f t="shared" si="41"/>
        <v>00011011</v>
      </c>
      <c r="AT22" s="87">
        <f>BIN2DEC(AP22)-BIN2DEC(AP23)</f>
        <v>140</v>
      </c>
      <c r="AU22" s="87">
        <f>BIN2DEC(AQ22)-BIN2DEC(AQ23)</f>
        <v>101</v>
      </c>
      <c r="AV22" s="87">
        <f>BIN2DEC(AR22)-BIN2DEC(AR23)</f>
        <v>-55</v>
      </c>
      <c r="AW22" s="87">
        <f>BIN2DEC(AS22)-BIN2DEC(AS23)</f>
        <v>-71</v>
      </c>
      <c r="AX22" s="35" t="str">
        <f t="shared" si="42"/>
        <v>1010</v>
      </c>
      <c r="AY22" s="35" t="str">
        <f t="shared" si="43"/>
        <v>1111</v>
      </c>
      <c r="AZ22" s="35" t="str">
        <f t="shared" si="44"/>
        <v>1000</v>
      </c>
      <c r="BA22" s="35" t="str">
        <f t="shared" si="45"/>
        <v>0111</v>
      </c>
      <c r="BB22" s="35" t="str">
        <f t="shared" si="46"/>
        <v>0000</v>
      </c>
      <c r="BC22" s="35" t="str">
        <f t="shared" si="47"/>
        <v>1100</v>
      </c>
      <c r="BD22" s="35" t="str">
        <f t="shared" si="48"/>
        <v>0001</v>
      </c>
      <c r="BE22" s="35" t="str">
        <f t="shared" si="49"/>
        <v>1011</v>
      </c>
      <c r="BF22" s="87">
        <f>BIN2DEC(AX22)-BIN2DEC(AX23)</f>
        <v>7</v>
      </c>
      <c r="BG22" s="87">
        <f t="shared" ref="BG22:BL22" si="197">BIN2DEC(AY22)-BIN2DEC(AY23)</f>
        <v>4</v>
      </c>
      <c r="BH22" s="87">
        <f t="shared" si="197"/>
        <v>-3</v>
      </c>
      <c r="BI22" s="87">
        <f t="shared" si="197"/>
        <v>5</v>
      </c>
      <c r="BJ22" s="87">
        <f t="shared" si="197"/>
        <v>-13</v>
      </c>
      <c r="BK22" s="87">
        <f t="shared" si="197"/>
        <v>9</v>
      </c>
      <c r="BL22" s="87">
        <f t="shared" si="197"/>
        <v>-6</v>
      </c>
      <c r="BM22" s="87">
        <f>BIN2DEC(BE22)-BIN2DEC(BE23)</f>
        <v>-3</v>
      </c>
      <c r="BN22" s="34" t="str">
        <f t="shared" si="6"/>
        <v>1010111110000111</v>
      </c>
      <c r="BO22" s="34" t="str">
        <f t="shared" si="7"/>
        <v>0000110000011011</v>
      </c>
      <c r="BP22" s="87">
        <f>MID(BN22,16,1)*POWER(2,0)+MID(BN22,15,1)*POWER(2,1)+MID(BN22,14,1)*POWER(2,2)+MID(BN22,13,1)*POWER(2,3)+MID(BN22,12,1)*POWER(2,4)+MID(BN22,11,1)*POWER(2,5)+MID(BN22,10,1)*POWER(2,6)+MID(BN22,9,1)*POWER(2,7)+MID(BN22,8,1)*POWER(2,8)+MID(BN22,7,1)*POWER(2,9)+MID(BN22,6,1)*POWER(2,10)+MID(BN22,5,1)*POWER(2,11)+MID(BN22,4,1)*POWER(2,12)+MID(BN22,3,1)*POWER(2,13)+MID(BN22,2,1)*POWER(2,14)+MID(BN22,1,1)*POWER(2,15)-(MID(BN23,16,1)*POWER(2,0)+MID(BN23,15,1)*POWER(2,1)+MID(BN23,14,1)*POWER(2,2)+MID(BN23,13,1)*POWER(2,3)+MID(BN23,12,1)*POWER(2,4)+MID(BN23,11,1)*POWER(2,5)+MID(BN23,10,1)*POWER(2,6)+MID(BN23,9,1)*POWER(2,7)+MID(BN23,8,1)*POWER(2,8)+MID(BN23,7,1)*POWER(2,9)+MID(BN23,6,1)*POWER(2,10)+MID(BN23,5,1)*POWER(2,11)+MID(BN23,4,1)*POWER(2,12)+MID(BN23,3,1)*POWER(2,13)+MID(BN23,2,1)*POWER(2,14)+MID(BN23,1,1)*POWER(2,15))</f>
        <v>35941</v>
      </c>
      <c r="BQ22" s="87">
        <f>MID(BO22,16,1)*POWER(2,0)+MID(BO22,15,1)*POWER(2,1)+MID(BO22,14,1)*POWER(2,2)+MID(BO22,13,1)*POWER(2,3)+MID(BO22,12,1)*POWER(2,4)+MID(BO22,11,1)*POWER(2,5)+MID(BO22,10,1)*POWER(2,6)+MID(BO22,9,1)*POWER(2,7)+MID(BO22,8,1)*POWER(2,8)+MID(BO22,7,1)*POWER(2,9)+MID(BO22,6,1)*POWER(2,10)+MID(BO22,5,1)*POWER(2,11)+MID(BO22,4,1)*POWER(2,12)+MID(BO22,3,1)*POWER(2,13)+MID(BO22,2,1)*POWER(2,14)+MID(BO22,1,1)*POWER(2,15)-(MID(BO23,16,1)*POWER(2,0)+MID(BO23,15,1)*POWER(2,1)+MID(BO23,14,1)*POWER(2,2)+MID(BO23,13,1)*POWER(2,3)+MID(BO23,12,1)*POWER(2,4)+MID(BO23,11,1)*POWER(2,5)+MID(BO23,10,1)*POWER(2,6)+MID(BO23,9,1)*POWER(2,7)+MID(BO23,8,1)*POWER(2,8)+MID(BO23,7,1)*POWER(2,9)+MID(BO23,6,1)*POWER(2,10)+MID(BO23,5,1)*POWER(2,11)+MID(BO23,4,1)*POWER(2,12)+MID(BO23,3,1)*POWER(2,13)+MID(BO23,2,1)*POWER(2,14)+MID(BO23,1,1)*POWER(2,15))</f>
        <v>-14151</v>
      </c>
      <c r="BR22" s="33" t="str">
        <f>CONCATENATE(MID($L22,1,1)*MID($K22,1,1),MID($L22,2,1)*MID($K22,2,1),MID($L22,3,1)*MID($K22,3,1),MID($L22,4,1)*MID($K22,4,1),MID($L22,5,1)*MID($K22,5,1),MID($L22,6,1)*MID($K22,6,1),MID($L22,7,1)*MID($K22,7,1),MID($L22,8,1)*MID($K22,8,1),MID($L22,9,1)*MID($K22,1,1),MID($L22,10,1)*MID($K22,2,1),MID($L22,11,1)*MID($K22,3,1),MID($L22,12,1)*MID($K22,4,1),MID($L22,13,1)*MID($K22,5,1),MID($L22,14,1)*MID($K22,6,1),MID($L22,15,1)*MID($K22,7,1),MID($L22,16,1)*MID($K22,8,1),MID($L22,17,1)*MID($K22,1,1),MID($L22,18,1)*MID($K22,2,1),MID($L22,19,1)*MID($K22,3,1),MID($L22,20,1)*MID($K22,4,1),MID($L22,21,1)*MID($K22,5,1),MID($L22,22,1)*MID($K22,6,1),MID($L22,23,1)*MID($K22,7,1),MID($L22,24,1)*MID($K22,8,1),MID($L22,25,1)*MID($K22,1,1),MID($L22,26,1)*MID($K22,2,1),MID($L22,27,1)*MID($K22,3,1),MID($L22,28,1)*MID($K22,4,1),MID($L22,29,1)*MID($K22,5,1),MID($L22,30,1)*MID($K22,6,1),MID($L22,31,1)*MID($K22,7,1),MID($L22,32,1)*MID($K22,8,1))</f>
        <v>00100011000000110000000000000011</v>
      </c>
      <c r="BS22" s="34" t="str">
        <f t="shared" si="50"/>
        <v>00100011</v>
      </c>
      <c r="BT22" s="34" t="str">
        <f t="shared" si="51"/>
        <v>00000011</v>
      </c>
      <c r="BU22" s="34" t="str">
        <f t="shared" si="52"/>
        <v>00000000</v>
      </c>
      <c r="BV22" s="34" t="str">
        <f t="shared" si="53"/>
        <v>00000011</v>
      </c>
      <c r="BW22" s="87">
        <f>BIN2DEC(BS22)-BIN2DEC(BS23)</f>
        <v>-24</v>
      </c>
      <c r="BX22" s="87">
        <f>BIN2DEC(BT22)-BIN2DEC(BT23)</f>
        <v>-175</v>
      </c>
      <c r="BY22" s="87">
        <f>BIN2DEC(BU22)-BIN2DEC(BU23)</f>
        <v>-211</v>
      </c>
      <c r="BZ22" s="87">
        <f>BIN2DEC(BV22)-BIN2DEC(BV23)</f>
        <v>-123</v>
      </c>
      <c r="CA22" s="35" t="str">
        <f t="shared" si="54"/>
        <v>1010</v>
      </c>
      <c r="CB22" s="35" t="str">
        <f t="shared" si="55"/>
        <v>1111</v>
      </c>
      <c r="CC22" s="35" t="str">
        <f t="shared" si="56"/>
        <v>1000</v>
      </c>
      <c r="CD22" s="35" t="str">
        <f t="shared" si="57"/>
        <v>0111</v>
      </c>
      <c r="CE22" s="35" t="str">
        <f t="shared" si="58"/>
        <v>0000</v>
      </c>
      <c r="CF22" s="35" t="str">
        <f t="shared" si="59"/>
        <v>1100</v>
      </c>
      <c r="CG22" s="35" t="str">
        <f t="shared" si="60"/>
        <v>0001</v>
      </c>
      <c r="CH22" s="35" t="str">
        <f t="shared" si="61"/>
        <v>1011</v>
      </c>
      <c r="CI22" s="87">
        <f>BIN2DEC(CA22)-BIN2DEC(CA23)</f>
        <v>7</v>
      </c>
      <c r="CJ22" s="87">
        <f t="shared" ref="CJ22:CO22" si="198">BIN2DEC(CB22)-BIN2DEC(CB23)</f>
        <v>4</v>
      </c>
      <c r="CK22" s="87">
        <f t="shared" si="198"/>
        <v>-3</v>
      </c>
      <c r="CL22" s="87">
        <f t="shared" si="198"/>
        <v>5</v>
      </c>
      <c r="CM22" s="87">
        <f t="shared" si="198"/>
        <v>-13</v>
      </c>
      <c r="CN22" s="87">
        <f t="shared" si="198"/>
        <v>9</v>
      </c>
      <c r="CO22" s="87">
        <f t="shared" si="198"/>
        <v>-6</v>
      </c>
      <c r="CP22" s="87">
        <f>BIN2DEC(CH22)-BIN2DEC(CH23)</f>
        <v>-3</v>
      </c>
      <c r="CQ22" s="34" t="str">
        <f t="shared" si="9"/>
        <v>0010001100000011</v>
      </c>
      <c r="CR22" s="34" t="str">
        <f t="shared" si="10"/>
        <v>0000000000000011</v>
      </c>
      <c r="CS22" s="87">
        <f>MID(CQ22,16,1)*POWER(2,0)+MID(CQ22,15,1)*POWER(2,1)+MID(CQ22,14,1)*POWER(2,2)+MID(CQ22,13,1)*POWER(2,3)+MID(CQ22,12,1)*POWER(2,4)+MID(CQ22,11,1)*POWER(2,5)+MID(CQ22,10,1)*POWER(2,6)+MID(CQ22,9,1)*POWER(2,7)+MID(CQ22,8,1)*POWER(2,8)+MID(CQ22,7,1)*POWER(2,9)+MID(CQ22,6,1)*POWER(2,10)+MID(CQ22,5,1)*POWER(2,11)+MID(CQ22,4,1)*POWER(2,12)+MID(CQ22,3,1)*POWER(2,13)+MID(CQ22,2,1)*POWER(2,14)+MID(CQ22,1,1)*POWER(2,15)-(MID(CQ23,16,1)*POWER(2,0)+MID(CQ23,15,1)*POWER(2,1)+MID(CQ23,14,1)*POWER(2,2)+MID(CQ23,13,1)*POWER(2,3)+MID(CQ23,12,1)*POWER(2,4)+MID(CQ23,11,1)*POWER(2,5)+MID(CQ23,10,1)*POWER(2,6)+MID(CQ23,9,1)*POWER(2,7)+MID(CQ23,8,1)*POWER(2,8)+MID(CQ23,7,1)*POWER(2,9)+MID(CQ23,6,1)*POWER(2,10)+MID(CQ23,5,1)*POWER(2,11)+MID(CQ23,4,1)*POWER(2,12)+MID(CQ23,3,1)*POWER(2,13)+MID(CQ23,2,1)*POWER(2,14)+MID(CQ23,1,1)*POWER(2,15))</f>
        <v>-6319</v>
      </c>
      <c r="CT22" s="87">
        <f>MID(CR22,16,1)*POWER(2,0)+MID(CR22,15,1)*POWER(2,1)+MID(CR22,14,1)*POWER(2,2)+MID(CR22,13,1)*POWER(2,3)+MID(CR22,12,1)*POWER(2,4)+MID(CR22,11,1)*POWER(2,5)+MID(CR22,10,1)*POWER(2,6)+MID(CR22,9,1)*POWER(2,7)+MID(CR22,8,1)*POWER(2,8)+MID(CR22,7,1)*POWER(2,9)+MID(CR22,6,1)*POWER(2,10)+MID(CR22,5,1)*POWER(2,11)+MID(CR22,4,1)*POWER(2,12)+MID(CR22,3,1)*POWER(2,13)+MID(CR22,2,1)*POWER(2,14)+MID(CR22,1,1)*POWER(2,15)-(MID(CR23,16,1)*POWER(2,0)+MID(CR23,15,1)*POWER(2,1)+MID(CR23,14,1)*POWER(2,2)+MID(CR23,13,1)*POWER(2,3)+MID(CR23,12,1)*POWER(2,4)+MID(CR23,11,1)*POWER(2,5)+MID(CR23,10,1)*POWER(2,6)+MID(CR23,9,1)*POWER(2,7)+MID(CR23,8,1)*POWER(2,8)+MID(CR23,7,1)*POWER(2,9)+MID(CR23,6,1)*POWER(2,10)+MID(CR23,5,1)*POWER(2,11)+MID(CR23,4,1)*POWER(2,12)+MID(CR23,3,1)*POWER(2,13)+MID(CR23,2,1)*POWER(2,14)+MID(CR23,1,1)*POWER(2,15))</f>
        <v>-54139</v>
      </c>
      <c r="CU22" s="33" t="str">
        <f>BR22</f>
        <v>00100011000000110000000000000011</v>
      </c>
      <c r="CV22" s="34" t="str">
        <f t="shared" si="62"/>
        <v>00100011</v>
      </c>
      <c r="CW22" s="34" t="str">
        <f t="shared" si="63"/>
        <v>00000011</v>
      </c>
      <c r="CX22" s="34" t="str">
        <f t="shared" si="64"/>
        <v>00000000</v>
      </c>
      <c r="CY22" s="34" t="str">
        <f t="shared" si="65"/>
        <v>00000011</v>
      </c>
      <c r="CZ22" s="87">
        <f>BIN2DEC(CV22)-BIN2DEC(CV23)</f>
        <v>0</v>
      </c>
      <c r="DA22" s="87">
        <f>BIN2DEC(CW22)-BIN2DEC(CW23)</f>
        <v>-31</v>
      </c>
      <c r="DB22" s="87">
        <f>BIN2DEC(CX22)-BIN2DEC(CX23)</f>
        <v>-67</v>
      </c>
      <c r="DC22" s="87">
        <f>BIN2DEC(CY22)-BIN2DEC(CY23)</f>
        <v>-95</v>
      </c>
      <c r="DD22" s="35" t="str">
        <f t="shared" si="66"/>
        <v>1010</v>
      </c>
      <c r="DE22" s="35" t="str">
        <f t="shared" si="67"/>
        <v>1111</v>
      </c>
      <c r="DF22" s="35" t="str">
        <f t="shared" si="68"/>
        <v>1000</v>
      </c>
      <c r="DG22" s="35" t="str">
        <f t="shared" si="69"/>
        <v>0111</v>
      </c>
      <c r="DH22" s="35" t="str">
        <f t="shared" si="70"/>
        <v>0000</v>
      </c>
      <c r="DI22" s="35" t="str">
        <f t="shared" si="71"/>
        <v>1100</v>
      </c>
      <c r="DJ22" s="35" t="str">
        <f t="shared" si="72"/>
        <v>0001</v>
      </c>
      <c r="DK22" s="35" t="str">
        <f t="shared" si="73"/>
        <v>1011</v>
      </c>
      <c r="DL22" s="87">
        <f>BIN2DEC(DD22)-BIN2DEC(DD23)</f>
        <v>7</v>
      </c>
      <c r="DM22" s="87">
        <f t="shared" ref="DM22:DR22" si="199">BIN2DEC(DE22)-BIN2DEC(DE23)</f>
        <v>4</v>
      </c>
      <c r="DN22" s="87">
        <f t="shared" si="199"/>
        <v>-3</v>
      </c>
      <c r="DO22" s="87">
        <f t="shared" si="199"/>
        <v>5</v>
      </c>
      <c r="DP22" s="87">
        <f t="shared" si="199"/>
        <v>-13</v>
      </c>
      <c r="DQ22" s="87">
        <f t="shared" si="199"/>
        <v>9</v>
      </c>
      <c r="DR22" s="87">
        <f t="shared" si="199"/>
        <v>-6</v>
      </c>
      <c r="DS22" s="87">
        <f>BIN2DEC(DK22)-BIN2DEC(DK23)</f>
        <v>-3</v>
      </c>
      <c r="DT22" s="34" t="str">
        <f t="shared" si="12"/>
        <v>0010001100000011</v>
      </c>
      <c r="DU22" s="34" t="str">
        <f t="shared" si="13"/>
        <v>0000000000000011</v>
      </c>
      <c r="DV22" s="87">
        <f>MID(DT22,16,1)*POWER(2,0)+MID(DT22,15,1)*POWER(2,1)+MID(DT22,14,1)*POWER(2,2)+MID(DT22,13,1)*POWER(2,3)+MID(DT22,12,1)*POWER(2,4)+MID(DT22,11,1)*POWER(2,5)+MID(DT22,10,1)*POWER(2,6)+MID(DT22,9,1)*POWER(2,7)+MID(DT22,8,1)*POWER(2,8)+MID(DT22,7,1)*POWER(2,9)+MID(DT22,6,1)*POWER(2,10)+MID(DT22,5,1)*POWER(2,11)+MID(DT22,4,1)*POWER(2,12)+MID(DT22,3,1)*POWER(2,13)+MID(DT22,2,1)*POWER(2,14)+MID(DT22,1,1)*POWER(2,15)-(MID(DT23,16,1)*POWER(2,0)+MID(DT23,15,1)*POWER(2,1)+MID(DT23,14,1)*POWER(2,2)+MID(DT23,13,1)*POWER(2,3)+MID(DT23,12,1)*POWER(2,4)+MID(DT23,11,1)*POWER(2,5)+MID(DT23,10,1)*POWER(2,6)+MID(DT23,9,1)*POWER(2,7)+MID(DT23,8,1)*POWER(2,8)+MID(DT23,7,1)*POWER(2,9)+MID(DT23,6,1)*POWER(2,10)+MID(DT23,5,1)*POWER(2,11)+MID(DT23,4,1)*POWER(2,12)+MID(DT23,3,1)*POWER(2,13)+MID(DT23,2,1)*POWER(2,14)+MID(DT23,1,1)*POWER(2,15))</f>
        <v>-31</v>
      </c>
      <c r="DW22" s="87">
        <f>MID(DU22,16,1)*POWER(2,0)+MID(DU22,15,1)*POWER(2,1)+MID(DU22,14,1)*POWER(2,2)+MID(DU22,13,1)*POWER(2,3)+MID(DU22,12,1)*POWER(2,4)+MID(DU22,11,1)*POWER(2,5)+MID(DU22,10,1)*POWER(2,6)+MID(DU22,9,1)*POWER(2,7)+MID(DU22,8,1)*POWER(2,8)+MID(DU22,7,1)*POWER(2,9)+MID(DU22,6,1)*POWER(2,10)+MID(DU22,5,1)*POWER(2,11)+MID(DU22,4,1)*POWER(2,12)+MID(DU22,3,1)*POWER(2,13)+MID(DU22,2,1)*POWER(2,14)+MID(DU22,1,1)*POWER(2,15)-(MID(DU23,16,1)*POWER(2,0)+MID(DU23,15,1)*POWER(2,1)+MID(DU23,14,1)*POWER(2,2)+MID(DU23,13,1)*POWER(2,3)+MID(DU23,12,1)*POWER(2,4)+MID(DU23,11,1)*POWER(2,5)+MID(DU23,10,1)*POWER(2,6)+MID(DU23,9,1)*POWER(2,7)+MID(DU23,8,1)*POWER(2,8)+MID(DU23,7,1)*POWER(2,9)+MID(DU23,6,1)*POWER(2,10)+MID(DU23,5,1)*POWER(2,11)+MID(DU23,4,1)*POWER(2,12)+MID(DU23,3,1)*POWER(2,13)+MID(DU23,2,1)*POWER(2,14)+MID(DU23,1,1)*POWER(2,15))</f>
        <v>-17247</v>
      </c>
      <c r="DX22" s="33"/>
      <c r="DY22" s="34" t="str">
        <f>H22</f>
        <v>10101111100001110000110000011011</v>
      </c>
      <c r="DZ22" s="34" t="str">
        <f t="shared" si="122"/>
        <v>10101111</v>
      </c>
      <c r="EA22" s="34" t="str">
        <f t="shared" si="74"/>
        <v>10000111</v>
      </c>
      <c r="EB22" s="34" t="str">
        <f t="shared" si="75"/>
        <v>00001100</v>
      </c>
      <c r="EC22" s="34" t="str">
        <f t="shared" si="76"/>
        <v>00011011</v>
      </c>
      <c r="ED22" s="87">
        <f>BIN2DEC(DZ22)-BIN2DEC(DZ23)</f>
        <v>148</v>
      </c>
      <c r="EE22" s="87">
        <f>BIN2DEC(EA22)-BIN2DEC(EA23)</f>
        <v>117</v>
      </c>
      <c r="EF22" s="87">
        <f>BIN2DEC(EB22)-BIN2DEC(EB23)</f>
        <v>-7</v>
      </c>
      <c r="EG22" s="87">
        <f>BIN2DEC(EC22)-BIN2DEC(EC23)</f>
        <v>1</v>
      </c>
      <c r="EH22" s="35" t="str">
        <f t="shared" si="77"/>
        <v>1010</v>
      </c>
      <c r="EI22" s="35" t="str">
        <f t="shared" si="78"/>
        <v>1111</v>
      </c>
      <c r="EJ22" s="35" t="str">
        <f t="shared" si="79"/>
        <v>1000</v>
      </c>
      <c r="EK22" s="35" t="str">
        <f t="shared" si="80"/>
        <v>0111</v>
      </c>
      <c r="EL22" s="35" t="str">
        <f t="shared" si="81"/>
        <v>0000</v>
      </c>
      <c r="EM22" s="35" t="str">
        <f t="shared" si="82"/>
        <v>1100</v>
      </c>
      <c r="EN22" s="35" t="str">
        <f t="shared" si="83"/>
        <v>0001</v>
      </c>
      <c r="EO22" s="35" t="str">
        <f t="shared" si="84"/>
        <v>1011</v>
      </c>
      <c r="EP22" s="87">
        <f>BIN2DEC(EH22)-BIN2DEC(EH23)</f>
        <v>7</v>
      </c>
      <c r="EQ22" s="87">
        <f t="shared" ref="EQ22:EV22" si="200">BIN2DEC(EI22)-BIN2DEC(EI23)</f>
        <v>4</v>
      </c>
      <c r="ER22" s="87">
        <f t="shared" si="200"/>
        <v>-3</v>
      </c>
      <c r="ES22" s="87">
        <f t="shared" si="200"/>
        <v>5</v>
      </c>
      <c r="ET22" s="87">
        <f t="shared" si="200"/>
        <v>-13</v>
      </c>
      <c r="EU22" s="87">
        <f t="shared" si="200"/>
        <v>9</v>
      </c>
      <c r="EV22" s="87">
        <f t="shared" si="200"/>
        <v>-6</v>
      </c>
      <c r="EW22" s="87">
        <f>BIN2DEC(EO22)-BIN2DEC(EO23)</f>
        <v>-3</v>
      </c>
      <c r="EX22" s="34" t="str">
        <f t="shared" si="15"/>
        <v>1010111110000111</v>
      </c>
      <c r="EY22" s="34" t="str">
        <f t="shared" si="16"/>
        <v>0000110000011011</v>
      </c>
      <c r="EZ22" s="87">
        <f>MID(EX22,16,1)*POWER(2,0)+MID(EX22,15,1)*POWER(2,1)+MID(EX22,14,1)*POWER(2,2)+MID(EX22,13,1)*POWER(2,3)+MID(EX22,12,1)*POWER(2,4)+MID(EX22,11,1)*POWER(2,5)+MID(EX22,10,1)*POWER(2,6)+MID(EX22,9,1)*POWER(2,7)+MID(EX22,8,1)*POWER(2,8)+MID(EX22,7,1)*POWER(2,9)+MID(EX22,6,1)*POWER(2,10)+MID(EX22,5,1)*POWER(2,11)+MID(EX22,4,1)*POWER(2,12)+MID(EX22,3,1)*POWER(2,13)+MID(EX22,2,1)*POWER(2,14)+MID(EX22,1,1)*POWER(2,15)-(MID(EX23,16,1)*POWER(2,0)+MID(EX23,15,1)*POWER(2,1)+MID(EX23,14,1)*POWER(2,2)+MID(EX23,13,1)*POWER(2,3)+MID(EX23,12,1)*POWER(2,4)+MID(EX23,11,1)*POWER(2,5)+MID(EX23,10,1)*POWER(2,6)+MID(EX23,9,1)*POWER(2,7)+MID(EX23,8,1)*POWER(2,8)+MID(EX23,7,1)*POWER(2,9)+MID(EX23,6,1)*POWER(2,10)+MID(EX23,5,1)*POWER(2,11)+MID(EX23,4,1)*POWER(2,12)+MID(EX23,3,1)*POWER(2,13)+MID(EX23,2,1)*POWER(2,14)+MID(EX23,1,1)*POWER(2,15))</f>
        <v>38005</v>
      </c>
      <c r="FA22" s="87">
        <f>MID(EY22,16,1)*POWER(2,0)+MID(EY22,15,1)*POWER(2,1)+MID(EY22,14,1)*POWER(2,2)+MID(EY22,13,1)*POWER(2,3)+MID(EY22,12,1)*POWER(2,4)+MID(EY22,11,1)*POWER(2,5)+MID(EY22,10,1)*POWER(2,6)+MID(EY22,9,1)*POWER(2,7)+MID(EY22,8,1)*POWER(2,8)+MID(EY22,7,1)*POWER(2,9)+MID(EY22,6,1)*POWER(2,10)+MID(EY22,5,1)*POWER(2,11)+MID(EY22,4,1)*POWER(2,12)+MID(EY22,3,1)*POWER(2,13)+MID(EY22,2,1)*POWER(2,14)+MID(EY22,1,1)*POWER(2,15)-(MID(EY23,16,1)*POWER(2,0)+MID(EY23,15,1)*POWER(2,1)+MID(EY23,14,1)*POWER(2,2)+MID(EY23,13,1)*POWER(2,3)+MID(EY23,12,1)*POWER(2,4)+MID(EY23,11,1)*POWER(2,5)+MID(EY23,10,1)*POWER(2,6)+MID(EY23,9,1)*POWER(2,7)+MID(EY23,8,1)*POWER(2,8)+MID(EY23,7,1)*POWER(2,9)+MID(EY23,6,1)*POWER(2,10)+MID(EY23,5,1)*POWER(2,11)+MID(EY23,4,1)*POWER(2,12)+MID(EY23,3,1)*POWER(2,13)+MID(EY23,2,1)*POWER(2,14)+MID(EY23,1,1)*POWER(2,15))</f>
        <v>-1791</v>
      </c>
      <c r="FB22" s="33" t="str">
        <f>H22</f>
        <v>10101111100001110000110000011011</v>
      </c>
      <c r="FC22" s="34" t="str">
        <f t="shared" si="124"/>
        <v>10101111</v>
      </c>
      <c r="FD22" s="34" t="str">
        <f t="shared" si="85"/>
        <v>10000111</v>
      </c>
      <c r="FE22" s="34" t="str">
        <f t="shared" si="86"/>
        <v>00001100</v>
      </c>
      <c r="FF22" s="34" t="str">
        <f t="shared" si="87"/>
        <v>00011011</v>
      </c>
      <c r="FG22" s="87">
        <f>BIN2DEC(FC22)-BIN2DEC(FC23)</f>
        <v>172</v>
      </c>
      <c r="FH22" s="87">
        <f>BIN2DEC(FD22)-BIN2DEC(FD23)</f>
        <v>133</v>
      </c>
      <c r="FI22" s="87">
        <f>BIN2DEC(FE22)-BIN2DEC(FE23)</f>
        <v>9</v>
      </c>
      <c r="FJ22" s="87">
        <f>BIN2DEC(FF22)-BIN2DEC(FF23)</f>
        <v>25</v>
      </c>
      <c r="FK22" s="35" t="str">
        <f t="shared" si="88"/>
        <v>1010</v>
      </c>
      <c r="FL22" s="35" t="str">
        <f t="shared" si="89"/>
        <v>1111</v>
      </c>
      <c r="FM22" s="35" t="str">
        <f t="shared" si="90"/>
        <v>1000</v>
      </c>
      <c r="FN22" s="35" t="str">
        <f t="shared" si="91"/>
        <v>0111</v>
      </c>
      <c r="FO22" s="35" t="str">
        <f t="shared" si="92"/>
        <v>0000</v>
      </c>
      <c r="FP22" s="35" t="str">
        <f t="shared" si="93"/>
        <v>1100</v>
      </c>
      <c r="FQ22" s="35" t="str">
        <f t="shared" si="94"/>
        <v>0001</v>
      </c>
      <c r="FR22" s="35" t="str">
        <f t="shared" si="95"/>
        <v>1011</v>
      </c>
      <c r="FS22" s="87">
        <f>BIN2DEC(FK22)-BIN2DEC(FK23)</f>
        <v>7</v>
      </c>
      <c r="FT22" s="87">
        <f t="shared" ref="FT22:FY22" si="201">BIN2DEC(FL22)-BIN2DEC(FL23)</f>
        <v>4</v>
      </c>
      <c r="FU22" s="87">
        <f t="shared" si="201"/>
        <v>-3</v>
      </c>
      <c r="FV22" s="87">
        <f t="shared" si="201"/>
        <v>5</v>
      </c>
      <c r="FW22" s="87">
        <f t="shared" si="201"/>
        <v>-13</v>
      </c>
      <c r="FX22" s="87">
        <f t="shared" si="201"/>
        <v>9</v>
      </c>
      <c r="FY22" s="87">
        <f t="shared" si="201"/>
        <v>-6</v>
      </c>
      <c r="FZ22" s="87">
        <f>BIN2DEC(FR22)-BIN2DEC(FR23)</f>
        <v>-3</v>
      </c>
      <c r="GA22" s="34" t="str">
        <f t="shared" si="18"/>
        <v>1010111110000111</v>
      </c>
      <c r="GB22" s="34" t="str">
        <f t="shared" si="19"/>
        <v>0000110000011011</v>
      </c>
      <c r="GC22" s="87">
        <f>MID(GA22,16,1)*POWER(2,0)+MID(GA22,15,1)*POWER(2,1)+MID(GA22,14,1)*POWER(2,2)+MID(GA22,13,1)*POWER(2,3)+MID(GA22,12,1)*POWER(2,4)+MID(GA22,11,1)*POWER(2,5)+MID(GA22,10,1)*POWER(2,6)+MID(GA22,9,1)*POWER(2,7)+MID(GA22,8,1)*POWER(2,8)+MID(GA22,7,1)*POWER(2,9)+MID(GA22,6,1)*POWER(2,10)+MID(GA22,5,1)*POWER(2,11)+MID(GA22,4,1)*POWER(2,12)+MID(GA22,3,1)*POWER(2,13)+MID(GA22,2,1)*POWER(2,14)+MID(GA22,1,1)*POWER(2,15)-(MID(GA23,16,1)*POWER(2,0)+MID(GA23,15,1)*POWER(2,1)+MID(GA23,14,1)*POWER(2,2)+MID(GA23,13,1)*POWER(2,3)+MID(GA23,12,1)*POWER(2,4)+MID(GA23,11,1)*POWER(2,5)+MID(GA23,10,1)*POWER(2,6)+MID(GA23,9,1)*POWER(2,7)+MID(GA23,8,1)*POWER(2,8)+MID(GA23,7,1)*POWER(2,9)+MID(GA23,6,1)*POWER(2,10)+MID(GA23,5,1)*POWER(2,11)+MID(GA23,4,1)*POWER(2,12)+MID(GA23,3,1)*POWER(2,13)+MID(GA23,2,1)*POWER(2,14)+MID(GA23,1,1)*POWER(2,15))</f>
        <v>44165</v>
      </c>
      <c r="GD22" s="87">
        <f>MID(GB22,16,1)*POWER(2,0)+MID(GB22,15,1)*POWER(2,1)+MID(GB22,14,1)*POWER(2,2)+MID(GB22,13,1)*POWER(2,3)+MID(GB22,12,1)*POWER(2,4)+MID(GB22,11,1)*POWER(2,5)+MID(GB22,10,1)*POWER(2,6)+MID(GB22,9,1)*POWER(2,7)+MID(GB22,8,1)*POWER(2,8)+MID(GB22,7,1)*POWER(2,9)+MID(GB22,6,1)*POWER(2,10)+MID(GB22,5,1)*POWER(2,11)+MID(GB22,4,1)*POWER(2,12)+MID(GB22,3,1)*POWER(2,13)+MID(GB22,2,1)*POWER(2,14)+MID(GB22,1,1)*POWER(2,15)-(MID(GB23,16,1)*POWER(2,0)+MID(GB23,15,1)*POWER(2,1)+MID(GB23,14,1)*POWER(2,2)+MID(GB23,13,1)*POWER(2,3)+MID(GB23,12,1)*POWER(2,4)+MID(GB23,11,1)*POWER(2,5)+MID(GB23,10,1)*POWER(2,6)+MID(GB23,9,1)*POWER(2,7)+MID(GB23,8,1)*POWER(2,8)+MID(GB23,7,1)*POWER(2,9)+MID(GB23,6,1)*POWER(2,10)+MID(GB23,5,1)*POWER(2,11)+MID(GB23,4,1)*POWER(2,12)+MID(GB23,3,1)*POWER(2,13)+MID(GB23,2,1)*POWER(2,14)+MID(GB23,1,1)*POWER(2,15))</f>
        <v>2329</v>
      </c>
      <c r="GE22" s="35" t="str">
        <f>CU22</f>
        <v>00100011000000110000000000000011</v>
      </c>
      <c r="GF22" s="34" t="str">
        <f t="shared" si="126"/>
        <v>00100011</v>
      </c>
      <c r="GG22" s="34" t="str">
        <f t="shared" si="96"/>
        <v>00000011</v>
      </c>
      <c r="GH22" s="34" t="str">
        <f t="shared" si="97"/>
        <v>00000000</v>
      </c>
      <c r="GI22" s="34" t="str">
        <f t="shared" si="98"/>
        <v>00000011</v>
      </c>
      <c r="GJ22" s="87">
        <f>BIN2DEC(GF22)-BIN2DEC(GF23)</f>
        <v>8</v>
      </c>
      <c r="GK22" s="87">
        <f>BIN2DEC(GG22)-BIN2DEC(GG23)</f>
        <v>-15</v>
      </c>
      <c r="GL22" s="87">
        <f>BIN2DEC(GH22)-BIN2DEC(GH23)</f>
        <v>-19</v>
      </c>
      <c r="GM22" s="87">
        <f>BIN2DEC(GI22)-BIN2DEC(GI23)</f>
        <v>-23</v>
      </c>
      <c r="GN22" s="35" t="str">
        <f t="shared" si="99"/>
        <v>1010</v>
      </c>
      <c r="GO22" s="35" t="str">
        <f t="shared" si="100"/>
        <v>1111</v>
      </c>
      <c r="GP22" s="35" t="str">
        <f t="shared" si="101"/>
        <v>1000</v>
      </c>
      <c r="GQ22" s="35" t="str">
        <f t="shared" si="102"/>
        <v>0111</v>
      </c>
      <c r="GR22" s="35" t="str">
        <f t="shared" si="103"/>
        <v>0000</v>
      </c>
      <c r="GS22" s="35" t="str">
        <f t="shared" si="104"/>
        <v>1100</v>
      </c>
      <c r="GT22" s="35" t="str">
        <f t="shared" si="105"/>
        <v>0001</v>
      </c>
      <c r="GU22" s="35" t="str">
        <f t="shared" si="106"/>
        <v>1011</v>
      </c>
      <c r="GV22" s="87">
        <f>BIN2DEC(GN22)-BIN2DEC(GN23)</f>
        <v>7</v>
      </c>
      <c r="GW22" s="87">
        <f t="shared" ref="GW22:HB22" si="202">BIN2DEC(GO22)-BIN2DEC(GO23)</f>
        <v>4</v>
      </c>
      <c r="GX22" s="87">
        <f t="shared" si="202"/>
        <v>-3</v>
      </c>
      <c r="GY22" s="87">
        <f t="shared" si="202"/>
        <v>5</v>
      </c>
      <c r="GZ22" s="87">
        <f t="shared" si="202"/>
        <v>-13</v>
      </c>
      <c r="HA22" s="87">
        <f t="shared" si="202"/>
        <v>9</v>
      </c>
      <c r="HB22" s="87">
        <f t="shared" si="202"/>
        <v>-6</v>
      </c>
      <c r="HC22" s="87">
        <f>BIN2DEC(GU22)-BIN2DEC(GU23)</f>
        <v>-3</v>
      </c>
      <c r="HD22" s="34" t="str">
        <f t="shared" si="21"/>
        <v>0010001100000011</v>
      </c>
      <c r="HE22" s="34" t="str">
        <f t="shared" si="22"/>
        <v>0000000000000011</v>
      </c>
      <c r="HF22" s="87">
        <f>MID(HD22,16,1)*POWER(2,0)+MID(HD22,15,1)*POWER(2,1)+MID(HD22,14,1)*POWER(2,2)+MID(HD22,13,1)*POWER(2,3)+MID(HD22,12,1)*POWER(2,4)+MID(HD22,11,1)*POWER(2,5)+MID(HD22,10,1)*POWER(2,6)+MID(HD22,9,1)*POWER(2,7)+MID(HD22,8,1)*POWER(2,8)+MID(HD22,7,1)*POWER(2,9)+MID(HD22,6,1)*POWER(2,10)+MID(HD22,5,1)*POWER(2,11)+MID(HD22,4,1)*POWER(2,12)+MID(HD22,3,1)*POWER(2,13)+MID(HD22,2,1)*POWER(2,14)+MID(HD22,1,1)*POWER(2,15)-(MID(HD23,16,1)*POWER(2,0)+MID(HD23,15,1)*POWER(2,1)+MID(HD23,14,1)*POWER(2,2)+MID(HD23,13,1)*POWER(2,3)+MID(HD23,12,1)*POWER(2,4)+MID(HD23,11,1)*POWER(2,5)+MID(HD23,10,1)*POWER(2,6)+MID(HD23,9,1)*POWER(2,7)+MID(HD23,8,1)*POWER(2,8)+MID(HD23,7,1)*POWER(2,9)+MID(HD23,6,1)*POWER(2,10)+MID(HD23,5,1)*POWER(2,11)+MID(HD23,4,1)*POWER(2,12)+MID(HD23,3,1)*POWER(2,13)+MID(HD23,2,1)*POWER(2,14)+MID(HD23,1,1)*POWER(2,15))</f>
        <v>2033</v>
      </c>
      <c r="HG22" s="87">
        <f>MID(HE22,16,1)*POWER(2,0)+MID(HE22,15,1)*POWER(2,1)+MID(HE22,14,1)*POWER(2,2)+MID(HE22,13,1)*POWER(2,3)+MID(HE22,12,1)*POWER(2,4)+MID(HE22,11,1)*POWER(2,5)+MID(HE22,10,1)*POWER(2,6)+MID(HE22,9,1)*POWER(2,7)+MID(HE22,8,1)*POWER(2,8)+MID(HE22,7,1)*POWER(2,9)+MID(HE22,6,1)*POWER(2,10)+MID(HE22,5,1)*POWER(2,11)+MID(HE22,4,1)*POWER(2,12)+MID(HE22,3,1)*POWER(2,13)+MID(HE22,2,1)*POWER(2,14)+MID(HE22,1,1)*POWER(2,15)-(MID(HE23,16,1)*POWER(2,0)+MID(HE23,15,1)*POWER(2,1)+MID(HE23,14,1)*POWER(2,2)+MID(HE23,13,1)*POWER(2,3)+MID(HE23,12,1)*POWER(2,4)+MID(HE23,11,1)*POWER(2,5)+MID(HE23,10,1)*POWER(2,6)+MID(HE23,9,1)*POWER(2,7)+MID(HE23,8,1)*POWER(2,8)+MID(HE23,7,1)*POWER(2,9)+MID(HE23,6,1)*POWER(2,10)+MID(HE23,5,1)*POWER(2,11)+MID(HE23,4,1)*POWER(2,12)+MID(HE23,3,1)*POWER(2,13)+MID(HE23,2,1)*POWER(2,14)+MID(HE23,1,1)*POWER(2,15))</f>
        <v>-4887</v>
      </c>
      <c r="HH22" s="33" t="str">
        <f>GE22</f>
        <v>00100011000000110000000000000011</v>
      </c>
      <c r="HI22" s="34" t="str">
        <f t="shared" si="128"/>
        <v>00100011</v>
      </c>
      <c r="HJ22" s="34" t="str">
        <f t="shared" si="107"/>
        <v>00000011</v>
      </c>
      <c r="HK22" s="34" t="str">
        <f t="shared" si="108"/>
        <v>00000000</v>
      </c>
      <c r="HL22" s="34" t="str">
        <f t="shared" si="109"/>
        <v>00000011</v>
      </c>
      <c r="HM22" s="87">
        <f>BIN2DEC(HI22)-BIN2DEC(HI23)</f>
        <v>32</v>
      </c>
      <c r="HN22" s="87">
        <f>BIN2DEC(HJ22)-BIN2DEC(HJ23)</f>
        <v>1</v>
      </c>
      <c r="HO22" s="87">
        <f>BIN2DEC(HK22)-BIN2DEC(HK23)</f>
        <v>-3</v>
      </c>
      <c r="HP22" s="87">
        <f>BIN2DEC(HL22)-BIN2DEC(HL23)</f>
        <v>1</v>
      </c>
      <c r="HQ22" s="35" t="str">
        <f t="shared" si="110"/>
        <v>1010</v>
      </c>
      <c r="HR22" s="35" t="str">
        <f t="shared" si="111"/>
        <v>1111</v>
      </c>
      <c r="HS22" s="35" t="str">
        <f t="shared" si="112"/>
        <v>1000</v>
      </c>
      <c r="HT22" s="35" t="str">
        <f t="shared" si="113"/>
        <v>0111</v>
      </c>
      <c r="HU22" s="35" t="str">
        <f t="shared" si="114"/>
        <v>0000</v>
      </c>
      <c r="HV22" s="35" t="str">
        <f t="shared" si="115"/>
        <v>1100</v>
      </c>
      <c r="HW22" s="35" t="str">
        <f t="shared" si="116"/>
        <v>0001</v>
      </c>
      <c r="HX22" s="35" t="str">
        <f t="shared" si="117"/>
        <v>1011</v>
      </c>
      <c r="HY22" s="87">
        <f>BIN2DEC(HQ22)-BIN2DEC(HQ23)</f>
        <v>7</v>
      </c>
      <c r="HZ22" s="87">
        <f t="shared" ref="HZ22:IE22" si="203">BIN2DEC(HR22)-BIN2DEC(HR23)</f>
        <v>4</v>
      </c>
      <c r="IA22" s="87">
        <f t="shared" si="203"/>
        <v>-3</v>
      </c>
      <c r="IB22" s="87">
        <f t="shared" si="203"/>
        <v>5</v>
      </c>
      <c r="IC22" s="87">
        <f t="shared" si="203"/>
        <v>-13</v>
      </c>
      <c r="ID22" s="87">
        <f t="shared" si="203"/>
        <v>9</v>
      </c>
      <c r="IE22" s="87">
        <f t="shared" si="203"/>
        <v>-6</v>
      </c>
      <c r="IF22" s="87">
        <f>BIN2DEC(HX22)-BIN2DEC(HX23)</f>
        <v>-3</v>
      </c>
      <c r="IG22" s="34" t="str">
        <f t="shared" si="24"/>
        <v>0010001100000011</v>
      </c>
      <c r="IH22" s="34" t="str">
        <f t="shared" si="25"/>
        <v>0000000000000011</v>
      </c>
      <c r="II22" s="87">
        <f>MID(IG22,16,1)*POWER(2,0)+MID(IG22,15,1)*POWER(2,1)+MID(IG22,14,1)*POWER(2,2)+MID(IG22,13,1)*POWER(2,3)+MID(IG22,12,1)*POWER(2,4)+MID(IG22,11,1)*POWER(2,5)+MID(IG22,10,1)*POWER(2,6)+MID(IG22,9,1)*POWER(2,7)+MID(IG22,8,1)*POWER(2,8)+MID(IG22,7,1)*POWER(2,9)+MID(IG22,6,1)*POWER(2,10)+MID(IG22,5,1)*POWER(2,11)+MID(IG22,4,1)*POWER(2,12)+MID(IG22,3,1)*POWER(2,13)+MID(IG22,2,1)*POWER(2,14)+MID(IG22,1,1)*POWER(2,15)-(MID(IG23,16,1)*POWER(2,0)+MID(IG23,15,1)*POWER(2,1)+MID(IG23,14,1)*POWER(2,2)+MID(IG23,13,1)*POWER(2,3)+MID(IG23,12,1)*POWER(2,4)+MID(IG23,11,1)*POWER(2,5)+MID(IG23,10,1)*POWER(2,6)+MID(IG23,9,1)*POWER(2,7)+MID(IG23,8,1)*POWER(2,8)+MID(IG23,7,1)*POWER(2,9)+MID(IG23,6,1)*POWER(2,10)+MID(IG23,5,1)*POWER(2,11)+MID(IG23,4,1)*POWER(2,12)+MID(IG23,3,1)*POWER(2,13)+MID(IG23,2,1)*POWER(2,14)+MID(IG23,1,1)*POWER(2,15))</f>
        <v>8193</v>
      </c>
      <c r="IJ22" s="87">
        <f>MID(IH22,16,1)*POWER(2,0)+MID(IH22,15,1)*POWER(2,1)+MID(IH22,14,1)*POWER(2,2)+MID(IH22,13,1)*POWER(2,3)+MID(IH22,12,1)*POWER(2,4)+MID(IH22,11,1)*POWER(2,5)+MID(IH22,10,1)*POWER(2,6)+MID(IH22,9,1)*POWER(2,7)+MID(IH22,8,1)*POWER(2,8)+MID(IH22,7,1)*POWER(2,9)+MID(IH22,6,1)*POWER(2,10)+MID(IH22,5,1)*POWER(2,11)+MID(IH22,4,1)*POWER(2,12)+MID(IH22,3,1)*POWER(2,13)+MID(IH22,2,1)*POWER(2,14)+MID(IH22,1,1)*POWER(2,15)-(MID(IH23,16,1)*POWER(2,0)+MID(IH23,15,1)*POWER(2,1)+MID(IH23,14,1)*POWER(2,2)+MID(IH23,13,1)*POWER(2,3)+MID(IH23,12,1)*POWER(2,4)+MID(IH23,11,1)*POWER(2,5)+MID(IH23,10,1)*POWER(2,6)+MID(IH23,9,1)*POWER(2,7)+MID(IH23,8,1)*POWER(2,8)+MID(IH23,7,1)*POWER(2,9)+MID(IH23,6,1)*POWER(2,10)+MID(IH23,5,1)*POWER(2,11)+MID(IH23,4,1)*POWER(2,12)+MID(IH23,3,1)*POWER(2,13)+MID(IH23,2,1)*POWER(2,14)+MID(IH23,1,1)*POWER(2,15))</f>
        <v>-767</v>
      </c>
      <c r="IL22" s="34"/>
      <c r="IM22" s="34"/>
      <c r="IN22" s="34"/>
      <c r="IO22" s="34"/>
      <c r="IP22" s="33"/>
      <c r="IQ22" s="33"/>
      <c r="IR22" s="33"/>
      <c r="IS22" s="33"/>
      <c r="JB22" s="33"/>
      <c r="JC22" s="33"/>
      <c r="JD22" s="33"/>
      <c r="JE22" s="33"/>
      <c r="JF22" s="33"/>
      <c r="JG22" s="33"/>
      <c r="JH22" s="33"/>
      <c r="JI22" s="33"/>
      <c r="JJ22" s="34"/>
      <c r="JK22" s="34"/>
      <c r="JL22" s="33"/>
      <c r="JM22" s="33"/>
    </row>
    <row r="23" spans="1:273" s="39" customFormat="1" ht="18.600000000000001" thickBot="1" x14ac:dyDescent="0.4">
      <c r="A23" s="36"/>
      <c r="B23" s="37"/>
      <c r="C23" s="11" t="s">
        <v>6</v>
      </c>
      <c r="D23" s="11" t="s">
        <v>111</v>
      </c>
      <c r="E23" s="11" t="s">
        <v>85</v>
      </c>
      <c r="F23" s="11">
        <v>47</v>
      </c>
      <c r="G23" s="11">
        <v>76</v>
      </c>
      <c r="H23" s="11" t="str">
        <f t="shared" si="186"/>
        <v>11011010011011110100011101110110</v>
      </c>
      <c r="I23" s="11">
        <f t="shared" si="187"/>
        <v>20</v>
      </c>
      <c r="J23" s="11"/>
      <c r="K23" s="11"/>
      <c r="L23" s="38" t="str">
        <f>CONCATENATE(MID(H23,20,5),MID(H23,9,3),MID(H23,28,5),MID(H23,17,3),MID(H23,4,5),MID(H23,25,3),MID(H23,12,5),MID(H23,1,3))</f>
        <v>00111011101100101101001101111110</v>
      </c>
      <c r="M23" s="38" t="str">
        <f t="shared" si="26"/>
        <v>00111011</v>
      </c>
      <c r="N23" s="38" t="str">
        <f t="shared" si="27"/>
        <v>10110010</v>
      </c>
      <c r="O23" s="38" t="str">
        <f t="shared" si="28"/>
        <v>11010011</v>
      </c>
      <c r="P23" s="38" t="str">
        <f t="shared" si="29"/>
        <v>01111110</v>
      </c>
      <c r="Q23" s="88"/>
      <c r="R23" s="88"/>
      <c r="S23" s="88"/>
      <c r="T23" s="88"/>
      <c r="U23" s="39" t="str">
        <f t="shared" si="30"/>
        <v>0011</v>
      </c>
      <c r="V23" s="39" t="str">
        <f t="shared" si="31"/>
        <v>1011</v>
      </c>
      <c r="W23" s="39" t="str">
        <f t="shared" si="32"/>
        <v>1011</v>
      </c>
      <c r="X23" s="39" t="str">
        <f t="shared" si="33"/>
        <v>0010</v>
      </c>
      <c r="Y23" s="39" t="str">
        <f t="shared" si="34"/>
        <v>1101</v>
      </c>
      <c r="Z23" s="39" t="str">
        <f t="shared" si="35"/>
        <v>0011</v>
      </c>
      <c r="AA23" s="39" t="str">
        <f t="shared" si="36"/>
        <v>0111</v>
      </c>
      <c r="AB23" s="39" t="str">
        <f t="shared" si="37"/>
        <v>1110</v>
      </c>
      <c r="AC23" s="88"/>
      <c r="AD23" s="88"/>
      <c r="AE23" s="88"/>
      <c r="AF23" s="88"/>
      <c r="AG23" s="88"/>
      <c r="AH23" s="88"/>
      <c r="AI23" s="88"/>
      <c r="AJ23" s="88"/>
      <c r="AK23" s="38" t="str">
        <f t="shared" si="3"/>
        <v>0011101110110010</v>
      </c>
      <c r="AL23" s="38" t="str">
        <f t="shared" si="4"/>
        <v>1101001101111110</v>
      </c>
      <c r="AM23" s="88"/>
      <c r="AN23" s="88"/>
      <c r="AO23" s="37" t="str">
        <f>CONCATENATE(MID($L23,1,1)*MID($K22,1,1),MID($L23,2,1)*MID($K22,2,1),MID($L23,3,1)*MID($K22,3,1),MID($L23,4,1)*MID($K22,4,1),MID($L23,5,1)*MID($K22,5,1),MID($L23,6,1)*MID($K22,6,1),MID($L23,7,1)*MID($K22,7,1),MID($L23,8,1)*MID($K22,8,1),MID($L23,9,1)*MID($K22,1,1),MID($L23,10,1)*MID($K22,2,1),MID($L23,11,1)*MID($K22,3,1),MID($L23,12,1)*MID($K22,4,1),MID($L23,13,1)*MID($K22,5,1),MID($L23,14,1)*MID($K22,6,1),MID($L23,15,1)*MID($K22,7,1),MID($L23,16,1)*MID($K22,8,1),MID($L23,17,1)*MID($K22,1,1),MID($L23,18,1)*MID($K22,2,1),MID($L23,19,1)*MID($K22,3,1),MID($L23,20,1)*MID($K22,4,1),MID($L23,21,1)*MID($K22,5,1),MID($L23,22,1)*MID($K22,6,1),MID($L23,23,1)*MID($K22,7,1),MID($L23,24,1)*MID($K22,8,1),MID($L23,25,1)*MID($K22,1,1),MID($L23,26,1)*MID($K22,2,1),MID($L23,27,1)*MID($K22,3,1),MID($L23,28,1)*MID($K22,4,1),MID($L23,29,1)*MID($K22,5,1),MID($L23,30,1)*MID($K22,6,1),MID($L23,31,1)*MID($K22,7,1),MID($L23,32,1)*MID($K22,8,1))</f>
        <v>00100011001000100100001101100010</v>
      </c>
      <c r="AP23" s="38" t="str">
        <f t="shared" si="38"/>
        <v>00100011</v>
      </c>
      <c r="AQ23" s="38" t="str">
        <f t="shared" si="39"/>
        <v>00100010</v>
      </c>
      <c r="AR23" s="38" t="str">
        <f t="shared" si="40"/>
        <v>01000011</v>
      </c>
      <c r="AS23" s="38" t="str">
        <f t="shared" si="41"/>
        <v>01100010</v>
      </c>
      <c r="AT23" s="88"/>
      <c r="AU23" s="88"/>
      <c r="AV23" s="88"/>
      <c r="AW23" s="88"/>
      <c r="AX23" s="39" t="str">
        <f t="shared" si="42"/>
        <v>0011</v>
      </c>
      <c r="AY23" s="39" t="str">
        <f t="shared" si="43"/>
        <v>1011</v>
      </c>
      <c r="AZ23" s="39" t="str">
        <f t="shared" si="44"/>
        <v>1011</v>
      </c>
      <c r="BA23" s="39" t="str">
        <f t="shared" si="45"/>
        <v>0010</v>
      </c>
      <c r="BB23" s="39" t="str">
        <f t="shared" si="46"/>
        <v>1101</v>
      </c>
      <c r="BC23" s="39" t="str">
        <f t="shared" si="47"/>
        <v>0011</v>
      </c>
      <c r="BD23" s="39" t="str">
        <f t="shared" si="48"/>
        <v>0111</v>
      </c>
      <c r="BE23" s="39" t="str">
        <f t="shared" si="49"/>
        <v>1110</v>
      </c>
      <c r="BF23" s="88"/>
      <c r="BG23" s="88"/>
      <c r="BH23" s="88"/>
      <c r="BI23" s="88"/>
      <c r="BJ23" s="88"/>
      <c r="BK23" s="88"/>
      <c r="BL23" s="88"/>
      <c r="BM23" s="88"/>
      <c r="BN23" s="38" t="str">
        <f t="shared" si="6"/>
        <v>0010001100100010</v>
      </c>
      <c r="BO23" s="38" t="str">
        <f t="shared" si="7"/>
        <v>0100001101100010</v>
      </c>
      <c r="BP23" s="88"/>
      <c r="BQ23" s="88"/>
      <c r="BR23" s="37" t="str">
        <f>L23</f>
        <v>00111011101100101101001101111110</v>
      </c>
      <c r="BS23" s="38" t="str">
        <f t="shared" si="50"/>
        <v>00111011</v>
      </c>
      <c r="BT23" s="38" t="str">
        <f t="shared" si="51"/>
        <v>10110010</v>
      </c>
      <c r="BU23" s="38" t="str">
        <f t="shared" si="52"/>
        <v>11010011</v>
      </c>
      <c r="BV23" s="38" t="str">
        <f t="shared" si="53"/>
        <v>01111110</v>
      </c>
      <c r="BW23" s="88"/>
      <c r="BX23" s="88"/>
      <c r="BY23" s="88"/>
      <c r="BZ23" s="88"/>
      <c r="CA23" s="39" t="str">
        <f t="shared" si="54"/>
        <v>0011</v>
      </c>
      <c r="CB23" s="39" t="str">
        <f t="shared" si="55"/>
        <v>1011</v>
      </c>
      <c r="CC23" s="39" t="str">
        <f t="shared" si="56"/>
        <v>1011</v>
      </c>
      <c r="CD23" s="39" t="str">
        <f t="shared" si="57"/>
        <v>0010</v>
      </c>
      <c r="CE23" s="39" t="str">
        <f t="shared" si="58"/>
        <v>1101</v>
      </c>
      <c r="CF23" s="39" t="str">
        <f t="shared" si="59"/>
        <v>0011</v>
      </c>
      <c r="CG23" s="39" t="str">
        <f t="shared" si="60"/>
        <v>0111</v>
      </c>
      <c r="CH23" s="39" t="str">
        <f t="shared" si="61"/>
        <v>1110</v>
      </c>
      <c r="CI23" s="88"/>
      <c r="CJ23" s="88"/>
      <c r="CK23" s="88"/>
      <c r="CL23" s="88"/>
      <c r="CM23" s="88"/>
      <c r="CN23" s="88"/>
      <c r="CO23" s="88"/>
      <c r="CP23" s="88"/>
      <c r="CQ23" s="38" t="str">
        <f t="shared" si="9"/>
        <v>0011101110110010</v>
      </c>
      <c r="CR23" s="38" t="str">
        <f t="shared" si="10"/>
        <v>1101001101111110</v>
      </c>
      <c r="CS23" s="88"/>
      <c r="CT23" s="88"/>
      <c r="CU23" s="37" t="str">
        <f>AO23</f>
        <v>00100011001000100100001101100010</v>
      </c>
      <c r="CV23" s="38" t="str">
        <f t="shared" si="62"/>
        <v>00100011</v>
      </c>
      <c r="CW23" s="38" t="str">
        <f t="shared" si="63"/>
        <v>00100010</v>
      </c>
      <c r="CX23" s="38" t="str">
        <f t="shared" si="64"/>
        <v>01000011</v>
      </c>
      <c r="CY23" s="38" t="str">
        <f t="shared" si="65"/>
        <v>01100010</v>
      </c>
      <c r="CZ23" s="88"/>
      <c r="DA23" s="88"/>
      <c r="DB23" s="88"/>
      <c r="DC23" s="88"/>
      <c r="DD23" s="39" t="str">
        <f t="shared" si="66"/>
        <v>0011</v>
      </c>
      <c r="DE23" s="39" t="str">
        <f t="shared" si="67"/>
        <v>1011</v>
      </c>
      <c r="DF23" s="39" t="str">
        <f t="shared" si="68"/>
        <v>1011</v>
      </c>
      <c r="DG23" s="39" t="str">
        <f t="shared" si="69"/>
        <v>0010</v>
      </c>
      <c r="DH23" s="39" t="str">
        <f t="shared" si="70"/>
        <v>1101</v>
      </c>
      <c r="DI23" s="39" t="str">
        <f t="shared" si="71"/>
        <v>0011</v>
      </c>
      <c r="DJ23" s="39" t="str">
        <f t="shared" si="72"/>
        <v>0111</v>
      </c>
      <c r="DK23" s="39" t="str">
        <f t="shared" si="73"/>
        <v>1110</v>
      </c>
      <c r="DL23" s="88"/>
      <c r="DM23" s="88"/>
      <c r="DN23" s="88"/>
      <c r="DO23" s="88"/>
      <c r="DP23" s="88"/>
      <c r="DQ23" s="88"/>
      <c r="DR23" s="88"/>
      <c r="DS23" s="88"/>
      <c r="DT23" s="38" t="str">
        <f t="shared" si="12"/>
        <v>0010001100100010</v>
      </c>
      <c r="DU23" s="38" t="str">
        <f t="shared" si="13"/>
        <v>0100001101100010</v>
      </c>
      <c r="DV23" s="88"/>
      <c r="DW23" s="88"/>
      <c r="DX23" s="37" t="str">
        <f>CONCATENATE(MID($H23,1,1)*MID($K22,1,1),MID($H23,2,1)*MID($K22,2,1),MID($H23,3,1)*MID($K22,3,1),MID($H23,4,1)*MID($K22,4,1),MID($H23,5,1)*MID($K22,5,1),MID($H23,6,1)*MID($K22,6,1),MID($H23,7,1)*MID($K22,7,1),MID($H23,8,1)*MID($K22,8,1),MID($H23,9,1)*MID($K22,1,1),MID($H23,10,1)*MID($K22,2,1),MID($H23,11,1)*MID($K22,3,1),MID($H23,12,1)*MID($K22,4,1),MID($H23,13,1)*MID($K22,5,1),MID($H23,14,1)*MID($K22,6,1),MID($H23,15,1)*MID($K22,7,1),MID($H23,16,1)*MID($K22,8,1),MID($H23,17,1)*MID($K22,1,1),MID($H23,18,1)*MID($K22,2,1),MID($H23,19,1)*MID($K22,3,1),MID($H23,20,1)*MID($K22,4,1),MID($H23,21,1)*MID($K22,5,1),MID($H23,22,1)*MID($K22,6,1),MID($H23,23,1)*MID($K22,7,1),MID($H23,24,1)*MID($K22,8,1),MID($H23,25,1)*MID($K22,1,1),MID($H23,26,1)*MID($K22,2,1),MID($H23,27,1)*MID($K22,3,1),MID($H23,28,1)*MID($K22,4,1),MID($H23,29,1)*MID($K22,5,1),MID($H23,30,1)*MID($K22,6,1),MID($H23,31,1)*MID($K22,7,1),MID($H23,32,1)*MID($K22,8,1))</f>
        <v>01000010011000110100001101100010</v>
      </c>
      <c r="DY23" s="38" t="str">
        <f>CONCATENATE(MID(DX23,20,5),MID(DX23,9,3),MID(DX23,28,5),MID(DX23,17,3),MID(DX23,4,5),MID(DX23,25,3),MID(DX23,12,5),MID(DX23,1,3))</f>
        <v>00011011000100100001001100011010</v>
      </c>
      <c r="DZ23" s="38" t="str">
        <f t="shared" si="122"/>
        <v>00011011</v>
      </c>
      <c r="EA23" s="38" t="str">
        <f t="shared" si="74"/>
        <v>00010010</v>
      </c>
      <c r="EB23" s="38" t="str">
        <f t="shared" si="75"/>
        <v>00010011</v>
      </c>
      <c r="EC23" s="38" t="str">
        <f t="shared" si="76"/>
        <v>00011010</v>
      </c>
      <c r="ED23" s="88"/>
      <c r="EE23" s="88"/>
      <c r="EF23" s="88"/>
      <c r="EG23" s="88"/>
      <c r="EH23" s="39" t="str">
        <f t="shared" si="77"/>
        <v>0011</v>
      </c>
      <c r="EI23" s="39" t="str">
        <f t="shared" si="78"/>
        <v>1011</v>
      </c>
      <c r="EJ23" s="39" t="str">
        <f t="shared" si="79"/>
        <v>1011</v>
      </c>
      <c r="EK23" s="39" t="str">
        <f t="shared" si="80"/>
        <v>0010</v>
      </c>
      <c r="EL23" s="39" t="str">
        <f t="shared" si="81"/>
        <v>1101</v>
      </c>
      <c r="EM23" s="39" t="str">
        <f t="shared" si="82"/>
        <v>0011</v>
      </c>
      <c r="EN23" s="39" t="str">
        <f t="shared" si="83"/>
        <v>0111</v>
      </c>
      <c r="EO23" s="39" t="str">
        <f t="shared" si="84"/>
        <v>1110</v>
      </c>
      <c r="EP23" s="88"/>
      <c r="EQ23" s="88"/>
      <c r="ER23" s="88"/>
      <c r="ES23" s="88"/>
      <c r="ET23" s="88"/>
      <c r="EU23" s="88"/>
      <c r="EV23" s="88"/>
      <c r="EW23" s="88"/>
      <c r="EX23" s="38" t="str">
        <f t="shared" si="15"/>
        <v>0001101100010010</v>
      </c>
      <c r="EY23" s="38" t="str">
        <f t="shared" si="16"/>
        <v>0001001100011010</v>
      </c>
      <c r="EZ23" s="88"/>
      <c r="FA23" s="88"/>
      <c r="FB23" s="37" t="str">
        <f>CONCATENATE(MID(DY23,1,1)*MID($K22,1,1),MID(DY23,2,1)*MID($K22,2,1),MID(DY23,3,1)*MID($K22,3,1),MID(DY23,4,1)*MID($K22,4,1),MID(DY23,5,1)*MID($K22,5,1),MID(DY23,6,1)*MID($K22,6,1),MID(DY23,7,1)*MID($K22,7,1),MID(DY23,8,1)*MID($K22,8,1),MID(DY23,9,1)*MID($K22,1,1),MID(DY23,10,1)*MID($K22,2,1),MID(DY23,11,1)*MID($K22,3,1),MID(DY23,12,1)*MID($K22,4,1),MID(DY23,13,1)*MID($K22,5,1),MID(DY23,14,1)*MID($K22,6,1),MID(DY23,15,1)*MID($K22,7,1),MID(DY23,16,1)*MID($K22,8,1),MID(DY23,17,1)*MID($K22,1,1),MID(DY23,18,1)*MID($K22,2,1),MID(DY23,19,1)*MID($K22,3,1),MID(DY23,20,1)*MID($K22,4,1),MID(DY23,21,1)*MID($K22,5,1),MID(DY23,22,1)*MID($K22,6,1),MID(DY23,23,1)*MID($K22,7,1),MID(DY23,24,1)*MID($K22,8,1),MID(DY23,25,1)*MID($K22,1,1),MID(DY23,26,1)*MID($K22,2,1),MID(DY23,27,1)*MID($K22,3,1),MID(DY23,28,1)*MID($K22,4,1),MID(DY23,29,1)*MID($K22,5,1),MID(DY23,30,1)*MID($K22,6,1),MID(DY23,31,1)*MID($K22,7,1),MID(DY23,32,1)*MID($K22,8,1))</f>
        <v>00000011000000100000001100000010</v>
      </c>
      <c r="FC23" s="38" t="str">
        <f t="shared" si="124"/>
        <v>00000011</v>
      </c>
      <c r="FD23" s="38" t="str">
        <f t="shared" si="85"/>
        <v>00000010</v>
      </c>
      <c r="FE23" s="38" t="str">
        <f t="shared" si="86"/>
        <v>00000011</v>
      </c>
      <c r="FF23" s="38" t="str">
        <f t="shared" si="87"/>
        <v>00000010</v>
      </c>
      <c r="FG23" s="88"/>
      <c r="FH23" s="88"/>
      <c r="FI23" s="88"/>
      <c r="FJ23" s="88"/>
      <c r="FK23" s="39" t="str">
        <f t="shared" si="88"/>
        <v>0011</v>
      </c>
      <c r="FL23" s="39" t="str">
        <f t="shared" si="89"/>
        <v>1011</v>
      </c>
      <c r="FM23" s="39" t="str">
        <f t="shared" si="90"/>
        <v>1011</v>
      </c>
      <c r="FN23" s="39" t="str">
        <f t="shared" si="91"/>
        <v>0010</v>
      </c>
      <c r="FO23" s="39" t="str">
        <f t="shared" si="92"/>
        <v>1101</v>
      </c>
      <c r="FP23" s="39" t="str">
        <f t="shared" si="93"/>
        <v>0011</v>
      </c>
      <c r="FQ23" s="39" t="str">
        <f t="shared" si="94"/>
        <v>0111</v>
      </c>
      <c r="FR23" s="39" t="str">
        <f t="shared" si="95"/>
        <v>1110</v>
      </c>
      <c r="FS23" s="88"/>
      <c r="FT23" s="88"/>
      <c r="FU23" s="88"/>
      <c r="FV23" s="88"/>
      <c r="FW23" s="88"/>
      <c r="FX23" s="88"/>
      <c r="FY23" s="88"/>
      <c r="FZ23" s="88"/>
      <c r="GA23" s="38" t="str">
        <f t="shared" si="18"/>
        <v>0000001100000010</v>
      </c>
      <c r="GB23" s="38" t="str">
        <f t="shared" si="19"/>
        <v>0000001100000010</v>
      </c>
      <c r="GC23" s="88"/>
      <c r="GD23" s="88"/>
      <c r="GE23" s="39" t="str">
        <f>DY23</f>
        <v>00011011000100100001001100011010</v>
      </c>
      <c r="GF23" s="38" t="str">
        <f t="shared" si="126"/>
        <v>00011011</v>
      </c>
      <c r="GG23" s="38" t="str">
        <f t="shared" si="96"/>
        <v>00010010</v>
      </c>
      <c r="GH23" s="38" t="str">
        <f t="shared" si="97"/>
        <v>00010011</v>
      </c>
      <c r="GI23" s="38" t="str">
        <f t="shared" si="98"/>
        <v>00011010</v>
      </c>
      <c r="GJ23" s="88"/>
      <c r="GK23" s="88"/>
      <c r="GL23" s="88"/>
      <c r="GM23" s="88"/>
      <c r="GN23" s="39" t="str">
        <f t="shared" si="99"/>
        <v>0011</v>
      </c>
      <c r="GO23" s="39" t="str">
        <f t="shared" si="100"/>
        <v>1011</v>
      </c>
      <c r="GP23" s="39" t="str">
        <f t="shared" si="101"/>
        <v>1011</v>
      </c>
      <c r="GQ23" s="39" t="str">
        <f t="shared" si="102"/>
        <v>0010</v>
      </c>
      <c r="GR23" s="39" t="str">
        <f t="shared" si="103"/>
        <v>1101</v>
      </c>
      <c r="GS23" s="39" t="str">
        <f t="shared" si="104"/>
        <v>0011</v>
      </c>
      <c r="GT23" s="39" t="str">
        <f t="shared" si="105"/>
        <v>0111</v>
      </c>
      <c r="GU23" s="39" t="str">
        <f t="shared" si="106"/>
        <v>1110</v>
      </c>
      <c r="GV23" s="88"/>
      <c r="GW23" s="88"/>
      <c r="GX23" s="88"/>
      <c r="GY23" s="88"/>
      <c r="GZ23" s="88"/>
      <c r="HA23" s="88"/>
      <c r="HB23" s="88"/>
      <c r="HC23" s="88"/>
      <c r="HD23" s="38" t="str">
        <f t="shared" si="21"/>
        <v>0001101100010010</v>
      </c>
      <c r="HE23" s="38" t="str">
        <f t="shared" si="22"/>
        <v>0001001100011010</v>
      </c>
      <c r="HF23" s="88"/>
      <c r="HG23" s="88"/>
      <c r="HH23" s="39" t="str">
        <f>FB23</f>
        <v>00000011000000100000001100000010</v>
      </c>
      <c r="HI23" s="38" t="str">
        <f t="shared" si="128"/>
        <v>00000011</v>
      </c>
      <c r="HJ23" s="38" t="str">
        <f t="shared" si="107"/>
        <v>00000010</v>
      </c>
      <c r="HK23" s="38" t="str">
        <f t="shared" si="108"/>
        <v>00000011</v>
      </c>
      <c r="HL23" s="38" t="str">
        <f t="shared" si="109"/>
        <v>00000010</v>
      </c>
      <c r="HM23" s="88"/>
      <c r="HN23" s="88"/>
      <c r="HO23" s="88"/>
      <c r="HP23" s="88"/>
      <c r="HQ23" s="39" t="str">
        <f t="shared" si="110"/>
        <v>0011</v>
      </c>
      <c r="HR23" s="39" t="str">
        <f t="shared" si="111"/>
        <v>1011</v>
      </c>
      <c r="HS23" s="39" t="str">
        <f t="shared" si="112"/>
        <v>1011</v>
      </c>
      <c r="HT23" s="39" t="str">
        <f t="shared" si="113"/>
        <v>0010</v>
      </c>
      <c r="HU23" s="39" t="str">
        <f t="shared" si="114"/>
        <v>1101</v>
      </c>
      <c r="HV23" s="39" t="str">
        <f t="shared" si="115"/>
        <v>0011</v>
      </c>
      <c r="HW23" s="39" t="str">
        <f t="shared" si="116"/>
        <v>0111</v>
      </c>
      <c r="HX23" s="39" t="str">
        <f t="shared" si="117"/>
        <v>1110</v>
      </c>
      <c r="HY23" s="88"/>
      <c r="HZ23" s="88"/>
      <c r="IA23" s="88"/>
      <c r="IB23" s="88"/>
      <c r="IC23" s="88"/>
      <c r="ID23" s="88"/>
      <c r="IE23" s="88"/>
      <c r="IF23" s="88"/>
      <c r="IG23" s="38" t="str">
        <f t="shared" si="24"/>
        <v>0000001100000010</v>
      </c>
      <c r="IH23" s="38" t="str">
        <f t="shared" si="25"/>
        <v>0000001100000010</v>
      </c>
      <c r="II23" s="88"/>
      <c r="IJ23" s="88"/>
      <c r="IL23" s="38"/>
      <c r="IM23" s="38"/>
      <c r="IN23" s="38"/>
      <c r="IO23" s="38"/>
      <c r="IP23" s="37"/>
      <c r="IQ23" s="37"/>
      <c r="IR23" s="37"/>
      <c r="IS23" s="37"/>
      <c r="JB23" s="37"/>
      <c r="JC23" s="37"/>
      <c r="JD23" s="37"/>
      <c r="JE23" s="37"/>
      <c r="JF23" s="37"/>
      <c r="JG23" s="37"/>
      <c r="JH23" s="37"/>
      <c r="JI23" s="37"/>
      <c r="JJ23" s="38"/>
      <c r="JK23" s="38"/>
      <c r="JL23" s="37"/>
      <c r="JM23" s="37"/>
    </row>
    <row r="24" spans="1:273" s="27" customFormat="1" x14ac:dyDescent="0.35">
      <c r="A24" s="24"/>
      <c r="B24" s="25"/>
      <c r="C24" s="20" t="s">
        <v>0</v>
      </c>
      <c r="D24" s="20">
        <v>15</v>
      </c>
      <c r="E24" s="20" t="s">
        <v>100</v>
      </c>
      <c r="F24" s="20">
        <v>73</v>
      </c>
      <c r="G24" s="20">
        <v>16</v>
      </c>
      <c r="H24" s="20" t="str">
        <f t="shared" si="186"/>
        <v>00010101111101010111001100010110</v>
      </c>
      <c r="I24" s="20">
        <f t="shared" si="187"/>
        <v>17</v>
      </c>
      <c r="J24" s="20">
        <v>63</v>
      </c>
      <c r="K24" s="20" t="str">
        <f>HEX2BIN(J24,8)</f>
        <v>01100011</v>
      </c>
      <c r="L24" s="43" t="str">
        <f>H24</f>
        <v>00010101111101010111001100010110</v>
      </c>
      <c r="M24" s="26" t="str">
        <f t="shared" si="26"/>
        <v>00010101</v>
      </c>
      <c r="N24" s="26" t="str">
        <f t="shared" si="27"/>
        <v>11110101</v>
      </c>
      <c r="O24" s="26" t="str">
        <f t="shared" si="28"/>
        <v>01110011</v>
      </c>
      <c r="P24" s="26" t="str">
        <f t="shared" si="29"/>
        <v>00010110</v>
      </c>
      <c r="Q24" s="77">
        <f>BIN2DEC(M24)-BIN2DEC(M25)</f>
        <v>-140</v>
      </c>
      <c r="R24" s="77">
        <f>BIN2DEC(N24)-BIN2DEC(N25)</f>
        <v>214</v>
      </c>
      <c r="S24" s="77">
        <f>BIN2DEC(O24)-BIN2DEC(O25)</f>
        <v>56</v>
      </c>
      <c r="T24" s="77">
        <f>BIN2DEC(P24)-BIN2DEC(P25)</f>
        <v>-100</v>
      </c>
      <c r="U24" s="27" t="str">
        <f t="shared" si="30"/>
        <v>0001</v>
      </c>
      <c r="V24" s="27" t="str">
        <f t="shared" si="31"/>
        <v>0101</v>
      </c>
      <c r="W24" s="27" t="str">
        <f t="shared" si="32"/>
        <v>1111</v>
      </c>
      <c r="X24" s="27" t="str">
        <f t="shared" si="33"/>
        <v>0101</v>
      </c>
      <c r="Y24" s="27" t="str">
        <f t="shared" si="34"/>
        <v>0111</v>
      </c>
      <c r="Z24" s="27" t="str">
        <f t="shared" si="35"/>
        <v>0011</v>
      </c>
      <c r="AA24" s="27" t="str">
        <f t="shared" si="36"/>
        <v>0001</v>
      </c>
      <c r="AB24" s="27" t="str">
        <f t="shared" si="37"/>
        <v>0110</v>
      </c>
      <c r="AC24" s="77">
        <f>BIN2DEC(U24)-BIN2DEC(U25)</f>
        <v>-9</v>
      </c>
      <c r="AD24" s="77">
        <f t="shared" ref="AD24:AI24" si="204">BIN2DEC(V24)-BIN2DEC(V25)</f>
        <v>4</v>
      </c>
      <c r="AE24" s="77">
        <f t="shared" si="204"/>
        <v>14</v>
      </c>
      <c r="AF24" s="77">
        <f t="shared" si="204"/>
        <v>-10</v>
      </c>
      <c r="AG24" s="77">
        <f t="shared" si="204"/>
        <v>4</v>
      </c>
      <c r="AH24" s="77">
        <f t="shared" si="204"/>
        <v>-8</v>
      </c>
      <c r="AI24" s="77">
        <f t="shared" si="204"/>
        <v>-6</v>
      </c>
      <c r="AJ24" s="77">
        <f>BIN2DEC(AB24)-BIN2DEC(AB25)</f>
        <v>-4</v>
      </c>
      <c r="AK24" s="26" t="str">
        <f t="shared" si="3"/>
        <v>0001010111110101</v>
      </c>
      <c r="AL24" s="26" t="str">
        <f t="shared" si="4"/>
        <v>0111001100010110</v>
      </c>
      <c r="AM24" s="77">
        <f>MID(AK24,16,1)*POWER(2,0)+MID(AK24,15,1)*POWER(2,1)+MID(AK24,14,1)*POWER(2,2)+MID(AK24,13,1)*POWER(2,3)+MID(AK24,12,1)*POWER(2,4)+MID(AK24,11,1)*POWER(2,5)+MID(AK24,10,1)*POWER(2,6)+MID(AK24,9,1)*POWER(2,7)+MID(AK24,8,1)*POWER(2,8)+MID(AK24,7,1)*POWER(2,9)+MID(AK24,6,1)*POWER(2,10)+MID(AK24,5,1)*POWER(2,11)+MID(AK24,4,1)*POWER(2,12)+MID(AK24,3,1)*POWER(2,13)+MID(AK24,2,1)*POWER(2,14)+MID(AK24,1,1)*POWER(2,15)-(MID(AK25,16,1)*POWER(2,0)+MID(AK25,15,1)*POWER(2,1)+MID(AK25,14,1)*POWER(2,2)+MID(AK25,13,1)*POWER(2,3)+MID(AK25,12,1)*POWER(2,4)+MID(AK25,11,1)*POWER(2,5)+MID(AK25,10,1)*POWER(2,6)+MID(AK25,9,1)*POWER(2,7)+MID(AK25,8,1)*POWER(2,8)+MID(AK25,7,1)*POWER(2,9)+MID(AK25,6,1)*POWER(2,10)+MID(AK25,5,1)*POWER(2,11)+MID(AK25,4,1)*POWER(2,12)+MID(AK25,3,1)*POWER(2,13)+MID(AK25,2,1)*POWER(2,14)+MID(AK25,1,1)*POWER(2,15))</f>
        <v>-35626</v>
      </c>
      <c r="AN24" s="77">
        <f>MID(AL24,16,1)*POWER(2,0)+MID(AL24,15,1)*POWER(2,1)+MID(AL24,14,1)*POWER(2,2)+MID(AL24,13,1)*POWER(2,3)+MID(AL24,12,1)*POWER(2,4)+MID(AL24,11,1)*POWER(2,5)+MID(AL24,10,1)*POWER(2,6)+MID(AL24,9,1)*POWER(2,7)+MID(AL24,8,1)*POWER(2,8)+MID(AL24,7,1)*POWER(2,9)+MID(AL24,6,1)*POWER(2,10)+MID(AL24,5,1)*POWER(2,11)+MID(AL24,4,1)*POWER(2,12)+MID(AL24,3,1)*POWER(2,13)+MID(AL24,2,1)*POWER(2,14)+MID(AL24,1,1)*POWER(2,15)-(MID(AL25,16,1)*POWER(2,0)+MID(AL25,15,1)*POWER(2,1)+MID(AL25,14,1)*POWER(2,2)+MID(AL25,13,1)*POWER(2,3)+MID(AL25,12,1)*POWER(2,4)+MID(AL25,11,1)*POWER(2,5)+MID(AL25,10,1)*POWER(2,6)+MID(AL25,9,1)*POWER(2,7)+MID(AL25,8,1)*POWER(2,8)+MID(AL25,7,1)*POWER(2,9)+MID(AL25,6,1)*POWER(2,10)+MID(AL25,5,1)*POWER(2,11)+MID(AL25,4,1)*POWER(2,12)+MID(AL25,3,1)*POWER(2,13)+MID(AL25,2,1)*POWER(2,14)+MID(AL25,1,1)*POWER(2,15))</f>
        <v>14236</v>
      </c>
      <c r="AO24" s="45" t="str">
        <f>H24</f>
        <v>00010101111101010111001100010110</v>
      </c>
      <c r="AP24" s="26" t="str">
        <f t="shared" si="38"/>
        <v>00010101</v>
      </c>
      <c r="AQ24" s="26" t="str">
        <f t="shared" si="39"/>
        <v>11110101</v>
      </c>
      <c r="AR24" s="26" t="str">
        <f t="shared" si="40"/>
        <v>01110011</v>
      </c>
      <c r="AS24" s="26" t="str">
        <f t="shared" si="41"/>
        <v>00010110</v>
      </c>
      <c r="AT24" s="77">
        <f>BIN2DEC(AP24)-BIN2DEC(AP25)</f>
        <v>-12</v>
      </c>
      <c r="AU24" s="77">
        <f>BIN2DEC(AQ24)-BIN2DEC(AQ25)</f>
        <v>242</v>
      </c>
      <c r="AV24" s="77">
        <f>BIN2DEC(AR24)-BIN2DEC(AR25)</f>
        <v>80</v>
      </c>
      <c r="AW24" s="77">
        <f>BIN2DEC(AS24)-BIN2DEC(AS25)</f>
        <v>-76</v>
      </c>
      <c r="AX24" s="27" t="str">
        <f t="shared" si="42"/>
        <v>0001</v>
      </c>
      <c r="AY24" s="27" t="str">
        <f t="shared" si="43"/>
        <v>0101</v>
      </c>
      <c r="AZ24" s="27" t="str">
        <f t="shared" si="44"/>
        <v>1111</v>
      </c>
      <c r="BA24" s="27" t="str">
        <f t="shared" si="45"/>
        <v>0101</v>
      </c>
      <c r="BB24" s="27" t="str">
        <f t="shared" si="46"/>
        <v>0111</v>
      </c>
      <c r="BC24" s="27" t="str">
        <f t="shared" si="47"/>
        <v>0011</v>
      </c>
      <c r="BD24" s="27" t="str">
        <f t="shared" si="48"/>
        <v>0001</v>
      </c>
      <c r="BE24" s="27" t="str">
        <f t="shared" si="49"/>
        <v>0110</v>
      </c>
      <c r="BF24" s="77">
        <f>BIN2DEC(AX24)-BIN2DEC(AX25)</f>
        <v>-9</v>
      </c>
      <c r="BG24" s="77">
        <f t="shared" ref="BG24:BL24" si="205">BIN2DEC(AY24)-BIN2DEC(AY25)</f>
        <v>4</v>
      </c>
      <c r="BH24" s="77">
        <f t="shared" si="205"/>
        <v>14</v>
      </c>
      <c r="BI24" s="77">
        <f t="shared" si="205"/>
        <v>-10</v>
      </c>
      <c r="BJ24" s="77">
        <f t="shared" si="205"/>
        <v>4</v>
      </c>
      <c r="BK24" s="77">
        <f t="shared" si="205"/>
        <v>-8</v>
      </c>
      <c r="BL24" s="77">
        <f t="shared" si="205"/>
        <v>-6</v>
      </c>
      <c r="BM24" s="77">
        <f>BIN2DEC(BE24)-BIN2DEC(BE25)</f>
        <v>-4</v>
      </c>
      <c r="BN24" s="26" t="str">
        <f t="shared" si="6"/>
        <v>0001010111110101</v>
      </c>
      <c r="BO24" s="26" t="str">
        <f t="shared" si="7"/>
        <v>0111001100010110</v>
      </c>
      <c r="BP24" s="77">
        <f>MID(BN24,16,1)*POWER(2,0)+MID(BN24,15,1)*POWER(2,1)+MID(BN24,14,1)*POWER(2,2)+MID(BN24,13,1)*POWER(2,3)+MID(BN24,12,1)*POWER(2,4)+MID(BN24,11,1)*POWER(2,5)+MID(BN24,10,1)*POWER(2,6)+MID(BN24,9,1)*POWER(2,7)+MID(BN24,8,1)*POWER(2,8)+MID(BN24,7,1)*POWER(2,9)+MID(BN24,6,1)*POWER(2,10)+MID(BN24,5,1)*POWER(2,11)+MID(BN24,4,1)*POWER(2,12)+MID(BN24,3,1)*POWER(2,13)+MID(BN24,2,1)*POWER(2,14)+MID(BN24,1,1)*POWER(2,15)-(MID(BN25,16,1)*POWER(2,0)+MID(BN25,15,1)*POWER(2,1)+MID(BN25,14,1)*POWER(2,2)+MID(BN25,13,1)*POWER(2,3)+MID(BN25,12,1)*POWER(2,4)+MID(BN25,11,1)*POWER(2,5)+MID(BN25,10,1)*POWER(2,6)+MID(BN25,9,1)*POWER(2,7)+MID(BN25,8,1)*POWER(2,8)+MID(BN25,7,1)*POWER(2,9)+MID(BN25,6,1)*POWER(2,10)+MID(BN25,5,1)*POWER(2,11)+MID(BN25,4,1)*POWER(2,12)+MID(BN25,3,1)*POWER(2,13)+MID(BN25,2,1)*POWER(2,14)+MID(BN25,1,1)*POWER(2,15))</f>
        <v>-2830</v>
      </c>
      <c r="BQ24" s="77">
        <f>MID(BO24,16,1)*POWER(2,0)+MID(BO24,15,1)*POWER(2,1)+MID(BO24,14,1)*POWER(2,2)+MID(BO24,13,1)*POWER(2,3)+MID(BO24,12,1)*POWER(2,4)+MID(BO24,11,1)*POWER(2,5)+MID(BO24,10,1)*POWER(2,6)+MID(BO24,9,1)*POWER(2,7)+MID(BO24,8,1)*POWER(2,8)+MID(BO24,7,1)*POWER(2,9)+MID(BO24,6,1)*POWER(2,10)+MID(BO24,5,1)*POWER(2,11)+MID(BO24,4,1)*POWER(2,12)+MID(BO24,3,1)*POWER(2,13)+MID(BO24,2,1)*POWER(2,14)+MID(BO24,1,1)*POWER(2,15)-(MID(BO25,16,1)*POWER(2,0)+MID(BO25,15,1)*POWER(2,1)+MID(BO25,14,1)*POWER(2,2)+MID(BO25,13,1)*POWER(2,3)+MID(BO25,12,1)*POWER(2,4)+MID(BO25,11,1)*POWER(2,5)+MID(BO25,10,1)*POWER(2,6)+MID(BO25,9,1)*POWER(2,7)+MID(BO25,8,1)*POWER(2,8)+MID(BO25,7,1)*POWER(2,9)+MID(BO25,6,1)*POWER(2,10)+MID(BO25,5,1)*POWER(2,11)+MID(BO25,4,1)*POWER(2,12)+MID(BO25,3,1)*POWER(2,13)+MID(BO25,2,1)*POWER(2,14)+MID(BO25,1,1)*POWER(2,15))</f>
        <v>20404</v>
      </c>
      <c r="BR24" s="45" t="str">
        <f>CONCATENATE(MID($L24,1,1)*MID($K24,1,1),MID($L24,2,1)*MID($K24,2,1),MID($L24,3,1)*MID($K24,3,1),MID($L24,4,1)*MID($K24,4,1),MID($L24,5,1)*MID($K24,5,1),MID($L24,6,1)*MID($K24,6,1),MID($L24,7,1)*MID($K24,7,1),MID($L24,8,1)*MID($K24,8,1),MID($L24,9,1)*MID($K24,1,1),MID($L24,10,1)*MID($K24,2,1),MID($L24,11,1)*MID($K24,3,1),MID($L24,12,1)*MID($K24,4,1),MID($L24,13,1)*MID($K24,5,1),MID($L24,14,1)*MID($K24,6,1),MID($L24,15,1)*MID($K24,7,1),MID($L24,16,1)*MID($K24,8,1),MID($L24,17,1)*MID($K24,1,1),MID($L24,18,1)*MID($K24,2,1),MID($L24,19,1)*MID($K24,3,1),MID($L24,20,1)*MID($K24,4,1),MID($L24,21,1)*MID($K24,5,1),MID($L24,22,1)*MID($K24,6,1),MID($L24,23,1)*MID($K24,7,1),MID($L24,24,1)*MID($K24,8,1),MID($L24,25,1)*MID($K24,1,1),MID($L24,26,1)*MID($K24,2,1),MID($L24,27,1)*MID($K24,3,1),MID($L24,28,1)*MID($K24,4,1),MID($L24,29,1)*MID($K24,5,1),MID($L24,30,1)*MID($K24,6,1),MID($L24,31,1)*MID($K24,7,1),MID($L24,32,1)*MID($K24,8,1))</f>
        <v>00000001011000010110001100000010</v>
      </c>
      <c r="BS24" s="26" t="str">
        <f t="shared" si="50"/>
        <v>00000001</v>
      </c>
      <c r="BT24" s="26" t="str">
        <f t="shared" si="51"/>
        <v>01100001</v>
      </c>
      <c r="BU24" s="26" t="str">
        <f t="shared" si="52"/>
        <v>01100011</v>
      </c>
      <c r="BV24" s="26" t="str">
        <f t="shared" si="53"/>
        <v>00000010</v>
      </c>
      <c r="BW24" s="77">
        <f>BIN2DEC(BS24)-BIN2DEC(BS25)</f>
        <v>-160</v>
      </c>
      <c r="BX24" s="77">
        <f>BIN2DEC(BT24)-BIN2DEC(BT25)</f>
        <v>66</v>
      </c>
      <c r="BY24" s="77">
        <f>BIN2DEC(BU24)-BIN2DEC(BU25)</f>
        <v>40</v>
      </c>
      <c r="BZ24" s="77">
        <f>BIN2DEC(BV24)-BIN2DEC(BV25)</f>
        <v>-120</v>
      </c>
      <c r="CA24" s="27" t="str">
        <f t="shared" si="54"/>
        <v>0001</v>
      </c>
      <c r="CB24" s="27" t="str">
        <f t="shared" si="55"/>
        <v>0101</v>
      </c>
      <c r="CC24" s="27" t="str">
        <f t="shared" si="56"/>
        <v>1111</v>
      </c>
      <c r="CD24" s="27" t="str">
        <f t="shared" si="57"/>
        <v>0101</v>
      </c>
      <c r="CE24" s="27" t="str">
        <f t="shared" si="58"/>
        <v>0111</v>
      </c>
      <c r="CF24" s="27" t="str">
        <f t="shared" si="59"/>
        <v>0011</v>
      </c>
      <c r="CG24" s="27" t="str">
        <f t="shared" si="60"/>
        <v>0001</v>
      </c>
      <c r="CH24" s="27" t="str">
        <f t="shared" si="61"/>
        <v>0110</v>
      </c>
      <c r="CI24" s="77">
        <f>BIN2DEC(CA24)-BIN2DEC(CA25)</f>
        <v>-9</v>
      </c>
      <c r="CJ24" s="77">
        <f t="shared" ref="CJ24:CO24" si="206">BIN2DEC(CB24)-BIN2DEC(CB25)</f>
        <v>4</v>
      </c>
      <c r="CK24" s="77">
        <f t="shared" si="206"/>
        <v>14</v>
      </c>
      <c r="CL24" s="77">
        <f t="shared" si="206"/>
        <v>-10</v>
      </c>
      <c r="CM24" s="77">
        <f t="shared" si="206"/>
        <v>4</v>
      </c>
      <c r="CN24" s="77">
        <f t="shared" si="206"/>
        <v>-8</v>
      </c>
      <c r="CO24" s="77">
        <f t="shared" si="206"/>
        <v>-6</v>
      </c>
      <c r="CP24" s="77">
        <f>BIN2DEC(CH24)-BIN2DEC(CH25)</f>
        <v>-4</v>
      </c>
      <c r="CQ24" s="26" t="str">
        <f t="shared" si="9"/>
        <v>0000000101100001</v>
      </c>
      <c r="CR24" s="26" t="str">
        <f t="shared" si="10"/>
        <v>0110001100000010</v>
      </c>
      <c r="CS24" s="77">
        <f>MID(CQ24,16,1)*POWER(2,0)+MID(CQ24,15,1)*POWER(2,1)+MID(CQ24,14,1)*POWER(2,2)+MID(CQ24,13,1)*POWER(2,3)+MID(CQ24,12,1)*POWER(2,4)+MID(CQ24,11,1)*POWER(2,5)+MID(CQ24,10,1)*POWER(2,6)+MID(CQ24,9,1)*POWER(2,7)+MID(CQ24,8,1)*POWER(2,8)+MID(CQ24,7,1)*POWER(2,9)+MID(CQ24,6,1)*POWER(2,10)+MID(CQ24,5,1)*POWER(2,11)+MID(CQ24,4,1)*POWER(2,12)+MID(CQ24,3,1)*POWER(2,13)+MID(CQ24,2,1)*POWER(2,14)+MID(CQ24,1,1)*POWER(2,15)-(MID(CQ25,16,1)*POWER(2,0)+MID(CQ25,15,1)*POWER(2,1)+MID(CQ25,14,1)*POWER(2,2)+MID(CQ25,13,1)*POWER(2,3)+MID(CQ25,12,1)*POWER(2,4)+MID(CQ25,11,1)*POWER(2,5)+MID(CQ25,10,1)*POWER(2,6)+MID(CQ25,9,1)*POWER(2,7)+MID(CQ25,8,1)*POWER(2,8)+MID(CQ25,7,1)*POWER(2,9)+MID(CQ25,6,1)*POWER(2,10)+MID(CQ25,5,1)*POWER(2,11)+MID(CQ25,4,1)*POWER(2,12)+MID(CQ25,3,1)*POWER(2,13)+MID(CQ25,2,1)*POWER(2,14)+MID(CQ25,1,1)*POWER(2,15))</f>
        <v>-40894</v>
      </c>
      <c r="CT24" s="77">
        <f>MID(CR24,16,1)*POWER(2,0)+MID(CR24,15,1)*POWER(2,1)+MID(CR24,14,1)*POWER(2,2)+MID(CR24,13,1)*POWER(2,3)+MID(CR24,12,1)*POWER(2,4)+MID(CR24,11,1)*POWER(2,5)+MID(CR24,10,1)*POWER(2,6)+MID(CR24,9,1)*POWER(2,7)+MID(CR24,8,1)*POWER(2,8)+MID(CR24,7,1)*POWER(2,9)+MID(CR24,6,1)*POWER(2,10)+MID(CR24,5,1)*POWER(2,11)+MID(CR24,4,1)*POWER(2,12)+MID(CR24,3,1)*POWER(2,13)+MID(CR24,2,1)*POWER(2,14)+MID(CR24,1,1)*POWER(2,15)-(MID(CR25,16,1)*POWER(2,0)+MID(CR25,15,1)*POWER(2,1)+MID(CR25,14,1)*POWER(2,2)+MID(CR25,13,1)*POWER(2,3)+MID(CR25,12,1)*POWER(2,4)+MID(CR25,11,1)*POWER(2,5)+MID(CR25,10,1)*POWER(2,6)+MID(CR25,9,1)*POWER(2,7)+MID(CR25,8,1)*POWER(2,8)+MID(CR25,7,1)*POWER(2,9)+MID(CR25,6,1)*POWER(2,10)+MID(CR25,5,1)*POWER(2,11)+MID(CR25,4,1)*POWER(2,12)+MID(CR25,3,1)*POWER(2,13)+MID(CR25,2,1)*POWER(2,14)+MID(CR25,1,1)*POWER(2,15))</f>
        <v>10120</v>
      </c>
      <c r="CU24" s="45" t="str">
        <f>BR24</f>
        <v>00000001011000010110001100000010</v>
      </c>
      <c r="CV24" s="26" t="str">
        <f t="shared" si="62"/>
        <v>00000001</v>
      </c>
      <c r="CW24" s="26" t="str">
        <f t="shared" si="63"/>
        <v>01100001</v>
      </c>
      <c r="CX24" s="26" t="str">
        <f t="shared" si="64"/>
        <v>01100011</v>
      </c>
      <c r="CY24" s="26" t="str">
        <f t="shared" si="65"/>
        <v>00000010</v>
      </c>
      <c r="CZ24" s="77">
        <f>BIN2DEC(CV24)-BIN2DEC(CV25)</f>
        <v>-32</v>
      </c>
      <c r="DA24" s="77">
        <f>BIN2DEC(CW24)-BIN2DEC(CW25)</f>
        <v>94</v>
      </c>
      <c r="DB24" s="77">
        <f>BIN2DEC(CX24)-BIN2DEC(CX25)</f>
        <v>64</v>
      </c>
      <c r="DC24" s="77">
        <f>BIN2DEC(CY24)-BIN2DEC(CY25)</f>
        <v>-96</v>
      </c>
      <c r="DD24" s="27" t="str">
        <f t="shared" si="66"/>
        <v>0001</v>
      </c>
      <c r="DE24" s="27" t="str">
        <f t="shared" si="67"/>
        <v>0101</v>
      </c>
      <c r="DF24" s="27" t="str">
        <f t="shared" si="68"/>
        <v>1111</v>
      </c>
      <c r="DG24" s="27" t="str">
        <f t="shared" si="69"/>
        <v>0101</v>
      </c>
      <c r="DH24" s="27" t="str">
        <f t="shared" si="70"/>
        <v>0111</v>
      </c>
      <c r="DI24" s="27" t="str">
        <f t="shared" si="71"/>
        <v>0011</v>
      </c>
      <c r="DJ24" s="27" t="str">
        <f t="shared" si="72"/>
        <v>0001</v>
      </c>
      <c r="DK24" s="27" t="str">
        <f t="shared" si="73"/>
        <v>0110</v>
      </c>
      <c r="DL24" s="77">
        <f>BIN2DEC(DD24)-BIN2DEC(DD25)</f>
        <v>-9</v>
      </c>
      <c r="DM24" s="77">
        <f t="shared" ref="DM24:DR24" si="207">BIN2DEC(DE24)-BIN2DEC(DE25)</f>
        <v>4</v>
      </c>
      <c r="DN24" s="77">
        <f t="shared" si="207"/>
        <v>14</v>
      </c>
      <c r="DO24" s="77">
        <f t="shared" si="207"/>
        <v>-10</v>
      </c>
      <c r="DP24" s="77">
        <f t="shared" si="207"/>
        <v>4</v>
      </c>
      <c r="DQ24" s="77">
        <f t="shared" si="207"/>
        <v>-8</v>
      </c>
      <c r="DR24" s="77">
        <f t="shared" si="207"/>
        <v>-6</v>
      </c>
      <c r="DS24" s="77">
        <f>BIN2DEC(DK24)-BIN2DEC(DK25)</f>
        <v>-4</v>
      </c>
      <c r="DT24" s="26" t="str">
        <f t="shared" si="12"/>
        <v>0000000101100001</v>
      </c>
      <c r="DU24" s="26" t="str">
        <f t="shared" si="13"/>
        <v>0110001100000010</v>
      </c>
      <c r="DV24" s="77">
        <f>MID(DT24,16,1)*POWER(2,0)+MID(DT24,15,1)*POWER(2,1)+MID(DT24,14,1)*POWER(2,2)+MID(DT24,13,1)*POWER(2,3)+MID(DT24,12,1)*POWER(2,4)+MID(DT24,11,1)*POWER(2,5)+MID(DT24,10,1)*POWER(2,6)+MID(DT24,9,1)*POWER(2,7)+MID(DT24,8,1)*POWER(2,8)+MID(DT24,7,1)*POWER(2,9)+MID(DT24,6,1)*POWER(2,10)+MID(DT24,5,1)*POWER(2,11)+MID(DT24,4,1)*POWER(2,12)+MID(DT24,3,1)*POWER(2,13)+MID(DT24,2,1)*POWER(2,14)+MID(DT24,1,1)*POWER(2,15)-(MID(DT25,16,1)*POWER(2,0)+MID(DT25,15,1)*POWER(2,1)+MID(DT25,14,1)*POWER(2,2)+MID(DT25,13,1)*POWER(2,3)+MID(DT25,12,1)*POWER(2,4)+MID(DT25,11,1)*POWER(2,5)+MID(DT25,10,1)*POWER(2,6)+MID(DT25,9,1)*POWER(2,7)+MID(DT25,8,1)*POWER(2,8)+MID(DT25,7,1)*POWER(2,9)+MID(DT25,6,1)*POWER(2,10)+MID(DT25,5,1)*POWER(2,11)+MID(DT25,4,1)*POWER(2,12)+MID(DT25,3,1)*POWER(2,13)+MID(DT25,2,1)*POWER(2,14)+MID(DT25,1,1)*POWER(2,15))</f>
        <v>-8098</v>
      </c>
      <c r="DW24" s="77">
        <f>MID(DU24,16,1)*POWER(2,0)+MID(DU24,15,1)*POWER(2,1)+MID(DU24,14,1)*POWER(2,2)+MID(DU24,13,1)*POWER(2,3)+MID(DU24,12,1)*POWER(2,4)+MID(DU24,11,1)*POWER(2,5)+MID(DU24,10,1)*POWER(2,6)+MID(DU24,9,1)*POWER(2,7)+MID(DU24,8,1)*POWER(2,8)+MID(DU24,7,1)*POWER(2,9)+MID(DU24,6,1)*POWER(2,10)+MID(DU24,5,1)*POWER(2,11)+MID(DU24,4,1)*POWER(2,12)+MID(DU24,3,1)*POWER(2,13)+MID(DU24,2,1)*POWER(2,14)+MID(DU24,1,1)*POWER(2,15)-(MID(DU25,16,1)*POWER(2,0)+MID(DU25,15,1)*POWER(2,1)+MID(DU25,14,1)*POWER(2,2)+MID(DU25,13,1)*POWER(2,3)+MID(DU25,12,1)*POWER(2,4)+MID(DU25,11,1)*POWER(2,5)+MID(DU25,10,1)*POWER(2,6)+MID(DU25,9,1)*POWER(2,7)+MID(DU25,8,1)*POWER(2,8)+MID(DU25,7,1)*POWER(2,9)+MID(DU25,6,1)*POWER(2,10)+MID(DU25,5,1)*POWER(2,11)+MID(DU25,4,1)*POWER(2,12)+MID(DU25,3,1)*POWER(2,13)+MID(DU25,2,1)*POWER(2,14)+MID(DU25,1,1)*POWER(2,15))</f>
        <v>16288</v>
      </c>
      <c r="DX24" s="22"/>
      <c r="DY24" s="43" t="str">
        <f>H24</f>
        <v>00010101111101010111001100010110</v>
      </c>
      <c r="DZ24" s="26" t="str">
        <f t="shared" si="122"/>
        <v>00010101</v>
      </c>
      <c r="EA24" s="26" t="str">
        <f t="shared" si="74"/>
        <v>11110101</v>
      </c>
      <c r="EB24" s="26" t="str">
        <f t="shared" si="75"/>
        <v>01110011</v>
      </c>
      <c r="EC24" s="26" t="str">
        <f t="shared" si="76"/>
        <v>00010110</v>
      </c>
      <c r="ED24" s="77">
        <f>BIN2DEC(DZ24)-BIN2DEC(DZ25)</f>
        <v>20</v>
      </c>
      <c r="EE24" s="77">
        <f>BIN2DEC(EA24)-BIN2DEC(EA25)</f>
        <v>218</v>
      </c>
      <c r="EF24" s="77">
        <f>BIN2DEC(EB24)-BIN2DEC(EB25)</f>
        <v>88</v>
      </c>
      <c r="EG24" s="77">
        <f>BIN2DEC(EC24)-BIN2DEC(EC25)</f>
        <v>-4</v>
      </c>
      <c r="EH24" s="27" t="str">
        <f t="shared" si="77"/>
        <v>0001</v>
      </c>
      <c r="EI24" s="27" t="str">
        <f t="shared" si="78"/>
        <v>0101</v>
      </c>
      <c r="EJ24" s="27" t="str">
        <f t="shared" si="79"/>
        <v>1111</v>
      </c>
      <c r="EK24" s="27" t="str">
        <f t="shared" si="80"/>
        <v>0101</v>
      </c>
      <c r="EL24" s="27" t="str">
        <f t="shared" si="81"/>
        <v>0111</v>
      </c>
      <c r="EM24" s="27" t="str">
        <f t="shared" si="82"/>
        <v>0011</v>
      </c>
      <c r="EN24" s="27" t="str">
        <f t="shared" si="83"/>
        <v>0001</v>
      </c>
      <c r="EO24" s="27" t="str">
        <f t="shared" si="84"/>
        <v>0110</v>
      </c>
      <c r="EP24" s="77">
        <f>BIN2DEC(EH24)-BIN2DEC(EH25)</f>
        <v>-9</v>
      </c>
      <c r="EQ24" s="77">
        <f t="shared" ref="EQ24:EV24" si="208">BIN2DEC(EI24)-BIN2DEC(EI25)</f>
        <v>4</v>
      </c>
      <c r="ER24" s="77">
        <f t="shared" si="208"/>
        <v>14</v>
      </c>
      <c r="ES24" s="77">
        <f t="shared" si="208"/>
        <v>-10</v>
      </c>
      <c r="ET24" s="77">
        <f t="shared" si="208"/>
        <v>4</v>
      </c>
      <c r="EU24" s="77">
        <f t="shared" si="208"/>
        <v>-8</v>
      </c>
      <c r="EV24" s="77">
        <f t="shared" si="208"/>
        <v>-6</v>
      </c>
      <c r="EW24" s="77">
        <f>BIN2DEC(EO24)-BIN2DEC(EO25)</f>
        <v>-4</v>
      </c>
      <c r="EX24" s="26" t="str">
        <f t="shared" si="15"/>
        <v>0001010111110101</v>
      </c>
      <c r="EY24" s="26" t="str">
        <f t="shared" si="16"/>
        <v>0111001100010110</v>
      </c>
      <c r="EZ24" s="77">
        <f>MID(EX24,16,1)*POWER(2,0)+MID(EX24,15,1)*POWER(2,1)+MID(EX24,14,1)*POWER(2,2)+MID(EX24,13,1)*POWER(2,3)+MID(EX24,12,1)*POWER(2,4)+MID(EX24,11,1)*POWER(2,5)+MID(EX24,10,1)*POWER(2,6)+MID(EX24,9,1)*POWER(2,7)+MID(EX24,8,1)*POWER(2,8)+MID(EX24,7,1)*POWER(2,9)+MID(EX24,6,1)*POWER(2,10)+MID(EX24,5,1)*POWER(2,11)+MID(EX24,4,1)*POWER(2,12)+MID(EX24,3,1)*POWER(2,13)+MID(EX24,2,1)*POWER(2,14)+MID(EX24,1,1)*POWER(2,15)-(MID(EX25,16,1)*POWER(2,0)+MID(EX25,15,1)*POWER(2,1)+MID(EX25,14,1)*POWER(2,2)+MID(EX25,13,1)*POWER(2,3)+MID(EX25,12,1)*POWER(2,4)+MID(EX25,11,1)*POWER(2,5)+MID(EX25,10,1)*POWER(2,6)+MID(EX25,9,1)*POWER(2,7)+MID(EX25,8,1)*POWER(2,8)+MID(EX25,7,1)*POWER(2,9)+MID(EX25,6,1)*POWER(2,10)+MID(EX25,5,1)*POWER(2,11)+MID(EX25,4,1)*POWER(2,12)+MID(EX25,3,1)*POWER(2,13)+MID(EX25,2,1)*POWER(2,14)+MID(EX25,1,1)*POWER(2,15))</f>
        <v>5338</v>
      </c>
      <c r="FA24" s="77">
        <f>MID(EY24,16,1)*POWER(2,0)+MID(EY24,15,1)*POWER(2,1)+MID(EY24,14,1)*POWER(2,2)+MID(EY24,13,1)*POWER(2,3)+MID(EY24,12,1)*POWER(2,4)+MID(EY24,11,1)*POWER(2,5)+MID(EY24,10,1)*POWER(2,6)+MID(EY24,9,1)*POWER(2,7)+MID(EY24,8,1)*POWER(2,8)+MID(EY24,7,1)*POWER(2,9)+MID(EY24,6,1)*POWER(2,10)+MID(EY24,5,1)*POWER(2,11)+MID(EY24,4,1)*POWER(2,12)+MID(EY24,3,1)*POWER(2,13)+MID(EY24,2,1)*POWER(2,14)+MID(EY24,1,1)*POWER(2,15)-(MID(EY25,16,1)*POWER(2,0)+MID(EY25,15,1)*POWER(2,1)+MID(EY25,14,1)*POWER(2,2)+MID(EY25,13,1)*POWER(2,3)+MID(EY25,12,1)*POWER(2,4)+MID(EY25,11,1)*POWER(2,5)+MID(EY25,10,1)*POWER(2,6)+MID(EY25,9,1)*POWER(2,7)+MID(EY25,8,1)*POWER(2,8)+MID(EY25,7,1)*POWER(2,9)+MID(EY25,6,1)*POWER(2,10)+MID(EY25,5,1)*POWER(2,11)+MID(EY25,4,1)*POWER(2,12)+MID(EY25,3,1)*POWER(2,13)+MID(EY25,2,1)*POWER(2,14)+MID(EY25,1,1)*POWER(2,15))</f>
        <v>22524</v>
      </c>
      <c r="FB24" s="45" t="str">
        <f>H24</f>
        <v>00010101111101010111001100010110</v>
      </c>
      <c r="FC24" s="26" t="str">
        <f t="shared" si="124"/>
        <v>00010101</v>
      </c>
      <c r="FD24" s="26" t="str">
        <f t="shared" si="85"/>
        <v>11110101</v>
      </c>
      <c r="FE24" s="26" t="str">
        <f t="shared" si="86"/>
        <v>01110011</v>
      </c>
      <c r="FF24" s="26" t="str">
        <f t="shared" si="87"/>
        <v>00010110</v>
      </c>
      <c r="FG24" s="77">
        <f>BIN2DEC(FC24)-BIN2DEC(FC25)</f>
        <v>20</v>
      </c>
      <c r="FH24" s="77">
        <f>BIN2DEC(FD24)-BIN2DEC(FD25)</f>
        <v>242</v>
      </c>
      <c r="FI24" s="77">
        <f>BIN2DEC(FE24)-BIN2DEC(FE25)</f>
        <v>112</v>
      </c>
      <c r="FJ24" s="77">
        <f>BIN2DEC(FF24)-BIN2DEC(FF25)</f>
        <v>20</v>
      </c>
      <c r="FK24" s="27" t="str">
        <f t="shared" si="88"/>
        <v>0001</v>
      </c>
      <c r="FL24" s="27" t="str">
        <f t="shared" si="89"/>
        <v>0101</v>
      </c>
      <c r="FM24" s="27" t="str">
        <f t="shared" si="90"/>
        <v>1111</v>
      </c>
      <c r="FN24" s="27" t="str">
        <f t="shared" si="91"/>
        <v>0101</v>
      </c>
      <c r="FO24" s="27" t="str">
        <f t="shared" si="92"/>
        <v>0111</v>
      </c>
      <c r="FP24" s="27" t="str">
        <f t="shared" si="93"/>
        <v>0011</v>
      </c>
      <c r="FQ24" s="27" t="str">
        <f t="shared" si="94"/>
        <v>0001</v>
      </c>
      <c r="FR24" s="27" t="str">
        <f t="shared" si="95"/>
        <v>0110</v>
      </c>
      <c r="FS24" s="77">
        <f>BIN2DEC(FK24)-BIN2DEC(FK25)</f>
        <v>-9</v>
      </c>
      <c r="FT24" s="77">
        <f t="shared" ref="FT24:FY24" si="209">BIN2DEC(FL24)-BIN2DEC(FL25)</f>
        <v>4</v>
      </c>
      <c r="FU24" s="77">
        <f t="shared" si="209"/>
        <v>14</v>
      </c>
      <c r="FV24" s="77">
        <f t="shared" si="209"/>
        <v>-10</v>
      </c>
      <c r="FW24" s="77">
        <f t="shared" si="209"/>
        <v>4</v>
      </c>
      <c r="FX24" s="77">
        <f t="shared" si="209"/>
        <v>-8</v>
      </c>
      <c r="FY24" s="77">
        <f t="shared" si="209"/>
        <v>-6</v>
      </c>
      <c r="FZ24" s="77">
        <f>BIN2DEC(FR24)-BIN2DEC(FR25)</f>
        <v>-4</v>
      </c>
      <c r="GA24" s="26" t="str">
        <f t="shared" si="18"/>
        <v>0001010111110101</v>
      </c>
      <c r="GB24" s="26" t="str">
        <f t="shared" si="19"/>
        <v>0111001100010110</v>
      </c>
      <c r="GC24" s="77">
        <f>MID(GA24,16,1)*POWER(2,0)+MID(GA24,15,1)*POWER(2,1)+MID(GA24,14,1)*POWER(2,2)+MID(GA24,13,1)*POWER(2,3)+MID(GA24,12,1)*POWER(2,4)+MID(GA24,11,1)*POWER(2,5)+MID(GA24,10,1)*POWER(2,6)+MID(GA24,9,1)*POWER(2,7)+MID(GA24,8,1)*POWER(2,8)+MID(GA24,7,1)*POWER(2,9)+MID(GA24,6,1)*POWER(2,10)+MID(GA24,5,1)*POWER(2,11)+MID(GA24,4,1)*POWER(2,12)+MID(GA24,3,1)*POWER(2,13)+MID(GA24,2,1)*POWER(2,14)+MID(GA24,1,1)*POWER(2,15)-(MID(GA25,16,1)*POWER(2,0)+MID(GA25,15,1)*POWER(2,1)+MID(GA25,14,1)*POWER(2,2)+MID(GA25,13,1)*POWER(2,3)+MID(GA25,12,1)*POWER(2,4)+MID(GA25,11,1)*POWER(2,5)+MID(GA25,10,1)*POWER(2,6)+MID(GA25,9,1)*POWER(2,7)+MID(GA25,8,1)*POWER(2,8)+MID(GA25,7,1)*POWER(2,9)+MID(GA25,6,1)*POWER(2,10)+MID(GA25,5,1)*POWER(2,11)+MID(GA25,4,1)*POWER(2,12)+MID(GA25,3,1)*POWER(2,13)+MID(GA25,2,1)*POWER(2,14)+MID(GA25,1,1)*POWER(2,15))</f>
        <v>5362</v>
      </c>
      <c r="GD24" s="77">
        <f>MID(GB24,16,1)*POWER(2,0)+MID(GB24,15,1)*POWER(2,1)+MID(GB24,14,1)*POWER(2,2)+MID(GB24,13,1)*POWER(2,3)+MID(GB24,12,1)*POWER(2,4)+MID(GB24,11,1)*POWER(2,5)+MID(GB24,10,1)*POWER(2,6)+MID(GB24,9,1)*POWER(2,7)+MID(GB24,8,1)*POWER(2,8)+MID(GB24,7,1)*POWER(2,9)+MID(GB24,6,1)*POWER(2,10)+MID(GB24,5,1)*POWER(2,11)+MID(GB24,4,1)*POWER(2,12)+MID(GB24,3,1)*POWER(2,13)+MID(GB24,2,1)*POWER(2,14)+MID(GB24,1,1)*POWER(2,15)-(MID(GB25,16,1)*POWER(2,0)+MID(GB25,15,1)*POWER(2,1)+MID(GB25,14,1)*POWER(2,2)+MID(GB25,13,1)*POWER(2,3)+MID(GB25,12,1)*POWER(2,4)+MID(GB25,11,1)*POWER(2,5)+MID(GB25,10,1)*POWER(2,6)+MID(GB25,9,1)*POWER(2,7)+MID(GB25,8,1)*POWER(2,8)+MID(GB25,7,1)*POWER(2,9)+MID(GB25,6,1)*POWER(2,10)+MID(GB25,5,1)*POWER(2,11)+MID(GB25,4,1)*POWER(2,12)+MID(GB25,3,1)*POWER(2,13)+MID(GB25,2,1)*POWER(2,14)+MID(GB25,1,1)*POWER(2,15))</f>
        <v>28692</v>
      </c>
      <c r="GE24" s="47" t="str">
        <f>CU24</f>
        <v>00000001011000010110001100000010</v>
      </c>
      <c r="GF24" s="26" t="str">
        <f t="shared" si="126"/>
        <v>00000001</v>
      </c>
      <c r="GG24" s="26" t="str">
        <f t="shared" si="96"/>
        <v>01100001</v>
      </c>
      <c r="GH24" s="26" t="str">
        <f t="shared" si="97"/>
        <v>01100011</v>
      </c>
      <c r="GI24" s="26" t="str">
        <f t="shared" si="98"/>
        <v>00000010</v>
      </c>
      <c r="GJ24" s="77">
        <f>BIN2DEC(GF24)-BIN2DEC(GF25)</f>
        <v>0</v>
      </c>
      <c r="GK24" s="77">
        <f>BIN2DEC(GG24)-BIN2DEC(GG25)</f>
        <v>70</v>
      </c>
      <c r="GL24" s="77">
        <f>BIN2DEC(GH24)-BIN2DEC(GH25)</f>
        <v>72</v>
      </c>
      <c r="GM24" s="77">
        <f>BIN2DEC(GI24)-BIN2DEC(GI25)</f>
        <v>-24</v>
      </c>
      <c r="GN24" s="27" t="str">
        <f t="shared" si="99"/>
        <v>0001</v>
      </c>
      <c r="GO24" s="27" t="str">
        <f t="shared" si="100"/>
        <v>0101</v>
      </c>
      <c r="GP24" s="27" t="str">
        <f t="shared" si="101"/>
        <v>1111</v>
      </c>
      <c r="GQ24" s="27" t="str">
        <f t="shared" si="102"/>
        <v>0101</v>
      </c>
      <c r="GR24" s="27" t="str">
        <f t="shared" si="103"/>
        <v>0111</v>
      </c>
      <c r="GS24" s="27" t="str">
        <f t="shared" si="104"/>
        <v>0011</v>
      </c>
      <c r="GT24" s="27" t="str">
        <f t="shared" si="105"/>
        <v>0001</v>
      </c>
      <c r="GU24" s="27" t="str">
        <f t="shared" si="106"/>
        <v>0110</v>
      </c>
      <c r="GV24" s="77">
        <f>BIN2DEC(GN24)-BIN2DEC(GN25)</f>
        <v>-9</v>
      </c>
      <c r="GW24" s="77">
        <f t="shared" ref="GW24:HB24" si="210">BIN2DEC(GO24)-BIN2DEC(GO25)</f>
        <v>4</v>
      </c>
      <c r="GX24" s="77">
        <f t="shared" si="210"/>
        <v>14</v>
      </c>
      <c r="GY24" s="77">
        <f t="shared" si="210"/>
        <v>-10</v>
      </c>
      <c r="GZ24" s="77">
        <f t="shared" si="210"/>
        <v>4</v>
      </c>
      <c r="HA24" s="77">
        <f t="shared" si="210"/>
        <v>-8</v>
      </c>
      <c r="HB24" s="77">
        <f t="shared" si="210"/>
        <v>-6</v>
      </c>
      <c r="HC24" s="77">
        <f>BIN2DEC(GU24)-BIN2DEC(GU25)</f>
        <v>-4</v>
      </c>
      <c r="HD24" s="26" t="str">
        <f t="shared" si="21"/>
        <v>0000000101100001</v>
      </c>
      <c r="HE24" s="26" t="str">
        <f t="shared" si="22"/>
        <v>0110001100000010</v>
      </c>
      <c r="HF24" s="77">
        <f>MID(HD24,16,1)*POWER(2,0)+MID(HD24,15,1)*POWER(2,1)+MID(HD24,14,1)*POWER(2,2)+MID(HD24,13,1)*POWER(2,3)+MID(HD24,12,1)*POWER(2,4)+MID(HD24,11,1)*POWER(2,5)+MID(HD24,10,1)*POWER(2,6)+MID(HD24,9,1)*POWER(2,7)+MID(HD24,8,1)*POWER(2,8)+MID(HD24,7,1)*POWER(2,9)+MID(HD24,6,1)*POWER(2,10)+MID(HD24,5,1)*POWER(2,11)+MID(HD24,4,1)*POWER(2,12)+MID(HD24,3,1)*POWER(2,13)+MID(HD24,2,1)*POWER(2,14)+MID(HD24,1,1)*POWER(2,15)-(MID(HD25,16,1)*POWER(2,0)+MID(HD25,15,1)*POWER(2,1)+MID(HD25,14,1)*POWER(2,2)+MID(HD25,13,1)*POWER(2,3)+MID(HD25,12,1)*POWER(2,4)+MID(HD25,11,1)*POWER(2,5)+MID(HD25,10,1)*POWER(2,6)+MID(HD25,9,1)*POWER(2,7)+MID(HD25,8,1)*POWER(2,8)+MID(HD25,7,1)*POWER(2,9)+MID(HD25,6,1)*POWER(2,10)+MID(HD25,5,1)*POWER(2,11)+MID(HD25,4,1)*POWER(2,12)+MID(HD25,3,1)*POWER(2,13)+MID(HD25,2,1)*POWER(2,14)+MID(HD25,1,1)*POWER(2,15))</f>
        <v>70</v>
      </c>
      <c r="HG24" s="77">
        <f>MID(HE24,16,1)*POWER(2,0)+MID(HE24,15,1)*POWER(2,1)+MID(HE24,14,1)*POWER(2,2)+MID(HE24,13,1)*POWER(2,3)+MID(HE24,12,1)*POWER(2,4)+MID(HE24,11,1)*POWER(2,5)+MID(HE24,10,1)*POWER(2,6)+MID(HE24,9,1)*POWER(2,7)+MID(HE24,8,1)*POWER(2,8)+MID(HE24,7,1)*POWER(2,9)+MID(HE24,6,1)*POWER(2,10)+MID(HE24,5,1)*POWER(2,11)+MID(HE24,4,1)*POWER(2,12)+MID(HE24,3,1)*POWER(2,13)+MID(HE24,2,1)*POWER(2,14)+MID(HE24,1,1)*POWER(2,15)-(MID(HE25,16,1)*POWER(2,0)+MID(HE25,15,1)*POWER(2,1)+MID(HE25,14,1)*POWER(2,2)+MID(HE25,13,1)*POWER(2,3)+MID(HE25,12,1)*POWER(2,4)+MID(HE25,11,1)*POWER(2,5)+MID(HE25,10,1)*POWER(2,6)+MID(HE25,9,1)*POWER(2,7)+MID(HE25,8,1)*POWER(2,8)+MID(HE25,7,1)*POWER(2,9)+MID(HE25,6,1)*POWER(2,10)+MID(HE25,5,1)*POWER(2,11)+MID(HE25,4,1)*POWER(2,12)+MID(HE25,3,1)*POWER(2,13)+MID(HE25,2,1)*POWER(2,14)+MID(HE25,1,1)*POWER(2,15))</f>
        <v>18408</v>
      </c>
      <c r="HH24" s="45" t="str">
        <f>GE24</f>
        <v>00000001011000010110001100000010</v>
      </c>
      <c r="HI24" s="26" t="str">
        <f t="shared" si="128"/>
        <v>00000001</v>
      </c>
      <c r="HJ24" s="26" t="str">
        <f t="shared" si="107"/>
        <v>01100001</v>
      </c>
      <c r="HK24" s="26" t="str">
        <f t="shared" si="108"/>
        <v>01100011</v>
      </c>
      <c r="HL24" s="26" t="str">
        <f t="shared" si="109"/>
        <v>00000010</v>
      </c>
      <c r="HM24" s="77">
        <f>BIN2DEC(HI24)-BIN2DEC(HI25)</f>
        <v>0</v>
      </c>
      <c r="HN24" s="77">
        <f>BIN2DEC(HJ24)-BIN2DEC(HJ25)</f>
        <v>94</v>
      </c>
      <c r="HO24" s="77">
        <f>BIN2DEC(HK24)-BIN2DEC(HK25)</f>
        <v>96</v>
      </c>
      <c r="HP24" s="77">
        <f>BIN2DEC(HL24)-BIN2DEC(HL25)</f>
        <v>0</v>
      </c>
      <c r="HQ24" s="27" t="str">
        <f t="shared" si="110"/>
        <v>0001</v>
      </c>
      <c r="HR24" s="27" t="str">
        <f t="shared" si="111"/>
        <v>0101</v>
      </c>
      <c r="HS24" s="27" t="str">
        <f t="shared" si="112"/>
        <v>1111</v>
      </c>
      <c r="HT24" s="27" t="str">
        <f t="shared" si="113"/>
        <v>0101</v>
      </c>
      <c r="HU24" s="27" t="str">
        <f t="shared" si="114"/>
        <v>0111</v>
      </c>
      <c r="HV24" s="27" t="str">
        <f t="shared" si="115"/>
        <v>0011</v>
      </c>
      <c r="HW24" s="27" t="str">
        <f t="shared" si="116"/>
        <v>0001</v>
      </c>
      <c r="HX24" s="27" t="str">
        <f t="shared" si="117"/>
        <v>0110</v>
      </c>
      <c r="HY24" s="77">
        <f>BIN2DEC(HQ24)-BIN2DEC(HQ25)</f>
        <v>-9</v>
      </c>
      <c r="HZ24" s="77">
        <f t="shared" ref="HZ24:IE24" si="211">BIN2DEC(HR24)-BIN2DEC(HR25)</f>
        <v>4</v>
      </c>
      <c r="IA24" s="77">
        <f t="shared" si="211"/>
        <v>14</v>
      </c>
      <c r="IB24" s="77">
        <f t="shared" si="211"/>
        <v>-10</v>
      </c>
      <c r="IC24" s="77">
        <f t="shared" si="211"/>
        <v>4</v>
      </c>
      <c r="ID24" s="77">
        <f t="shared" si="211"/>
        <v>-8</v>
      </c>
      <c r="IE24" s="77">
        <f t="shared" si="211"/>
        <v>-6</v>
      </c>
      <c r="IF24" s="77">
        <f>BIN2DEC(HX24)-BIN2DEC(HX25)</f>
        <v>-4</v>
      </c>
      <c r="IG24" s="26" t="str">
        <f t="shared" si="24"/>
        <v>0000000101100001</v>
      </c>
      <c r="IH24" s="26" t="str">
        <f t="shared" si="25"/>
        <v>0110001100000010</v>
      </c>
      <c r="II24" s="77">
        <f>MID(IG24,16,1)*POWER(2,0)+MID(IG24,15,1)*POWER(2,1)+MID(IG24,14,1)*POWER(2,2)+MID(IG24,13,1)*POWER(2,3)+MID(IG24,12,1)*POWER(2,4)+MID(IG24,11,1)*POWER(2,5)+MID(IG24,10,1)*POWER(2,6)+MID(IG24,9,1)*POWER(2,7)+MID(IG24,8,1)*POWER(2,8)+MID(IG24,7,1)*POWER(2,9)+MID(IG24,6,1)*POWER(2,10)+MID(IG24,5,1)*POWER(2,11)+MID(IG24,4,1)*POWER(2,12)+MID(IG24,3,1)*POWER(2,13)+MID(IG24,2,1)*POWER(2,14)+MID(IG24,1,1)*POWER(2,15)-(MID(IG25,16,1)*POWER(2,0)+MID(IG25,15,1)*POWER(2,1)+MID(IG25,14,1)*POWER(2,2)+MID(IG25,13,1)*POWER(2,3)+MID(IG25,12,1)*POWER(2,4)+MID(IG25,11,1)*POWER(2,5)+MID(IG25,10,1)*POWER(2,6)+MID(IG25,9,1)*POWER(2,7)+MID(IG25,8,1)*POWER(2,8)+MID(IG25,7,1)*POWER(2,9)+MID(IG25,6,1)*POWER(2,10)+MID(IG25,5,1)*POWER(2,11)+MID(IG25,4,1)*POWER(2,12)+MID(IG25,3,1)*POWER(2,13)+MID(IG25,2,1)*POWER(2,14)+MID(IG25,1,1)*POWER(2,15))</f>
        <v>94</v>
      </c>
      <c r="IJ24" s="77">
        <f>MID(IH24,16,1)*POWER(2,0)+MID(IH24,15,1)*POWER(2,1)+MID(IH24,14,1)*POWER(2,2)+MID(IH24,13,1)*POWER(2,3)+MID(IH24,12,1)*POWER(2,4)+MID(IH24,11,1)*POWER(2,5)+MID(IH24,10,1)*POWER(2,6)+MID(IH24,9,1)*POWER(2,7)+MID(IH24,8,1)*POWER(2,8)+MID(IH24,7,1)*POWER(2,9)+MID(IH24,6,1)*POWER(2,10)+MID(IH24,5,1)*POWER(2,11)+MID(IH24,4,1)*POWER(2,12)+MID(IH24,3,1)*POWER(2,13)+MID(IH24,2,1)*POWER(2,14)+MID(IH24,1,1)*POWER(2,15)-(MID(IH25,16,1)*POWER(2,0)+MID(IH25,15,1)*POWER(2,1)+MID(IH25,14,1)*POWER(2,2)+MID(IH25,13,1)*POWER(2,3)+MID(IH25,12,1)*POWER(2,4)+MID(IH25,11,1)*POWER(2,5)+MID(IH25,10,1)*POWER(2,6)+MID(IH25,9,1)*POWER(2,7)+MID(IH25,8,1)*POWER(2,8)+MID(IH25,7,1)*POWER(2,9)+MID(IH25,6,1)*POWER(2,10)+MID(IH25,5,1)*POWER(2,11)+MID(IH25,4,1)*POWER(2,12)+MID(IH25,3,1)*POWER(2,13)+MID(IH25,2,1)*POWER(2,14)+MID(IH25,1,1)*POWER(2,15))</f>
        <v>24576</v>
      </c>
      <c r="IL24" s="26"/>
      <c r="IM24" s="26"/>
      <c r="IN24" s="26"/>
      <c r="IO24" s="26"/>
      <c r="IP24" s="22"/>
      <c r="IQ24" s="22"/>
      <c r="IR24" s="22"/>
      <c r="IS24" s="22"/>
      <c r="JB24" s="22"/>
      <c r="JC24" s="22"/>
      <c r="JD24" s="22"/>
      <c r="JE24" s="22"/>
      <c r="JF24" s="22"/>
      <c r="JG24" s="22"/>
      <c r="JH24" s="22"/>
      <c r="JI24" s="22"/>
      <c r="JJ24" s="26"/>
      <c r="JK24" s="26"/>
      <c r="JL24" s="22"/>
      <c r="JM24" s="22"/>
    </row>
    <row r="25" spans="1:273" s="31" customFormat="1" ht="18.600000000000001" thickBot="1" x14ac:dyDescent="0.4">
      <c r="A25" s="28"/>
      <c r="B25" s="29"/>
      <c r="C25" s="21" t="s">
        <v>6</v>
      </c>
      <c r="D25" s="21">
        <v>47</v>
      </c>
      <c r="E25" s="21" t="s">
        <v>74</v>
      </c>
      <c r="F25" s="21" t="s">
        <v>81</v>
      </c>
      <c r="G25" s="21">
        <v>63</v>
      </c>
      <c r="H25" s="21" t="str">
        <f t="shared" si="186"/>
        <v>01000111001011111111010001100011</v>
      </c>
      <c r="I25" s="21">
        <f t="shared" si="187"/>
        <v>18</v>
      </c>
      <c r="J25" s="21"/>
      <c r="K25" s="21"/>
      <c r="L25" s="44" t="str">
        <f>CONCATENATE(MID(H25,20,5),MID(H25,9,3),MID(H25,28,5),MID(H25,17,3),MID(H25,4,5),MID(H25,25,3),MID(H25,12,5),MID(H25,1,3))</f>
        <v>10100001000111110011101101111010</v>
      </c>
      <c r="M25" s="30" t="str">
        <f t="shared" si="26"/>
        <v>10100001</v>
      </c>
      <c r="N25" s="30" t="str">
        <f t="shared" si="27"/>
        <v>00011111</v>
      </c>
      <c r="O25" s="30" t="str">
        <f t="shared" si="28"/>
        <v>00111011</v>
      </c>
      <c r="P25" s="30" t="str">
        <f t="shared" si="29"/>
        <v>01111010</v>
      </c>
      <c r="Q25" s="78"/>
      <c r="R25" s="78"/>
      <c r="S25" s="78"/>
      <c r="T25" s="78"/>
      <c r="U25" s="31" t="str">
        <f t="shared" si="30"/>
        <v>1010</v>
      </c>
      <c r="V25" s="31" t="str">
        <f t="shared" si="31"/>
        <v>0001</v>
      </c>
      <c r="W25" s="31" t="str">
        <f t="shared" si="32"/>
        <v>0001</v>
      </c>
      <c r="X25" s="31" t="str">
        <f t="shared" si="33"/>
        <v>1111</v>
      </c>
      <c r="Y25" s="31" t="str">
        <f t="shared" si="34"/>
        <v>0011</v>
      </c>
      <c r="Z25" s="31" t="str">
        <f t="shared" si="35"/>
        <v>1011</v>
      </c>
      <c r="AA25" s="31" t="str">
        <f t="shared" si="36"/>
        <v>0111</v>
      </c>
      <c r="AB25" s="31" t="str">
        <f t="shared" si="37"/>
        <v>1010</v>
      </c>
      <c r="AC25" s="78"/>
      <c r="AD25" s="78"/>
      <c r="AE25" s="78"/>
      <c r="AF25" s="78"/>
      <c r="AG25" s="78"/>
      <c r="AH25" s="78"/>
      <c r="AI25" s="78"/>
      <c r="AJ25" s="78"/>
      <c r="AK25" s="30" t="str">
        <f t="shared" si="3"/>
        <v>1010000100011111</v>
      </c>
      <c r="AL25" s="30" t="str">
        <f t="shared" si="4"/>
        <v>0011101101111010</v>
      </c>
      <c r="AM25" s="78"/>
      <c r="AN25" s="78"/>
      <c r="AO25" s="46" t="str">
        <f>CONCATENATE(MID($L25,1,1)*MID($K24,1,1),MID($L25,2,1)*MID($K24,2,1),MID($L25,3,1)*MID($K24,3,1),MID($L25,4,1)*MID($K24,4,1),MID($L25,5,1)*MID($K24,5,1),MID($L25,6,1)*MID($K24,6,1),MID($L25,7,1)*MID($K24,7,1),MID($L25,8,1)*MID($K24,8,1),MID($L25,9,1)*MID($K24,1,1),MID($L25,10,1)*MID($K24,2,1),MID($L25,11,1)*MID($K24,3,1),MID($L25,12,1)*MID($K24,4,1),MID($L25,13,1)*MID($K24,5,1),MID($L25,14,1)*MID($K24,6,1),MID($L25,15,1)*MID($K24,7,1),MID($L25,16,1)*MID($K24,8,1),MID($L25,17,1)*MID($K24,1,1),MID($L25,18,1)*MID($K24,2,1),MID($L25,19,1)*MID($K24,3,1),MID($L25,20,1)*MID($K24,4,1),MID($L25,21,1)*MID($K24,5,1),MID($L25,22,1)*MID($K24,6,1),MID($L25,23,1)*MID($K24,7,1),MID($L25,24,1)*MID($K24,8,1),MID($L25,25,1)*MID($K24,1,1),MID($L25,26,1)*MID($K24,2,1),MID($L25,27,1)*MID($K24,3,1),MID($L25,28,1)*MID($K24,4,1),MID($L25,29,1)*MID($K24,5,1),MID($L25,30,1)*MID($K24,6,1),MID($L25,31,1)*MID($K24,7,1),MID($L25,32,1)*MID($K24,8,1))</f>
        <v>00100001000000110010001101100010</v>
      </c>
      <c r="AP25" s="30" t="str">
        <f t="shared" si="38"/>
        <v>00100001</v>
      </c>
      <c r="AQ25" s="30" t="str">
        <f t="shared" si="39"/>
        <v>00000011</v>
      </c>
      <c r="AR25" s="30" t="str">
        <f t="shared" si="40"/>
        <v>00100011</v>
      </c>
      <c r="AS25" s="30" t="str">
        <f t="shared" si="41"/>
        <v>01100010</v>
      </c>
      <c r="AT25" s="78"/>
      <c r="AU25" s="78"/>
      <c r="AV25" s="78"/>
      <c r="AW25" s="78"/>
      <c r="AX25" s="31" t="str">
        <f t="shared" si="42"/>
        <v>1010</v>
      </c>
      <c r="AY25" s="31" t="str">
        <f t="shared" si="43"/>
        <v>0001</v>
      </c>
      <c r="AZ25" s="31" t="str">
        <f t="shared" si="44"/>
        <v>0001</v>
      </c>
      <c r="BA25" s="31" t="str">
        <f t="shared" si="45"/>
        <v>1111</v>
      </c>
      <c r="BB25" s="31" t="str">
        <f t="shared" si="46"/>
        <v>0011</v>
      </c>
      <c r="BC25" s="31" t="str">
        <f t="shared" si="47"/>
        <v>1011</v>
      </c>
      <c r="BD25" s="31" t="str">
        <f t="shared" si="48"/>
        <v>0111</v>
      </c>
      <c r="BE25" s="31" t="str">
        <f t="shared" si="49"/>
        <v>1010</v>
      </c>
      <c r="BF25" s="78"/>
      <c r="BG25" s="78"/>
      <c r="BH25" s="78"/>
      <c r="BI25" s="78"/>
      <c r="BJ25" s="78"/>
      <c r="BK25" s="78"/>
      <c r="BL25" s="78"/>
      <c r="BM25" s="78"/>
      <c r="BN25" s="30" t="str">
        <f t="shared" si="6"/>
        <v>0010000100000011</v>
      </c>
      <c r="BO25" s="30" t="str">
        <f t="shared" si="7"/>
        <v>0010001101100010</v>
      </c>
      <c r="BP25" s="78"/>
      <c r="BQ25" s="78"/>
      <c r="BR25" s="46" t="str">
        <f>L25</f>
        <v>10100001000111110011101101111010</v>
      </c>
      <c r="BS25" s="30" t="str">
        <f t="shared" si="50"/>
        <v>10100001</v>
      </c>
      <c r="BT25" s="30" t="str">
        <f t="shared" si="51"/>
        <v>00011111</v>
      </c>
      <c r="BU25" s="30" t="str">
        <f t="shared" si="52"/>
        <v>00111011</v>
      </c>
      <c r="BV25" s="30" t="str">
        <f t="shared" si="53"/>
        <v>01111010</v>
      </c>
      <c r="BW25" s="78"/>
      <c r="BX25" s="78"/>
      <c r="BY25" s="78"/>
      <c r="BZ25" s="78"/>
      <c r="CA25" s="31" t="str">
        <f t="shared" si="54"/>
        <v>1010</v>
      </c>
      <c r="CB25" s="31" t="str">
        <f t="shared" si="55"/>
        <v>0001</v>
      </c>
      <c r="CC25" s="31" t="str">
        <f t="shared" si="56"/>
        <v>0001</v>
      </c>
      <c r="CD25" s="31" t="str">
        <f t="shared" si="57"/>
        <v>1111</v>
      </c>
      <c r="CE25" s="31" t="str">
        <f t="shared" si="58"/>
        <v>0011</v>
      </c>
      <c r="CF25" s="31" t="str">
        <f t="shared" si="59"/>
        <v>1011</v>
      </c>
      <c r="CG25" s="31" t="str">
        <f t="shared" si="60"/>
        <v>0111</v>
      </c>
      <c r="CH25" s="31" t="str">
        <f t="shared" si="61"/>
        <v>1010</v>
      </c>
      <c r="CI25" s="78"/>
      <c r="CJ25" s="78"/>
      <c r="CK25" s="78"/>
      <c r="CL25" s="78"/>
      <c r="CM25" s="78"/>
      <c r="CN25" s="78"/>
      <c r="CO25" s="78"/>
      <c r="CP25" s="78"/>
      <c r="CQ25" s="30" t="str">
        <f t="shared" si="9"/>
        <v>1010000100011111</v>
      </c>
      <c r="CR25" s="30" t="str">
        <f t="shared" si="10"/>
        <v>0011101101111010</v>
      </c>
      <c r="CS25" s="78"/>
      <c r="CT25" s="78"/>
      <c r="CU25" s="46" t="str">
        <f>AO25</f>
        <v>00100001000000110010001101100010</v>
      </c>
      <c r="CV25" s="30" t="str">
        <f t="shared" si="62"/>
        <v>00100001</v>
      </c>
      <c r="CW25" s="30" t="str">
        <f t="shared" si="63"/>
        <v>00000011</v>
      </c>
      <c r="CX25" s="30" t="str">
        <f t="shared" si="64"/>
        <v>00100011</v>
      </c>
      <c r="CY25" s="30" t="str">
        <f t="shared" si="65"/>
        <v>01100010</v>
      </c>
      <c r="CZ25" s="78"/>
      <c r="DA25" s="78"/>
      <c r="DB25" s="78"/>
      <c r="DC25" s="78"/>
      <c r="DD25" s="31" t="str">
        <f t="shared" si="66"/>
        <v>1010</v>
      </c>
      <c r="DE25" s="31" t="str">
        <f t="shared" si="67"/>
        <v>0001</v>
      </c>
      <c r="DF25" s="31" t="str">
        <f t="shared" si="68"/>
        <v>0001</v>
      </c>
      <c r="DG25" s="31" t="str">
        <f t="shared" si="69"/>
        <v>1111</v>
      </c>
      <c r="DH25" s="31" t="str">
        <f t="shared" si="70"/>
        <v>0011</v>
      </c>
      <c r="DI25" s="31" t="str">
        <f t="shared" si="71"/>
        <v>1011</v>
      </c>
      <c r="DJ25" s="31" t="str">
        <f t="shared" si="72"/>
        <v>0111</v>
      </c>
      <c r="DK25" s="31" t="str">
        <f t="shared" si="73"/>
        <v>1010</v>
      </c>
      <c r="DL25" s="78"/>
      <c r="DM25" s="78"/>
      <c r="DN25" s="78"/>
      <c r="DO25" s="78"/>
      <c r="DP25" s="78"/>
      <c r="DQ25" s="78"/>
      <c r="DR25" s="78"/>
      <c r="DS25" s="78"/>
      <c r="DT25" s="30" t="str">
        <f t="shared" si="12"/>
        <v>0010000100000011</v>
      </c>
      <c r="DU25" s="30" t="str">
        <f t="shared" si="13"/>
        <v>0010001101100010</v>
      </c>
      <c r="DV25" s="78"/>
      <c r="DW25" s="78"/>
      <c r="DX25" s="23" t="str">
        <f>CONCATENATE(MID($H25,1,1)*MID($K24,1,1),MID($H25,2,1)*MID($K24,2,1),MID($H25,3,1)*MID($K24,3,1),MID($H25,4,1)*MID($K24,4,1),MID($H25,5,1)*MID($K24,5,1),MID($H25,6,1)*MID($K24,6,1),MID($H25,7,1)*MID($K24,7,1),MID($H25,8,1)*MID($K24,8,1),MID($H25,9,1)*MID($K24,1,1),MID($H25,10,1)*MID($K24,2,1),MID($H25,11,1)*MID($K24,3,1),MID($H25,12,1)*MID($K24,4,1),MID($H25,13,1)*MID($K24,5,1),MID($H25,14,1)*MID($K24,6,1),MID($H25,15,1)*MID($K24,7,1),MID($H25,16,1)*MID($K24,8,1),MID($H25,17,1)*MID($K24,1,1),MID($H25,18,1)*MID($K24,2,1),MID($H25,19,1)*MID($K24,3,1),MID($H25,20,1)*MID($K24,4,1),MID($H25,21,1)*MID($K24,5,1),MID($H25,22,1)*MID($K24,6,1),MID($H25,23,1)*MID($K24,7,1),MID($H25,24,1)*MID($K24,8,1),MID($H25,25,1)*MID($K24,1,1),MID($H25,26,1)*MID($K24,2,1),MID($H25,27,1)*MID($K24,3,1),MID($H25,28,1)*MID($K24,4,1),MID($H25,29,1)*MID($K24,5,1),MID($H25,30,1)*MID($K24,6,1),MID($H25,31,1)*MID($K24,7,1),MID($H25,32,1)*MID($K24,8,1))</f>
        <v>01000011001000110110000001100011</v>
      </c>
      <c r="DY25" s="44" t="str">
        <f>CONCATENATE(MID(DX25,20,5),MID(DX25,9,3),MID(DX25,28,5),MID(DX25,17,3),MID(DX25,4,5),MID(DX25,25,3),MID(DX25,12,5),MID(DX25,1,3))</f>
        <v>00000001000110110001101100011010</v>
      </c>
      <c r="DZ25" s="30" t="str">
        <f t="shared" si="122"/>
        <v>00000001</v>
      </c>
      <c r="EA25" s="30" t="str">
        <f t="shared" si="74"/>
        <v>00011011</v>
      </c>
      <c r="EB25" s="30" t="str">
        <f t="shared" si="75"/>
        <v>00011011</v>
      </c>
      <c r="EC25" s="30" t="str">
        <f t="shared" si="76"/>
        <v>00011010</v>
      </c>
      <c r="ED25" s="78"/>
      <c r="EE25" s="78"/>
      <c r="EF25" s="78"/>
      <c r="EG25" s="78"/>
      <c r="EH25" s="31" t="str">
        <f t="shared" si="77"/>
        <v>1010</v>
      </c>
      <c r="EI25" s="31" t="str">
        <f t="shared" si="78"/>
        <v>0001</v>
      </c>
      <c r="EJ25" s="31" t="str">
        <f t="shared" si="79"/>
        <v>0001</v>
      </c>
      <c r="EK25" s="31" t="str">
        <f t="shared" si="80"/>
        <v>1111</v>
      </c>
      <c r="EL25" s="31" t="str">
        <f t="shared" si="81"/>
        <v>0011</v>
      </c>
      <c r="EM25" s="31" t="str">
        <f t="shared" si="82"/>
        <v>1011</v>
      </c>
      <c r="EN25" s="31" t="str">
        <f t="shared" si="83"/>
        <v>0111</v>
      </c>
      <c r="EO25" s="31" t="str">
        <f t="shared" si="84"/>
        <v>1010</v>
      </c>
      <c r="EP25" s="78"/>
      <c r="EQ25" s="78"/>
      <c r="ER25" s="78"/>
      <c r="ES25" s="78"/>
      <c r="ET25" s="78"/>
      <c r="EU25" s="78"/>
      <c r="EV25" s="78"/>
      <c r="EW25" s="78"/>
      <c r="EX25" s="30" t="str">
        <f t="shared" si="15"/>
        <v>0000000100011011</v>
      </c>
      <c r="EY25" s="30" t="str">
        <f t="shared" si="16"/>
        <v>0001101100011010</v>
      </c>
      <c r="EZ25" s="78"/>
      <c r="FA25" s="78"/>
      <c r="FB25" s="46" t="str">
        <f>CONCATENATE(MID(DY25,1,1)*MID($K24,1,1),MID(DY25,2,1)*MID($K24,2,1),MID(DY25,3,1)*MID($K24,3,1),MID(DY25,4,1)*MID($K24,4,1),MID(DY25,5,1)*MID($K24,5,1),MID(DY25,6,1)*MID($K24,6,1),MID(DY25,7,1)*MID($K24,7,1),MID(DY25,8,1)*MID($K24,8,1),MID(DY25,9,1)*MID($K24,1,1),MID(DY25,10,1)*MID($K24,2,1),MID(DY25,11,1)*MID($K24,3,1),MID(DY25,12,1)*MID($K24,4,1),MID(DY25,13,1)*MID($K24,5,1),MID(DY25,14,1)*MID($K24,6,1),MID(DY25,15,1)*MID($K24,7,1),MID(DY25,16,1)*MID($K24,8,1),MID(DY25,17,1)*MID($K24,1,1),MID(DY25,18,1)*MID($K24,2,1),MID(DY25,19,1)*MID($K24,3,1),MID(DY25,20,1)*MID($K24,4,1),MID(DY25,21,1)*MID($K24,5,1),MID(DY25,22,1)*MID($K24,6,1),MID(DY25,23,1)*MID($K24,7,1),MID(DY25,24,1)*MID($K24,8,1),MID(DY25,25,1)*MID($K24,1,1),MID(DY25,26,1)*MID($K24,2,1),MID(DY25,27,1)*MID($K24,3,1),MID(DY25,28,1)*MID($K24,4,1),MID(DY25,29,1)*MID($K24,5,1),MID(DY25,30,1)*MID($K24,6,1),MID(DY25,31,1)*MID($K24,7,1),MID(DY25,32,1)*MID($K24,8,1))</f>
        <v>00000001000000110000001100000010</v>
      </c>
      <c r="FC25" s="30" t="str">
        <f t="shared" si="124"/>
        <v>00000001</v>
      </c>
      <c r="FD25" s="30" t="str">
        <f t="shared" si="85"/>
        <v>00000011</v>
      </c>
      <c r="FE25" s="30" t="str">
        <f t="shared" si="86"/>
        <v>00000011</v>
      </c>
      <c r="FF25" s="30" t="str">
        <f t="shared" si="87"/>
        <v>00000010</v>
      </c>
      <c r="FG25" s="78"/>
      <c r="FH25" s="78"/>
      <c r="FI25" s="78"/>
      <c r="FJ25" s="78"/>
      <c r="FK25" s="31" t="str">
        <f t="shared" si="88"/>
        <v>1010</v>
      </c>
      <c r="FL25" s="31" t="str">
        <f t="shared" si="89"/>
        <v>0001</v>
      </c>
      <c r="FM25" s="31" t="str">
        <f t="shared" si="90"/>
        <v>0001</v>
      </c>
      <c r="FN25" s="31" t="str">
        <f t="shared" si="91"/>
        <v>1111</v>
      </c>
      <c r="FO25" s="31" t="str">
        <f t="shared" si="92"/>
        <v>0011</v>
      </c>
      <c r="FP25" s="31" t="str">
        <f t="shared" si="93"/>
        <v>1011</v>
      </c>
      <c r="FQ25" s="31" t="str">
        <f t="shared" si="94"/>
        <v>0111</v>
      </c>
      <c r="FR25" s="31" t="str">
        <f t="shared" si="95"/>
        <v>1010</v>
      </c>
      <c r="FS25" s="78"/>
      <c r="FT25" s="78"/>
      <c r="FU25" s="78"/>
      <c r="FV25" s="78"/>
      <c r="FW25" s="78"/>
      <c r="FX25" s="78"/>
      <c r="FY25" s="78"/>
      <c r="FZ25" s="78"/>
      <c r="GA25" s="30" t="str">
        <f t="shared" si="18"/>
        <v>0000000100000011</v>
      </c>
      <c r="GB25" s="30" t="str">
        <f t="shared" si="19"/>
        <v>0000001100000010</v>
      </c>
      <c r="GC25" s="78"/>
      <c r="GD25" s="78"/>
      <c r="GE25" s="48" t="str">
        <f>DY25</f>
        <v>00000001000110110001101100011010</v>
      </c>
      <c r="GF25" s="30" t="str">
        <f t="shared" si="126"/>
        <v>00000001</v>
      </c>
      <c r="GG25" s="30" t="str">
        <f t="shared" si="96"/>
        <v>00011011</v>
      </c>
      <c r="GH25" s="30" t="str">
        <f t="shared" si="97"/>
        <v>00011011</v>
      </c>
      <c r="GI25" s="30" t="str">
        <f t="shared" si="98"/>
        <v>00011010</v>
      </c>
      <c r="GJ25" s="78"/>
      <c r="GK25" s="78"/>
      <c r="GL25" s="78"/>
      <c r="GM25" s="78"/>
      <c r="GN25" s="31" t="str">
        <f t="shared" si="99"/>
        <v>1010</v>
      </c>
      <c r="GO25" s="31" t="str">
        <f t="shared" si="100"/>
        <v>0001</v>
      </c>
      <c r="GP25" s="31" t="str">
        <f t="shared" si="101"/>
        <v>0001</v>
      </c>
      <c r="GQ25" s="31" t="str">
        <f t="shared" si="102"/>
        <v>1111</v>
      </c>
      <c r="GR25" s="31" t="str">
        <f t="shared" si="103"/>
        <v>0011</v>
      </c>
      <c r="GS25" s="31" t="str">
        <f t="shared" si="104"/>
        <v>1011</v>
      </c>
      <c r="GT25" s="31" t="str">
        <f t="shared" si="105"/>
        <v>0111</v>
      </c>
      <c r="GU25" s="31" t="str">
        <f t="shared" si="106"/>
        <v>1010</v>
      </c>
      <c r="GV25" s="78"/>
      <c r="GW25" s="78"/>
      <c r="GX25" s="78"/>
      <c r="GY25" s="78"/>
      <c r="GZ25" s="78"/>
      <c r="HA25" s="78"/>
      <c r="HB25" s="78"/>
      <c r="HC25" s="78"/>
      <c r="HD25" s="30" t="str">
        <f t="shared" si="21"/>
        <v>0000000100011011</v>
      </c>
      <c r="HE25" s="30" t="str">
        <f t="shared" si="22"/>
        <v>0001101100011010</v>
      </c>
      <c r="HF25" s="78"/>
      <c r="HG25" s="78"/>
      <c r="HH25" s="48" t="str">
        <f>FB25</f>
        <v>00000001000000110000001100000010</v>
      </c>
      <c r="HI25" s="30" t="str">
        <f t="shared" si="128"/>
        <v>00000001</v>
      </c>
      <c r="HJ25" s="30" t="str">
        <f t="shared" si="107"/>
        <v>00000011</v>
      </c>
      <c r="HK25" s="30" t="str">
        <f t="shared" si="108"/>
        <v>00000011</v>
      </c>
      <c r="HL25" s="30" t="str">
        <f t="shared" si="109"/>
        <v>00000010</v>
      </c>
      <c r="HM25" s="78"/>
      <c r="HN25" s="78"/>
      <c r="HO25" s="78"/>
      <c r="HP25" s="78"/>
      <c r="HQ25" s="31" t="str">
        <f t="shared" si="110"/>
        <v>1010</v>
      </c>
      <c r="HR25" s="31" t="str">
        <f t="shared" si="111"/>
        <v>0001</v>
      </c>
      <c r="HS25" s="31" t="str">
        <f t="shared" si="112"/>
        <v>0001</v>
      </c>
      <c r="HT25" s="31" t="str">
        <f t="shared" si="113"/>
        <v>1111</v>
      </c>
      <c r="HU25" s="31" t="str">
        <f t="shared" si="114"/>
        <v>0011</v>
      </c>
      <c r="HV25" s="31" t="str">
        <f t="shared" si="115"/>
        <v>1011</v>
      </c>
      <c r="HW25" s="31" t="str">
        <f t="shared" si="116"/>
        <v>0111</v>
      </c>
      <c r="HX25" s="31" t="str">
        <f t="shared" si="117"/>
        <v>1010</v>
      </c>
      <c r="HY25" s="78"/>
      <c r="HZ25" s="78"/>
      <c r="IA25" s="78"/>
      <c r="IB25" s="78"/>
      <c r="IC25" s="78"/>
      <c r="ID25" s="78"/>
      <c r="IE25" s="78"/>
      <c r="IF25" s="78"/>
      <c r="IG25" s="30" t="str">
        <f t="shared" si="24"/>
        <v>0000000100000011</v>
      </c>
      <c r="IH25" s="30" t="str">
        <f t="shared" si="25"/>
        <v>0000001100000010</v>
      </c>
      <c r="II25" s="78"/>
      <c r="IJ25" s="78"/>
      <c r="IL25" s="30"/>
      <c r="IM25" s="30"/>
      <c r="IN25" s="30"/>
      <c r="IO25" s="30"/>
      <c r="IP25" s="23"/>
      <c r="IQ25" s="23"/>
      <c r="IR25" s="23"/>
      <c r="IS25" s="23"/>
      <c r="JB25" s="23"/>
      <c r="JC25" s="23"/>
      <c r="JD25" s="23"/>
      <c r="JE25" s="23"/>
      <c r="JF25" s="23"/>
      <c r="JG25" s="23"/>
      <c r="JH25" s="23"/>
      <c r="JI25" s="23"/>
      <c r="JJ25" s="30"/>
      <c r="JK25" s="30"/>
      <c r="JL25" s="23"/>
      <c r="JM25" s="23"/>
    </row>
    <row r="26" spans="1:273" s="27" customFormat="1" x14ac:dyDescent="0.35">
      <c r="A26" s="24"/>
      <c r="B26" s="25"/>
      <c r="C26" s="20" t="s">
        <v>0</v>
      </c>
      <c r="D26" s="20">
        <v>10</v>
      </c>
      <c r="E26" s="20" t="s">
        <v>87</v>
      </c>
      <c r="F26" s="20" t="s">
        <v>107</v>
      </c>
      <c r="G26" s="20" t="s">
        <v>135</v>
      </c>
      <c r="H26" s="20" t="str">
        <f t="shared" si="186"/>
        <v>00010000101100111100110010111010</v>
      </c>
      <c r="I26" s="20">
        <f t="shared" si="187"/>
        <v>15</v>
      </c>
      <c r="J26" s="20">
        <v>63</v>
      </c>
      <c r="K26" s="20" t="str">
        <f>HEX2BIN(J26,8)</f>
        <v>01100011</v>
      </c>
      <c r="L26" s="43" t="str">
        <f>H26</f>
        <v>00010000101100111100110010111010</v>
      </c>
      <c r="M26" s="26" t="str">
        <f t="shared" si="26"/>
        <v>00010000</v>
      </c>
      <c r="N26" s="26" t="str">
        <f t="shared" si="27"/>
        <v>10110011</v>
      </c>
      <c r="O26" s="26" t="str">
        <f t="shared" si="28"/>
        <v>11001100</v>
      </c>
      <c r="P26" s="26" t="str">
        <f t="shared" si="29"/>
        <v>10111010</v>
      </c>
      <c r="Q26" s="77">
        <f>BIN2DEC(M26)-BIN2DEC(M27)</f>
        <v>-140</v>
      </c>
      <c r="R26" s="77">
        <f>BIN2DEC(N26)-BIN2DEC(N27)</f>
        <v>-42</v>
      </c>
      <c r="S26" s="77">
        <f>BIN2DEC(O26)-BIN2DEC(O27)</f>
        <v>57</v>
      </c>
      <c r="T26" s="77">
        <f>BIN2DEC(P26)-BIN2DEC(P27)</f>
        <v>156</v>
      </c>
      <c r="U26" s="27" t="str">
        <f t="shared" si="30"/>
        <v>0001</v>
      </c>
      <c r="V26" s="27" t="str">
        <f t="shared" si="31"/>
        <v>0000</v>
      </c>
      <c r="W26" s="27" t="str">
        <f t="shared" si="32"/>
        <v>1011</v>
      </c>
      <c r="X26" s="27" t="str">
        <f t="shared" si="33"/>
        <v>0011</v>
      </c>
      <c r="Y26" s="27" t="str">
        <f t="shared" si="34"/>
        <v>1100</v>
      </c>
      <c r="Z26" s="27" t="str">
        <f t="shared" si="35"/>
        <v>1100</v>
      </c>
      <c r="AA26" s="27" t="str">
        <f t="shared" si="36"/>
        <v>1011</v>
      </c>
      <c r="AB26" s="27" t="str">
        <f t="shared" si="37"/>
        <v>1010</v>
      </c>
      <c r="AC26" s="77">
        <f>BIN2DEC(U26)-BIN2DEC(U27)</f>
        <v>-8</v>
      </c>
      <c r="AD26" s="77">
        <f t="shared" ref="AD26:AI26" si="212">BIN2DEC(V26)-BIN2DEC(V27)</f>
        <v>-12</v>
      </c>
      <c r="AE26" s="77">
        <f t="shared" si="212"/>
        <v>-2</v>
      </c>
      <c r="AF26" s="77">
        <f t="shared" si="212"/>
        <v>-10</v>
      </c>
      <c r="AG26" s="77">
        <f t="shared" si="212"/>
        <v>3</v>
      </c>
      <c r="AH26" s="77">
        <f t="shared" si="212"/>
        <v>9</v>
      </c>
      <c r="AI26" s="77">
        <f t="shared" si="212"/>
        <v>10</v>
      </c>
      <c r="AJ26" s="77">
        <f>BIN2DEC(AB26)-BIN2DEC(AB27)</f>
        <v>-4</v>
      </c>
      <c r="AK26" s="26" t="str">
        <f t="shared" si="3"/>
        <v>0001000010110011</v>
      </c>
      <c r="AL26" s="26" t="str">
        <f t="shared" si="4"/>
        <v>1100110010111010</v>
      </c>
      <c r="AM26" s="77">
        <f>MID(AK26,16,1)*POWER(2,0)+MID(AK26,15,1)*POWER(2,1)+MID(AK26,14,1)*POWER(2,2)+MID(AK26,13,1)*POWER(2,3)+MID(AK26,12,1)*POWER(2,4)+MID(AK26,11,1)*POWER(2,5)+MID(AK26,10,1)*POWER(2,6)+MID(AK26,9,1)*POWER(2,7)+MID(AK26,8,1)*POWER(2,8)+MID(AK26,7,1)*POWER(2,9)+MID(AK26,6,1)*POWER(2,10)+MID(AK26,5,1)*POWER(2,11)+MID(AK26,4,1)*POWER(2,12)+MID(AK26,3,1)*POWER(2,13)+MID(AK26,2,1)*POWER(2,14)+MID(AK26,1,1)*POWER(2,15)-(MID(AK27,16,1)*POWER(2,0)+MID(AK27,15,1)*POWER(2,1)+MID(AK27,14,1)*POWER(2,2)+MID(AK27,13,1)*POWER(2,3)+MID(AK27,12,1)*POWER(2,4)+MID(AK27,11,1)*POWER(2,5)+MID(AK27,10,1)*POWER(2,6)+MID(AK27,9,1)*POWER(2,7)+MID(AK27,8,1)*POWER(2,8)+MID(AK27,7,1)*POWER(2,9)+MID(AK27,6,1)*POWER(2,10)+MID(AK27,5,1)*POWER(2,11)+MID(AK27,4,1)*POWER(2,12)+MID(AK27,3,1)*POWER(2,13)+MID(AK27,2,1)*POWER(2,14)+MID(AK27,1,1)*POWER(2,15))</f>
        <v>-35882</v>
      </c>
      <c r="AN26" s="77">
        <f>MID(AL26,16,1)*POWER(2,0)+MID(AL26,15,1)*POWER(2,1)+MID(AL26,14,1)*POWER(2,2)+MID(AL26,13,1)*POWER(2,3)+MID(AL26,12,1)*POWER(2,4)+MID(AL26,11,1)*POWER(2,5)+MID(AL26,10,1)*POWER(2,6)+MID(AL26,9,1)*POWER(2,7)+MID(AL26,8,1)*POWER(2,8)+MID(AL26,7,1)*POWER(2,9)+MID(AL26,6,1)*POWER(2,10)+MID(AL26,5,1)*POWER(2,11)+MID(AL26,4,1)*POWER(2,12)+MID(AL26,3,1)*POWER(2,13)+MID(AL26,2,1)*POWER(2,14)+MID(AL26,1,1)*POWER(2,15)-(MID(AL27,16,1)*POWER(2,0)+MID(AL27,15,1)*POWER(2,1)+MID(AL27,14,1)*POWER(2,2)+MID(AL27,13,1)*POWER(2,3)+MID(AL27,12,1)*POWER(2,4)+MID(AL27,11,1)*POWER(2,5)+MID(AL27,10,1)*POWER(2,6)+MID(AL27,9,1)*POWER(2,7)+MID(AL27,8,1)*POWER(2,8)+MID(AL27,7,1)*POWER(2,9)+MID(AL27,6,1)*POWER(2,10)+MID(AL27,5,1)*POWER(2,11)+MID(AL27,4,1)*POWER(2,12)+MID(AL27,3,1)*POWER(2,13)+MID(AL27,2,1)*POWER(2,14)+MID(AL27,1,1)*POWER(2,15))</f>
        <v>14748</v>
      </c>
      <c r="AO26" s="45" t="str">
        <f>H26</f>
        <v>00010000101100111100110010111010</v>
      </c>
      <c r="AP26" s="26" t="str">
        <f t="shared" si="38"/>
        <v>00010000</v>
      </c>
      <c r="AQ26" s="26" t="str">
        <f t="shared" si="39"/>
        <v>10110011</v>
      </c>
      <c r="AR26" s="26" t="str">
        <f t="shared" si="40"/>
        <v>11001100</v>
      </c>
      <c r="AS26" s="26" t="str">
        <f t="shared" si="41"/>
        <v>10111010</v>
      </c>
      <c r="AT26" s="77">
        <f>BIN2DEC(AP26)-BIN2DEC(AP27)</f>
        <v>16</v>
      </c>
      <c r="AU26" s="77">
        <f>BIN2DEC(AQ26)-BIN2DEC(AQ27)</f>
        <v>114</v>
      </c>
      <c r="AV26" s="77">
        <f>BIN2DEC(AR26)-BIN2DEC(AR27)</f>
        <v>201</v>
      </c>
      <c r="AW26" s="77">
        <f>BIN2DEC(AS26)-BIN2DEC(AS27)</f>
        <v>184</v>
      </c>
      <c r="AX26" s="27" t="str">
        <f t="shared" si="42"/>
        <v>0001</v>
      </c>
      <c r="AY26" s="27" t="str">
        <f t="shared" si="43"/>
        <v>0000</v>
      </c>
      <c r="AZ26" s="27" t="str">
        <f t="shared" si="44"/>
        <v>1011</v>
      </c>
      <c r="BA26" s="27" t="str">
        <f t="shared" si="45"/>
        <v>0011</v>
      </c>
      <c r="BB26" s="27" t="str">
        <f t="shared" si="46"/>
        <v>1100</v>
      </c>
      <c r="BC26" s="27" t="str">
        <f t="shared" si="47"/>
        <v>1100</v>
      </c>
      <c r="BD26" s="27" t="str">
        <f t="shared" si="48"/>
        <v>1011</v>
      </c>
      <c r="BE26" s="27" t="str">
        <f t="shared" si="49"/>
        <v>1010</v>
      </c>
      <c r="BF26" s="77">
        <f>BIN2DEC(AX26)-BIN2DEC(AX27)</f>
        <v>-8</v>
      </c>
      <c r="BG26" s="77">
        <f t="shared" ref="BG26:BL26" si="213">BIN2DEC(AY26)-BIN2DEC(AY27)</f>
        <v>-12</v>
      </c>
      <c r="BH26" s="77">
        <f t="shared" si="213"/>
        <v>-2</v>
      </c>
      <c r="BI26" s="77">
        <f t="shared" si="213"/>
        <v>-10</v>
      </c>
      <c r="BJ26" s="77">
        <f t="shared" si="213"/>
        <v>3</v>
      </c>
      <c r="BK26" s="77">
        <f t="shared" si="213"/>
        <v>9</v>
      </c>
      <c r="BL26" s="77">
        <f t="shared" si="213"/>
        <v>10</v>
      </c>
      <c r="BM26" s="77">
        <f>BIN2DEC(BE26)-BIN2DEC(BE27)</f>
        <v>-4</v>
      </c>
      <c r="BN26" s="26" t="str">
        <f t="shared" si="6"/>
        <v>0001000010110011</v>
      </c>
      <c r="BO26" s="26" t="str">
        <f t="shared" si="7"/>
        <v>1100110010111010</v>
      </c>
      <c r="BP26" s="77">
        <f>MID(BN26,16,1)*POWER(2,0)+MID(BN26,15,1)*POWER(2,1)+MID(BN26,14,1)*POWER(2,2)+MID(BN26,13,1)*POWER(2,3)+MID(BN26,12,1)*POWER(2,4)+MID(BN26,11,1)*POWER(2,5)+MID(BN26,10,1)*POWER(2,6)+MID(BN26,9,1)*POWER(2,7)+MID(BN26,8,1)*POWER(2,8)+MID(BN26,7,1)*POWER(2,9)+MID(BN26,6,1)*POWER(2,10)+MID(BN26,5,1)*POWER(2,11)+MID(BN26,4,1)*POWER(2,12)+MID(BN26,3,1)*POWER(2,13)+MID(BN26,2,1)*POWER(2,14)+MID(BN26,1,1)*POWER(2,15)-(MID(BN27,16,1)*POWER(2,0)+MID(BN27,15,1)*POWER(2,1)+MID(BN27,14,1)*POWER(2,2)+MID(BN27,13,1)*POWER(2,3)+MID(BN27,12,1)*POWER(2,4)+MID(BN27,11,1)*POWER(2,5)+MID(BN27,10,1)*POWER(2,6)+MID(BN27,9,1)*POWER(2,7)+MID(BN27,8,1)*POWER(2,8)+MID(BN27,7,1)*POWER(2,9)+MID(BN27,6,1)*POWER(2,10)+MID(BN27,5,1)*POWER(2,11)+MID(BN27,4,1)*POWER(2,12)+MID(BN27,3,1)*POWER(2,13)+MID(BN27,2,1)*POWER(2,14)+MID(BN27,1,1)*POWER(2,15))</f>
        <v>4210</v>
      </c>
      <c r="BQ26" s="77">
        <f>MID(BO26,16,1)*POWER(2,0)+MID(BO26,15,1)*POWER(2,1)+MID(BO26,14,1)*POWER(2,2)+MID(BO26,13,1)*POWER(2,3)+MID(BO26,12,1)*POWER(2,4)+MID(BO26,11,1)*POWER(2,5)+MID(BO26,10,1)*POWER(2,6)+MID(BO26,9,1)*POWER(2,7)+MID(BO26,8,1)*POWER(2,8)+MID(BO26,7,1)*POWER(2,9)+MID(BO26,6,1)*POWER(2,10)+MID(BO26,5,1)*POWER(2,11)+MID(BO26,4,1)*POWER(2,12)+MID(BO26,3,1)*POWER(2,13)+MID(BO26,2,1)*POWER(2,14)+MID(BO26,1,1)*POWER(2,15)-(MID(BO27,16,1)*POWER(2,0)+MID(BO27,15,1)*POWER(2,1)+MID(BO27,14,1)*POWER(2,2)+MID(BO27,13,1)*POWER(2,3)+MID(BO27,12,1)*POWER(2,4)+MID(BO27,11,1)*POWER(2,5)+MID(BO27,10,1)*POWER(2,6)+MID(BO27,9,1)*POWER(2,7)+MID(BO27,8,1)*POWER(2,8)+MID(BO27,7,1)*POWER(2,9)+MID(BO27,6,1)*POWER(2,10)+MID(BO27,5,1)*POWER(2,11)+MID(BO27,4,1)*POWER(2,12)+MID(BO27,3,1)*POWER(2,13)+MID(BO27,2,1)*POWER(2,14)+MID(BO27,1,1)*POWER(2,15))</f>
        <v>51640</v>
      </c>
      <c r="BR26" s="45" t="str">
        <f>CONCATENATE(MID($L26,1,1)*MID($K26,1,1),MID($L26,2,1)*MID($K26,2,1),MID($L26,3,1)*MID($K26,3,1),MID($L26,4,1)*MID($K26,4,1),MID($L26,5,1)*MID($K26,5,1),MID($L26,6,1)*MID($K26,6,1),MID($L26,7,1)*MID($K26,7,1),MID($L26,8,1)*MID($K26,8,1),MID($L26,9,1)*MID($K26,1,1),MID($L26,10,1)*MID($K26,2,1),MID($L26,11,1)*MID($K26,3,1),MID($L26,12,1)*MID($K26,4,1),MID($L26,13,1)*MID($K26,5,1),MID($L26,14,1)*MID($K26,6,1),MID($L26,15,1)*MID($K26,7,1),MID($L26,16,1)*MID($K26,8,1),MID($L26,17,1)*MID($K26,1,1),MID($L26,18,1)*MID($K26,2,1),MID($L26,19,1)*MID($K26,3,1),MID($L26,20,1)*MID($K26,4,1),MID($L26,21,1)*MID($K26,5,1),MID($L26,22,1)*MID($K26,6,1),MID($L26,23,1)*MID($K26,7,1),MID($L26,24,1)*MID($K26,8,1),MID($L26,25,1)*MID($K26,1,1),MID($L26,26,1)*MID($K26,2,1),MID($L26,27,1)*MID($K26,3,1),MID($L26,28,1)*MID($K26,4,1),MID($L26,29,1)*MID($K26,5,1),MID($L26,30,1)*MID($K26,6,1),MID($L26,31,1)*MID($K26,7,1),MID($L26,32,1)*MID($K26,8,1))</f>
        <v>00000000001000110100000000100010</v>
      </c>
      <c r="BS26" s="26" t="str">
        <f t="shared" si="50"/>
        <v>00000000</v>
      </c>
      <c r="BT26" s="26" t="str">
        <f t="shared" si="51"/>
        <v>00100011</v>
      </c>
      <c r="BU26" s="26" t="str">
        <f t="shared" si="52"/>
        <v>01000000</v>
      </c>
      <c r="BV26" s="26" t="str">
        <f t="shared" si="53"/>
        <v>00100010</v>
      </c>
      <c r="BW26" s="77">
        <f>BIN2DEC(BS26)-BIN2DEC(BS27)</f>
        <v>-156</v>
      </c>
      <c r="BX26" s="77">
        <f>BIN2DEC(BT26)-BIN2DEC(BT27)</f>
        <v>-186</v>
      </c>
      <c r="BY26" s="77">
        <f>BIN2DEC(BU26)-BIN2DEC(BU27)</f>
        <v>-83</v>
      </c>
      <c r="BZ26" s="77">
        <f>BIN2DEC(BV26)-BIN2DEC(BV27)</f>
        <v>4</v>
      </c>
      <c r="CA26" s="27" t="str">
        <f t="shared" si="54"/>
        <v>0001</v>
      </c>
      <c r="CB26" s="27" t="str">
        <f t="shared" si="55"/>
        <v>0000</v>
      </c>
      <c r="CC26" s="27" t="str">
        <f t="shared" si="56"/>
        <v>1011</v>
      </c>
      <c r="CD26" s="27" t="str">
        <f t="shared" si="57"/>
        <v>0011</v>
      </c>
      <c r="CE26" s="27" t="str">
        <f t="shared" si="58"/>
        <v>1100</v>
      </c>
      <c r="CF26" s="27" t="str">
        <f t="shared" si="59"/>
        <v>1100</v>
      </c>
      <c r="CG26" s="27" t="str">
        <f t="shared" si="60"/>
        <v>1011</v>
      </c>
      <c r="CH26" s="27" t="str">
        <f t="shared" si="61"/>
        <v>1010</v>
      </c>
      <c r="CI26" s="77">
        <f>BIN2DEC(CA26)-BIN2DEC(CA27)</f>
        <v>-8</v>
      </c>
      <c r="CJ26" s="77">
        <f t="shared" ref="CJ26:CO26" si="214">BIN2DEC(CB26)-BIN2DEC(CB27)</f>
        <v>-12</v>
      </c>
      <c r="CK26" s="77">
        <f t="shared" si="214"/>
        <v>-2</v>
      </c>
      <c r="CL26" s="77">
        <f t="shared" si="214"/>
        <v>-10</v>
      </c>
      <c r="CM26" s="77">
        <f t="shared" si="214"/>
        <v>3</v>
      </c>
      <c r="CN26" s="77">
        <f t="shared" si="214"/>
        <v>9</v>
      </c>
      <c r="CO26" s="77">
        <f t="shared" si="214"/>
        <v>10</v>
      </c>
      <c r="CP26" s="77">
        <f>BIN2DEC(CH26)-BIN2DEC(CH27)</f>
        <v>-4</v>
      </c>
      <c r="CQ26" s="26" t="str">
        <f t="shared" si="9"/>
        <v>0000000000100011</v>
      </c>
      <c r="CR26" s="26" t="str">
        <f t="shared" si="10"/>
        <v>0100000000100010</v>
      </c>
      <c r="CS26" s="77">
        <f>MID(CQ26,16,1)*POWER(2,0)+MID(CQ26,15,1)*POWER(2,1)+MID(CQ26,14,1)*POWER(2,2)+MID(CQ26,13,1)*POWER(2,3)+MID(CQ26,12,1)*POWER(2,4)+MID(CQ26,11,1)*POWER(2,5)+MID(CQ26,10,1)*POWER(2,6)+MID(CQ26,9,1)*POWER(2,7)+MID(CQ26,8,1)*POWER(2,8)+MID(CQ26,7,1)*POWER(2,9)+MID(CQ26,6,1)*POWER(2,10)+MID(CQ26,5,1)*POWER(2,11)+MID(CQ26,4,1)*POWER(2,12)+MID(CQ26,3,1)*POWER(2,13)+MID(CQ26,2,1)*POWER(2,14)+MID(CQ26,1,1)*POWER(2,15)-(MID(CQ27,16,1)*POWER(2,0)+MID(CQ27,15,1)*POWER(2,1)+MID(CQ27,14,1)*POWER(2,2)+MID(CQ27,13,1)*POWER(2,3)+MID(CQ27,12,1)*POWER(2,4)+MID(CQ27,11,1)*POWER(2,5)+MID(CQ27,10,1)*POWER(2,6)+MID(CQ27,9,1)*POWER(2,7)+MID(CQ27,8,1)*POWER(2,8)+MID(CQ27,7,1)*POWER(2,9)+MID(CQ27,6,1)*POWER(2,10)+MID(CQ27,5,1)*POWER(2,11)+MID(CQ27,4,1)*POWER(2,12)+MID(CQ27,3,1)*POWER(2,13)+MID(CQ27,2,1)*POWER(2,14)+MID(CQ27,1,1)*POWER(2,15))</f>
        <v>-40122</v>
      </c>
      <c r="CT26" s="77">
        <f>MID(CR26,16,1)*POWER(2,0)+MID(CR26,15,1)*POWER(2,1)+MID(CR26,14,1)*POWER(2,2)+MID(CR26,13,1)*POWER(2,3)+MID(CR26,12,1)*POWER(2,4)+MID(CR26,11,1)*POWER(2,5)+MID(CR26,10,1)*POWER(2,6)+MID(CR26,9,1)*POWER(2,7)+MID(CR26,8,1)*POWER(2,8)+MID(CR26,7,1)*POWER(2,9)+MID(CR26,6,1)*POWER(2,10)+MID(CR26,5,1)*POWER(2,11)+MID(CR26,4,1)*POWER(2,12)+MID(CR26,3,1)*POWER(2,13)+MID(CR26,2,1)*POWER(2,14)+MID(CR26,1,1)*POWER(2,15)-(MID(CR27,16,1)*POWER(2,0)+MID(CR27,15,1)*POWER(2,1)+MID(CR27,14,1)*POWER(2,2)+MID(CR27,13,1)*POWER(2,3)+MID(CR27,12,1)*POWER(2,4)+MID(CR27,11,1)*POWER(2,5)+MID(CR27,10,1)*POWER(2,6)+MID(CR27,9,1)*POWER(2,7)+MID(CR27,8,1)*POWER(2,8)+MID(CR27,7,1)*POWER(2,9)+MID(CR27,6,1)*POWER(2,10)+MID(CR27,5,1)*POWER(2,11)+MID(CR27,4,1)*POWER(2,12)+MID(CR27,3,1)*POWER(2,13)+MID(CR27,2,1)*POWER(2,14)+MID(CR27,1,1)*POWER(2,15))</f>
        <v>-21244</v>
      </c>
      <c r="CU26" s="45" t="str">
        <f>BR26</f>
        <v>00000000001000110100000000100010</v>
      </c>
      <c r="CV26" s="26" t="str">
        <f t="shared" si="62"/>
        <v>00000000</v>
      </c>
      <c r="CW26" s="26" t="str">
        <f t="shared" si="63"/>
        <v>00100011</v>
      </c>
      <c r="CX26" s="26" t="str">
        <f t="shared" si="64"/>
        <v>01000000</v>
      </c>
      <c r="CY26" s="26" t="str">
        <f t="shared" si="65"/>
        <v>00100010</v>
      </c>
      <c r="CZ26" s="77">
        <f>BIN2DEC(CV26)-BIN2DEC(CV27)</f>
        <v>0</v>
      </c>
      <c r="DA26" s="77">
        <f>BIN2DEC(CW26)-BIN2DEC(CW27)</f>
        <v>-30</v>
      </c>
      <c r="DB26" s="77">
        <f>BIN2DEC(CX26)-BIN2DEC(CX27)</f>
        <v>61</v>
      </c>
      <c r="DC26" s="77">
        <f>BIN2DEC(CY26)-BIN2DEC(CY27)</f>
        <v>32</v>
      </c>
      <c r="DD26" s="27" t="str">
        <f t="shared" si="66"/>
        <v>0001</v>
      </c>
      <c r="DE26" s="27" t="str">
        <f t="shared" si="67"/>
        <v>0000</v>
      </c>
      <c r="DF26" s="27" t="str">
        <f t="shared" si="68"/>
        <v>1011</v>
      </c>
      <c r="DG26" s="27" t="str">
        <f t="shared" si="69"/>
        <v>0011</v>
      </c>
      <c r="DH26" s="27" t="str">
        <f t="shared" si="70"/>
        <v>1100</v>
      </c>
      <c r="DI26" s="27" t="str">
        <f t="shared" si="71"/>
        <v>1100</v>
      </c>
      <c r="DJ26" s="27" t="str">
        <f t="shared" si="72"/>
        <v>1011</v>
      </c>
      <c r="DK26" s="27" t="str">
        <f t="shared" si="73"/>
        <v>1010</v>
      </c>
      <c r="DL26" s="77">
        <f>BIN2DEC(DD26)-BIN2DEC(DD27)</f>
        <v>-8</v>
      </c>
      <c r="DM26" s="77">
        <f t="shared" ref="DM26:DR26" si="215">BIN2DEC(DE26)-BIN2DEC(DE27)</f>
        <v>-12</v>
      </c>
      <c r="DN26" s="77">
        <f t="shared" si="215"/>
        <v>-2</v>
      </c>
      <c r="DO26" s="77">
        <f t="shared" si="215"/>
        <v>-10</v>
      </c>
      <c r="DP26" s="77">
        <f t="shared" si="215"/>
        <v>3</v>
      </c>
      <c r="DQ26" s="77">
        <f t="shared" si="215"/>
        <v>9</v>
      </c>
      <c r="DR26" s="77">
        <f t="shared" si="215"/>
        <v>10</v>
      </c>
      <c r="DS26" s="77">
        <f>BIN2DEC(DK26)-BIN2DEC(DK27)</f>
        <v>-4</v>
      </c>
      <c r="DT26" s="26" t="str">
        <f t="shared" si="12"/>
        <v>0000000000100011</v>
      </c>
      <c r="DU26" s="26" t="str">
        <f t="shared" si="13"/>
        <v>0100000000100010</v>
      </c>
      <c r="DV26" s="77">
        <f>MID(DT26,16,1)*POWER(2,0)+MID(DT26,15,1)*POWER(2,1)+MID(DT26,14,1)*POWER(2,2)+MID(DT26,13,1)*POWER(2,3)+MID(DT26,12,1)*POWER(2,4)+MID(DT26,11,1)*POWER(2,5)+MID(DT26,10,1)*POWER(2,6)+MID(DT26,9,1)*POWER(2,7)+MID(DT26,8,1)*POWER(2,8)+MID(DT26,7,1)*POWER(2,9)+MID(DT26,6,1)*POWER(2,10)+MID(DT26,5,1)*POWER(2,11)+MID(DT26,4,1)*POWER(2,12)+MID(DT26,3,1)*POWER(2,13)+MID(DT26,2,1)*POWER(2,14)+MID(DT26,1,1)*POWER(2,15)-(MID(DT27,16,1)*POWER(2,0)+MID(DT27,15,1)*POWER(2,1)+MID(DT27,14,1)*POWER(2,2)+MID(DT27,13,1)*POWER(2,3)+MID(DT27,12,1)*POWER(2,4)+MID(DT27,11,1)*POWER(2,5)+MID(DT27,10,1)*POWER(2,6)+MID(DT27,9,1)*POWER(2,7)+MID(DT27,8,1)*POWER(2,8)+MID(DT27,7,1)*POWER(2,9)+MID(DT27,6,1)*POWER(2,10)+MID(DT27,5,1)*POWER(2,11)+MID(DT27,4,1)*POWER(2,12)+MID(DT27,3,1)*POWER(2,13)+MID(DT27,2,1)*POWER(2,14)+MID(DT27,1,1)*POWER(2,15))</f>
        <v>-30</v>
      </c>
      <c r="DW26" s="77">
        <f>MID(DU26,16,1)*POWER(2,0)+MID(DU26,15,1)*POWER(2,1)+MID(DU26,14,1)*POWER(2,2)+MID(DU26,13,1)*POWER(2,3)+MID(DU26,12,1)*POWER(2,4)+MID(DU26,11,1)*POWER(2,5)+MID(DU26,10,1)*POWER(2,6)+MID(DU26,9,1)*POWER(2,7)+MID(DU26,8,1)*POWER(2,8)+MID(DU26,7,1)*POWER(2,9)+MID(DU26,6,1)*POWER(2,10)+MID(DU26,5,1)*POWER(2,11)+MID(DU26,4,1)*POWER(2,12)+MID(DU26,3,1)*POWER(2,13)+MID(DU26,2,1)*POWER(2,14)+MID(DU26,1,1)*POWER(2,15)-(MID(DU27,16,1)*POWER(2,0)+MID(DU27,15,1)*POWER(2,1)+MID(DU27,14,1)*POWER(2,2)+MID(DU27,13,1)*POWER(2,3)+MID(DU27,12,1)*POWER(2,4)+MID(DU27,11,1)*POWER(2,5)+MID(DU27,10,1)*POWER(2,6)+MID(DU27,9,1)*POWER(2,7)+MID(DU27,8,1)*POWER(2,8)+MID(DU27,7,1)*POWER(2,9)+MID(DU27,6,1)*POWER(2,10)+MID(DU27,5,1)*POWER(2,11)+MID(DU27,4,1)*POWER(2,12)+MID(DU27,3,1)*POWER(2,13)+MID(DU27,2,1)*POWER(2,14)+MID(DU27,1,1)*POWER(2,15))</f>
        <v>15648</v>
      </c>
      <c r="DX26" s="22"/>
      <c r="DY26" s="43" t="str">
        <f>H26</f>
        <v>00010000101100111100110010111010</v>
      </c>
      <c r="DZ26" s="26" t="str">
        <f t="shared" si="122"/>
        <v>00010000</v>
      </c>
      <c r="EA26" s="26" t="str">
        <f t="shared" si="74"/>
        <v>10110011</v>
      </c>
      <c r="EB26" s="26" t="str">
        <f t="shared" si="75"/>
        <v>11001100</v>
      </c>
      <c r="EC26" s="26" t="str">
        <f t="shared" si="76"/>
        <v>10111010</v>
      </c>
      <c r="ED26" s="77">
        <f>BIN2DEC(DZ26)-BIN2DEC(DZ27)</f>
        <v>-8</v>
      </c>
      <c r="EE26" s="77">
        <f>BIN2DEC(EA26)-BIN2DEC(EA27)</f>
        <v>154</v>
      </c>
      <c r="EF26" s="77">
        <f>BIN2DEC(EB26)-BIN2DEC(EB27)</f>
        <v>185</v>
      </c>
      <c r="EG26" s="77">
        <f>BIN2DEC(EC26)-BIN2DEC(EC27)</f>
        <v>160</v>
      </c>
      <c r="EH26" s="27" t="str">
        <f t="shared" si="77"/>
        <v>0001</v>
      </c>
      <c r="EI26" s="27" t="str">
        <f t="shared" si="78"/>
        <v>0000</v>
      </c>
      <c r="EJ26" s="27" t="str">
        <f t="shared" si="79"/>
        <v>1011</v>
      </c>
      <c r="EK26" s="27" t="str">
        <f t="shared" si="80"/>
        <v>0011</v>
      </c>
      <c r="EL26" s="27" t="str">
        <f t="shared" si="81"/>
        <v>1100</v>
      </c>
      <c r="EM26" s="27" t="str">
        <f t="shared" si="82"/>
        <v>1100</v>
      </c>
      <c r="EN26" s="27" t="str">
        <f t="shared" si="83"/>
        <v>1011</v>
      </c>
      <c r="EO26" s="27" t="str">
        <f t="shared" si="84"/>
        <v>1010</v>
      </c>
      <c r="EP26" s="77">
        <f>BIN2DEC(EH26)-BIN2DEC(EH27)</f>
        <v>-8</v>
      </c>
      <c r="EQ26" s="77">
        <f t="shared" ref="EQ26:EV26" si="216">BIN2DEC(EI26)-BIN2DEC(EI27)</f>
        <v>-12</v>
      </c>
      <c r="ER26" s="77">
        <f t="shared" si="216"/>
        <v>-2</v>
      </c>
      <c r="ES26" s="77">
        <f t="shared" si="216"/>
        <v>-10</v>
      </c>
      <c r="ET26" s="77">
        <f t="shared" si="216"/>
        <v>3</v>
      </c>
      <c r="EU26" s="77">
        <f t="shared" si="216"/>
        <v>9</v>
      </c>
      <c r="EV26" s="77">
        <f t="shared" si="216"/>
        <v>10</v>
      </c>
      <c r="EW26" s="77">
        <f>BIN2DEC(EO26)-BIN2DEC(EO27)</f>
        <v>-4</v>
      </c>
      <c r="EX26" s="26" t="str">
        <f t="shared" si="15"/>
        <v>0001000010110011</v>
      </c>
      <c r="EY26" s="26" t="str">
        <f t="shared" si="16"/>
        <v>1100110010111010</v>
      </c>
      <c r="EZ26" s="77">
        <f>MID(EX26,16,1)*POWER(2,0)+MID(EX26,15,1)*POWER(2,1)+MID(EX26,14,1)*POWER(2,2)+MID(EX26,13,1)*POWER(2,3)+MID(EX26,12,1)*POWER(2,4)+MID(EX26,11,1)*POWER(2,5)+MID(EX26,10,1)*POWER(2,6)+MID(EX26,9,1)*POWER(2,7)+MID(EX26,8,1)*POWER(2,8)+MID(EX26,7,1)*POWER(2,9)+MID(EX26,6,1)*POWER(2,10)+MID(EX26,5,1)*POWER(2,11)+MID(EX26,4,1)*POWER(2,12)+MID(EX26,3,1)*POWER(2,13)+MID(EX26,2,1)*POWER(2,14)+MID(EX26,1,1)*POWER(2,15)-(MID(EX27,16,1)*POWER(2,0)+MID(EX27,15,1)*POWER(2,1)+MID(EX27,14,1)*POWER(2,2)+MID(EX27,13,1)*POWER(2,3)+MID(EX27,12,1)*POWER(2,4)+MID(EX27,11,1)*POWER(2,5)+MID(EX27,10,1)*POWER(2,6)+MID(EX27,9,1)*POWER(2,7)+MID(EX27,8,1)*POWER(2,8)+MID(EX27,7,1)*POWER(2,9)+MID(EX27,6,1)*POWER(2,10)+MID(EX27,5,1)*POWER(2,11)+MID(EX27,4,1)*POWER(2,12)+MID(EX27,3,1)*POWER(2,13)+MID(EX27,2,1)*POWER(2,14)+MID(EX27,1,1)*POWER(2,15))</f>
        <v>-1894</v>
      </c>
      <c r="FA26" s="77">
        <f>MID(EY26,16,1)*POWER(2,0)+MID(EY26,15,1)*POWER(2,1)+MID(EY26,14,1)*POWER(2,2)+MID(EY26,13,1)*POWER(2,3)+MID(EY26,12,1)*POWER(2,4)+MID(EY26,11,1)*POWER(2,5)+MID(EY26,10,1)*POWER(2,6)+MID(EY26,9,1)*POWER(2,7)+MID(EY26,8,1)*POWER(2,8)+MID(EY26,7,1)*POWER(2,9)+MID(EY26,6,1)*POWER(2,10)+MID(EY26,5,1)*POWER(2,11)+MID(EY26,4,1)*POWER(2,12)+MID(EY26,3,1)*POWER(2,13)+MID(EY26,2,1)*POWER(2,14)+MID(EY26,1,1)*POWER(2,15)-(MID(EY27,16,1)*POWER(2,0)+MID(EY27,15,1)*POWER(2,1)+MID(EY27,14,1)*POWER(2,2)+MID(EY27,13,1)*POWER(2,3)+MID(EY27,12,1)*POWER(2,4)+MID(EY27,11,1)*POWER(2,5)+MID(EY27,10,1)*POWER(2,6)+MID(EY27,9,1)*POWER(2,7)+MID(EY27,8,1)*POWER(2,8)+MID(EY27,7,1)*POWER(2,9)+MID(EY27,6,1)*POWER(2,10)+MID(EY27,5,1)*POWER(2,11)+MID(EY27,4,1)*POWER(2,12)+MID(EY27,3,1)*POWER(2,13)+MID(EY27,2,1)*POWER(2,14)+MID(EY27,1,1)*POWER(2,15))</f>
        <v>47520</v>
      </c>
      <c r="FB26" s="45" t="str">
        <f>H26</f>
        <v>00010000101100111100110010111010</v>
      </c>
      <c r="FC26" s="26" t="str">
        <f t="shared" si="124"/>
        <v>00010000</v>
      </c>
      <c r="FD26" s="26" t="str">
        <f t="shared" si="85"/>
        <v>10110011</v>
      </c>
      <c r="FE26" s="26" t="str">
        <f t="shared" si="86"/>
        <v>11001100</v>
      </c>
      <c r="FF26" s="26" t="str">
        <f t="shared" si="87"/>
        <v>10111010</v>
      </c>
      <c r="FG26" s="77">
        <f>BIN2DEC(FC26)-BIN2DEC(FC27)</f>
        <v>16</v>
      </c>
      <c r="FH26" s="77">
        <f>BIN2DEC(FD26)-BIN2DEC(FD27)</f>
        <v>178</v>
      </c>
      <c r="FI26" s="77">
        <f>BIN2DEC(FE26)-BIN2DEC(FE27)</f>
        <v>201</v>
      </c>
      <c r="FJ26" s="77">
        <f>BIN2DEC(FF26)-BIN2DEC(FF27)</f>
        <v>184</v>
      </c>
      <c r="FK26" s="27" t="str">
        <f t="shared" si="88"/>
        <v>0001</v>
      </c>
      <c r="FL26" s="27" t="str">
        <f t="shared" si="89"/>
        <v>0000</v>
      </c>
      <c r="FM26" s="27" t="str">
        <f t="shared" si="90"/>
        <v>1011</v>
      </c>
      <c r="FN26" s="27" t="str">
        <f t="shared" si="91"/>
        <v>0011</v>
      </c>
      <c r="FO26" s="27" t="str">
        <f t="shared" si="92"/>
        <v>1100</v>
      </c>
      <c r="FP26" s="27" t="str">
        <f t="shared" si="93"/>
        <v>1100</v>
      </c>
      <c r="FQ26" s="27" t="str">
        <f t="shared" si="94"/>
        <v>1011</v>
      </c>
      <c r="FR26" s="27" t="str">
        <f t="shared" si="95"/>
        <v>1010</v>
      </c>
      <c r="FS26" s="77">
        <f>BIN2DEC(FK26)-BIN2DEC(FK27)</f>
        <v>-8</v>
      </c>
      <c r="FT26" s="77">
        <f t="shared" ref="FT26:FY26" si="217">BIN2DEC(FL26)-BIN2DEC(FL27)</f>
        <v>-12</v>
      </c>
      <c r="FU26" s="77">
        <f t="shared" si="217"/>
        <v>-2</v>
      </c>
      <c r="FV26" s="77">
        <f t="shared" si="217"/>
        <v>-10</v>
      </c>
      <c r="FW26" s="77">
        <f t="shared" si="217"/>
        <v>3</v>
      </c>
      <c r="FX26" s="77">
        <f t="shared" si="217"/>
        <v>9</v>
      </c>
      <c r="FY26" s="77">
        <f t="shared" si="217"/>
        <v>10</v>
      </c>
      <c r="FZ26" s="77">
        <f>BIN2DEC(FR26)-BIN2DEC(FR27)</f>
        <v>-4</v>
      </c>
      <c r="GA26" s="26" t="str">
        <f t="shared" si="18"/>
        <v>0001000010110011</v>
      </c>
      <c r="GB26" s="26" t="str">
        <f t="shared" si="19"/>
        <v>1100110010111010</v>
      </c>
      <c r="GC26" s="77">
        <f>MID(GA26,16,1)*POWER(2,0)+MID(GA26,15,1)*POWER(2,1)+MID(GA26,14,1)*POWER(2,2)+MID(GA26,13,1)*POWER(2,3)+MID(GA26,12,1)*POWER(2,4)+MID(GA26,11,1)*POWER(2,5)+MID(GA26,10,1)*POWER(2,6)+MID(GA26,9,1)*POWER(2,7)+MID(GA26,8,1)*POWER(2,8)+MID(GA26,7,1)*POWER(2,9)+MID(GA26,6,1)*POWER(2,10)+MID(GA26,5,1)*POWER(2,11)+MID(GA26,4,1)*POWER(2,12)+MID(GA26,3,1)*POWER(2,13)+MID(GA26,2,1)*POWER(2,14)+MID(GA26,1,1)*POWER(2,15)-(MID(GA27,16,1)*POWER(2,0)+MID(GA27,15,1)*POWER(2,1)+MID(GA27,14,1)*POWER(2,2)+MID(GA27,13,1)*POWER(2,3)+MID(GA27,12,1)*POWER(2,4)+MID(GA27,11,1)*POWER(2,5)+MID(GA27,10,1)*POWER(2,6)+MID(GA27,9,1)*POWER(2,7)+MID(GA27,8,1)*POWER(2,8)+MID(GA27,7,1)*POWER(2,9)+MID(GA27,6,1)*POWER(2,10)+MID(GA27,5,1)*POWER(2,11)+MID(GA27,4,1)*POWER(2,12)+MID(GA27,3,1)*POWER(2,13)+MID(GA27,2,1)*POWER(2,14)+MID(GA27,1,1)*POWER(2,15))</f>
        <v>4274</v>
      </c>
      <c r="GD26" s="77">
        <f>MID(GB26,16,1)*POWER(2,0)+MID(GB26,15,1)*POWER(2,1)+MID(GB26,14,1)*POWER(2,2)+MID(GB26,13,1)*POWER(2,3)+MID(GB26,12,1)*POWER(2,4)+MID(GB26,11,1)*POWER(2,5)+MID(GB26,10,1)*POWER(2,6)+MID(GB26,9,1)*POWER(2,7)+MID(GB26,8,1)*POWER(2,8)+MID(GB26,7,1)*POWER(2,9)+MID(GB26,6,1)*POWER(2,10)+MID(GB26,5,1)*POWER(2,11)+MID(GB26,4,1)*POWER(2,12)+MID(GB26,3,1)*POWER(2,13)+MID(GB26,2,1)*POWER(2,14)+MID(GB26,1,1)*POWER(2,15)-(MID(GB27,16,1)*POWER(2,0)+MID(GB27,15,1)*POWER(2,1)+MID(GB27,14,1)*POWER(2,2)+MID(GB27,13,1)*POWER(2,3)+MID(GB27,12,1)*POWER(2,4)+MID(GB27,11,1)*POWER(2,5)+MID(GB27,10,1)*POWER(2,6)+MID(GB27,9,1)*POWER(2,7)+MID(GB27,8,1)*POWER(2,8)+MID(GB27,7,1)*POWER(2,9)+MID(GB27,6,1)*POWER(2,10)+MID(GB27,5,1)*POWER(2,11)+MID(GB27,4,1)*POWER(2,12)+MID(GB27,3,1)*POWER(2,13)+MID(GB27,2,1)*POWER(2,14)+MID(GB27,1,1)*POWER(2,15))</f>
        <v>51640</v>
      </c>
      <c r="GE26" s="47" t="str">
        <f>CU26</f>
        <v>00000000001000110100000000100010</v>
      </c>
      <c r="GF26" s="26" t="str">
        <f t="shared" si="126"/>
        <v>00000000</v>
      </c>
      <c r="GG26" s="26" t="str">
        <f t="shared" si="96"/>
        <v>00100011</v>
      </c>
      <c r="GH26" s="26" t="str">
        <f t="shared" si="97"/>
        <v>01000000</v>
      </c>
      <c r="GI26" s="26" t="str">
        <f t="shared" si="98"/>
        <v>00100010</v>
      </c>
      <c r="GJ26" s="77">
        <f>BIN2DEC(GF26)-BIN2DEC(GF27)</f>
        <v>-24</v>
      </c>
      <c r="GK26" s="77">
        <f>BIN2DEC(GG26)-BIN2DEC(GG27)</f>
        <v>10</v>
      </c>
      <c r="GL26" s="77">
        <f>BIN2DEC(GH26)-BIN2DEC(GH27)</f>
        <v>45</v>
      </c>
      <c r="GM26" s="77">
        <f>BIN2DEC(GI26)-BIN2DEC(GI27)</f>
        <v>8</v>
      </c>
      <c r="GN26" s="27" t="str">
        <f t="shared" si="99"/>
        <v>0001</v>
      </c>
      <c r="GO26" s="27" t="str">
        <f t="shared" si="100"/>
        <v>0000</v>
      </c>
      <c r="GP26" s="27" t="str">
        <f t="shared" si="101"/>
        <v>1011</v>
      </c>
      <c r="GQ26" s="27" t="str">
        <f t="shared" si="102"/>
        <v>0011</v>
      </c>
      <c r="GR26" s="27" t="str">
        <f t="shared" si="103"/>
        <v>1100</v>
      </c>
      <c r="GS26" s="27" t="str">
        <f t="shared" si="104"/>
        <v>1100</v>
      </c>
      <c r="GT26" s="27" t="str">
        <f t="shared" si="105"/>
        <v>1011</v>
      </c>
      <c r="GU26" s="27" t="str">
        <f t="shared" si="106"/>
        <v>1010</v>
      </c>
      <c r="GV26" s="77">
        <f>BIN2DEC(GN26)-BIN2DEC(GN27)</f>
        <v>-8</v>
      </c>
      <c r="GW26" s="77">
        <f t="shared" ref="GW26:HB26" si="218">BIN2DEC(GO26)-BIN2DEC(GO27)</f>
        <v>-12</v>
      </c>
      <c r="GX26" s="77">
        <f t="shared" si="218"/>
        <v>-2</v>
      </c>
      <c r="GY26" s="77">
        <f t="shared" si="218"/>
        <v>-10</v>
      </c>
      <c r="GZ26" s="77">
        <f t="shared" si="218"/>
        <v>3</v>
      </c>
      <c r="HA26" s="77">
        <f t="shared" si="218"/>
        <v>9</v>
      </c>
      <c r="HB26" s="77">
        <f t="shared" si="218"/>
        <v>10</v>
      </c>
      <c r="HC26" s="77">
        <f>BIN2DEC(GU26)-BIN2DEC(GU27)</f>
        <v>-4</v>
      </c>
      <c r="HD26" s="26" t="str">
        <f t="shared" si="21"/>
        <v>0000000000100011</v>
      </c>
      <c r="HE26" s="26" t="str">
        <f t="shared" si="22"/>
        <v>0100000000100010</v>
      </c>
      <c r="HF26" s="77">
        <f>MID(HD26,16,1)*POWER(2,0)+MID(HD26,15,1)*POWER(2,1)+MID(HD26,14,1)*POWER(2,2)+MID(HD26,13,1)*POWER(2,3)+MID(HD26,12,1)*POWER(2,4)+MID(HD26,11,1)*POWER(2,5)+MID(HD26,10,1)*POWER(2,6)+MID(HD26,9,1)*POWER(2,7)+MID(HD26,8,1)*POWER(2,8)+MID(HD26,7,1)*POWER(2,9)+MID(HD26,6,1)*POWER(2,10)+MID(HD26,5,1)*POWER(2,11)+MID(HD26,4,1)*POWER(2,12)+MID(HD26,3,1)*POWER(2,13)+MID(HD26,2,1)*POWER(2,14)+MID(HD26,1,1)*POWER(2,15)-(MID(HD27,16,1)*POWER(2,0)+MID(HD27,15,1)*POWER(2,1)+MID(HD27,14,1)*POWER(2,2)+MID(HD27,13,1)*POWER(2,3)+MID(HD27,12,1)*POWER(2,4)+MID(HD27,11,1)*POWER(2,5)+MID(HD27,10,1)*POWER(2,6)+MID(HD27,9,1)*POWER(2,7)+MID(HD27,8,1)*POWER(2,8)+MID(HD27,7,1)*POWER(2,9)+MID(HD27,6,1)*POWER(2,10)+MID(HD27,5,1)*POWER(2,11)+MID(HD27,4,1)*POWER(2,12)+MID(HD27,3,1)*POWER(2,13)+MID(HD27,2,1)*POWER(2,14)+MID(HD27,1,1)*POWER(2,15))</f>
        <v>-6134</v>
      </c>
      <c r="HG26" s="77">
        <f>MID(HE26,16,1)*POWER(2,0)+MID(HE26,15,1)*POWER(2,1)+MID(HE26,14,1)*POWER(2,2)+MID(HE26,13,1)*POWER(2,3)+MID(HE26,12,1)*POWER(2,4)+MID(HE26,11,1)*POWER(2,5)+MID(HE26,10,1)*POWER(2,6)+MID(HE26,9,1)*POWER(2,7)+MID(HE26,8,1)*POWER(2,8)+MID(HE26,7,1)*POWER(2,9)+MID(HE26,6,1)*POWER(2,10)+MID(HE26,5,1)*POWER(2,11)+MID(HE26,4,1)*POWER(2,12)+MID(HE26,3,1)*POWER(2,13)+MID(HE26,2,1)*POWER(2,14)+MID(HE26,1,1)*POWER(2,15)-(MID(HE27,16,1)*POWER(2,0)+MID(HE27,15,1)*POWER(2,1)+MID(HE27,14,1)*POWER(2,2)+MID(HE27,13,1)*POWER(2,3)+MID(HE27,12,1)*POWER(2,4)+MID(HE27,11,1)*POWER(2,5)+MID(HE27,10,1)*POWER(2,6)+MID(HE27,9,1)*POWER(2,7)+MID(HE27,8,1)*POWER(2,8)+MID(HE27,7,1)*POWER(2,9)+MID(HE27,6,1)*POWER(2,10)+MID(HE27,5,1)*POWER(2,11)+MID(HE27,4,1)*POWER(2,12)+MID(HE27,3,1)*POWER(2,13)+MID(HE27,2,1)*POWER(2,14)+MID(HE27,1,1)*POWER(2,15))</f>
        <v>11528</v>
      </c>
      <c r="HH26" s="45" t="str">
        <f>GE26</f>
        <v>00000000001000110100000000100010</v>
      </c>
      <c r="HI26" s="26" t="str">
        <f t="shared" si="128"/>
        <v>00000000</v>
      </c>
      <c r="HJ26" s="26" t="str">
        <f t="shared" si="107"/>
        <v>00100011</v>
      </c>
      <c r="HK26" s="26" t="str">
        <f t="shared" si="108"/>
        <v>01000000</v>
      </c>
      <c r="HL26" s="26" t="str">
        <f t="shared" si="109"/>
        <v>00100010</v>
      </c>
      <c r="HM26" s="77">
        <f>BIN2DEC(HI26)-BIN2DEC(HI27)</f>
        <v>0</v>
      </c>
      <c r="HN26" s="77">
        <f>BIN2DEC(HJ26)-BIN2DEC(HJ27)</f>
        <v>34</v>
      </c>
      <c r="HO26" s="77">
        <f>BIN2DEC(HK26)-BIN2DEC(HK27)</f>
        <v>61</v>
      </c>
      <c r="HP26" s="77">
        <f>BIN2DEC(HL26)-BIN2DEC(HL27)</f>
        <v>32</v>
      </c>
      <c r="HQ26" s="27" t="str">
        <f t="shared" si="110"/>
        <v>0001</v>
      </c>
      <c r="HR26" s="27" t="str">
        <f t="shared" si="111"/>
        <v>0000</v>
      </c>
      <c r="HS26" s="27" t="str">
        <f t="shared" si="112"/>
        <v>1011</v>
      </c>
      <c r="HT26" s="27" t="str">
        <f t="shared" si="113"/>
        <v>0011</v>
      </c>
      <c r="HU26" s="27" t="str">
        <f t="shared" si="114"/>
        <v>1100</v>
      </c>
      <c r="HV26" s="27" t="str">
        <f t="shared" si="115"/>
        <v>1100</v>
      </c>
      <c r="HW26" s="27" t="str">
        <f t="shared" si="116"/>
        <v>1011</v>
      </c>
      <c r="HX26" s="27" t="str">
        <f t="shared" si="117"/>
        <v>1010</v>
      </c>
      <c r="HY26" s="77">
        <f>BIN2DEC(HQ26)-BIN2DEC(HQ27)</f>
        <v>-8</v>
      </c>
      <c r="HZ26" s="77">
        <f t="shared" ref="HZ26:IE26" si="219">BIN2DEC(HR26)-BIN2DEC(HR27)</f>
        <v>-12</v>
      </c>
      <c r="IA26" s="77">
        <f t="shared" si="219"/>
        <v>-2</v>
      </c>
      <c r="IB26" s="77">
        <f t="shared" si="219"/>
        <v>-10</v>
      </c>
      <c r="IC26" s="77">
        <f t="shared" si="219"/>
        <v>3</v>
      </c>
      <c r="ID26" s="77">
        <f t="shared" si="219"/>
        <v>9</v>
      </c>
      <c r="IE26" s="77">
        <f t="shared" si="219"/>
        <v>10</v>
      </c>
      <c r="IF26" s="77">
        <f>BIN2DEC(HX26)-BIN2DEC(HX27)</f>
        <v>-4</v>
      </c>
      <c r="IG26" s="26" t="str">
        <f t="shared" si="24"/>
        <v>0000000000100011</v>
      </c>
      <c r="IH26" s="26" t="str">
        <f t="shared" si="25"/>
        <v>0100000000100010</v>
      </c>
      <c r="II26" s="77">
        <f>MID(IG26,16,1)*POWER(2,0)+MID(IG26,15,1)*POWER(2,1)+MID(IG26,14,1)*POWER(2,2)+MID(IG26,13,1)*POWER(2,3)+MID(IG26,12,1)*POWER(2,4)+MID(IG26,11,1)*POWER(2,5)+MID(IG26,10,1)*POWER(2,6)+MID(IG26,9,1)*POWER(2,7)+MID(IG26,8,1)*POWER(2,8)+MID(IG26,7,1)*POWER(2,9)+MID(IG26,6,1)*POWER(2,10)+MID(IG26,5,1)*POWER(2,11)+MID(IG26,4,1)*POWER(2,12)+MID(IG26,3,1)*POWER(2,13)+MID(IG26,2,1)*POWER(2,14)+MID(IG26,1,1)*POWER(2,15)-(MID(IG27,16,1)*POWER(2,0)+MID(IG27,15,1)*POWER(2,1)+MID(IG27,14,1)*POWER(2,2)+MID(IG27,13,1)*POWER(2,3)+MID(IG27,12,1)*POWER(2,4)+MID(IG27,11,1)*POWER(2,5)+MID(IG27,10,1)*POWER(2,6)+MID(IG27,9,1)*POWER(2,7)+MID(IG27,8,1)*POWER(2,8)+MID(IG27,7,1)*POWER(2,9)+MID(IG27,6,1)*POWER(2,10)+MID(IG27,5,1)*POWER(2,11)+MID(IG27,4,1)*POWER(2,12)+MID(IG27,3,1)*POWER(2,13)+MID(IG27,2,1)*POWER(2,14)+MID(IG27,1,1)*POWER(2,15))</f>
        <v>34</v>
      </c>
      <c r="IJ26" s="77">
        <f>MID(IH26,16,1)*POWER(2,0)+MID(IH26,15,1)*POWER(2,1)+MID(IH26,14,1)*POWER(2,2)+MID(IH26,13,1)*POWER(2,3)+MID(IH26,12,1)*POWER(2,4)+MID(IH26,11,1)*POWER(2,5)+MID(IH26,10,1)*POWER(2,6)+MID(IH26,9,1)*POWER(2,7)+MID(IH26,8,1)*POWER(2,8)+MID(IH26,7,1)*POWER(2,9)+MID(IH26,6,1)*POWER(2,10)+MID(IH26,5,1)*POWER(2,11)+MID(IH26,4,1)*POWER(2,12)+MID(IH26,3,1)*POWER(2,13)+MID(IH26,2,1)*POWER(2,14)+MID(IH26,1,1)*POWER(2,15)-(MID(IH27,16,1)*POWER(2,0)+MID(IH27,15,1)*POWER(2,1)+MID(IH27,14,1)*POWER(2,2)+MID(IH27,13,1)*POWER(2,3)+MID(IH27,12,1)*POWER(2,4)+MID(IH27,11,1)*POWER(2,5)+MID(IH27,10,1)*POWER(2,6)+MID(IH27,9,1)*POWER(2,7)+MID(IH27,8,1)*POWER(2,8)+MID(IH27,7,1)*POWER(2,9)+MID(IH27,6,1)*POWER(2,10)+MID(IH27,5,1)*POWER(2,11)+MID(IH27,4,1)*POWER(2,12)+MID(IH27,3,1)*POWER(2,13)+MID(IH27,2,1)*POWER(2,14)+MID(IH27,1,1)*POWER(2,15))</f>
        <v>15648</v>
      </c>
      <c r="IL26" s="26"/>
      <c r="IM26" s="26"/>
      <c r="IN26" s="26"/>
      <c r="IO26" s="26"/>
      <c r="IP26" s="22"/>
      <c r="IQ26" s="22"/>
      <c r="IR26" s="22"/>
      <c r="IS26" s="22"/>
      <c r="JB26" s="22"/>
      <c r="JC26" s="22"/>
      <c r="JD26" s="22"/>
      <c r="JE26" s="22"/>
      <c r="JF26" s="22"/>
      <c r="JG26" s="22"/>
      <c r="JH26" s="22"/>
      <c r="JI26" s="22"/>
      <c r="JJ26" s="26"/>
      <c r="JK26" s="26"/>
      <c r="JL26" s="22"/>
      <c r="JM26" s="22"/>
    </row>
    <row r="27" spans="1:273" s="31" customFormat="1" ht="18.600000000000001" thickBot="1" x14ac:dyDescent="0.4">
      <c r="A27" s="28"/>
      <c r="B27" s="29"/>
      <c r="C27" s="21" t="s">
        <v>6</v>
      </c>
      <c r="D27" s="21" t="s">
        <v>57</v>
      </c>
      <c r="E27" s="21">
        <v>83</v>
      </c>
      <c r="F27" s="21" t="s">
        <v>87</v>
      </c>
      <c r="G27" s="21" t="s">
        <v>41</v>
      </c>
      <c r="H27" s="21" t="str">
        <f t="shared" si="186"/>
        <v>11010010100000111011001101111011</v>
      </c>
      <c r="I27" s="21">
        <f t="shared" si="187"/>
        <v>18</v>
      </c>
      <c r="J27" s="21"/>
      <c r="K27" s="21"/>
      <c r="L27" s="44" t="str">
        <f>CONCATENATE(MID(H27,20,5),MID(H27,9,3),MID(H27,28,5),MID(H27,17,3),MID(H27,4,5),MID(H27,25,3),MID(H27,12,5),MID(H27,1,3))</f>
        <v>10011100110111011001001100011110</v>
      </c>
      <c r="M27" s="30" t="str">
        <f t="shared" si="26"/>
        <v>10011100</v>
      </c>
      <c r="N27" s="30" t="str">
        <f t="shared" si="27"/>
        <v>11011101</v>
      </c>
      <c r="O27" s="30" t="str">
        <f t="shared" si="28"/>
        <v>10010011</v>
      </c>
      <c r="P27" s="30" t="str">
        <f t="shared" si="29"/>
        <v>00011110</v>
      </c>
      <c r="Q27" s="78"/>
      <c r="R27" s="78"/>
      <c r="S27" s="78"/>
      <c r="T27" s="78"/>
      <c r="U27" s="31" t="str">
        <f t="shared" si="30"/>
        <v>1001</v>
      </c>
      <c r="V27" s="31" t="str">
        <f t="shared" si="31"/>
        <v>1100</v>
      </c>
      <c r="W27" s="31" t="str">
        <f t="shared" si="32"/>
        <v>1101</v>
      </c>
      <c r="X27" s="31" t="str">
        <f t="shared" si="33"/>
        <v>1101</v>
      </c>
      <c r="Y27" s="31" t="str">
        <f t="shared" si="34"/>
        <v>1001</v>
      </c>
      <c r="Z27" s="31" t="str">
        <f t="shared" si="35"/>
        <v>0011</v>
      </c>
      <c r="AA27" s="31" t="str">
        <f t="shared" si="36"/>
        <v>0001</v>
      </c>
      <c r="AB27" s="31" t="str">
        <f t="shared" si="37"/>
        <v>1110</v>
      </c>
      <c r="AC27" s="78"/>
      <c r="AD27" s="78"/>
      <c r="AE27" s="78"/>
      <c r="AF27" s="78"/>
      <c r="AG27" s="78"/>
      <c r="AH27" s="78"/>
      <c r="AI27" s="78"/>
      <c r="AJ27" s="78"/>
      <c r="AK27" s="30" t="str">
        <f t="shared" si="3"/>
        <v>1001110011011101</v>
      </c>
      <c r="AL27" s="30" t="str">
        <f t="shared" si="4"/>
        <v>1001001100011110</v>
      </c>
      <c r="AM27" s="78"/>
      <c r="AN27" s="78"/>
      <c r="AO27" s="46" t="str">
        <f>CONCATENATE(MID($L27,1,1)*MID($K26,1,1),MID($L27,2,1)*MID($K26,2,1),MID($L27,3,1)*MID($K26,3,1),MID($L27,4,1)*MID($K26,4,1),MID($L27,5,1)*MID($K26,5,1),MID($L27,6,1)*MID($K26,6,1),MID($L27,7,1)*MID($K26,7,1),MID($L27,8,1)*MID($K26,8,1),MID($L27,9,1)*MID($K26,1,1),MID($L27,10,1)*MID($K26,2,1),MID($L27,11,1)*MID($K26,3,1),MID($L27,12,1)*MID($K26,4,1),MID($L27,13,1)*MID($K26,5,1),MID($L27,14,1)*MID($K26,6,1),MID($L27,15,1)*MID($K26,7,1),MID($L27,16,1)*MID($K26,8,1),MID($L27,17,1)*MID($K26,1,1),MID($L27,18,1)*MID($K26,2,1),MID($L27,19,1)*MID($K26,3,1),MID($L27,20,1)*MID($K26,4,1),MID($L27,21,1)*MID($K26,5,1),MID($L27,22,1)*MID($K26,6,1),MID($L27,23,1)*MID($K26,7,1),MID($L27,24,1)*MID($K26,8,1),MID($L27,25,1)*MID($K26,1,1),MID($L27,26,1)*MID($K26,2,1),MID($L27,27,1)*MID($K26,3,1),MID($L27,28,1)*MID($K26,4,1),MID($L27,29,1)*MID($K26,5,1),MID($L27,30,1)*MID($K26,6,1),MID($L27,31,1)*MID($K26,7,1),MID($L27,32,1)*MID($K26,8,1))</f>
        <v>00000000010000010000001100000010</v>
      </c>
      <c r="AP27" s="30" t="str">
        <f t="shared" si="38"/>
        <v>00000000</v>
      </c>
      <c r="AQ27" s="30" t="str">
        <f t="shared" si="39"/>
        <v>01000001</v>
      </c>
      <c r="AR27" s="30" t="str">
        <f t="shared" si="40"/>
        <v>00000011</v>
      </c>
      <c r="AS27" s="30" t="str">
        <f t="shared" si="41"/>
        <v>00000010</v>
      </c>
      <c r="AT27" s="78"/>
      <c r="AU27" s="78"/>
      <c r="AV27" s="78"/>
      <c r="AW27" s="78"/>
      <c r="AX27" s="31" t="str">
        <f t="shared" si="42"/>
        <v>1001</v>
      </c>
      <c r="AY27" s="31" t="str">
        <f t="shared" si="43"/>
        <v>1100</v>
      </c>
      <c r="AZ27" s="31" t="str">
        <f t="shared" si="44"/>
        <v>1101</v>
      </c>
      <c r="BA27" s="31" t="str">
        <f t="shared" si="45"/>
        <v>1101</v>
      </c>
      <c r="BB27" s="31" t="str">
        <f t="shared" si="46"/>
        <v>1001</v>
      </c>
      <c r="BC27" s="31" t="str">
        <f t="shared" si="47"/>
        <v>0011</v>
      </c>
      <c r="BD27" s="31" t="str">
        <f t="shared" si="48"/>
        <v>0001</v>
      </c>
      <c r="BE27" s="31" t="str">
        <f t="shared" si="49"/>
        <v>1110</v>
      </c>
      <c r="BF27" s="78"/>
      <c r="BG27" s="78"/>
      <c r="BH27" s="78"/>
      <c r="BI27" s="78"/>
      <c r="BJ27" s="78"/>
      <c r="BK27" s="78"/>
      <c r="BL27" s="78"/>
      <c r="BM27" s="78"/>
      <c r="BN27" s="30" t="str">
        <f t="shared" si="6"/>
        <v>0000000001000001</v>
      </c>
      <c r="BO27" s="30" t="str">
        <f t="shared" si="7"/>
        <v>0000001100000010</v>
      </c>
      <c r="BP27" s="78"/>
      <c r="BQ27" s="78"/>
      <c r="BR27" s="46" t="str">
        <f>L27</f>
        <v>10011100110111011001001100011110</v>
      </c>
      <c r="BS27" s="30" t="str">
        <f t="shared" si="50"/>
        <v>10011100</v>
      </c>
      <c r="BT27" s="30" t="str">
        <f t="shared" si="51"/>
        <v>11011101</v>
      </c>
      <c r="BU27" s="30" t="str">
        <f t="shared" si="52"/>
        <v>10010011</v>
      </c>
      <c r="BV27" s="30" t="str">
        <f t="shared" si="53"/>
        <v>00011110</v>
      </c>
      <c r="BW27" s="78"/>
      <c r="BX27" s="78"/>
      <c r="BY27" s="78"/>
      <c r="BZ27" s="78"/>
      <c r="CA27" s="31" t="str">
        <f t="shared" si="54"/>
        <v>1001</v>
      </c>
      <c r="CB27" s="31" t="str">
        <f t="shared" si="55"/>
        <v>1100</v>
      </c>
      <c r="CC27" s="31" t="str">
        <f t="shared" si="56"/>
        <v>1101</v>
      </c>
      <c r="CD27" s="31" t="str">
        <f t="shared" si="57"/>
        <v>1101</v>
      </c>
      <c r="CE27" s="31" t="str">
        <f t="shared" si="58"/>
        <v>1001</v>
      </c>
      <c r="CF27" s="31" t="str">
        <f t="shared" si="59"/>
        <v>0011</v>
      </c>
      <c r="CG27" s="31" t="str">
        <f t="shared" si="60"/>
        <v>0001</v>
      </c>
      <c r="CH27" s="31" t="str">
        <f t="shared" si="61"/>
        <v>1110</v>
      </c>
      <c r="CI27" s="78"/>
      <c r="CJ27" s="78"/>
      <c r="CK27" s="78"/>
      <c r="CL27" s="78"/>
      <c r="CM27" s="78"/>
      <c r="CN27" s="78"/>
      <c r="CO27" s="78"/>
      <c r="CP27" s="78"/>
      <c r="CQ27" s="30" t="str">
        <f t="shared" si="9"/>
        <v>1001110011011101</v>
      </c>
      <c r="CR27" s="30" t="str">
        <f t="shared" si="10"/>
        <v>1001001100011110</v>
      </c>
      <c r="CS27" s="78"/>
      <c r="CT27" s="78"/>
      <c r="CU27" s="46" t="str">
        <f>AO27</f>
        <v>00000000010000010000001100000010</v>
      </c>
      <c r="CV27" s="30" t="str">
        <f t="shared" si="62"/>
        <v>00000000</v>
      </c>
      <c r="CW27" s="30" t="str">
        <f t="shared" si="63"/>
        <v>01000001</v>
      </c>
      <c r="CX27" s="30" t="str">
        <f t="shared" si="64"/>
        <v>00000011</v>
      </c>
      <c r="CY27" s="30" t="str">
        <f t="shared" si="65"/>
        <v>00000010</v>
      </c>
      <c r="CZ27" s="78"/>
      <c r="DA27" s="78"/>
      <c r="DB27" s="78"/>
      <c r="DC27" s="78"/>
      <c r="DD27" s="31" t="str">
        <f t="shared" si="66"/>
        <v>1001</v>
      </c>
      <c r="DE27" s="31" t="str">
        <f t="shared" si="67"/>
        <v>1100</v>
      </c>
      <c r="DF27" s="31" t="str">
        <f t="shared" si="68"/>
        <v>1101</v>
      </c>
      <c r="DG27" s="31" t="str">
        <f t="shared" si="69"/>
        <v>1101</v>
      </c>
      <c r="DH27" s="31" t="str">
        <f t="shared" si="70"/>
        <v>1001</v>
      </c>
      <c r="DI27" s="31" t="str">
        <f t="shared" si="71"/>
        <v>0011</v>
      </c>
      <c r="DJ27" s="31" t="str">
        <f t="shared" si="72"/>
        <v>0001</v>
      </c>
      <c r="DK27" s="31" t="str">
        <f t="shared" si="73"/>
        <v>1110</v>
      </c>
      <c r="DL27" s="78"/>
      <c r="DM27" s="78"/>
      <c r="DN27" s="78"/>
      <c r="DO27" s="78"/>
      <c r="DP27" s="78"/>
      <c r="DQ27" s="78"/>
      <c r="DR27" s="78"/>
      <c r="DS27" s="78"/>
      <c r="DT27" s="30" t="str">
        <f t="shared" si="12"/>
        <v>0000000001000001</v>
      </c>
      <c r="DU27" s="30" t="str">
        <f t="shared" si="13"/>
        <v>0000001100000010</v>
      </c>
      <c r="DV27" s="78"/>
      <c r="DW27" s="78"/>
      <c r="DX27" s="23" t="str">
        <f>CONCATENATE(MID($H27,1,1)*MID($K26,1,1),MID($H27,2,1)*MID($K26,2,1),MID($H27,3,1)*MID($K26,3,1),MID($H27,4,1)*MID($K26,4,1),MID($H27,5,1)*MID($K26,5,1),MID($H27,6,1)*MID($K26,6,1),MID($H27,7,1)*MID($K26,7,1),MID($H27,8,1)*MID($K26,8,1),MID($H27,9,1)*MID($K26,1,1),MID($H27,10,1)*MID($K26,2,1),MID($H27,11,1)*MID($K26,3,1),MID($H27,12,1)*MID($K26,4,1),MID($H27,13,1)*MID($K26,5,1),MID($H27,14,1)*MID($K26,6,1),MID($H27,15,1)*MID($K26,7,1),MID($H27,16,1)*MID($K26,8,1),MID($H27,17,1)*MID($K26,1,1),MID($H27,18,1)*MID($K26,2,1),MID($H27,19,1)*MID($K26,3,1),MID($H27,20,1)*MID($K26,4,1),MID($H27,21,1)*MID($K26,5,1),MID($H27,22,1)*MID($K26,6,1),MID($H27,23,1)*MID($K26,7,1),MID($H27,24,1)*MID($K26,8,1),MID($H27,25,1)*MID($K26,1,1),MID($H27,26,1)*MID($K26,2,1),MID($H27,27,1)*MID($K26,3,1),MID($H27,28,1)*MID($K26,4,1),MID($H27,29,1)*MID($K26,5,1),MID($H27,30,1)*MID($K26,6,1),MID($H27,31,1)*MID($K26,7,1),MID($H27,32,1)*MID($K26,8,1))</f>
        <v>01000010000000110010001101100011</v>
      </c>
      <c r="DY27" s="44" t="str">
        <f>CONCATENATE(MID(DX27,20,5),MID(DX27,9,3),MID(DX27,28,5),MID(DX27,17,3),MID(DX27,4,5),MID(DX27,25,3),MID(DX27,12,5),MID(DX27,1,3))</f>
        <v>00011000000110010001001100011010</v>
      </c>
      <c r="DZ27" s="30" t="str">
        <f t="shared" si="122"/>
        <v>00011000</v>
      </c>
      <c r="EA27" s="30" t="str">
        <f t="shared" si="74"/>
        <v>00011001</v>
      </c>
      <c r="EB27" s="30" t="str">
        <f t="shared" si="75"/>
        <v>00010011</v>
      </c>
      <c r="EC27" s="30" t="str">
        <f t="shared" si="76"/>
        <v>00011010</v>
      </c>
      <c r="ED27" s="78"/>
      <c r="EE27" s="78"/>
      <c r="EF27" s="78"/>
      <c r="EG27" s="78"/>
      <c r="EH27" s="31" t="str">
        <f t="shared" si="77"/>
        <v>1001</v>
      </c>
      <c r="EI27" s="31" t="str">
        <f t="shared" si="78"/>
        <v>1100</v>
      </c>
      <c r="EJ27" s="31" t="str">
        <f t="shared" si="79"/>
        <v>1101</v>
      </c>
      <c r="EK27" s="31" t="str">
        <f t="shared" si="80"/>
        <v>1101</v>
      </c>
      <c r="EL27" s="31" t="str">
        <f t="shared" si="81"/>
        <v>1001</v>
      </c>
      <c r="EM27" s="31" t="str">
        <f t="shared" si="82"/>
        <v>0011</v>
      </c>
      <c r="EN27" s="31" t="str">
        <f t="shared" si="83"/>
        <v>0001</v>
      </c>
      <c r="EO27" s="31" t="str">
        <f t="shared" si="84"/>
        <v>1110</v>
      </c>
      <c r="EP27" s="78"/>
      <c r="EQ27" s="78"/>
      <c r="ER27" s="78"/>
      <c r="ES27" s="78"/>
      <c r="ET27" s="78"/>
      <c r="EU27" s="78"/>
      <c r="EV27" s="78"/>
      <c r="EW27" s="78"/>
      <c r="EX27" s="30" t="str">
        <f t="shared" si="15"/>
        <v>0001100000011001</v>
      </c>
      <c r="EY27" s="30" t="str">
        <f t="shared" si="16"/>
        <v>0001001100011010</v>
      </c>
      <c r="EZ27" s="78"/>
      <c r="FA27" s="78"/>
      <c r="FB27" s="46" t="str">
        <f>CONCATENATE(MID(DY27,1,1)*MID($K26,1,1),MID(DY27,2,1)*MID($K26,2,1),MID(DY27,3,1)*MID($K26,3,1),MID(DY27,4,1)*MID($K26,4,1),MID(DY27,5,1)*MID($K26,5,1),MID(DY27,6,1)*MID($K26,6,1),MID(DY27,7,1)*MID($K26,7,1),MID(DY27,8,1)*MID($K26,8,1),MID(DY27,9,1)*MID($K26,1,1),MID(DY27,10,1)*MID($K26,2,1),MID(DY27,11,1)*MID($K26,3,1),MID(DY27,12,1)*MID($K26,4,1),MID(DY27,13,1)*MID($K26,5,1),MID(DY27,14,1)*MID($K26,6,1),MID(DY27,15,1)*MID($K26,7,1),MID(DY27,16,1)*MID($K26,8,1),MID(DY27,17,1)*MID($K26,1,1),MID(DY27,18,1)*MID($K26,2,1),MID(DY27,19,1)*MID($K26,3,1),MID(DY27,20,1)*MID($K26,4,1),MID(DY27,21,1)*MID($K26,5,1),MID(DY27,22,1)*MID($K26,6,1),MID(DY27,23,1)*MID($K26,7,1),MID(DY27,24,1)*MID($K26,8,1),MID(DY27,25,1)*MID($K26,1,1),MID(DY27,26,1)*MID($K26,2,1),MID(DY27,27,1)*MID($K26,3,1),MID(DY27,28,1)*MID($K26,4,1),MID(DY27,29,1)*MID($K26,5,1),MID(DY27,30,1)*MID($K26,6,1),MID(DY27,31,1)*MID($K26,7,1),MID(DY27,32,1)*MID($K26,8,1))</f>
        <v>00000000000000010000001100000010</v>
      </c>
      <c r="FC27" s="30" t="str">
        <f t="shared" si="124"/>
        <v>00000000</v>
      </c>
      <c r="FD27" s="30" t="str">
        <f t="shared" si="85"/>
        <v>00000001</v>
      </c>
      <c r="FE27" s="30" t="str">
        <f t="shared" si="86"/>
        <v>00000011</v>
      </c>
      <c r="FF27" s="30" t="str">
        <f t="shared" si="87"/>
        <v>00000010</v>
      </c>
      <c r="FG27" s="78"/>
      <c r="FH27" s="78"/>
      <c r="FI27" s="78"/>
      <c r="FJ27" s="78"/>
      <c r="FK27" s="31" t="str">
        <f t="shared" si="88"/>
        <v>1001</v>
      </c>
      <c r="FL27" s="31" t="str">
        <f t="shared" si="89"/>
        <v>1100</v>
      </c>
      <c r="FM27" s="31" t="str">
        <f t="shared" si="90"/>
        <v>1101</v>
      </c>
      <c r="FN27" s="31" t="str">
        <f t="shared" si="91"/>
        <v>1101</v>
      </c>
      <c r="FO27" s="31" t="str">
        <f t="shared" si="92"/>
        <v>1001</v>
      </c>
      <c r="FP27" s="31" t="str">
        <f t="shared" si="93"/>
        <v>0011</v>
      </c>
      <c r="FQ27" s="31" t="str">
        <f t="shared" si="94"/>
        <v>0001</v>
      </c>
      <c r="FR27" s="31" t="str">
        <f t="shared" si="95"/>
        <v>1110</v>
      </c>
      <c r="FS27" s="78"/>
      <c r="FT27" s="78"/>
      <c r="FU27" s="78"/>
      <c r="FV27" s="78"/>
      <c r="FW27" s="78"/>
      <c r="FX27" s="78"/>
      <c r="FY27" s="78"/>
      <c r="FZ27" s="78"/>
      <c r="GA27" s="30" t="str">
        <f t="shared" si="18"/>
        <v>0000000000000001</v>
      </c>
      <c r="GB27" s="30" t="str">
        <f t="shared" si="19"/>
        <v>0000001100000010</v>
      </c>
      <c r="GC27" s="78"/>
      <c r="GD27" s="78"/>
      <c r="GE27" s="48" t="str">
        <f>DY27</f>
        <v>00011000000110010001001100011010</v>
      </c>
      <c r="GF27" s="30" t="str">
        <f t="shared" si="126"/>
        <v>00011000</v>
      </c>
      <c r="GG27" s="30" t="str">
        <f t="shared" si="96"/>
        <v>00011001</v>
      </c>
      <c r="GH27" s="30" t="str">
        <f t="shared" si="97"/>
        <v>00010011</v>
      </c>
      <c r="GI27" s="30" t="str">
        <f t="shared" si="98"/>
        <v>00011010</v>
      </c>
      <c r="GJ27" s="78"/>
      <c r="GK27" s="78"/>
      <c r="GL27" s="78"/>
      <c r="GM27" s="78"/>
      <c r="GN27" s="31" t="str">
        <f t="shared" si="99"/>
        <v>1001</v>
      </c>
      <c r="GO27" s="31" t="str">
        <f t="shared" si="100"/>
        <v>1100</v>
      </c>
      <c r="GP27" s="31" t="str">
        <f t="shared" si="101"/>
        <v>1101</v>
      </c>
      <c r="GQ27" s="31" t="str">
        <f t="shared" si="102"/>
        <v>1101</v>
      </c>
      <c r="GR27" s="31" t="str">
        <f t="shared" si="103"/>
        <v>1001</v>
      </c>
      <c r="GS27" s="31" t="str">
        <f t="shared" si="104"/>
        <v>0011</v>
      </c>
      <c r="GT27" s="31" t="str">
        <f t="shared" si="105"/>
        <v>0001</v>
      </c>
      <c r="GU27" s="31" t="str">
        <f t="shared" si="106"/>
        <v>1110</v>
      </c>
      <c r="GV27" s="78"/>
      <c r="GW27" s="78"/>
      <c r="GX27" s="78"/>
      <c r="GY27" s="78"/>
      <c r="GZ27" s="78"/>
      <c r="HA27" s="78"/>
      <c r="HB27" s="78"/>
      <c r="HC27" s="78"/>
      <c r="HD27" s="30" t="str">
        <f t="shared" si="21"/>
        <v>0001100000011001</v>
      </c>
      <c r="HE27" s="30" t="str">
        <f t="shared" si="22"/>
        <v>0001001100011010</v>
      </c>
      <c r="HF27" s="78"/>
      <c r="HG27" s="78"/>
      <c r="HH27" s="48" t="str">
        <f>FB27</f>
        <v>00000000000000010000001100000010</v>
      </c>
      <c r="HI27" s="30" t="str">
        <f t="shared" si="128"/>
        <v>00000000</v>
      </c>
      <c r="HJ27" s="30" t="str">
        <f t="shared" si="107"/>
        <v>00000001</v>
      </c>
      <c r="HK27" s="30" t="str">
        <f t="shared" si="108"/>
        <v>00000011</v>
      </c>
      <c r="HL27" s="30" t="str">
        <f t="shared" si="109"/>
        <v>00000010</v>
      </c>
      <c r="HM27" s="78"/>
      <c r="HN27" s="78"/>
      <c r="HO27" s="78"/>
      <c r="HP27" s="78"/>
      <c r="HQ27" s="31" t="str">
        <f t="shared" si="110"/>
        <v>1001</v>
      </c>
      <c r="HR27" s="31" t="str">
        <f t="shared" si="111"/>
        <v>1100</v>
      </c>
      <c r="HS27" s="31" t="str">
        <f t="shared" si="112"/>
        <v>1101</v>
      </c>
      <c r="HT27" s="31" t="str">
        <f t="shared" si="113"/>
        <v>1101</v>
      </c>
      <c r="HU27" s="31" t="str">
        <f t="shared" si="114"/>
        <v>1001</v>
      </c>
      <c r="HV27" s="31" t="str">
        <f t="shared" si="115"/>
        <v>0011</v>
      </c>
      <c r="HW27" s="31" t="str">
        <f t="shared" si="116"/>
        <v>0001</v>
      </c>
      <c r="HX27" s="31" t="str">
        <f t="shared" si="117"/>
        <v>1110</v>
      </c>
      <c r="HY27" s="78"/>
      <c r="HZ27" s="78"/>
      <c r="IA27" s="78"/>
      <c r="IB27" s="78"/>
      <c r="IC27" s="78"/>
      <c r="ID27" s="78"/>
      <c r="IE27" s="78"/>
      <c r="IF27" s="78"/>
      <c r="IG27" s="30" t="str">
        <f t="shared" si="24"/>
        <v>0000000000000001</v>
      </c>
      <c r="IH27" s="30" t="str">
        <f t="shared" si="25"/>
        <v>0000001100000010</v>
      </c>
      <c r="II27" s="78"/>
      <c r="IJ27" s="78"/>
      <c r="IL27" s="30"/>
      <c r="IM27" s="30"/>
      <c r="IN27" s="30"/>
      <c r="IO27" s="30"/>
      <c r="IP27" s="23"/>
      <c r="IQ27" s="23"/>
      <c r="IR27" s="23"/>
      <c r="IS27" s="23"/>
      <c r="JB27" s="23"/>
      <c r="JC27" s="23"/>
      <c r="JD27" s="23"/>
      <c r="JE27" s="23"/>
      <c r="JF27" s="23"/>
      <c r="JG27" s="23"/>
      <c r="JH27" s="23"/>
      <c r="JI27" s="23"/>
      <c r="JJ27" s="30"/>
      <c r="JK27" s="30"/>
      <c r="JL27" s="23"/>
      <c r="JM27" s="23"/>
    </row>
    <row r="28" spans="1:273" s="27" customFormat="1" x14ac:dyDescent="0.35">
      <c r="A28" s="24"/>
      <c r="B28" s="25"/>
      <c r="C28" s="20" t="s">
        <v>0</v>
      </c>
      <c r="D28" s="20" t="s">
        <v>158</v>
      </c>
      <c r="E28" s="20" t="s">
        <v>163</v>
      </c>
      <c r="F28" s="20" t="s">
        <v>55</v>
      </c>
      <c r="G28" s="20" t="s">
        <v>121</v>
      </c>
      <c r="H28" s="20" t="str">
        <f t="shared" si="186"/>
        <v>11100101110110011000101011100100</v>
      </c>
      <c r="I28" s="20">
        <f t="shared" si="187"/>
        <v>17</v>
      </c>
      <c r="J28" s="20">
        <v>63</v>
      </c>
      <c r="K28" s="20" t="str">
        <f>HEX2BIN(J28,8)</f>
        <v>01100011</v>
      </c>
      <c r="L28" s="43" t="str">
        <f>H28</f>
        <v>11100101110110011000101011100100</v>
      </c>
      <c r="M28" s="26" t="str">
        <f t="shared" si="26"/>
        <v>11100101</v>
      </c>
      <c r="N28" s="26" t="str">
        <f t="shared" si="27"/>
        <v>11011001</v>
      </c>
      <c r="O28" s="26" t="str">
        <f t="shared" si="28"/>
        <v>10001010</v>
      </c>
      <c r="P28" s="26" t="str">
        <f t="shared" si="29"/>
        <v>11100100</v>
      </c>
      <c r="Q28" s="77">
        <f>BIN2DEC(M28)-BIN2DEC(M29)</f>
        <v>116</v>
      </c>
      <c r="R28" s="77">
        <f>BIN2DEC(N28)-BIN2DEC(N29)</f>
        <v>213</v>
      </c>
      <c r="S28" s="77">
        <f>BIN2DEC(O28)-BIN2DEC(O29)</f>
        <v>56</v>
      </c>
      <c r="T28" s="77">
        <f>BIN2DEC(P28)-BIN2DEC(P29)</f>
        <v>156</v>
      </c>
      <c r="U28" s="27" t="str">
        <f t="shared" si="30"/>
        <v>1110</v>
      </c>
      <c r="V28" s="27" t="str">
        <f t="shared" si="31"/>
        <v>0101</v>
      </c>
      <c r="W28" s="27" t="str">
        <f t="shared" si="32"/>
        <v>1101</v>
      </c>
      <c r="X28" s="27" t="str">
        <f t="shared" si="33"/>
        <v>1001</v>
      </c>
      <c r="Y28" s="27" t="str">
        <f t="shared" si="34"/>
        <v>1000</v>
      </c>
      <c r="Z28" s="27" t="str">
        <f t="shared" si="35"/>
        <v>1010</v>
      </c>
      <c r="AA28" s="27" t="str">
        <f>MID($L28,25,4)</f>
        <v>1110</v>
      </c>
      <c r="AB28" s="27" t="str">
        <f t="shared" si="37"/>
        <v>0100</v>
      </c>
      <c r="AC28" s="77">
        <f>BIN2DEC(U28)-BIN2DEC(U29)</f>
        <v>7</v>
      </c>
      <c r="AD28" s="77">
        <f t="shared" ref="AD28:AI28" si="220">BIN2DEC(V28)-BIN2DEC(V29)</f>
        <v>4</v>
      </c>
      <c r="AE28" s="77">
        <f t="shared" si="220"/>
        <v>13</v>
      </c>
      <c r="AF28" s="77">
        <f t="shared" si="220"/>
        <v>5</v>
      </c>
      <c r="AG28" s="77">
        <f t="shared" si="220"/>
        <v>3</v>
      </c>
      <c r="AH28" s="77">
        <f t="shared" si="220"/>
        <v>8</v>
      </c>
      <c r="AI28" s="77">
        <f t="shared" si="220"/>
        <v>10</v>
      </c>
      <c r="AJ28" s="77">
        <f>BIN2DEC(AB28)-BIN2DEC(AB29)</f>
        <v>-4</v>
      </c>
      <c r="AK28" s="26" t="str">
        <f t="shared" si="3"/>
        <v>1110010111011001</v>
      </c>
      <c r="AL28" s="26" t="str">
        <f t="shared" si="4"/>
        <v>1000101011100100</v>
      </c>
      <c r="AM28" s="77">
        <f>MID(AK28,16,1)*POWER(2,0)+MID(AK28,15,1)*POWER(2,1)+MID(AK28,14,1)*POWER(2,2)+MID(AK28,13,1)*POWER(2,3)+MID(AK28,12,1)*POWER(2,4)+MID(AK28,11,1)*POWER(2,5)+MID(AK28,10,1)*POWER(2,6)+MID(AK28,9,1)*POWER(2,7)+MID(AK28,8,1)*POWER(2,8)+MID(AK28,7,1)*POWER(2,9)+MID(AK28,6,1)*POWER(2,10)+MID(AK28,5,1)*POWER(2,11)+MID(AK28,4,1)*POWER(2,12)+MID(AK28,3,1)*POWER(2,13)+MID(AK28,2,1)*POWER(2,14)+MID(AK28,1,1)*POWER(2,15)-(MID(AK29,16,1)*POWER(2,0)+MID(AK29,15,1)*POWER(2,1)+MID(AK29,14,1)*POWER(2,2)+MID(AK29,13,1)*POWER(2,3)+MID(AK29,12,1)*POWER(2,4)+MID(AK29,11,1)*POWER(2,5)+MID(AK29,10,1)*POWER(2,6)+MID(AK29,9,1)*POWER(2,7)+MID(AK29,8,1)*POWER(2,8)+MID(AK29,7,1)*POWER(2,9)+MID(AK29,6,1)*POWER(2,10)+MID(AK29,5,1)*POWER(2,11)+MID(AK29,4,1)*POWER(2,12)+MID(AK29,3,1)*POWER(2,13)+MID(AK29,2,1)*POWER(2,14)+MID(AK29,1,1)*POWER(2,15))</f>
        <v>29909</v>
      </c>
      <c r="AN28" s="77">
        <f>MID(AL28,16,1)*POWER(2,0)+MID(AL28,15,1)*POWER(2,1)+MID(AL28,14,1)*POWER(2,2)+MID(AL28,13,1)*POWER(2,3)+MID(AL28,12,1)*POWER(2,4)+MID(AL28,11,1)*POWER(2,5)+MID(AL28,10,1)*POWER(2,6)+MID(AL28,9,1)*POWER(2,7)+MID(AL28,8,1)*POWER(2,8)+MID(AL28,7,1)*POWER(2,9)+MID(AL28,6,1)*POWER(2,10)+MID(AL28,5,1)*POWER(2,11)+MID(AL28,4,1)*POWER(2,12)+MID(AL28,3,1)*POWER(2,13)+MID(AL28,2,1)*POWER(2,14)+MID(AL28,1,1)*POWER(2,15)-(MID(AL29,16,1)*POWER(2,0)+MID(AL29,15,1)*POWER(2,1)+MID(AL29,14,1)*POWER(2,2)+MID(AL29,13,1)*POWER(2,3)+MID(AL29,12,1)*POWER(2,4)+MID(AL29,11,1)*POWER(2,5)+MID(AL29,10,1)*POWER(2,6)+MID(AL29,9,1)*POWER(2,7)+MID(AL29,8,1)*POWER(2,8)+MID(AL29,7,1)*POWER(2,9)+MID(AL29,6,1)*POWER(2,10)+MID(AL29,5,1)*POWER(2,11)+MID(AL29,4,1)*POWER(2,12)+MID(AL29,3,1)*POWER(2,13)+MID(AL29,2,1)*POWER(2,14)+MID(AL29,1,1)*POWER(2,15))</f>
        <v>14492</v>
      </c>
      <c r="AO28" s="45" t="str">
        <f>H28</f>
        <v>11100101110110011000101011100100</v>
      </c>
      <c r="AP28" s="26" t="str">
        <f t="shared" si="38"/>
        <v>11100101</v>
      </c>
      <c r="AQ28" s="26" t="str">
        <f t="shared" si="39"/>
        <v>11011001</v>
      </c>
      <c r="AR28" s="26" t="str">
        <f t="shared" si="40"/>
        <v>10001010</v>
      </c>
      <c r="AS28" s="26" t="str">
        <f t="shared" si="41"/>
        <v>11100100</v>
      </c>
      <c r="AT28" s="77">
        <f>BIN2DEC(AP28)-BIN2DEC(AP29)</f>
        <v>132</v>
      </c>
      <c r="AU28" s="77">
        <f>BIN2DEC(AQ28)-BIN2DEC(AQ29)</f>
        <v>217</v>
      </c>
      <c r="AV28" s="77">
        <f>BIN2DEC(AR28)-BIN2DEC(AR29)</f>
        <v>72</v>
      </c>
      <c r="AW28" s="77">
        <f>BIN2DEC(AS28)-BIN2DEC(AS29)</f>
        <v>164</v>
      </c>
      <c r="AX28" s="27" t="str">
        <f t="shared" si="42"/>
        <v>1110</v>
      </c>
      <c r="AY28" s="27" t="str">
        <f t="shared" si="43"/>
        <v>0101</v>
      </c>
      <c r="AZ28" s="27" t="str">
        <f t="shared" si="44"/>
        <v>1101</v>
      </c>
      <c r="BA28" s="27" t="str">
        <f t="shared" si="45"/>
        <v>1001</v>
      </c>
      <c r="BB28" s="27" t="str">
        <f t="shared" si="46"/>
        <v>1000</v>
      </c>
      <c r="BC28" s="27" t="str">
        <f t="shared" si="47"/>
        <v>1010</v>
      </c>
      <c r="BD28" s="27" t="str">
        <f>MID($L28,25,4)</f>
        <v>1110</v>
      </c>
      <c r="BE28" s="27" t="str">
        <f t="shared" si="49"/>
        <v>0100</v>
      </c>
      <c r="BF28" s="77">
        <f>BIN2DEC(AX28)-BIN2DEC(AX29)</f>
        <v>7</v>
      </c>
      <c r="BG28" s="77">
        <f t="shared" ref="BG28:BL28" si="221">BIN2DEC(AY28)-BIN2DEC(AY29)</f>
        <v>4</v>
      </c>
      <c r="BH28" s="77">
        <f t="shared" si="221"/>
        <v>13</v>
      </c>
      <c r="BI28" s="77">
        <f t="shared" si="221"/>
        <v>5</v>
      </c>
      <c r="BJ28" s="77">
        <f t="shared" si="221"/>
        <v>3</v>
      </c>
      <c r="BK28" s="77">
        <f t="shared" si="221"/>
        <v>8</v>
      </c>
      <c r="BL28" s="77">
        <f t="shared" si="221"/>
        <v>10</v>
      </c>
      <c r="BM28" s="77">
        <f>BIN2DEC(BE28)-BIN2DEC(BE29)</f>
        <v>-4</v>
      </c>
      <c r="BN28" s="26" t="str">
        <f t="shared" si="6"/>
        <v>1110010111011001</v>
      </c>
      <c r="BO28" s="26" t="str">
        <f t="shared" si="7"/>
        <v>1000101011100100</v>
      </c>
      <c r="BP28" s="77">
        <f>MID(BN28,16,1)*POWER(2,0)+MID(BN28,15,1)*POWER(2,1)+MID(BN28,14,1)*POWER(2,2)+MID(BN28,13,1)*POWER(2,3)+MID(BN28,12,1)*POWER(2,4)+MID(BN28,11,1)*POWER(2,5)+MID(BN28,10,1)*POWER(2,6)+MID(BN28,9,1)*POWER(2,7)+MID(BN28,8,1)*POWER(2,8)+MID(BN28,7,1)*POWER(2,9)+MID(BN28,6,1)*POWER(2,10)+MID(BN28,5,1)*POWER(2,11)+MID(BN28,4,1)*POWER(2,12)+MID(BN28,3,1)*POWER(2,13)+MID(BN28,2,1)*POWER(2,14)+MID(BN28,1,1)*POWER(2,15)-(MID(BN29,16,1)*POWER(2,0)+MID(BN29,15,1)*POWER(2,1)+MID(BN29,14,1)*POWER(2,2)+MID(BN29,13,1)*POWER(2,3)+MID(BN29,12,1)*POWER(2,4)+MID(BN29,11,1)*POWER(2,5)+MID(BN29,10,1)*POWER(2,6)+MID(BN29,9,1)*POWER(2,7)+MID(BN29,8,1)*POWER(2,8)+MID(BN29,7,1)*POWER(2,9)+MID(BN29,6,1)*POWER(2,10)+MID(BN29,5,1)*POWER(2,11)+MID(BN29,4,1)*POWER(2,12)+MID(BN29,3,1)*POWER(2,13)+MID(BN29,2,1)*POWER(2,14)+MID(BN29,1,1)*POWER(2,15))</f>
        <v>34009</v>
      </c>
      <c r="BQ28" s="77">
        <f>MID(BO28,16,1)*POWER(2,0)+MID(BO28,15,1)*POWER(2,1)+MID(BO28,14,1)*POWER(2,2)+MID(BO28,13,1)*POWER(2,3)+MID(BO28,12,1)*POWER(2,4)+MID(BO28,11,1)*POWER(2,5)+MID(BO28,10,1)*POWER(2,6)+MID(BO28,9,1)*POWER(2,7)+MID(BO28,8,1)*POWER(2,8)+MID(BO28,7,1)*POWER(2,9)+MID(BO28,6,1)*POWER(2,10)+MID(BO28,5,1)*POWER(2,11)+MID(BO28,4,1)*POWER(2,12)+MID(BO28,3,1)*POWER(2,13)+MID(BO28,2,1)*POWER(2,14)+MID(BO28,1,1)*POWER(2,15)-(MID(BO29,16,1)*POWER(2,0)+MID(BO29,15,1)*POWER(2,1)+MID(BO29,14,1)*POWER(2,2)+MID(BO29,13,1)*POWER(2,3)+MID(BO29,12,1)*POWER(2,4)+MID(BO29,11,1)*POWER(2,5)+MID(BO29,10,1)*POWER(2,6)+MID(BO29,9,1)*POWER(2,7)+MID(BO29,8,1)*POWER(2,8)+MID(BO29,7,1)*POWER(2,9)+MID(BO29,6,1)*POWER(2,10)+MID(BO29,5,1)*POWER(2,11)+MID(BO29,4,1)*POWER(2,12)+MID(BO29,3,1)*POWER(2,13)+MID(BO29,2,1)*POWER(2,14)+MID(BO29,1,1)*POWER(2,15))</f>
        <v>18596</v>
      </c>
      <c r="BR28" s="45" t="str">
        <f>CONCATENATE(MID($L28,1,1)*MID($K28,1,1),MID($L28,2,1)*MID($K28,2,1),MID($L28,3,1)*MID($K28,3,1),MID($L28,4,1)*MID($K28,4,1),MID($L28,5,1)*MID($K28,5,1),MID($L28,6,1)*MID($K28,6,1),MID($L28,7,1)*MID($K28,7,1),MID($L28,8,1)*MID($K28,8,1),MID($L28,9,1)*MID($K28,1,1),MID($L28,10,1)*MID($K28,2,1),MID($L28,11,1)*MID($K28,3,1),MID($L28,12,1)*MID($K28,4,1),MID($L28,13,1)*MID($K28,5,1),MID($L28,14,1)*MID($K28,6,1),MID($L28,15,1)*MID($K28,7,1),MID($L28,16,1)*MID($K28,8,1),MID($L28,17,1)*MID($K28,1,1),MID($L28,18,1)*MID($K28,2,1),MID($L28,19,1)*MID($K28,3,1),MID($L28,20,1)*MID($K28,4,1),MID($L28,21,1)*MID($K28,5,1),MID($L28,22,1)*MID($K28,6,1),MID($L28,23,1)*MID($K28,7,1),MID($L28,24,1)*MID($K28,8,1),MID($L28,25,1)*MID($K28,1,1),MID($L28,26,1)*MID($K28,2,1),MID($L28,27,1)*MID($K28,3,1),MID($L28,28,1)*MID($K28,4,1),MID($L28,29,1)*MID($K28,5,1),MID($L28,30,1)*MID($K28,6,1),MID($L28,31,1)*MID($K28,7,1),MID($L28,32,1)*MID($K28,8,1))</f>
        <v>01100001010000010000001001100000</v>
      </c>
      <c r="BS28" s="26" t="str">
        <f t="shared" si="50"/>
        <v>01100001</v>
      </c>
      <c r="BT28" s="26" t="str">
        <f t="shared" si="51"/>
        <v>01000001</v>
      </c>
      <c r="BU28" s="26" t="str">
        <f t="shared" si="52"/>
        <v>00000010</v>
      </c>
      <c r="BV28" s="26" t="str">
        <f t="shared" si="53"/>
        <v>01100000</v>
      </c>
      <c r="BW28" s="77">
        <f>BIN2DEC(BS28)-BIN2DEC(BS29)</f>
        <v>-16</v>
      </c>
      <c r="BX28" s="77">
        <f>BIN2DEC(BT28)-BIN2DEC(BT29)</f>
        <v>61</v>
      </c>
      <c r="BY28" s="77">
        <f>BIN2DEC(BU28)-BIN2DEC(BU29)</f>
        <v>-80</v>
      </c>
      <c r="BZ28" s="77">
        <f>BIN2DEC(BV28)-BIN2DEC(BV29)</f>
        <v>24</v>
      </c>
      <c r="CA28" s="27" t="str">
        <f t="shared" si="54"/>
        <v>1110</v>
      </c>
      <c r="CB28" s="27" t="str">
        <f t="shared" si="55"/>
        <v>0101</v>
      </c>
      <c r="CC28" s="27" t="str">
        <f t="shared" si="56"/>
        <v>1101</v>
      </c>
      <c r="CD28" s="27" t="str">
        <f t="shared" si="57"/>
        <v>1001</v>
      </c>
      <c r="CE28" s="27" t="str">
        <f t="shared" si="58"/>
        <v>1000</v>
      </c>
      <c r="CF28" s="27" t="str">
        <f t="shared" si="59"/>
        <v>1010</v>
      </c>
      <c r="CG28" s="27" t="str">
        <f>MID($L28,25,4)</f>
        <v>1110</v>
      </c>
      <c r="CH28" s="27" t="str">
        <f t="shared" si="61"/>
        <v>0100</v>
      </c>
      <c r="CI28" s="77">
        <f>BIN2DEC(CA28)-BIN2DEC(CA29)</f>
        <v>7</v>
      </c>
      <c r="CJ28" s="77">
        <f t="shared" ref="CJ28:CO28" si="222">BIN2DEC(CB28)-BIN2DEC(CB29)</f>
        <v>4</v>
      </c>
      <c r="CK28" s="77">
        <f t="shared" si="222"/>
        <v>13</v>
      </c>
      <c r="CL28" s="77">
        <f t="shared" si="222"/>
        <v>5</v>
      </c>
      <c r="CM28" s="77">
        <f t="shared" si="222"/>
        <v>3</v>
      </c>
      <c r="CN28" s="77">
        <f t="shared" si="222"/>
        <v>8</v>
      </c>
      <c r="CO28" s="77">
        <f t="shared" si="222"/>
        <v>10</v>
      </c>
      <c r="CP28" s="77">
        <f>BIN2DEC(CH28)-BIN2DEC(CH29)</f>
        <v>-4</v>
      </c>
      <c r="CQ28" s="26" t="str">
        <f t="shared" si="9"/>
        <v>0110000101000001</v>
      </c>
      <c r="CR28" s="26" t="str">
        <f t="shared" si="10"/>
        <v>0000001001100000</v>
      </c>
      <c r="CS28" s="77">
        <f>MID(CQ28,16,1)*POWER(2,0)+MID(CQ28,15,1)*POWER(2,1)+MID(CQ28,14,1)*POWER(2,2)+MID(CQ28,13,1)*POWER(2,3)+MID(CQ28,12,1)*POWER(2,4)+MID(CQ28,11,1)*POWER(2,5)+MID(CQ28,10,1)*POWER(2,6)+MID(CQ28,9,1)*POWER(2,7)+MID(CQ28,8,1)*POWER(2,8)+MID(CQ28,7,1)*POWER(2,9)+MID(CQ28,6,1)*POWER(2,10)+MID(CQ28,5,1)*POWER(2,11)+MID(CQ28,4,1)*POWER(2,12)+MID(CQ28,3,1)*POWER(2,13)+MID(CQ28,2,1)*POWER(2,14)+MID(CQ28,1,1)*POWER(2,15)-(MID(CQ29,16,1)*POWER(2,0)+MID(CQ29,15,1)*POWER(2,1)+MID(CQ29,14,1)*POWER(2,2)+MID(CQ29,13,1)*POWER(2,3)+MID(CQ29,12,1)*POWER(2,4)+MID(CQ29,11,1)*POWER(2,5)+MID(CQ29,10,1)*POWER(2,6)+MID(CQ29,9,1)*POWER(2,7)+MID(CQ29,8,1)*POWER(2,8)+MID(CQ29,7,1)*POWER(2,9)+MID(CQ29,6,1)*POWER(2,10)+MID(CQ29,5,1)*POWER(2,11)+MID(CQ29,4,1)*POWER(2,12)+MID(CQ29,3,1)*POWER(2,13)+MID(CQ29,2,1)*POWER(2,14)+MID(CQ29,1,1)*POWER(2,15))</f>
        <v>-4035</v>
      </c>
      <c r="CT28" s="77">
        <f>MID(CR28,16,1)*POWER(2,0)+MID(CR28,15,1)*POWER(2,1)+MID(CR28,14,1)*POWER(2,2)+MID(CR28,13,1)*POWER(2,3)+MID(CR28,12,1)*POWER(2,4)+MID(CR28,11,1)*POWER(2,5)+MID(CR28,10,1)*POWER(2,6)+MID(CR28,9,1)*POWER(2,7)+MID(CR28,8,1)*POWER(2,8)+MID(CR28,7,1)*POWER(2,9)+MID(CR28,6,1)*POWER(2,10)+MID(CR28,5,1)*POWER(2,11)+MID(CR28,4,1)*POWER(2,12)+MID(CR28,3,1)*POWER(2,13)+MID(CR28,2,1)*POWER(2,14)+MID(CR28,1,1)*POWER(2,15)-(MID(CR29,16,1)*POWER(2,0)+MID(CR29,15,1)*POWER(2,1)+MID(CR29,14,1)*POWER(2,2)+MID(CR29,13,1)*POWER(2,3)+MID(CR29,12,1)*POWER(2,4)+MID(CR29,11,1)*POWER(2,5)+MID(CR29,10,1)*POWER(2,6)+MID(CR29,9,1)*POWER(2,7)+MID(CR29,8,1)*POWER(2,8)+MID(CR29,7,1)*POWER(2,9)+MID(CR29,6,1)*POWER(2,10)+MID(CR29,5,1)*POWER(2,11)+MID(CR29,4,1)*POWER(2,12)+MID(CR29,3,1)*POWER(2,13)+MID(CR29,2,1)*POWER(2,14)+MID(CR29,1,1)*POWER(2,15))</f>
        <v>-20456</v>
      </c>
      <c r="CU28" s="45" t="str">
        <f>BR28</f>
        <v>01100001010000010000001001100000</v>
      </c>
      <c r="CV28" s="26" t="str">
        <f t="shared" si="62"/>
        <v>01100001</v>
      </c>
      <c r="CW28" s="26" t="str">
        <f t="shared" si="63"/>
        <v>01000001</v>
      </c>
      <c r="CX28" s="26" t="str">
        <f t="shared" si="64"/>
        <v>00000010</v>
      </c>
      <c r="CY28" s="26" t="str">
        <f t="shared" si="65"/>
        <v>01100000</v>
      </c>
      <c r="CZ28" s="77">
        <f>BIN2DEC(CV28)-BIN2DEC(CV29)</f>
        <v>0</v>
      </c>
      <c r="DA28" s="77">
        <f>BIN2DEC(CW28)-BIN2DEC(CW29)</f>
        <v>65</v>
      </c>
      <c r="DB28" s="77">
        <f>BIN2DEC(CX28)-BIN2DEC(CX29)</f>
        <v>-64</v>
      </c>
      <c r="DC28" s="77">
        <f>BIN2DEC(CY28)-BIN2DEC(CY29)</f>
        <v>32</v>
      </c>
      <c r="DD28" s="27" t="str">
        <f t="shared" si="66"/>
        <v>1110</v>
      </c>
      <c r="DE28" s="27" t="str">
        <f t="shared" si="67"/>
        <v>0101</v>
      </c>
      <c r="DF28" s="27" t="str">
        <f t="shared" si="68"/>
        <v>1101</v>
      </c>
      <c r="DG28" s="27" t="str">
        <f t="shared" si="69"/>
        <v>1001</v>
      </c>
      <c r="DH28" s="27" t="str">
        <f t="shared" si="70"/>
        <v>1000</v>
      </c>
      <c r="DI28" s="27" t="str">
        <f t="shared" si="71"/>
        <v>1010</v>
      </c>
      <c r="DJ28" s="27" t="str">
        <f>MID($L28,25,4)</f>
        <v>1110</v>
      </c>
      <c r="DK28" s="27" t="str">
        <f t="shared" si="73"/>
        <v>0100</v>
      </c>
      <c r="DL28" s="77">
        <f>BIN2DEC(DD28)-BIN2DEC(DD29)</f>
        <v>7</v>
      </c>
      <c r="DM28" s="77">
        <f t="shared" ref="DM28:DR28" si="223">BIN2DEC(DE28)-BIN2DEC(DE29)</f>
        <v>4</v>
      </c>
      <c r="DN28" s="77">
        <f t="shared" si="223"/>
        <v>13</v>
      </c>
      <c r="DO28" s="77">
        <f t="shared" si="223"/>
        <v>5</v>
      </c>
      <c r="DP28" s="77">
        <f t="shared" si="223"/>
        <v>3</v>
      </c>
      <c r="DQ28" s="77">
        <f t="shared" si="223"/>
        <v>8</v>
      </c>
      <c r="DR28" s="77">
        <f t="shared" si="223"/>
        <v>10</v>
      </c>
      <c r="DS28" s="77">
        <f>BIN2DEC(DK28)-BIN2DEC(DK29)</f>
        <v>-4</v>
      </c>
      <c r="DT28" s="26" t="str">
        <f t="shared" si="12"/>
        <v>0110000101000001</v>
      </c>
      <c r="DU28" s="26" t="str">
        <f t="shared" si="13"/>
        <v>0000001001100000</v>
      </c>
      <c r="DV28" s="77">
        <f>MID(DT28,16,1)*POWER(2,0)+MID(DT28,15,1)*POWER(2,1)+MID(DT28,14,1)*POWER(2,2)+MID(DT28,13,1)*POWER(2,3)+MID(DT28,12,1)*POWER(2,4)+MID(DT28,11,1)*POWER(2,5)+MID(DT28,10,1)*POWER(2,6)+MID(DT28,9,1)*POWER(2,7)+MID(DT28,8,1)*POWER(2,8)+MID(DT28,7,1)*POWER(2,9)+MID(DT28,6,1)*POWER(2,10)+MID(DT28,5,1)*POWER(2,11)+MID(DT28,4,1)*POWER(2,12)+MID(DT28,3,1)*POWER(2,13)+MID(DT28,2,1)*POWER(2,14)+MID(DT28,1,1)*POWER(2,15)-(MID(DT29,16,1)*POWER(2,0)+MID(DT29,15,1)*POWER(2,1)+MID(DT29,14,1)*POWER(2,2)+MID(DT29,13,1)*POWER(2,3)+MID(DT29,12,1)*POWER(2,4)+MID(DT29,11,1)*POWER(2,5)+MID(DT29,10,1)*POWER(2,6)+MID(DT29,9,1)*POWER(2,7)+MID(DT29,8,1)*POWER(2,8)+MID(DT29,7,1)*POWER(2,9)+MID(DT29,6,1)*POWER(2,10)+MID(DT29,5,1)*POWER(2,11)+MID(DT29,4,1)*POWER(2,12)+MID(DT29,3,1)*POWER(2,13)+MID(DT29,2,1)*POWER(2,14)+MID(DT29,1,1)*POWER(2,15))</f>
        <v>65</v>
      </c>
      <c r="DW28" s="77">
        <f>MID(DU28,16,1)*POWER(2,0)+MID(DU28,15,1)*POWER(2,1)+MID(DU28,14,1)*POWER(2,2)+MID(DU28,13,1)*POWER(2,3)+MID(DU28,12,1)*POWER(2,4)+MID(DU28,11,1)*POWER(2,5)+MID(DU28,10,1)*POWER(2,6)+MID(DU28,9,1)*POWER(2,7)+MID(DU28,8,1)*POWER(2,8)+MID(DU28,7,1)*POWER(2,9)+MID(DU28,6,1)*POWER(2,10)+MID(DU28,5,1)*POWER(2,11)+MID(DU28,4,1)*POWER(2,12)+MID(DU28,3,1)*POWER(2,13)+MID(DU28,2,1)*POWER(2,14)+MID(DU28,1,1)*POWER(2,15)-(MID(DU29,16,1)*POWER(2,0)+MID(DU29,15,1)*POWER(2,1)+MID(DU29,14,1)*POWER(2,2)+MID(DU29,13,1)*POWER(2,3)+MID(DU29,12,1)*POWER(2,4)+MID(DU29,11,1)*POWER(2,5)+MID(DU29,10,1)*POWER(2,6)+MID(DU29,9,1)*POWER(2,7)+MID(DU29,8,1)*POWER(2,8)+MID(DU29,7,1)*POWER(2,9)+MID(DU29,6,1)*POWER(2,10)+MID(DU29,5,1)*POWER(2,11)+MID(DU29,4,1)*POWER(2,12)+MID(DU29,3,1)*POWER(2,13)+MID(DU29,2,1)*POWER(2,14)+MID(DU29,1,1)*POWER(2,15))</f>
        <v>-16352</v>
      </c>
      <c r="DX28" s="22"/>
      <c r="DY28" s="43" t="str">
        <f>H28</f>
        <v>11100101110110011000101011100100</v>
      </c>
      <c r="DZ28" s="26" t="str">
        <f t="shared" si="122"/>
        <v>11100101</v>
      </c>
      <c r="EA28" s="26" t="str">
        <f t="shared" si="74"/>
        <v>11011001</v>
      </c>
      <c r="EB28" s="26" t="str">
        <f t="shared" si="75"/>
        <v>10001010</v>
      </c>
      <c r="EC28" s="26" t="str">
        <f t="shared" si="76"/>
        <v>11100100</v>
      </c>
      <c r="ED28" s="77">
        <f>BIN2DEC(DZ28)-BIN2DEC(DZ29)</f>
        <v>212</v>
      </c>
      <c r="EE28" s="77">
        <f>BIN2DEC(EA28)-BIN2DEC(EA29)</f>
        <v>217</v>
      </c>
      <c r="EF28" s="77">
        <f>BIN2DEC(EB28)-BIN2DEC(EB29)</f>
        <v>120</v>
      </c>
      <c r="EG28" s="77">
        <f>BIN2DEC(EC28)-BIN2DEC(EC29)</f>
        <v>220</v>
      </c>
      <c r="EH28" s="27" t="str">
        <f t="shared" si="77"/>
        <v>1110</v>
      </c>
      <c r="EI28" s="27" t="str">
        <f t="shared" si="78"/>
        <v>0101</v>
      </c>
      <c r="EJ28" s="27" t="str">
        <f t="shared" si="79"/>
        <v>1101</v>
      </c>
      <c r="EK28" s="27" t="str">
        <f t="shared" si="80"/>
        <v>1001</v>
      </c>
      <c r="EL28" s="27" t="str">
        <f t="shared" si="81"/>
        <v>1000</v>
      </c>
      <c r="EM28" s="27" t="str">
        <f t="shared" si="82"/>
        <v>1010</v>
      </c>
      <c r="EN28" s="27" t="str">
        <f>MID($L28,25,4)</f>
        <v>1110</v>
      </c>
      <c r="EO28" s="27" t="str">
        <f t="shared" si="84"/>
        <v>0100</v>
      </c>
      <c r="EP28" s="77">
        <f>BIN2DEC(EH28)-BIN2DEC(EH29)</f>
        <v>7</v>
      </c>
      <c r="EQ28" s="77">
        <f t="shared" ref="EQ28:EV28" si="224">BIN2DEC(EI28)-BIN2DEC(EI29)</f>
        <v>4</v>
      </c>
      <c r="ER28" s="77">
        <f t="shared" si="224"/>
        <v>13</v>
      </c>
      <c r="ES28" s="77">
        <f t="shared" si="224"/>
        <v>5</v>
      </c>
      <c r="ET28" s="77">
        <f t="shared" si="224"/>
        <v>3</v>
      </c>
      <c r="EU28" s="77">
        <f t="shared" si="224"/>
        <v>8</v>
      </c>
      <c r="EV28" s="77">
        <f t="shared" si="224"/>
        <v>10</v>
      </c>
      <c r="EW28" s="77">
        <f>BIN2DEC(EO28)-BIN2DEC(EO29)</f>
        <v>-4</v>
      </c>
      <c r="EX28" s="26" t="str">
        <f t="shared" si="15"/>
        <v>1110010111011001</v>
      </c>
      <c r="EY28" s="26" t="str">
        <f t="shared" si="16"/>
        <v>1000101011100100</v>
      </c>
      <c r="EZ28" s="77">
        <f>MID(EX28,16,1)*POWER(2,0)+MID(EX28,15,1)*POWER(2,1)+MID(EX28,14,1)*POWER(2,2)+MID(EX28,13,1)*POWER(2,3)+MID(EX28,12,1)*POWER(2,4)+MID(EX28,11,1)*POWER(2,5)+MID(EX28,10,1)*POWER(2,6)+MID(EX28,9,1)*POWER(2,7)+MID(EX28,8,1)*POWER(2,8)+MID(EX28,7,1)*POWER(2,9)+MID(EX28,6,1)*POWER(2,10)+MID(EX28,5,1)*POWER(2,11)+MID(EX28,4,1)*POWER(2,12)+MID(EX28,3,1)*POWER(2,13)+MID(EX28,2,1)*POWER(2,14)+MID(EX28,1,1)*POWER(2,15)-(MID(EX29,16,1)*POWER(2,0)+MID(EX29,15,1)*POWER(2,1)+MID(EX29,14,1)*POWER(2,2)+MID(EX29,13,1)*POWER(2,3)+MID(EX29,12,1)*POWER(2,4)+MID(EX29,11,1)*POWER(2,5)+MID(EX29,10,1)*POWER(2,6)+MID(EX29,9,1)*POWER(2,7)+MID(EX29,8,1)*POWER(2,8)+MID(EX29,7,1)*POWER(2,9)+MID(EX29,6,1)*POWER(2,10)+MID(EX29,5,1)*POWER(2,11)+MID(EX29,4,1)*POWER(2,12)+MID(EX29,3,1)*POWER(2,13)+MID(EX29,2,1)*POWER(2,14)+MID(EX29,1,1)*POWER(2,15))</f>
        <v>54489</v>
      </c>
      <c r="FA28" s="77">
        <f>MID(EY28,16,1)*POWER(2,0)+MID(EY28,15,1)*POWER(2,1)+MID(EY28,14,1)*POWER(2,2)+MID(EY28,13,1)*POWER(2,3)+MID(EY28,12,1)*POWER(2,4)+MID(EY28,11,1)*POWER(2,5)+MID(EY28,10,1)*POWER(2,6)+MID(EY28,9,1)*POWER(2,7)+MID(EY28,8,1)*POWER(2,8)+MID(EY28,7,1)*POWER(2,9)+MID(EY28,6,1)*POWER(2,10)+MID(EY28,5,1)*POWER(2,11)+MID(EY28,4,1)*POWER(2,12)+MID(EY28,3,1)*POWER(2,13)+MID(EY28,2,1)*POWER(2,14)+MID(EY28,1,1)*POWER(2,15)-(MID(EY29,16,1)*POWER(2,0)+MID(EY29,15,1)*POWER(2,1)+MID(EY29,14,1)*POWER(2,2)+MID(EY29,13,1)*POWER(2,3)+MID(EY29,12,1)*POWER(2,4)+MID(EY29,11,1)*POWER(2,5)+MID(EY29,10,1)*POWER(2,6)+MID(EY29,9,1)*POWER(2,7)+MID(EY29,8,1)*POWER(2,8)+MID(EY29,7,1)*POWER(2,9)+MID(EY29,6,1)*POWER(2,10)+MID(EY29,5,1)*POWER(2,11)+MID(EY29,4,1)*POWER(2,12)+MID(EY29,3,1)*POWER(2,13)+MID(EY29,2,1)*POWER(2,14)+MID(EY29,1,1)*POWER(2,15))</f>
        <v>30940</v>
      </c>
      <c r="FB28" s="45" t="str">
        <f>H28</f>
        <v>11100101110110011000101011100100</v>
      </c>
      <c r="FC28" s="26" t="str">
        <f t="shared" si="124"/>
        <v>11100101</v>
      </c>
      <c r="FD28" s="26" t="str">
        <f t="shared" si="85"/>
        <v>11011001</v>
      </c>
      <c r="FE28" s="26" t="str">
        <f t="shared" si="86"/>
        <v>10001010</v>
      </c>
      <c r="FF28" s="26" t="str">
        <f t="shared" si="87"/>
        <v>11100100</v>
      </c>
      <c r="FG28" s="77">
        <f>BIN2DEC(FC28)-BIN2DEC(FC29)</f>
        <v>228</v>
      </c>
      <c r="FH28" s="77">
        <f>BIN2DEC(FD28)-BIN2DEC(FD29)</f>
        <v>217</v>
      </c>
      <c r="FI28" s="77">
        <f>BIN2DEC(FE28)-BIN2DEC(FE29)</f>
        <v>136</v>
      </c>
      <c r="FJ28" s="77">
        <f>BIN2DEC(FF28)-BIN2DEC(FF29)</f>
        <v>228</v>
      </c>
      <c r="FK28" s="27" t="str">
        <f t="shared" si="88"/>
        <v>1110</v>
      </c>
      <c r="FL28" s="27" t="str">
        <f t="shared" si="89"/>
        <v>0101</v>
      </c>
      <c r="FM28" s="27" t="str">
        <f t="shared" si="90"/>
        <v>1101</v>
      </c>
      <c r="FN28" s="27" t="str">
        <f t="shared" si="91"/>
        <v>1001</v>
      </c>
      <c r="FO28" s="27" t="str">
        <f t="shared" si="92"/>
        <v>1000</v>
      </c>
      <c r="FP28" s="27" t="str">
        <f t="shared" si="93"/>
        <v>1010</v>
      </c>
      <c r="FQ28" s="27" t="str">
        <f>MID($L28,25,4)</f>
        <v>1110</v>
      </c>
      <c r="FR28" s="27" t="str">
        <f t="shared" si="95"/>
        <v>0100</v>
      </c>
      <c r="FS28" s="77">
        <f>BIN2DEC(FK28)-BIN2DEC(FK29)</f>
        <v>7</v>
      </c>
      <c r="FT28" s="77">
        <f t="shared" ref="FT28:FY28" si="225">BIN2DEC(FL28)-BIN2DEC(FL29)</f>
        <v>4</v>
      </c>
      <c r="FU28" s="77">
        <f t="shared" si="225"/>
        <v>13</v>
      </c>
      <c r="FV28" s="77">
        <f t="shared" si="225"/>
        <v>5</v>
      </c>
      <c r="FW28" s="77">
        <f t="shared" si="225"/>
        <v>3</v>
      </c>
      <c r="FX28" s="77">
        <f t="shared" si="225"/>
        <v>8</v>
      </c>
      <c r="FY28" s="77">
        <f t="shared" si="225"/>
        <v>10</v>
      </c>
      <c r="FZ28" s="77">
        <f>BIN2DEC(FR28)-BIN2DEC(FR29)</f>
        <v>-4</v>
      </c>
      <c r="GA28" s="26" t="str">
        <f t="shared" si="18"/>
        <v>1110010111011001</v>
      </c>
      <c r="GB28" s="26" t="str">
        <f t="shared" si="19"/>
        <v>1000101011100100</v>
      </c>
      <c r="GC28" s="77">
        <f>MID(GA28,16,1)*POWER(2,0)+MID(GA28,15,1)*POWER(2,1)+MID(GA28,14,1)*POWER(2,2)+MID(GA28,13,1)*POWER(2,3)+MID(GA28,12,1)*POWER(2,4)+MID(GA28,11,1)*POWER(2,5)+MID(GA28,10,1)*POWER(2,6)+MID(GA28,9,1)*POWER(2,7)+MID(GA28,8,1)*POWER(2,8)+MID(GA28,7,1)*POWER(2,9)+MID(GA28,6,1)*POWER(2,10)+MID(GA28,5,1)*POWER(2,11)+MID(GA28,4,1)*POWER(2,12)+MID(GA28,3,1)*POWER(2,13)+MID(GA28,2,1)*POWER(2,14)+MID(GA28,1,1)*POWER(2,15)-(MID(GA29,16,1)*POWER(2,0)+MID(GA29,15,1)*POWER(2,1)+MID(GA29,14,1)*POWER(2,2)+MID(GA29,13,1)*POWER(2,3)+MID(GA29,12,1)*POWER(2,4)+MID(GA29,11,1)*POWER(2,5)+MID(GA29,10,1)*POWER(2,6)+MID(GA29,9,1)*POWER(2,7)+MID(GA29,8,1)*POWER(2,8)+MID(GA29,7,1)*POWER(2,9)+MID(GA29,6,1)*POWER(2,10)+MID(GA29,5,1)*POWER(2,11)+MID(GA29,4,1)*POWER(2,12)+MID(GA29,3,1)*POWER(2,13)+MID(GA29,2,1)*POWER(2,14)+MID(GA29,1,1)*POWER(2,15))</f>
        <v>58585</v>
      </c>
      <c r="GD28" s="77">
        <f>MID(GB28,16,1)*POWER(2,0)+MID(GB28,15,1)*POWER(2,1)+MID(GB28,14,1)*POWER(2,2)+MID(GB28,13,1)*POWER(2,3)+MID(GB28,12,1)*POWER(2,4)+MID(GB28,11,1)*POWER(2,5)+MID(GB28,10,1)*POWER(2,6)+MID(GB28,9,1)*POWER(2,7)+MID(GB28,8,1)*POWER(2,8)+MID(GB28,7,1)*POWER(2,9)+MID(GB28,6,1)*POWER(2,10)+MID(GB28,5,1)*POWER(2,11)+MID(GB28,4,1)*POWER(2,12)+MID(GB28,3,1)*POWER(2,13)+MID(GB28,2,1)*POWER(2,14)+MID(GB28,1,1)*POWER(2,15)-(MID(GB29,16,1)*POWER(2,0)+MID(GB29,15,1)*POWER(2,1)+MID(GB29,14,1)*POWER(2,2)+MID(GB29,13,1)*POWER(2,3)+MID(GB29,12,1)*POWER(2,4)+MID(GB29,11,1)*POWER(2,5)+MID(GB29,10,1)*POWER(2,6)+MID(GB29,9,1)*POWER(2,7)+MID(GB29,8,1)*POWER(2,8)+MID(GB29,7,1)*POWER(2,9)+MID(GB29,6,1)*POWER(2,10)+MID(GB29,5,1)*POWER(2,11)+MID(GB29,4,1)*POWER(2,12)+MID(GB29,3,1)*POWER(2,13)+MID(GB29,2,1)*POWER(2,14)+MID(GB29,1,1)*POWER(2,15))</f>
        <v>35044</v>
      </c>
      <c r="GE28" s="47" t="str">
        <f>CU28</f>
        <v>01100001010000010000001001100000</v>
      </c>
      <c r="GF28" s="26" t="str">
        <f t="shared" si="126"/>
        <v>01100001</v>
      </c>
      <c r="GG28" s="26" t="str">
        <f t="shared" si="96"/>
        <v>01000001</v>
      </c>
      <c r="GH28" s="26" t="str">
        <f t="shared" si="97"/>
        <v>00000010</v>
      </c>
      <c r="GI28" s="26" t="str">
        <f t="shared" si="98"/>
        <v>01100000</v>
      </c>
      <c r="GJ28" s="77">
        <f>BIN2DEC(GF28)-BIN2DEC(GF29)</f>
        <v>80</v>
      </c>
      <c r="GK28" s="77">
        <f>BIN2DEC(GG28)-BIN2DEC(GG29)</f>
        <v>65</v>
      </c>
      <c r="GL28" s="77">
        <f>BIN2DEC(GH28)-BIN2DEC(GH29)</f>
        <v>-16</v>
      </c>
      <c r="GM28" s="77">
        <f>BIN2DEC(GI28)-BIN2DEC(GI29)</f>
        <v>88</v>
      </c>
      <c r="GN28" s="27" t="str">
        <f t="shared" si="99"/>
        <v>1110</v>
      </c>
      <c r="GO28" s="27" t="str">
        <f t="shared" si="100"/>
        <v>0101</v>
      </c>
      <c r="GP28" s="27" t="str">
        <f t="shared" si="101"/>
        <v>1101</v>
      </c>
      <c r="GQ28" s="27" t="str">
        <f t="shared" si="102"/>
        <v>1001</v>
      </c>
      <c r="GR28" s="27" t="str">
        <f t="shared" si="103"/>
        <v>1000</v>
      </c>
      <c r="GS28" s="27" t="str">
        <f t="shared" si="104"/>
        <v>1010</v>
      </c>
      <c r="GT28" s="27" t="str">
        <f>MID($L28,25,4)</f>
        <v>1110</v>
      </c>
      <c r="GU28" s="27" t="str">
        <f t="shared" si="106"/>
        <v>0100</v>
      </c>
      <c r="GV28" s="77">
        <f>BIN2DEC(GN28)-BIN2DEC(GN29)</f>
        <v>7</v>
      </c>
      <c r="GW28" s="77">
        <f t="shared" ref="GW28:HB28" si="226">BIN2DEC(GO28)-BIN2DEC(GO29)</f>
        <v>4</v>
      </c>
      <c r="GX28" s="77">
        <f t="shared" si="226"/>
        <v>13</v>
      </c>
      <c r="GY28" s="77">
        <f t="shared" si="226"/>
        <v>5</v>
      </c>
      <c r="GZ28" s="77">
        <f t="shared" si="226"/>
        <v>3</v>
      </c>
      <c r="HA28" s="77">
        <f t="shared" si="226"/>
        <v>8</v>
      </c>
      <c r="HB28" s="77">
        <f t="shared" si="226"/>
        <v>10</v>
      </c>
      <c r="HC28" s="77">
        <f>BIN2DEC(GU28)-BIN2DEC(GU29)</f>
        <v>-4</v>
      </c>
      <c r="HD28" s="26" t="str">
        <f t="shared" si="21"/>
        <v>0110000101000001</v>
      </c>
      <c r="HE28" s="26" t="str">
        <f t="shared" si="22"/>
        <v>0000001001100000</v>
      </c>
      <c r="HF28" s="77">
        <f>MID(HD28,16,1)*POWER(2,0)+MID(HD28,15,1)*POWER(2,1)+MID(HD28,14,1)*POWER(2,2)+MID(HD28,13,1)*POWER(2,3)+MID(HD28,12,1)*POWER(2,4)+MID(HD28,11,1)*POWER(2,5)+MID(HD28,10,1)*POWER(2,6)+MID(HD28,9,1)*POWER(2,7)+MID(HD28,8,1)*POWER(2,8)+MID(HD28,7,1)*POWER(2,9)+MID(HD28,6,1)*POWER(2,10)+MID(HD28,5,1)*POWER(2,11)+MID(HD28,4,1)*POWER(2,12)+MID(HD28,3,1)*POWER(2,13)+MID(HD28,2,1)*POWER(2,14)+MID(HD28,1,1)*POWER(2,15)-(MID(HD29,16,1)*POWER(2,0)+MID(HD29,15,1)*POWER(2,1)+MID(HD29,14,1)*POWER(2,2)+MID(HD29,13,1)*POWER(2,3)+MID(HD29,12,1)*POWER(2,4)+MID(HD29,11,1)*POWER(2,5)+MID(HD29,10,1)*POWER(2,6)+MID(HD29,9,1)*POWER(2,7)+MID(HD29,8,1)*POWER(2,8)+MID(HD29,7,1)*POWER(2,9)+MID(HD29,6,1)*POWER(2,10)+MID(HD29,5,1)*POWER(2,11)+MID(HD29,4,1)*POWER(2,12)+MID(HD29,3,1)*POWER(2,13)+MID(HD29,2,1)*POWER(2,14)+MID(HD29,1,1)*POWER(2,15))</f>
        <v>20545</v>
      </c>
      <c r="HG28" s="77">
        <f>MID(HE28,16,1)*POWER(2,0)+MID(HE28,15,1)*POWER(2,1)+MID(HE28,14,1)*POWER(2,2)+MID(HE28,13,1)*POWER(2,3)+MID(HE28,12,1)*POWER(2,4)+MID(HE28,11,1)*POWER(2,5)+MID(HE28,10,1)*POWER(2,6)+MID(HE28,9,1)*POWER(2,7)+MID(HE28,8,1)*POWER(2,8)+MID(HE28,7,1)*POWER(2,9)+MID(HE28,6,1)*POWER(2,10)+MID(HE28,5,1)*POWER(2,11)+MID(HE28,4,1)*POWER(2,12)+MID(HE28,3,1)*POWER(2,13)+MID(HE28,2,1)*POWER(2,14)+MID(HE28,1,1)*POWER(2,15)-(MID(HE29,16,1)*POWER(2,0)+MID(HE29,15,1)*POWER(2,1)+MID(HE29,14,1)*POWER(2,2)+MID(HE29,13,1)*POWER(2,3)+MID(HE29,12,1)*POWER(2,4)+MID(HE29,11,1)*POWER(2,5)+MID(HE29,10,1)*POWER(2,6)+MID(HE29,9,1)*POWER(2,7)+MID(HE29,8,1)*POWER(2,8)+MID(HE29,7,1)*POWER(2,9)+MID(HE29,6,1)*POWER(2,10)+MID(HE29,5,1)*POWER(2,11)+MID(HE29,4,1)*POWER(2,12)+MID(HE29,3,1)*POWER(2,13)+MID(HE29,2,1)*POWER(2,14)+MID(HE29,1,1)*POWER(2,15))</f>
        <v>-4008</v>
      </c>
      <c r="HH28" s="45" t="str">
        <f>GE28</f>
        <v>01100001010000010000001001100000</v>
      </c>
      <c r="HI28" s="26" t="str">
        <f t="shared" si="128"/>
        <v>01100001</v>
      </c>
      <c r="HJ28" s="26" t="str">
        <f t="shared" si="107"/>
        <v>01000001</v>
      </c>
      <c r="HK28" s="26" t="str">
        <f t="shared" si="108"/>
        <v>00000010</v>
      </c>
      <c r="HL28" s="26" t="str">
        <f t="shared" si="109"/>
        <v>01100000</v>
      </c>
      <c r="HM28" s="77">
        <f>BIN2DEC(HI28)-BIN2DEC(HI29)</f>
        <v>96</v>
      </c>
      <c r="HN28" s="77">
        <f>BIN2DEC(HJ28)-BIN2DEC(HJ29)</f>
        <v>65</v>
      </c>
      <c r="HO28" s="77">
        <f>BIN2DEC(HK28)-BIN2DEC(HK29)</f>
        <v>0</v>
      </c>
      <c r="HP28" s="77">
        <f>BIN2DEC(HL28)-BIN2DEC(HL29)</f>
        <v>96</v>
      </c>
      <c r="HQ28" s="27" t="str">
        <f t="shared" si="110"/>
        <v>1110</v>
      </c>
      <c r="HR28" s="27" t="str">
        <f t="shared" si="111"/>
        <v>0101</v>
      </c>
      <c r="HS28" s="27" t="str">
        <f t="shared" si="112"/>
        <v>1101</v>
      </c>
      <c r="HT28" s="27" t="str">
        <f t="shared" si="113"/>
        <v>1001</v>
      </c>
      <c r="HU28" s="27" t="str">
        <f t="shared" si="114"/>
        <v>1000</v>
      </c>
      <c r="HV28" s="27" t="str">
        <f t="shared" si="115"/>
        <v>1010</v>
      </c>
      <c r="HW28" s="27" t="str">
        <f>MID($L28,25,4)</f>
        <v>1110</v>
      </c>
      <c r="HX28" s="27" t="str">
        <f t="shared" si="117"/>
        <v>0100</v>
      </c>
      <c r="HY28" s="77">
        <f>BIN2DEC(HQ28)-BIN2DEC(HQ29)</f>
        <v>7</v>
      </c>
      <c r="HZ28" s="77">
        <f t="shared" ref="HZ28:IE28" si="227">BIN2DEC(HR28)-BIN2DEC(HR29)</f>
        <v>4</v>
      </c>
      <c r="IA28" s="77">
        <f t="shared" si="227"/>
        <v>13</v>
      </c>
      <c r="IB28" s="77">
        <f t="shared" si="227"/>
        <v>5</v>
      </c>
      <c r="IC28" s="77">
        <f t="shared" si="227"/>
        <v>3</v>
      </c>
      <c r="ID28" s="77">
        <f t="shared" si="227"/>
        <v>8</v>
      </c>
      <c r="IE28" s="77">
        <f t="shared" si="227"/>
        <v>10</v>
      </c>
      <c r="IF28" s="77">
        <f>BIN2DEC(HX28)-BIN2DEC(HX29)</f>
        <v>-4</v>
      </c>
      <c r="IG28" s="26" t="str">
        <f t="shared" si="24"/>
        <v>0110000101000001</v>
      </c>
      <c r="IH28" s="26" t="str">
        <f t="shared" si="25"/>
        <v>0000001001100000</v>
      </c>
      <c r="II28" s="77">
        <f>MID(IG28,16,1)*POWER(2,0)+MID(IG28,15,1)*POWER(2,1)+MID(IG28,14,1)*POWER(2,2)+MID(IG28,13,1)*POWER(2,3)+MID(IG28,12,1)*POWER(2,4)+MID(IG28,11,1)*POWER(2,5)+MID(IG28,10,1)*POWER(2,6)+MID(IG28,9,1)*POWER(2,7)+MID(IG28,8,1)*POWER(2,8)+MID(IG28,7,1)*POWER(2,9)+MID(IG28,6,1)*POWER(2,10)+MID(IG28,5,1)*POWER(2,11)+MID(IG28,4,1)*POWER(2,12)+MID(IG28,3,1)*POWER(2,13)+MID(IG28,2,1)*POWER(2,14)+MID(IG28,1,1)*POWER(2,15)-(MID(IG29,16,1)*POWER(2,0)+MID(IG29,15,1)*POWER(2,1)+MID(IG29,14,1)*POWER(2,2)+MID(IG29,13,1)*POWER(2,3)+MID(IG29,12,1)*POWER(2,4)+MID(IG29,11,1)*POWER(2,5)+MID(IG29,10,1)*POWER(2,6)+MID(IG29,9,1)*POWER(2,7)+MID(IG29,8,1)*POWER(2,8)+MID(IG29,7,1)*POWER(2,9)+MID(IG29,6,1)*POWER(2,10)+MID(IG29,5,1)*POWER(2,11)+MID(IG29,4,1)*POWER(2,12)+MID(IG29,3,1)*POWER(2,13)+MID(IG29,2,1)*POWER(2,14)+MID(IG29,1,1)*POWER(2,15))</f>
        <v>24641</v>
      </c>
      <c r="IJ28" s="77">
        <f>MID(IH28,16,1)*POWER(2,0)+MID(IH28,15,1)*POWER(2,1)+MID(IH28,14,1)*POWER(2,2)+MID(IH28,13,1)*POWER(2,3)+MID(IH28,12,1)*POWER(2,4)+MID(IH28,11,1)*POWER(2,5)+MID(IH28,10,1)*POWER(2,6)+MID(IH28,9,1)*POWER(2,7)+MID(IH28,8,1)*POWER(2,8)+MID(IH28,7,1)*POWER(2,9)+MID(IH28,6,1)*POWER(2,10)+MID(IH28,5,1)*POWER(2,11)+MID(IH28,4,1)*POWER(2,12)+MID(IH28,3,1)*POWER(2,13)+MID(IH28,2,1)*POWER(2,14)+MID(IH28,1,1)*POWER(2,15)-(MID(IH29,16,1)*POWER(2,0)+MID(IH29,15,1)*POWER(2,1)+MID(IH29,14,1)*POWER(2,2)+MID(IH29,13,1)*POWER(2,3)+MID(IH29,12,1)*POWER(2,4)+MID(IH29,11,1)*POWER(2,5)+MID(IH29,10,1)*POWER(2,6)+MID(IH29,9,1)*POWER(2,7)+MID(IH29,8,1)*POWER(2,8)+MID(IH29,7,1)*POWER(2,9)+MID(IH29,6,1)*POWER(2,10)+MID(IH29,5,1)*POWER(2,11)+MID(IH29,4,1)*POWER(2,12)+MID(IH29,3,1)*POWER(2,13)+MID(IH29,2,1)*POWER(2,14)+MID(IH29,1,1)*POWER(2,15))</f>
        <v>96</v>
      </c>
      <c r="IL28" s="26"/>
      <c r="IM28" s="26"/>
      <c r="IN28" s="26"/>
      <c r="IO28" s="26"/>
      <c r="IP28" s="22"/>
      <c r="IQ28" s="22"/>
      <c r="IR28" s="22"/>
      <c r="IS28" s="22"/>
      <c r="JB28" s="22"/>
      <c r="JC28" s="22"/>
      <c r="JD28" s="22"/>
      <c r="JE28" s="22"/>
      <c r="JF28" s="22"/>
      <c r="JG28" s="22"/>
      <c r="JH28" s="22"/>
      <c r="JI28" s="22"/>
      <c r="JJ28" s="26"/>
      <c r="JK28" s="26"/>
      <c r="JL28" s="22"/>
      <c r="JM28" s="22"/>
    </row>
    <row r="29" spans="1:273" s="31" customFormat="1" ht="18.600000000000001" thickBot="1" x14ac:dyDescent="0.4">
      <c r="A29" s="28"/>
      <c r="B29" s="29"/>
      <c r="C29" s="21" t="s">
        <v>6</v>
      </c>
      <c r="D29" s="21" t="s">
        <v>20</v>
      </c>
      <c r="E29" s="21">
        <v>29</v>
      </c>
      <c r="F29" s="21" t="s">
        <v>39</v>
      </c>
      <c r="G29" s="21">
        <v>40</v>
      </c>
      <c r="H29" s="21" t="str">
        <f t="shared" si="186"/>
        <v>00001010001010011000111001000000</v>
      </c>
      <c r="I29" s="21">
        <f t="shared" si="187"/>
        <v>10</v>
      </c>
      <c r="J29" s="21"/>
      <c r="K29" s="21"/>
      <c r="L29" s="44" t="str">
        <f>CONCATENATE(MID(H29,20,5),MID(H29,9,3),MID(H29,28,5),MID(H29,17,3),MID(H29,4,5),MID(H29,25,3),MID(H29,12,5),MID(H29,1,3))</f>
        <v>01110001000001000101001001001000</v>
      </c>
      <c r="M29" s="30" t="str">
        <f t="shared" si="26"/>
        <v>01110001</v>
      </c>
      <c r="N29" s="30" t="str">
        <f t="shared" si="27"/>
        <v>00000100</v>
      </c>
      <c r="O29" s="30" t="str">
        <f t="shared" si="28"/>
        <v>01010010</v>
      </c>
      <c r="P29" s="30" t="str">
        <f t="shared" si="29"/>
        <v>01001000</v>
      </c>
      <c r="Q29" s="78"/>
      <c r="R29" s="78"/>
      <c r="S29" s="78"/>
      <c r="T29" s="78"/>
      <c r="U29" s="31" t="str">
        <f t="shared" si="30"/>
        <v>0111</v>
      </c>
      <c r="V29" s="31" t="str">
        <f t="shared" si="31"/>
        <v>0001</v>
      </c>
      <c r="W29" s="31" t="str">
        <f t="shared" si="32"/>
        <v>0000</v>
      </c>
      <c r="X29" s="31" t="str">
        <f t="shared" si="33"/>
        <v>0100</v>
      </c>
      <c r="Y29" s="31" t="str">
        <f t="shared" si="34"/>
        <v>0101</v>
      </c>
      <c r="Z29" s="31" t="str">
        <f t="shared" si="35"/>
        <v>0010</v>
      </c>
      <c r="AA29" s="31" t="str">
        <f t="shared" si="36"/>
        <v>0100</v>
      </c>
      <c r="AB29" s="31" t="str">
        <f t="shared" si="37"/>
        <v>1000</v>
      </c>
      <c r="AC29" s="78"/>
      <c r="AD29" s="78"/>
      <c r="AE29" s="78"/>
      <c r="AF29" s="78"/>
      <c r="AG29" s="78"/>
      <c r="AH29" s="78"/>
      <c r="AI29" s="78"/>
      <c r="AJ29" s="78"/>
      <c r="AK29" s="30" t="str">
        <f t="shared" si="3"/>
        <v>0111000100000100</v>
      </c>
      <c r="AL29" s="30" t="str">
        <f t="shared" si="4"/>
        <v>0101001001001000</v>
      </c>
      <c r="AM29" s="78"/>
      <c r="AN29" s="78"/>
      <c r="AO29" s="46" t="str">
        <f>CONCATENATE(MID($L29,1,1)*MID($K28,1,1),MID($L29,2,1)*MID($K28,2,1),MID($L29,3,1)*MID($K28,3,1),MID($L29,4,1)*MID($K28,4,1),MID($L29,5,1)*MID($K28,5,1),MID($L29,6,1)*MID($K28,6,1),MID($L29,7,1)*MID($K28,7,1),MID($L29,8,1)*MID($K28,8,1),MID($L29,9,1)*MID($K28,1,1),MID($L29,10,1)*MID($K28,2,1),MID($L29,11,1)*MID($K28,3,1),MID($L29,12,1)*MID($K28,4,1),MID($L29,13,1)*MID($K28,5,1),MID($L29,14,1)*MID($K28,6,1),MID($L29,15,1)*MID($K28,7,1),MID($L29,16,1)*MID($K28,8,1),MID($L29,17,1)*MID($K28,1,1),MID($L29,18,1)*MID($K28,2,1),MID($L29,19,1)*MID($K28,3,1),MID($L29,20,1)*MID($K28,4,1),MID($L29,21,1)*MID($K28,5,1),MID($L29,22,1)*MID($K28,6,1),MID($L29,23,1)*MID($K28,7,1),MID($L29,24,1)*MID($K28,8,1),MID($L29,25,1)*MID($K28,1,1),MID($L29,26,1)*MID($K28,2,1),MID($L29,27,1)*MID($K28,3,1),MID($L29,28,1)*MID($K28,4,1),MID($L29,29,1)*MID($K28,5,1),MID($L29,30,1)*MID($K28,6,1),MID($L29,31,1)*MID($K28,7,1),MID($L29,32,1)*MID($K28,8,1))</f>
        <v>01100001000000000100001001000000</v>
      </c>
      <c r="AP29" s="30" t="str">
        <f t="shared" si="38"/>
        <v>01100001</v>
      </c>
      <c r="AQ29" s="30" t="str">
        <f t="shared" si="39"/>
        <v>00000000</v>
      </c>
      <c r="AR29" s="30" t="str">
        <f t="shared" si="40"/>
        <v>01000010</v>
      </c>
      <c r="AS29" s="30" t="str">
        <f t="shared" si="41"/>
        <v>01000000</v>
      </c>
      <c r="AT29" s="78"/>
      <c r="AU29" s="78"/>
      <c r="AV29" s="78"/>
      <c r="AW29" s="78"/>
      <c r="AX29" s="31" t="str">
        <f t="shared" si="42"/>
        <v>0111</v>
      </c>
      <c r="AY29" s="31" t="str">
        <f t="shared" si="43"/>
        <v>0001</v>
      </c>
      <c r="AZ29" s="31" t="str">
        <f t="shared" si="44"/>
        <v>0000</v>
      </c>
      <c r="BA29" s="31" t="str">
        <f t="shared" si="45"/>
        <v>0100</v>
      </c>
      <c r="BB29" s="31" t="str">
        <f t="shared" si="46"/>
        <v>0101</v>
      </c>
      <c r="BC29" s="31" t="str">
        <f t="shared" si="47"/>
        <v>0010</v>
      </c>
      <c r="BD29" s="31" t="str">
        <f t="shared" si="48"/>
        <v>0100</v>
      </c>
      <c r="BE29" s="31" t="str">
        <f t="shared" si="49"/>
        <v>1000</v>
      </c>
      <c r="BF29" s="78"/>
      <c r="BG29" s="78"/>
      <c r="BH29" s="78"/>
      <c r="BI29" s="78"/>
      <c r="BJ29" s="78"/>
      <c r="BK29" s="78"/>
      <c r="BL29" s="78"/>
      <c r="BM29" s="78"/>
      <c r="BN29" s="30" t="str">
        <f t="shared" si="6"/>
        <v>0110000100000000</v>
      </c>
      <c r="BO29" s="30" t="str">
        <f t="shared" si="7"/>
        <v>0100001001000000</v>
      </c>
      <c r="BP29" s="78"/>
      <c r="BQ29" s="78"/>
      <c r="BR29" s="46" t="str">
        <f>L29</f>
        <v>01110001000001000101001001001000</v>
      </c>
      <c r="BS29" s="30" t="str">
        <f t="shared" si="50"/>
        <v>01110001</v>
      </c>
      <c r="BT29" s="30" t="str">
        <f t="shared" si="51"/>
        <v>00000100</v>
      </c>
      <c r="BU29" s="30" t="str">
        <f t="shared" si="52"/>
        <v>01010010</v>
      </c>
      <c r="BV29" s="30" t="str">
        <f t="shared" si="53"/>
        <v>01001000</v>
      </c>
      <c r="BW29" s="78"/>
      <c r="BX29" s="78"/>
      <c r="BY29" s="78"/>
      <c r="BZ29" s="78"/>
      <c r="CA29" s="31" t="str">
        <f t="shared" si="54"/>
        <v>0111</v>
      </c>
      <c r="CB29" s="31" t="str">
        <f t="shared" si="55"/>
        <v>0001</v>
      </c>
      <c r="CC29" s="31" t="str">
        <f t="shared" si="56"/>
        <v>0000</v>
      </c>
      <c r="CD29" s="31" t="str">
        <f t="shared" si="57"/>
        <v>0100</v>
      </c>
      <c r="CE29" s="31" t="str">
        <f t="shared" si="58"/>
        <v>0101</v>
      </c>
      <c r="CF29" s="31" t="str">
        <f t="shared" si="59"/>
        <v>0010</v>
      </c>
      <c r="CG29" s="31" t="str">
        <f t="shared" si="60"/>
        <v>0100</v>
      </c>
      <c r="CH29" s="31" t="str">
        <f t="shared" si="61"/>
        <v>1000</v>
      </c>
      <c r="CI29" s="78"/>
      <c r="CJ29" s="78"/>
      <c r="CK29" s="78"/>
      <c r="CL29" s="78"/>
      <c r="CM29" s="78"/>
      <c r="CN29" s="78"/>
      <c r="CO29" s="78"/>
      <c r="CP29" s="78"/>
      <c r="CQ29" s="30" t="str">
        <f t="shared" si="9"/>
        <v>0111000100000100</v>
      </c>
      <c r="CR29" s="30" t="str">
        <f t="shared" si="10"/>
        <v>0101001001001000</v>
      </c>
      <c r="CS29" s="78"/>
      <c r="CT29" s="78"/>
      <c r="CU29" s="46" t="str">
        <f>AO29</f>
        <v>01100001000000000100001001000000</v>
      </c>
      <c r="CV29" s="30" t="str">
        <f t="shared" si="62"/>
        <v>01100001</v>
      </c>
      <c r="CW29" s="30" t="str">
        <f t="shared" si="63"/>
        <v>00000000</v>
      </c>
      <c r="CX29" s="30" t="str">
        <f t="shared" si="64"/>
        <v>01000010</v>
      </c>
      <c r="CY29" s="30" t="str">
        <f t="shared" si="65"/>
        <v>01000000</v>
      </c>
      <c r="CZ29" s="78"/>
      <c r="DA29" s="78"/>
      <c r="DB29" s="78"/>
      <c r="DC29" s="78"/>
      <c r="DD29" s="31" t="str">
        <f t="shared" si="66"/>
        <v>0111</v>
      </c>
      <c r="DE29" s="31" t="str">
        <f t="shared" si="67"/>
        <v>0001</v>
      </c>
      <c r="DF29" s="31" t="str">
        <f t="shared" si="68"/>
        <v>0000</v>
      </c>
      <c r="DG29" s="31" t="str">
        <f t="shared" si="69"/>
        <v>0100</v>
      </c>
      <c r="DH29" s="31" t="str">
        <f t="shared" si="70"/>
        <v>0101</v>
      </c>
      <c r="DI29" s="31" t="str">
        <f t="shared" si="71"/>
        <v>0010</v>
      </c>
      <c r="DJ29" s="31" t="str">
        <f t="shared" si="72"/>
        <v>0100</v>
      </c>
      <c r="DK29" s="31" t="str">
        <f t="shared" si="73"/>
        <v>1000</v>
      </c>
      <c r="DL29" s="78"/>
      <c r="DM29" s="78"/>
      <c r="DN29" s="78"/>
      <c r="DO29" s="78"/>
      <c r="DP29" s="78"/>
      <c r="DQ29" s="78"/>
      <c r="DR29" s="78"/>
      <c r="DS29" s="78"/>
      <c r="DT29" s="30" t="str">
        <f t="shared" si="12"/>
        <v>0110000100000000</v>
      </c>
      <c r="DU29" s="30" t="str">
        <f t="shared" si="13"/>
        <v>0100001001000000</v>
      </c>
      <c r="DV29" s="78"/>
      <c r="DW29" s="78"/>
      <c r="DX29" s="23" t="str">
        <f>CONCATENATE(MID($H29,1,1)*MID($K28,1,1),MID($H29,2,1)*MID($K28,2,1),MID($H29,3,1)*MID($K28,3,1),MID($H29,4,1)*MID($K28,4,1),MID($H29,5,1)*MID($K28,5,1),MID($H29,6,1)*MID($K28,6,1),MID($H29,7,1)*MID($K28,7,1),MID($H29,8,1)*MID($K28,8,1),MID($H29,9,1)*MID($K28,1,1),MID($H29,10,1)*MID($K28,2,1),MID($H29,11,1)*MID($K28,3,1),MID($H29,12,1)*MID($K28,4,1),MID($H29,13,1)*MID($K28,5,1),MID($H29,14,1)*MID($K28,6,1),MID($H29,15,1)*MID($K28,7,1),MID($H29,16,1)*MID($K28,8,1),MID($H29,17,1)*MID($K28,1,1),MID($H29,18,1)*MID($K28,2,1),MID($H29,19,1)*MID($K28,3,1),MID($H29,20,1)*MID($K28,4,1),MID($H29,21,1)*MID($K28,5,1),MID($H29,22,1)*MID($K28,6,1),MID($H29,23,1)*MID($K28,7,1),MID($H29,24,1)*MID($K28,8,1),MID($H29,25,1)*MID($K28,1,1),MID($H29,26,1)*MID($K28,2,1),MID($H29,27,1)*MID($K28,3,1),MID($H29,28,1)*MID($K28,4,1),MID($H29,29,1)*MID($K28,5,1),MID($H29,30,1)*MID($K28,6,1),MID($H29,31,1)*MID($K28,7,1),MID($H29,32,1)*MID($K28,8,1))</f>
        <v>00000010001000010000001001000000</v>
      </c>
      <c r="DY29" s="44" t="str">
        <f>CONCATENATE(MID(DX29,20,5),MID(DX29,9,3),MID(DX29,28,5),MID(DX29,17,3),MID(DX29,4,5),MID(DX29,25,3),MID(DX29,12,5),MID(DX29,1,3))</f>
        <v>00010001000000000001001000001000</v>
      </c>
      <c r="DZ29" s="30" t="str">
        <f t="shared" si="122"/>
        <v>00010001</v>
      </c>
      <c r="EA29" s="30" t="str">
        <f t="shared" si="74"/>
        <v>00000000</v>
      </c>
      <c r="EB29" s="30" t="str">
        <f t="shared" si="75"/>
        <v>00010010</v>
      </c>
      <c r="EC29" s="30" t="str">
        <f t="shared" si="76"/>
        <v>00001000</v>
      </c>
      <c r="ED29" s="78"/>
      <c r="EE29" s="78"/>
      <c r="EF29" s="78"/>
      <c r="EG29" s="78"/>
      <c r="EH29" s="31" t="str">
        <f t="shared" si="77"/>
        <v>0111</v>
      </c>
      <c r="EI29" s="31" t="str">
        <f t="shared" si="78"/>
        <v>0001</v>
      </c>
      <c r="EJ29" s="31" t="str">
        <f t="shared" si="79"/>
        <v>0000</v>
      </c>
      <c r="EK29" s="31" t="str">
        <f t="shared" si="80"/>
        <v>0100</v>
      </c>
      <c r="EL29" s="31" t="str">
        <f t="shared" si="81"/>
        <v>0101</v>
      </c>
      <c r="EM29" s="31" t="str">
        <f t="shared" si="82"/>
        <v>0010</v>
      </c>
      <c r="EN29" s="31" t="str">
        <f t="shared" si="83"/>
        <v>0100</v>
      </c>
      <c r="EO29" s="31" t="str">
        <f t="shared" si="84"/>
        <v>1000</v>
      </c>
      <c r="EP29" s="78"/>
      <c r="EQ29" s="78"/>
      <c r="ER29" s="78"/>
      <c r="ES29" s="78"/>
      <c r="ET29" s="78"/>
      <c r="EU29" s="78"/>
      <c r="EV29" s="78"/>
      <c r="EW29" s="78"/>
      <c r="EX29" s="30" t="str">
        <f t="shared" si="15"/>
        <v>0001000100000000</v>
      </c>
      <c r="EY29" s="30" t="str">
        <f t="shared" si="16"/>
        <v>0001001000001000</v>
      </c>
      <c r="EZ29" s="78"/>
      <c r="FA29" s="78"/>
      <c r="FB29" s="46" t="str">
        <f>CONCATENATE(MID(DY29,1,1)*MID($K28,1,1),MID(DY29,2,1)*MID($K28,2,1),MID(DY29,3,1)*MID($K28,3,1),MID(DY29,4,1)*MID($K28,4,1),MID(DY29,5,1)*MID($K28,5,1),MID(DY29,6,1)*MID($K28,6,1),MID(DY29,7,1)*MID($K28,7,1),MID(DY29,8,1)*MID($K28,8,1),MID(DY29,9,1)*MID($K28,1,1),MID(DY29,10,1)*MID($K28,2,1),MID(DY29,11,1)*MID($K28,3,1),MID(DY29,12,1)*MID($K28,4,1),MID(DY29,13,1)*MID($K28,5,1),MID(DY29,14,1)*MID($K28,6,1),MID(DY29,15,1)*MID($K28,7,1),MID(DY29,16,1)*MID($K28,8,1),MID(DY29,17,1)*MID($K28,1,1),MID(DY29,18,1)*MID($K28,2,1),MID(DY29,19,1)*MID($K28,3,1),MID(DY29,20,1)*MID($K28,4,1),MID(DY29,21,1)*MID($K28,5,1),MID(DY29,22,1)*MID($K28,6,1),MID(DY29,23,1)*MID($K28,7,1),MID(DY29,24,1)*MID($K28,8,1),MID(DY29,25,1)*MID($K28,1,1),MID(DY29,26,1)*MID($K28,2,1),MID(DY29,27,1)*MID($K28,3,1),MID(DY29,28,1)*MID($K28,4,1),MID(DY29,29,1)*MID($K28,5,1),MID(DY29,30,1)*MID($K28,6,1),MID(DY29,31,1)*MID($K28,7,1),MID(DY29,32,1)*MID($K28,8,1))</f>
        <v>00000001000000000000001000000000</v>
      </c>
      <c r="FC29" s="30" t="str">
        <f t="shared" si="124"/>
        <v>00000001</v>
      </c>
      <c r="FD29" s="30" t="str">
        <f t="shared" si="85"/>
        <v>00000000</v>
      </c>
      <c r="FE29" s="30" t="str">
        <f t="shared" si="86"/>
        <v>00000010</v>
      </c>
      <c r="FF29" s="30" t="str">
        <f t="shared" si="87"/>
        <v>00000000</v>
      </c>
      <c r="FG29" s="78"/>
      <c r="FH29" s="78"/>
      <c r="FI29" s="78"/>
      <c r="FJ29" s="78"/>
      <c r="FK29" s="31" t="str">
        <f t="shared" si="88"/>
        <v>0111</v>
      </c>
      <c r="FL29" s="31" t="str">
        <f t="shared" si="89"/>
        <v>0001</v>
      </c>
      <c r="FM29" s="31" t="str">
        <f t="shared" si="90"/>
        <v>0000</v>
      </c>
      <c r="FN29" s="31" t="str">
        <f t="shared" si="91"/>
        <v>0100</v>
      </c>
      <c r="FO29" s="31" t="str">
        <f t="shared" si="92"/>
        <v>0101</v>
      </c>
      <c r="FP29" s="31" t="str">
        <f t="shared" si="93"/>
        <v>0010</v>
      </c>
      <c r="FQ29" s="31" t="str">
        <f t="shared" si="94"/>
        <v>0100</v>
      </c>
      <c r="FR29" s="31" t="str">
        <f t="shared" si="95"/>
        <v>1000</v>
      </c>
      <c r="FS29" s="78"/>
      <c r="FT29" s="78"/>
      <c r="FU29" s="78"/>
      <c r="FV29" s="78"/>
      <c r="FW29" s="78"/>
      <c r="FX29" s="78"/>
      <c r="FY29" s="78"/>
      <c r="FZ29" s="78"/>
      <c r="GA29" s="30" t="str">
        <f t="shared" si="18"/>
        <v>0000000100000000</v>
      </c>
      <c r="GB29" s="30" t="str">
        <f t="shared" si="19"/>
        <v>0000001000000000</v>
      </c>
      <c r="GC29" s="78"/>
      <c r="GD29" s="78"/>
      <c r="GE29" s="48" t="str">
        <f>DY29</f>
        <v>00010001000000000001001000001000</v>
      </c>
      <c r="GF29" s="30" t="str">
        <f t="shared" si="126"/>
        <v>00010001</v>
      </c>
      <c r="GG29" s="30" t="str">
        <f t="shared" si="96"/>
        <v>00000000</v>
      </c>
      <c r="GH29" s="30" t="str">
        <f t="shared" si="97"/>
        <v>00010010</v>
      </c>
      <c r="GI29" s="30" t="str">
        <f t="shared" si="98"/>
        <v>00001000</v>
      </c>
      <c r="GJ29" s="78"/>
      <c r="GK29" s="78"/>
      <c r="GL29" s="78"/>
      <c r="GM29" s="78"/>
      <c r="GN29" s="31" t="str">
        <f t="shared" si="99"/>
        <v>0111</v>
      </c>
      <c r="GO29" s="31" t="str">
        <f t="shared" si="100"/>
        <v>0001</v>
      </c>
      <c r="GP29" s="31" t="str">
        <f t="shared" si="101"/>
        <v>0000</v>
      </c>
      <c r="GQ29" s="31" t="str">
        <f t="shared" si="102"/>
        <v>0100</v>
      </c>
      <c r="GR29" s="31" t="str">
        <f t="shared" si="103"/>
        <v>0101</v>
      </c>
      <c r="GS29" s="31" t="str">
        <f t="shared" si="104"/>
        <v>0010</v>
      </c>
      <c r="GT29" s="31" t="str">
        <f t="shared" si="105"/>
        <v>0100</v>
      </c>
      <c r="GU29" s="31" t="str">
        <f t="shared" si="106"/>
        <v>1000</v>
      </c>
      <c r="GV29" s="78"/>
      <c r="GW29" s="78"/>
      <c r="GX29" s="78"/>
      <c r="GY29" s="78"/>
      <c r="GZ29" s="78"/>
      <c r="HA29" s="78"/>
      <c r="HB29" s="78"/>
      <c r="HC29" s="78"/>
      <c r="HD29" s="30" t="str">
        <f t="shared" si="21"/>
        <v>0001000100000000</v>
      </c>
      <c r="HE29" s="30" t="str">
        <f t="shared" si="22"/>
        <v>0001001000001000</v>
      </c>
      <c r="HF29" s="78"/>
      <c r="HG29" s="78"/>
      <c r="HH29" s="48" t="str">
        <f>FB29</f>
        <v>00000001000000000000001000000000</v>
      </c>
      <c r="HI29" s="30" t="str">
        <f t="shared" si="128"/>
        <v>00000001</v>
      </c>
      <c r="HJ29" s="30" t="str">
        <f t="shared" si="107"/>
        <v>00000000</v>
      </c>
      <c r="HK29" s="30" t="str">
        <f t="shared" si="108"/>
        <v>00000010</v>
      </c>
      <c r="HL29" s="30" t="str">
        <f t="shared" si="109"/>
        <v>00000000</v>
      </c>
      <c r="HM29" s="78"/>
      <c r="HN29" s="78"/>
      <c r="HO29" s="78"/>
      <c r="HP29" s="78"/>
      <c r="HQ29" s="31" t="str">
        <f t="shared" si="110"/>
        <v>0111</v>
      </c>
      <c r="HR29" s="31" t="str">
        <f t="shared" si="111"/>
        <v>0001</v>
      </c>
      <c r="HS29" s="31" t="str">
        <f t="shared" si="112"/>
        <v>0000</v>
      </c>
      <c r="HT29" s="31" t="str">
        <f t="shared" si="113"/>
        <v>0100</v>
      </c>
      <c r="HU29" s="31" t="str">
        <f t="shared" si="114"/>
        <v>0101</v>
      </c>
      <c r="HV29" s="31" t="str">
        <f t="shared" si="115"/>
        <v>0010</v>
      </c>
      <c r="HW29" s="31" t="str">
        <f t="shared" si="116"/>
        <v>0100</v>
      </c>
      <c r="HX29" s="31" t="str">
        <f t="shared" si="117"/>
        <v>1000</v>
      </c>
      <c r="HY29" s="78"/>
      <c r="HZ29" s="78"/>
      <c r="IA29" s="78"/>
      <c r="IB29" s="78"/>
      <c r="IC29" s="78"/>
      <c r="ID29" s="78"/>
      <c r="IE29" s="78"/>
      <c r="IF29" s="78"/>
      <c r="IG29" s="30" t="str">
        <f t="shared" si="24"/>
        <v>0000000100000000</v>
      </c>
      <c r="IH29" s="30" t="str">
        <f t="shared" si="25"/>
        <v>0000001000000000</v>
      </c>
      <c r="II29" s="78"/>
      <c r="IJ29" s="78"/>
      <c r="IL29" s="30"/>
      <c r="IM29" s="30"/>
      <c r="IN29" s="30"/>
      <c r="IO29" s="30"/>
      <c r="IP29" s="23"/>
      <c r="IQ29" s="23"/>
      <c r="IR29" s="23"/>
      <c r="IS29" s="23"/>
      <c r="JB29" s="23"/>
      <c r="JC29" s="23"/>
      <c r="JD29" s="23"/>
      <c r="JE29" s="23"/>
      <c r="JF29" s="23"/>
      <c r="JG29" s="23"/>
      <c r="JH29" s="23"/>
      <c r="JI29" s="23"/>
      <c r="JJ29" s="30"/>
      <c r="JK29" s="30"/>
      <c r="JL29" s="23"/>
      <c r="JM29" s="23"/>
    </row>
    <row r="30" spans="1:273" s="27" customFormat="1" x14ac:dyDescent="0.35">
      <c r="A30" s="24"/>
      <c r="B30" s="25"/>
      <c r="C30" s="20" t="s">
        <v>0</v>
      </c>
      <c r="D30" s="20" t="s">
        <v>75</v>
      </c>
      <c r="E30" s="20">
        <v>86</v>
      </c>
      <c r="F30" s="20">
        <v>76</v>
      </c>
      <c r="G30" s="20" t="s">
        <v>90</v>
      </c>
      <c r="H30" s="20" t="str">
        <f t="shared" si="186"/>
        <v>11010011100001100111011000111011</v>
      </c>
      <c r="I30" s="20">
        <f t="shared" si="187"/>
        <v>18</v>
      </c>
      <c r="J30" s="20">
        <v>63</v>
      </c>
      <c r="K30" s="20" t="str">
        <f>HEX2BIN(J30,8)</f>
        <v>01100011</v>
      </c>
      <c r="L30" s="43" t="str">
        <f>H30</f>
        <v>11010011100001100111011000111011</v>
      </c>
      <c r="M30" s="26" t="str">
        <f t="shared" si="26"/>
        <v>11010011</v>
      </c>
      <c r="N30" s="26" t="str">
        <f t="shared" si="27"/>
        <v>10000110</v>
      </c>
      <c r="O30" s="26" t="str">
        <f t="shared" si="28"/>
        <v>01110110</v>
      </c>
      <c r="P30" s="26" t="str">
        <f t="shared" si="29"/>
        <v>00111011</v>
      </c>
      <c r="Q30" s="77">
        <f>BIN2DEC(M30)-BIN2DEC(M31)</f>
        <v>116</v>
      </c>
      <c r="R30" s="77">
        <f>BIN2DEC(N30)-BIN2DEC(N31)</f>
        <v>-43</v>
      </c>
      <c r="S30" s="77">
        <f>BIN2DEC(O30)-BIN2DEC(O31)</f>
        <v>57</v>
      </c>
      <c r="T30" s="77">
        <f>BIN2DEC(P30)-BIN2DEC(P31)</f>
        <v>-100</v>
      </c>
      <c r="U30" s="27" t="str">
        <f t="shared" si="30"/>
        <v>1101</v>
      </c>
      <c r="V30" s="27" t="str">
        <f t="shared" si="31"/>
        <v>0011</v>
      </c>
      <c r="W30" s="27" t="str">
        <f t="shared" si="32"/>
        <v>1000</v>
      </c>
      <c r="X30" s="27" t="str">
        <f t="shared" si="33"/>
        <v>0110</v>
      </c>
      <c r="Y30" s="27" t="str">
        <f t="shared" si="34"/>
        <v>0111</v>
      </c>
      <c r="Z30" s="27" t="str">
        <f t="shared" si="35"/>
        <v>0110</v>
      </c>
      <c r="AA30" s="27" t="str">
        <f t="shared" si="36"/>
        <v>0011</v>
      </c>
      <c r="AB30" s="27" t="str">
        <f t="shared" si="37"/>
        <v>1011</v>
      </c>
      <c r="AC30" s="77">
        <f>BIN2DEC(U30)-BIN2DEC(U31)</f>
        <v>8</v>
      </c>
      <c r="AD30" s="77">
        <f t="shared" ref="AD30:AI30" si="228">BIN2DEC(V30)-BIN2DEC(V31)</f>
        <v>-12</v>
      </c>
      <c r="AE30" s="77">
        <f t="shared" si="228"/>
        <v>-3</v>
      </c>
      <c r="AF30" s="77">
        <f t="shared" si="228"/>
        <v>5</v>
      </c>
      <c r="AG30" s="77">
        <f t="shared" si="228"/>
        <v>4</v>
      </c>
      <c r="AH30" s="77">
        <f t="shared" si="228"/>
        <v>-7</v>
      </c>
      <c r="AI30" s="77">
        <f t="shared" si="228"/>
        <v>-6</v>
      </c>
      <c r="AJ30" s="77">
        <f>BIN2DEC(AB30)-BIN2DEC(AB31)</f>
        <v>-4</v>
      </c>
      <c r="AK30" s="26" t="str">
        <f t="shared" si="3"/>
        <v>1101001110000110</v>
      </c>
      <c r="AL30" s="26" t="str">
        <f t="shared" si="4"/>
        <v>0111011000111011</v>
      </c>
      <c r="AM30" s="77">
        <f>MID(AK30,16,1)*POWER(2,0)+MID(AK30,15,1)*POWER(2,1)+MID(AK30,14,1)*POWER(2,2)+MID(AK30,13,1)*POWER(2,3)+MID(AK30,12,1)*POWER(2,4)+MID(AK30,11,1)*POWER(2,5)+MID(AK30,10,1)*POWER(2,6)+MID(AK30,9,1)*POWER(2,7)+MID(AK30,8,1)*POWER(2,8)+MID(AK30,7,1)*POWER(2,9)+MID(AK30,6,1)*POWER(2,10)+MID(AK30,5,1)*POWER(2,11)+MID(AK30,4,1)*POWER(2,12)+MID(AK30,3,1)*POWER(2,13)+MID(AK30,2,1)*POWER(2,14)+MID(AK30,1,1)*POWER(2,15)-(MID(AK31,16,1)*POWER(2,0)+MID(AK31,15,1)*POWER(2,1)+MID(AK31,14,1)*POWER(2,2)+MID(AK31,13,1)*POWER(2,3)+MID(AK31,12,1)*POWER(2,4)+MID(AK31,11,1)*POWER(2,5)+MID(AK31,10,1)*POWER(2,6)+MID(AK31,9,1)*POWER(2,7)+MID(AK31,8,1)*POWER(2,8)+MID(AK31,7,1)*POWER(2,9)+MID(AK31,6,1)*POWER(2,10)+MID(AK31,5,1)*POWER(2,11)+MID(AK31,4,1)*POWER(2,12)+MID(AK31,3,1)*POWER(2,13)+MID(AK31,2,1)*POWER(2,14)+MID(AK31,1,1)*POWER(2,15))</f>
        <v>29653</v>
      </c>
      <c r="AN30" s="77">
        <f>MID(AL30,16,1)*POWER(2,0)+MID(AL30,15,1)*POWER(2,1)+MID(AL30,14,1)*POWER(2,2)+MID(AL30,13,1)*POWER(2,3)+MID(AL30,12,1)*POWER(2,4)+MID(AL30,11,1)*POWER(2,5)+MID(AL30,10,1)*POWER(2,6)+MID(AL30,9,1)*POWER(2,7)+MID(AL30,8,1)*POWER(2,8)+MID(AL30,7,1)*POWER(2,9)+MID(AL30,6,1)*POWER(2,10)+MID(AL30,5,1)*POWER(2,11)+MID(AL30,4,1)*POWER(2,12)+MID(AL30,3,1)*POWER(2,13)+MID(AL30,2,1)*POWER(2,14)+MID(AL30,1,1)*POWER(2,15)-(MID(AL31,16,1)*POWER(2,0)+MID(AL31,15,1)*POWER(2,1)+MID(AL31,14,1)*POWER(2,2)+MID(AL31,13,1)*POWER(2,3)+MID(AL31,12,1)*POWER(2,4)+MID(AL31,11,1)*POWER(2,5)+MID(AL31,10,1)*POWER(2,6)+MID(AL31,9,1)*POWER(2,7)+MID(AL31,8,1)*POWER(2,8)+MID(AL31,7,1)*POWER(2,9)+MID(AL31,6,1)*POWER(2,10)+MID(AL31,5,1)*POWER(2,11)+MID(AL31,4,1)*POWER(2,12)+MID(AL31,3,1)*POWER(2,13)+MID(AL31,2,1)*POWER(2,14)+MID(AL31,1,1)*POWER(2,15))</f>
        <v>14492</v>
      </c>
      <c r="AO30" s="45" t="str">
        <f>H30</f>
        <v>11010011100001100111011000111011</v>
      </c>
      <c r="AP30" s="26" t="str">
        <f t="shared" si="38"/>
        <v>11010011</v>
      </c>
      <c r="AQ30" s="26" t="str">
        <f t="shared" si="39"/>
        <v>10000110</v>
      </c>
      <c r="AR30" s="26" t="str">
        <f t="shared" si="40"/>
        <v>01110110</v>
      </c>
      <c r="AS30" s="26" t="str">
        <f t="shared" si="41"/>
        <v>00111011</v>
      </c>
      <c r="AT30" s="77">
        <f>BIN2DEC(AP30)-BIN2DEC(AP31)</f>
        <v>143</v>
      </c>
      <c r="AU30" s="77">
        <f>BIN2DEC(AQ30)-BIN2DEC(AQ31)</f>
        <v>102</v>
      </c>
      <c r="AV30" s="77">
        <f>BIN2DEC(AR30)-BIN2DEC(AR31)</f>
        <v>82</v>
      </c>
      <c r="AW30" s="77">
        <f>BIN2DEC(AS30)-BIN2DEC(AS31)</f>
        <v>55</v>
      </c>
      <c r="AX30" s="27" t="str">
        <f t="shared" si="42"/>
        <v>1101</v>
      </c>
      <c r="AY30" s="27" t="str">
        <f t="shared" si="43"/>
        <v>0011</v>
      </c>
      <c r="AZ30" s="27" t="str">
        <f t="shared" si="44"/>
        <v>1000</v>
      </c>
      <c r="BA30" s="27" t="str">
        <f t="shared" si="45"/>
        <v>0110</v>
      </c>
      <c r="BB30" s="27" t="str">
        <f t="shared" si="46"/>
        <v>0111</v>
      </c>
      <c r="BC30" s="27" t="str">
        <f t="shared" si="47"/>
        <v>0110</v>
      </c>
      <c r="BD30" s="27" t="str">
        <f t="shared" si="48"/>
        <v>0011</v>
      </c>
      <c r="BE30" s="27" t="str">
        <f t="shared" si="49"/>
        <v>1011</v>
      </c>
      <c r="BF30" s="77">
        <f>BIN2DEC(AX30)-BIN2DEC(AX31)</f>
        <v>8</v>
      </c>
      <c r="BG30" s="77">
        <f t="shared" ref="BG30:BL30" si="229">BIN2DEC(AY30)-BIN2DEC(AY31)</f>
        <v>-12</v>
      </c>
      <c r="BH30" s="77">
        <f t="shared" si="229"/>
        <v>-3</v>
      </c>
      <c r="BI30" s="77">
        <f t="shared" si="229"/>
        <v>5</v>
      </c>
      <c r="BJ30" s="77">
        <f t="shared" si="229"/>
        <v>4</v>
      </c>
      <c r="BK30" s="77">
        <f t="shared" si="229"/>
        <v>-7</v>
      </c>
      <c r="BL30" s="77">
        <f t="shared" si="229"/>
        <v>-6</v>
      </c>
      <c r="BM30" s="77">
        <f>BIN2DEC(BE30)-BIN2DEC(BE31)</f>
        <v>-4</v>
      </c>
      <c r="BN30" s="26" t="str">
        <f t="shared" si="6"/>
        <v>1101001110000110</v>
      </c>
      <c r="BO30" s="26" t="str">
        <f t="shared" si="7"/>
        <v>0111011000111011</v>
      </c>
      <c r="BP30" s="77">
        <f>MID(BN30,16,1)*POWER(2,0)+MID(BN30,15,1)*POWER(2,1)+MID(BN30,14,1)*POWER(2,2)+MID(BN30,13,1)*POWER(2,3)+MID(BN30,12,1)*POWER(2,4)+MID(BN30,11,1)*POWER(2,5)+MID(BN30,10,1)*POWER(2,6)+MID(BN30,9,1)*POWER(2,7)+MID(BN30,8,1)*POWER(2,8)+MID(BN30,7,1)*POWER(2,9)+MID(BN30,6,1)*POWER(2,10)+MID(BN30,5,1)*POWER(2,11)+MID(BN30,4,1)*POWER(2,12)+MID(BN30,3,1)*POWER(2,13)+MID(BN30,2,1)*POWER(2,14)+MID(BN30,1,1)*POWER(2,15)-(MID(BN31,16,1)*POWER(2,0)+MID(BN31,15,1)*POWER(2,1)+MID(BN31,14,1)*POWER(2,2)+MID(BN31,13,1)*POWER(2,3)+MID(BN31,12,1)*POWER(2,4)+MID(BN31,11,1)*POWER(2,5)+MID(BN31,10,1)*POWER(2,6)+MID(BN31,9,1)*POWER(2,7)+MID(BN31,8,1)*POWER(2,8)+MID(BN31,7,1)*POWER(2,9)+MID(BN31,6,1)*POWER(2,10)+MID(BN31,5,1)*POWER(2,11)+MID(BN31,4,1)*POWER(2,12)+MID(BN31,3,1)*POWER(2,13)+MID(BN31,2,1)*POWER(2,14)+MID(BN31,1,1)*POWER(2,15))</f>
        <v>36710</v>
      </c>
      <c r="BQ30" s="77">
        <f>MID(BO30,16,1)*POWER(2,0)+MID(BO30,15,1)*POWER(2,1)+MID(BO30,14,1)*POWER(2,2)+MID(BO30,13,1)*POWER(2,3)+MID(BO30,12,1)*POWER(2,4)+MID(BO30,11,1)*POWER(2,5)+MID(BO30,10,1)*POWER(2,6)+MID(BO30,9,1)*POWER(2,7)+MID(BO30,8,1)*POWER(2,8)+MID(BO30,7,1)*POWER(2,9)+MID(BO30,6,1)*POWER(2,10)+MID(BO30,5,1)*POWER(2,11)+MID(BO30,4,1)*POWER(2,12)+MID(BO30,3,1)*POWER(2,13)+MID(BO30,2,1)*POWER(2,14)+MID(BO30,1,1)*POWER(2,15)-(MID(BO31,16,1)*POWER(2,0)+MID(BO31,15,1)*POWER(2,1)+MID(BO31,14,1)*POWER(2,2)+MID(BO31,13,1)*POWER(2,3)+MID(BO31,12,1)*POWER(2,4)+MID(BO31,11,1)*POWER(2,5)+MID(BO31,10,1)*POWER(2,6)+MID(BO31,9,1)*POWER(2,7)+MID(BO31,8,1)*POWER(2,8)+MID(BO31,7,1)*POWER(2,9)+MID(BO31,6,1)*POWER(2,10)+MID(BO31,5,1)*POWER(2,11)+MID(BO31,4,1)*POWER(2,12)+MID(BO31,3,1)*POWER(2,13)+MID(BO31,2,1)*POWER(2,14)+MID(BO31,1,1)*POWER(2,15))</f>
        <v>21047</v>
      </c>
      <c r="BR30" s="45" t="str">
        <f>CONCATENATE(MID($L30,1,1)*MID($K20,1,1),MID($L30,2,1)*MID($K20,2,1),MID($L30,3,1)*MID($K20,3,1),MID($L30,4,1)*MID($K20,4,1),MID($L30,5,1)*MID($K20,5,1),MID($L30,6,1)*MID($K20,6,1),MID($L30,7,1)*MID($K20,7,1),MID($L30,8,1)*MID($K20,8,1),MID($L30,9,1)*MID($K20,1,1),MID($L30,10,1)*MID($K20,2,1),MID($L30,11,1)*MID($K20,3,1),MID($L30,12,1)*MID($K20,4,1),MID($L30,13,1)*MID($K20,5,1),MID($L30,14,1)*MID($K20,6,1),MID($L30,15,1)*MID($K20,7,1),MID($L30,16,1)*MID($K20,8,1),MID($L30,17,1)*MID($K20,1,1),MID($L30,18,1)*MID($K20,2,1),MID($L30,19,1)*MID($K20,3,1),MID($L30,20,1)*MID($K20,4,1),MID($L30,21,1)*MID($K20,5,1),MID($L30,22,1)*MID($K20,6,1),MID($L30,23,1)*MID($K20,7,1),MID($L30,24,1)*MID($K20,8,1),MID($L30,25,1)*MID($K20,1,1),MID($L30,26,1)*MID($K20,2,1),MID($L30,27,1)*MID($K20,3,1),MID($L30,28,1)*MID($K20,4,1),MID($L30,29,1)*MID($K20,5,1),MID($L30,30,1)*MID($K20,6,1),MID($L30,31,1)*MID($K20,7,1),MID($L30,32,1)*MID($K20,8,1))</f>
        <v>01000000000001000110010000100000</v>
      </c>
      <c r="BS30" s="26" t="str">
        <f t="shared" si="50"/>
        <v>01000000</v>
      </c>
      <c r="BT30" s="26" t="str">
        <f t="shared" si="51"/>
        <v>00000100</v>
      </c>
      <c r="BU30" s="26" t="str">
        <f t="shared" si="52"/>
        <v>01100100</v>
      </c>
      <c r="BV30" s="26" t="str">
        <f t="shared" si="53"/>
        <v>00100000</v>
      </c>
      <c r="BW30" s="77">
        <f>BIN2DEC(BS30)-BIN2DEC(BS31)</f>
        <v>-31</v>
      </c>
      <c r="BX30" s="77">
        <f>BIN2DEC(BT30)-BIN2DEC(BT31)</f>
        <v>-173</v>
      </c>
      <c r="BY30" s="77">
        <f>BIN2DEC(BU30)-BIN2DEC(BU31)</f>
        <v>39</v>
      </c>
      <c r="BZ30" s="77">
        <f>BIN2DEC(BV30)-BIN2DEC(BV31)</f>
        <v>-127</v>
      </c>
      <c r="CA30" s="27" t="str">
        <f t="shared" si="54"/>
        <v>1101</v>
      </c>
      <c r="CB30" s="27" t="str">
        <f t="shared" si="55"/>
        <v>0011</v>
      </c>
      <c r="CC30" s="27" t="str">
        <f t="shared" si="56"/>
        <v>1000</v>
      </c>
      <c r="CD30" s="27" t="str">
        <f t="shared" si="57"/>
        <v>0110</v>
      </c>
      <c r="CE30" s="27" t="str">
        <f t="shared" si="58"/>
        <v>0111</v>
      </c>
      <c r="CF30" s="27" t="str">
        <f t="shared" si="59"/>
        <v>0110</v>
      </c>
      <c r="CG30" s="27" t="str">
        <f t="shared" si="60"/>
        <v>0011</v>
      </c>
      <c r="CH30" s="27" t="str">
        <f t="shared" si="61"/>
        <v>1011</v>
      </c>
      <c r="CI30" s="77">
        <f>BIN2DEC(CA30)-BIN2DEC(CA31)</f>
        <v>8</v>
      </c>
      <c r="CJ30" s="77">
        <f t="shared" ref="CJ30:CO30" si="230">BIN2DEC(CB30)-BIN2DEC(CB31)</f>
        <v>-12</v>
      </c>
      <c r="CK30" s="77">
        <f t="shared" si="230"/>
        <v>-3</v>
      </c>
      <c r="CL30" s="77">
        <f t="shared" si="230"/>
        <v>5</v>
      </c>
      <c r="CM30" s="77">
        <f t="shared" si="230"/>
        <v>4</v>
      </c>
      <c r="CN30" s="77">
        <f t="shared" si="230"/>
        <v>-7</v>
      </c>
      <c r="CO30" s="77">
        <f t="shared" si="230"/>
        <v>-6</v>
      </c>
      <c r="CP30" s="77">
        <f>BIN2DEC(CH30)-BIN2DEC(CH31)</f>
        <v>-4</v>
      </c>
      <c r="CQ30" s="26" t="str">
        <f t="shared" si="9"/>
        <v>0100000000000100</v>
      </c>
      <c r="CR30" s="26" t="str">
        <f t="shared" si="10"/>
        <v>0110010000100000</v>
      </c>
      <c r="CS30" s="77">
        <f>MID(CQ30,16,1)*POWER(2,0)+MID(CQ30,15,1)*POWER(2,1)+MID(CQ30,14,1)*POWER(2,2)+MID(CQ30,13,1)*POWER(2,3)+MID(CQ30,12,1)*POWER(2,4)+MID(CQ30,11,1)*POWER(2,5)+MID(CQ30,10,1)*POWER(2,6)+MID(CQ30,9,1)*POWER(2,7)+MID(CQ30,8,1)*POWER(2,8)+MID(CQ30,7,1)*POWER(2,9)+MID(CQ30,6,1)*POWER(2,10)+MID(CQ30,5,1)*POWER(2,11)+MID(CQ30,4,1)*POWER(2,12)+MID(CQ30,3,1)*POWER(2,13)+MID(CQ30,2,1)*POWER(2,14)+MID(CQ30,1,1)*POWER(2,15)-(MID(CQ31,16,1)*POWER(2,0)+MID(CQ31,15,1)*POWER(2,1)+MID(CQ31,14,1)*POWER(2,2)+MID(CQ31,13,1)*POWER(2,3)+MID(CQ31,12,1)*POWER(2,4)+MID(CQ31,11,1)*POWER(2,5)+MID(CQ31,10,1)*POWER(2,6)+MID(CQ31,9,1)*POWER(2,7)+MID(CQ31,8,1)*POWER(2,8)+MID(CQ31,7,1)*POWER(2,9)+MID(CQ31,6,1)*POWER(2,10)+MID(CQ31,5,1)*POWER(2,11)+MID(CQ31,4,1)*POWER(2,12)+MID(CQ31,3,1)*POWER(2,13)+MID(CQ31,2,1)*POWER(2,14)+MID(CQ31,1,1)*POWER(2,15))</f>
        <v>-8109</v>
      </c>
      <c r="CT30" s="77">
        <f>MID(CR30,16,1)*POWER(2,0)+MID(CR30,15,1)*POWER(2,1)+MID(CR30,14,1)*POWER(2,2)+MID(CR30,13,1)*POWER(2,3)+MID(CR30,12,1)*POWER(2,4)+MID(CR30,11,1)*POWER(2,5)+MID(CR30,10,1)*POWER(2,6)+MID(CR30,9,1)*POWER(2,7)+MID(CR30,8,1)*POWER(2,8)+MID(CR30,7,1)*POWER(2,9)+MID(CR30,6,1)*POWER(2,10)+MID(CR30,5,1)*POWER(2,11)+MID(CR30,4,1)*POWER(2,12)+MID(CR30,3,1)*POWER(2,13)+MID(CR30,2,1)*POWER(2,14)+MID(CR30,1,1)*POWER(2,15)-(MID(CR31,16,1)*POWER(2,0)+MID(CR31,15,1)*POWER(2,1)+MID(CR31,14,1)*POWER(2,2)+MID(CR31,13,1)*POWER(2,3)+MID(CR31,12,1)*POWER(2,4)+MID(CR31,11,1)*POWER(2,5)+MID(CR31,10,1)*POWER(2,6)+MID(CR31,9,1)*POWER(2,7)+MID(CR31,8,1)*POWER(2,8)+MID(CR31,7,1)*POWER(2,9)+MID(CR31,6,1)*POWER(2,10)+MID(CR31,5,1)*POWER(2,11)+MID(CR31,4,1)*POWER(2,12)+MID(CR31,3,1)*POWER(2,13)+MID(CR31,2,1)*POWER(2,14)+MID(CR31,1,1)*POWER(2,15))</f>
        <v>9857</v>
      </c>
      <c r="CU30" s="45" t="str">
        <f>BR30</f>
        <v>01000000000001000110010000100000</v>
      </c>
      <c r="CV30" s="26" t="str">
        <f t="shared" si="62"/>
        <v>01000000</v>
      </c>
      <c r="CW30" s="26" t="str">
        <f t="shared" si="63"/>
        <v>00000100</v>
      </c>
      <c r="CX30" s="26" t="str">
        <f t="shared" si="64"/>
        <v>01100100</v>
      </c>
      <c r="CY30" s="26" t="str">
        <f t="shared" si="65"/>
        <v>00100000</v>
      </c>
      <c r="CZ30" s="77">
        <f>BIN2DEC(CV30)-BIN2DEC(CV31)</f>
        <v>-4</v>
      </c>
      <c r="DA30" s="77">
        <f>BIN2DEC(CW30)-BIN2DEC(CW31)</f>
        <v>-28</v>
      </c>
      <c r="DB30" s="77">
        <f>BIN2DEC(CX30)-BIN2DEC(CX31)</f>
        <v>64</v>
      </c>
      <c r="DC30" s="77">
        <f>BIN2DEC(CY30)-BIN2DEC(CY31)</f>
        <v>28</v>
      </c>
      <c r="DD30" s="27" t="str">
        <f t="shared" si="66"/>
        <v>1101</v>
      </c>
      <c r="DE30" s="27" t="str">
        <f t="shared" si="67"/>
        <v>0011</v>
      </c>
      <c r="DF30" s="27" t="str">
        <f t="shared" si="68"/>
        <v>1000</v>
      </c>
      <c r="DG30" s="27" t="str">
        <f t="shared" si="69"/>
        <v>0110</v>
      </c>
      <c r="DH30" s="27" t="str">
        <f t="shared" si="70"/>
        <v>0111</v>
      </c>
      <c r="DI30" s="27" t="str">
        <f t="shared" si="71"/>
        <v>0110</v>
      </c>
      <c r="DJ30" s="27" t="str">
        <f t="shared" si="72"/>
        <v>0011</v>
      </c>
      <c r="DK30" s="27" t="str">
        <f t="shared" si="73"/>
        <v>1011</v>
      </c>
      <c r="DL30" s="77">
        <f>BIN2DEC(DD30)-BIN2DEC(DD31)</f>
        <v>8</v>
      </c>
      <c r="DM30" s="77">
        <f t="shared" ref="DM30:DR30" si="231">BIN2DEC(DE30)-BIN2DEC(DE31)</f>
        <v>-12</v>
      </c>
      <c r="DN30" s="77">
        <f t="shared" si="231"/>
        <v>-3</v>
      </c>
      <c r="DO30" s="77">
        <f t="shared" si="231"/>
        <v>5</v>
      </c>
      <c r="DP30" s="77">
        <f t="shared" si="231"/>
        <v>4</v>
      </c>
      <c r="DQ30" s="77">
        <f t="shared" si="231"/>
        <v>-7</v>
      </c>
      <c r="DR30" s="77">
        <f t="shared" si="231"/>
        <v>-6</v>
      </c>
      <c r="DS30" s="77">
        <f>BIN2DEC(DK30)-BIN2DEC(DK31)</f>
        <v>-4</v>
      </c>
      <c r="DT30" s="26" t="str">
        <f t="shared" si="12"/>
        <v>0100000000000100</v>
      </c>
      <c r="DU30" s="26" t="str">
        <f t="shared" si="13"/>
        <v>0110010000100000</v>
      </c>
      <c r="DV30" s="77">
        <f>MID(DT30,16,1)*POWER(2,0)+MID(DT30,15,1)*POWER(2,1)+MID(DT30,14,1)*POWER(2,2)+MID(DT30,13,1)*POWER(2,3)+MID(DT30,12,1)*POWER(2,4)+MID(DT30,11,1)*POWER(2,5)+MID(DT30,10,1)*POWER(2,6)+MID(DT30,9,1)*POWER(2,7)+MID(DT30,8,1)*POWER(2,8)+MID(DT30,7,1)*POWER(2,9)+MID(DT30,6,1)*POWER(2,10)+MID(DT30,5,1)*POWER(2,11)+MID(DT30,4,1)*POWER(2,12)+MID(DT30,3,1)*POWER(2,13)+MID(DT30,2,1)*POWER(2,14)+MID(DT30,1,1)*POWER(2,15)-(MID(DT31,16,1)*POWER(2,0)+MID(DT31,15,1)*POWER(2,1)+MID(DT31,14,1)*POWER(2,2)+MID(DT31,13,1)*POWER(2,3)+MID(DT31,12,1)*POWER(2,4)+MID(DT31,11,1)*POWER(2,5)+MID(DT31,10,1)*POWER(2,6)+MID(DT31,9,1)*POWER(2,7)+MID(DT31,8,1)*POWER(2,8)+MID(DT31,7,1)*POWER(2,9)+MID(DT31,6,1)*POWER(2,10)+MID(DT31,5,1)*POWER(2,11)+MID(DT31,4,1)*POWER(2,12)+MID(DT31,3,1)*POWER(2,13)+MID(DT31,2,1)*POWER(2,14)+MID(DT31,1,1)*POWER(2,15))</f>
        <v>-1052</v>
      </c>
      <c r="DW30" s="77">
        <f>MID(DU30,16,1)*POWER(2,0)+MID(DU30,15,1)*POWER(2,1)+MID(DU30,14,1)*POWER(2,2)+MID(DU30,13,1)*POWER(2,3)+MID(DU30,12,1)*POWER(2,4)+MID(DU30,11,1)*POWER(2,5)+MID(DU30,10,1)*POWER(2,6)+MID(DU30,9,1)*POWER(2,7)+MID(DU30,8,1)*POWER(2,8)+MID(DU30,7,1)*POWER(2,9)+MID(DU30,6,1)*POWER(2,10)+MID(DU30,5,1)*POWER(2,11)+MID(DU30,4,1)*POWER(2,12)+MID(DU30,3,1)*POWER(2,13)+MID(DU30,2,1)*POWER(2,14)+MID(DU30,1,1)*POWER(2,15)-(MID(DU31,16,1)*POWER(2,0)+MID(DU31,15,1)*POWER(2,1)+MID(DU31,14,1)*POWER(2,2)+MID(DU31,13,1)*POWER(2,3)+MID(DU31,12,1)*POWER(2,4)+MID(DU31,11,1)*POWER(2,5)+MID(DU31,10,1)*POWER(2,6)+MID(DU31,9,1)*POWER(2,7)+MID(DU31,8,1)*POWER(2,8)+MID(DU31,7,1)*POWER(2,9)+MID(DU31,6,1)*POWER(2,10)+MID(DU31,5,1)*POWER(2,11)+MID(DU31,4,1)*POWER(2,12)+MID(DU31,3,1)*POWER(2,13)+MID(DU31,2,1)*POWER(2,14)+MID(DU31,1,1)*POWER(2,15))</f>
        <v>16412</v>
      </c>
      <c r="DX30" s="22"/>
      <c r="DY30" s="43" t="str">
        <f>H30</f>
        <v>11010011100001100111011000111011</v>
      </c>
      <c r="DZ30" s="26" t="str">
        <f t="shared" si="122"/>
        <v>11010011</v>
      </c>
      <c r="EA30" s="26" t="str">
        <f t="shared" si="74"/>
        <v>10000110</v>
      </c>
      <c r="EB30" s="26" t="str">
        <f t="shared" si="75"/>
        <v>01110110</v>
      </c>
      <c r="EC30" s="26" t="str">
        <f t="shared" si="76"/>
        <v>00111011</v>
      </c>
      <c r="ED30" s="77">
        <f>BIN2DEC(DZ30)-BIN2DEC(DZ31)</f>
        <v>208</v>
      </c>
      <c r="EE30" s="77">
        <f>BIN2DEC(EA30)-BIN2DEC(EA31)</f>
        <v>101</v>
      </c>
      <c r="EF30" s="77">
        <f>BIN2DEC(EB30)-BIN2DEC(EB31)</f>
        <v>85</v>
      </c>
      <c r="EG30" s="77">
        <f>BIN2DEC(EC30)-BIN2DEC(EC31)</f>
        <v>56</v>
      </c>
      <c r="EH30" s="27" t="str">
        <f t="shared" si="77"/>
        <v>1101</v>
      </c>
      <c r="EI30" s="27" t="str">
        <f t="shared" si="78"/>
        <v>0011</v>
      </c>
      <c r="EJ30" s="27" t="str">
        <f t="shared" si="79"/>
        <v>1000</v>
      </c>
      <c r="EK30" s="27" t="str">
        <f t="shared" si="80"/>
        <v>0110</v>
      </c>
      <c r="EL30" s="27" t="str">
        <f t="shared" si="81"/>
        <v>0111</v>
      </c>
      <c r="EM30" s="27" t="str">
        <f t="shared" si="82"/>
        <v>0110</v>
      </c>
      <c r="EN30" s="27" t="str">
        <f t="shared" si="83"/>
        <v>0011</v>
      </c>
      <c r="EO30" s="27" t="str">
        <f t="shared" si="84"/>
        <v>1011</v>
      </c>
      <c r="EP30" s="77">
        <f>BIN2DEC(EH30)-BIN2DEC(EH31)</f>
        <v>8</v>
      </c>
      <c r="EQ30" s="77">
        <f t="shared" ref="EQ30:EV30" si="232">BIN2DEC(EI30)-BIN2DEC(EI31)</f>
        <v>-12</v>
      </c>
      <c r="ER30" s="77">
        <f t="shared" si="232"/>
        <v>-3</v>
      </c>
      <c r="ES30" s="77">
        <f t="shared" si="232"/>
        <v>5</v>
      </c>
      <c r="ET30" s="77">
        <f t="shared" si="232"/>
        <v>4</v>
      </c>
      <c r="EU30" s="77">
        <f t="shared" si="232"/>
        <v>-7</v>
      </c>
      <c r="EV30" s="77">
        <f t="shared" si="232"/>
        <v>-6</v>
      </c>
      <c r="EW30" s="77">
        <f>BIN2DEC(EO30)-BIN2DEC(EO31)</f>
        <v>-4</v>
      </c>
      <c r="EX30" s="26" t="str">
        <f t="shared" si="15"/>
        <v>1101001110000110</v>
      </c>
      <c r="EY30" s="26" t="str">
        <f t="shared" si="16"/>
        <v>0111011000111011</v>
      </c>
      <c r="EZ30" s="77">
        <f>MID(EX30,16,1)*POWER(2,0)+MID(EX30,15,1)*POWER(2,1)+MID(EX30,14,1)*POWER(2,2)+MID(EX30,13,1)*POWER(2,3)+MID(EX30,12,1)*POWER(2,4)+MID(EX30,11,1)*POWER(2,5)+MID(EX30,10,1)*POWER(2,6)+MID(EX30,9,1)*POWER(2,7)+MID(EX30,8,1)*POWER(2,8)+MID(EX30,7,1)*POWER(2,9)+MID(EX30,6,1)*POWER(2,10)+MID(EX30,5,1)*POWER(2,11)+MID(EX30,4,1)*POWER(2,12)+MID(EX30,3,1)*POWER(2,13)+MID(EX30,2,1)*POWER(2,14)+MID(EX30,1,1)*POWER(2,15)-(MID(EX31,16,1)*POWER(2,0)+MID(EX31,15,1)*POWER(2,1)+MID(EX31,14,1)*POWER(2,2)+MID(EX31,13,1)*POWER(2,3)+MID(EX31,12,1)*POWER(2,4)+MID(EX31,11,1)*POWER(2,5)+MID(EX31,10,1)*POWER(2,6)+MID(EX31,9,1)*POWER(2,7)+MID(EX31,8,1)*POWER(2,8)+MID(EX31,7,1)*POWER(2,9)+MID(EX31,6,1)*POWER(2,10)+MID(EX31,5,1)*POWER(2,11)+MID(EX31,4,1)*POWER(2,12)+MID(EX31,3,1)*POWER(2,13)+MID(EX31,2,1)*POWER(2,14)+MID(EX31,1,1)*POWER(2,15))</f>
        <v>53349</v>
      </c>
      <c r="FA30" s="77">
        <f>MID(EY30,16,1)*POWER(2,0)+MID(EY30,15,1)*POWER(2,1)+MID(EY30,14,1)*POWER(2,2)+MID(EY30,13,1)*POWER(2,3)+MID(EY30,12,1)*POWER(2,4)+MID(EY30,11,1)*POWER(2,5)+MID(EY30,10,1)*POWER(2,6)+MID(EY30,9,1)*POWER(2,7)+MID(EY30,8,1)*POWER(2,8)+MID(EY30,7,1)*POWER(2,9)+MID(EY30,6,1)*POWER(2,10)+MID(EY30,5,1)*POWER(2,11)+MID(EY30,4,1)*POWER(2,12)+MID(EY30,3,1)*POWER(2,13)+MID(EY30,2,1)*POWER(2,14)+MID(EY30,1,1)*POWER(2,15)-(MID(EY31,16,1)*POWER(2,0)+MID(EY31,15,1)*POWER(2,1)+MID(EY31,14,1)*POWER(2,2)+MID(EY31,13,1)*POWER(2,3)+MID(EY31,12,1)*POWER(2,4)+MID(EY31,11,1)*POWER(2,5)+MID(EY31,10,1)*POWER(2,6)+MID(EY31,9,1)*POWER(2,7)+MID(EY31,8,1)*POWER(2,8)+MID(EY31,7,1)*POWER(2,9)+MID(EY31,6,1)*POWER(2,10)+MID(EY31,5,1)*POWER(2,11)+MID(EY31,4,1)*POWER(2,12)+MID(EY31,3,1)*POWER(2,13)+MID(EY31,2,1)*POWER(2,14)+MID(EY31,1,1)*POWER(2,15))</f>
        <v>21816</v>
      </c>
      <c r="FB30" s="45" t="str">
        <f>H30</f>
        <v>11010011100001100111011000111011</v>
      </c>
      <c r="FC30" s="26" t="str">
        <f t="shared" si="124"/>
        <v>11010011</v>
      </c>
      <c r="FD30" s="26" t="str">
        <f t="shared" si="85"/>
        <v>10000110</v>
      </c>
      <c r="FE30" s="26" t="str">
        <f t="shared" si="86"/>
        <v>01110110</v>
      </c>
      <c r="FF30" s="26" t="str">
        <f t="shared" si="87"/>
        <v>00111011</v>
      </c>
      <c r="FG30" s="77">
        <f>BIN2DEC(FC30)-BIN2DEC(FC31)</f>
        <v>208</v>
      </c>
      <c r="FH30" s="77">
        <f>BIN2DEC(FD30)-BIN2DEC(FD31)</f>
        <v>101</v>
      </c>
      <c r="FI30" s="77">
        <f>BIN2DEC(FE30)-BIN2DEC(FE31)</f>
        <v>85</v>
      </c>
      <c r="FJ30" s="77">
        <f>BIN2DEC(FF30)-BIN2DEC(FF31)</f>
        <v>56</v>
      </c>
      <c r="FK30" s="27" t="str">
        <f t="shared" si="88"/>
        <v>1101</v>
      </c>
      <c r="FL30" s="27" t="str">
        <f t="shared" si="89"/>
        <v>0011</v>
      </c>
      <c r="FM30" s="27" t="str">
        <f t="shared" si="90"/>
        <v>1000</v>
      </c>
      <c r="FN30" s="27" t="str">
        <f t="shared" si="91"/>
        <v>0110</v>
      </c>
      <c r="FO30" s="27" t="str">
        <f t="shared" si="92"/>
        <v>0111</v>
      </c>
      <c r="FP30" s="27" t="str">
        <f t="shared" si="93"/>
        <v>0110</v>
      </c>
      <c r="FQ30" s="27" t="str">
        <f t="shared" si="94"/>
        <v>0011</v>
      </c>
      <c r="FR30" s="27" t="str">
        <f t="shared" si="95"/>
        <v>1011</v>
      </c>
      <c r="FS30" s="77">
        <f>BIN2DEC(FK30)-BIN2DEC(FK31)</f>
        <v>8</v>
      </c>
      <c r="FT30" s="77">
        <f t="shared" ref="FT30:FY30" si="233">BIN2DEC(FL30)-BIN2DEC(FL31)</f>
        <v>-12</v>
      </c>
      <c r="FU30" s="77">
        <f t="shared" si="233"/>
        <v>-3</v>
      </c>
      <c r="FV30" s="77">
        <f t="shared" si="233"/>
        <v>5</v>
      </c>
      <c r="FW30" s="77">
        <f t="shared" si="233"/>
        <v>4</v>
      </c>
      <c r="FX30" s="77">
        <f t="shared" si="233"/>
        <v>-7</v>
      </c>
      <c r="FY30" s="77">
        <f t="shared" si="233"/>
        <v>-6</v>
      </c>
      <c r="FZ30" s="77">
        <f>BIN2DEC(FR30)-BIN2DEC(FR31)</f>
        <v>-4</v>
      </c>
      <c r="GA30" s="26" t="str">
        <f t="shared" si="18"/>
        <v>1101001110000110</v>
      </c>
      <c r="GB30" s="26" t="str">
        <f t="shared" si="19"/>
        <v>0111011000111011</v>
      </c>
      <c r="GC30" s="77">
        <f>MID(GA30,16,1)*POWER(2,0)+MID(GA30,15,1)*POWER(2,1)+MID(GA30,14,1)*POWER(2,2)+MID(GA30,13,1)*POWER(2,3)+MID(GA30,12,1)*POWER(2,4)+MID(GA30,11,1)*POWER(2,5)+MID(GA30,10,1)*POWER(2,6)+MID(GA30,9,1)*POWER(2,7)+MID(GA30,8,1)*POWER(2,8)+MID(GA30,7,1)*POWER(2,9)+MID(GA30,6,1)*POWER(2,10)+MID(GA30,5,1)*POWER(2,11)+MID(GA30,4,1)*POWER(2,12)+MID(GA30,3,1)*POWER(2,13)+MID(GA30,2,1)*POWER(2,14)+MID(GA30,1,1)*POWER(2,15)-(MID(GA31,16,1)*POWER(2,0)+MID(GA31,15,1)*POWER(2,1)+MID(GA31,14,1)*POWER(2,2)+MID(GA31,13,1)*POWER(2,3)+MID(GA31,12,1)*POWER(2,4)+MID(GA31,11,1)*POWER(2,5)+MID(GA31,10,1)*POWER(2,6)+MID(GA31,9,1)*POWER(2,7)+MID(GA31,8,1)*POWER(2,8)+MID(GA31,7,1)*POWER(2,9)+MID(GA31,6,1)*POWER(2,10)+MID(GA31,5,1)*POWER(2,11)+MID(GA31,4,1)*POWER(2,12)+MID(GA31,3,1)*POWER(2,13)+MID(GA31,2,1)*POWER(2,14)+MID(GA31,1,1)*POWER(2,15))</f>
        <v>53349</v>
      </c>
      <c r="GD30" s="77">
        <f>MID(GB30,16,1)*POWER(2,0)+MID(GB30,15,1)*POWER(2,1)+MID(GB30,14,1)*POWER(2,2)+MID(GB30,13,1)*POWER(2,3)+MID(GB30,12,1)*POWER(2,4)+MID(GB30,11,1)*POWER(2,5)+MID(GB30,10,1)*POWER(2,6)+MID(GB30,9,1)*POWER(2,7)+MID(GB30,8,1)*POWER(2,8)+MID(GB30,7,1)*POWER(2,9)+MID(GB30,6,1)*POWER(2,10)+MID(GB30,5,1)*POWER(2,11)+MID(GB30,4,1)*POWER(2,12)+MID(GB30,3,1)*POWER(2,13)+MID(GB30,2,1)*POWER(2,14)+MID(GB30,1,1)*POWER(2,15)-(MID(GB31,16,1)*POWER(2,0)+MID(GB31,15,1)*POWER(2,1)+MID(GB31,14,1)*POWER(2,2)+MID(GB31,13,1)*POWER(2,3)+MID(GB31,12,1)*POWER(2,4)+MID(GB31,11,1)*POWER(2,5)+MID(GB31,10,1)*POWER(2,6)+MID(GB31,9,1)*POWER(2,7)+MID(GB31,8,1)*POWER(2,8)+MID(GB31,7,1)*POWER(2,9)+MID(GB31,6,1)*POWER(2,10)+MID(GB31,5,1)*POWER(2,11)+MID(GB31,4,1)*POWER(2,12)+MID(GB31,3,1)*POWER(2,13)+MID(GB31,2,1)*POWER(2,14)+MID(GB31,1,1)*POWER(2,15))</f>
        <v>21816</v>
      </c>
      <c r="GE30" s="47" t="str">
        <f>CU30</f>
        <v>01000000000001000110010000100000</v>
      </c>
      <c r="GF30" s="26" t="str">
        <f t="shared" si="126"/>
        <v>01000000</v>
      </c>
      <c r="GG30" s="26" t="str">
        <f t="shared" si="96"/>
        <v>00000100</v>
      </c>
      <c r="GH30" s="26" t="str">
        <f t="shared" si="97"/>
        <v>01100100</v>
      </c>
      <c r="GI30" s="26" t="str">
        <f t="shared" si="98"/>
        <v>00100000</v>
      </c>
      <c r="GJ30" s="77">
        <f>BIN2DEC(GF30)-BIN2DEC(GF31)</f>
        <v>61</v>
      </c>
      <c r="GK30" s="77">
        <f>BIN2DEC(GG30)-BIN2DEC(GG31)</f>
        <v>-29</v>
      </c>
      <c r="GL30" s="77">
        <f>BIN2DEC(GH30)-BIN2DEC(GH31)</f>
        <v>67</v>
      </c>
      <c r="GM30" s="77">
        <f>BIN2DEC(GI30)-BIN2DEC(GI31)</f>
        <v>29</v>
      </c>
      <c r="GN30" s="27" t="str">
        <f t="shared" si="99"/>
        <v>1101</v>
      </c>
      <c r="GO30" s="27" t="str">
        <f t="shared" si="100"/>
        <v>0011</v>
      </c>
      <c r="GP30" s="27" t="str">
        <f t="shared" si="101"/>
        <v>1000</v>
      </c>
      <c r="GQ30" s="27" t="str">
        <f t="shared" si="102"/>
        <v>0110</v>
      </c>
      <c r="GR30" s="27" t="str">
        <f t="shared" si="103"/>
        <v>0111</v>
      </c>
      <c r="GS30" s="27" t="str">
        <f t="shared" si="104"/>
        <v>0110</v>
      </c>
      <c r="GT30" s="27" t="str">
        <f t="shared" si="105"/>
        <v>0011</v>
      </c>
      <c r="GU30" s="27" t="str">
        <f t="shared" si="106"/>
        <v>1011</v>
      </c>
      <c r="GV30" s="77">
        <f>BIN2DEC(GN30)-BIN2DEC(GN31)</f>
        <v>8</v>
      </c>
      <c r="GW30" s="77">
        <f t="shared" ref="GW30:HB30" si="234">BIN2DEC(GO30)-BIN2DEC(GO31)</f>
        <v>-12</v>
      </c>
      <c r="GX30" s="77">
        <f t="shared" si="234"/>
        <v>-3</v>
      </c>
      <c r="GY30" s="77">
        <f t="shared" si="234"/>
        <v>5</v>
      </c>
      <c r="GZ30" s="77">
        <f t="shared" si="234"/>
        <v>4</v>
      </c>
      <c r="HA30" s="77">
        <f t="shared" si="234"/>
        <v>-7</v>
      </c>
      <c r="HB30" s="77">
        <f t="shared" si="234"/>
        <v>-6</v>
      </c>
      <c r="HC30" s="77">
        <f>BIN2DEC(GU30)-BIN2DEC(GU31)</f>
        <v>-4</v>
      </c>
      <c r="HD30" s="26" t="str">
        <f t="shared" si="21"/>
        <v>0100000000000100</v>
      </c>
      <c r="HE30" s="26" t="str">
        <f t="shared" si="22"/>
        <v>0110010000100000</v>
      </c>
      <c r="HF30" s="77">
        <f>MID(HD30,16,1)*POWER(2,0)+MID(HD30,15,1)*POWER(2,1)+MID(HD30,14,1)*POWER(2,2)+MID(HD30,13,1)*POWER(2,3)+MID(HD30,12,1)*POWER(2,4)+MID(HD30,11,1)*POWER(2,5)+MID(HD30,10,1)*POWER(2,6)+MID(HD30,9,1)*POWER(2,7)+MID(HD30,8,1)*POWER(2,8)+MID(HD30,7,1)*POWER(2,9)+MID(HD30,6,1)*POWER(2,10)+MID(HD30,5,1)*POWER(2,11)+MID(HD30,4,1)*POWER(2,12)+MID(HD30,3,1)*POWER(2,13)+MID(HD30,2,1)*POWER(2,14)+MID(HD30,1,1)*POWER(2,15)-(MID(HD31,16,1)*POWER(2,0)+MID(HD31,15,1)*POWER(2,1)+MID(HD31,14,1)*POWER(2,2)+MID(HD31,13,1)*POWER(2,3)+MID(HD31,12,1)*POWER(2,4)+MID(HD31,11,1)*POWER(2,5)+MID(HD31,10,1)*POWER(2,6)+MID(HD31,9,1)*POWER(2,7)+MID(HD31,8,1)*POWER(2,8)+MID(HD31,7,1)*POWER(2,9)+MID(HD31,6,1)*POWER(2,10)+MID(HD31,5,1)*POWER(2,11)+MID(HD31,4,1)*POWER(2,12)+MID(HD31,3,1)*POWER(2,13)+MID(HD31,2,1)*POWER(2,14)+MID(HD31,1,1)*POWER(2,15))</f>
        <v>15587</v>
      </c>
      <c r="HG30" s="77">
        <f>MID(HE30,16,1)*POWER(2,0)+MID(HE30,15,1)*POWER(2,1)+MID(HE30,14,1)*POWER(2,2)+MID(HE30,13,1)*POWER(2,3)+MID(HE30,12,1)*POWER(2,4)+MID(HE30,11,1)*POWER(2,5)+MID(HE30,10,1)*POWER(2,6)+MID(HE30,9,1)*POWER(2,7)+MID(HE30,8,1)*POWER(2,8)+MID(HE30,7,1)*POWER(2,9)+MID(HE30,6,1)*POWER(2,10)+MID(HE30,5,1)*POWER(2,11)+MID(HE30,4,1)*POWER(2,12)+MID(HE30,3,1)*POWER(2,13)+MID(HE30,2,1)*POWER(2,14)+MID(HE30,1,1)*POWER(2,15)-(MID(HE31,16,1)*POWER(2,0)+MID(HE31,15,1)*POWER(2,1)+MID(HE31,14,1)*POWER(2,2)+MID(HE31,13,1)*POWER(2,3)+MID(HE31,12,1)*POWER(2,4)+MID(HE31,11,1)*POWER(2,5)+MID(HE31,10,1)*POWER(2,6)+MID(HE31,9,1)*POWER(2,7)+MID(HE31,8,1)*POWER(2,8)+MID(HE31,7,1)*POWER(2,9)+MID(HE31,6,1)*POWER(2,10)+MID(HE31,5,1)*POWER(2,11)+MID(HE31,4,1)*POWER(2,12)+MID(HE31,3,1)*POWER(2,13)+MID(HE31,2,1)*POWER(2,14)+MID(HE31,1,1)*POWER(2,15))</f>
        <v>17181</v>
      </c>
      <c r="HH30" s="45" t="str">
        <f>GE30</f>
        <v>01000000000001000110010000100000</v>
      </c>
      <c r="HI30" s="26" t="str">
        <f t="shared" si="128"/>
        <v>01000000</v>
      </c>
      <c r="HJ30" s="26" t="str">
        <f t="shared" si="107"/>
        <v>00000100</v>
      </c>
      <c r="HK30" s="26" t="str">
        <f t="shared" si="108"/>
        <v>01100100</v>
      </c>
      <c r="HL30" s="26" t="str">
        <f t="shared" si="109"/>
        <v>00100000</v>
      </c>
      <c r="HM30" s="77">
        <f>BIN2DEC(HI30)-BIN2DEC(HI31)</f>
        <v>61</v>
      </c>
      <c r="HN30" s="77">
        <f>BIN2DEC(HJ30)-BIN2DEC(HJ31)</f>
        <v>-29</v>
      </c>
      <c r="HO30" s="77">
        <f>BIN2DEC(HK30)-BIN2DEC(HK31)</f>
        <v>67</v>
      </c>
      <c r="HP30" s="77">
        <f>BIN2DEC(HL30)-BIN2DEC(HL31)</f>
        <v>29</v>
      </c>
      <c r="HQ30" s="27" t="str">
        <f t="shared" si="110"/>
        <v>1101</v>
      </c>
      <c r="HR30" s="27" t="str">
        <f t="shared" si="111"/>
        <v>0011</v>
      </c>
      <c r="HS30" s="27" t="str">
        <f t="shared" si="112"/>
        <v>1000</v>
      </c>
      <c r="HT30" s="27" t="str">
        <f t="shared" si="113"/>
        <v>0110</v>
      </c>
      <c r="HU30" s="27" t="str">
        <f t="shared" si="114"/>
        <v>0111</v>
      </c>
      <c r="HV30" s="27" t="str">
        <f t="shared" si="115"/>
        <v>0110</v>
      </c>
      <c r="HW30" s="27" t="str">
        <f t="shared" si="116"/>
        <v>0011</v>
      </c>
      <c r="HX30" s="27" t="str">
        <f t="shared" si="117"/>
        <v>1011</v>
      </c>
      <c r="HY30" s="77">
        <f>BIN2DEC(HQ30)-BIN2DEC(HQ31)</f>
        <v>8</v>
      </c>
      <c r="HZ30" s="77">
        <f t="shared" ref="HZ30:IE30" si="235">BIN2DEC(HR30)-BIN2DEC(HR31)</f>
        <v>-12</v>
      </c>
      <c r="IA30" s="77">
        <f t="shared" si="235"/>
        <v>-3</v>
      </c>
      <c r="IB30" s="77">
        <f t="shared" si="235"/>
        <v>5</v>
      </c>
      <c r="IC30" s="77">
        <f t="shared" si="235"/>
        <v>4</v>
      </c>
      <c r="ID30" s="77">
        <f t="shared" si="235"/>
        <v>-7</v>
      </c>
      <c r="IE30" s="77">
        <f t="shared" si="235"/>
        <v>-6</v>
      </c>
      <c r="IF30" s="77">
        <f>BIN2DEC(HX30)-BIN2DEC(HX31)</f>
        <v>-4</v>
      </c>
      <c r="IG30" s="26" t="str">
        <f t="shared" si="24"/>
        <v>0100000000000100</v>
      </c>
      <c r="IH30" s="26" t="str">
        <f t="shared" si="25"/>
        <v>0110010000100000</v>
      </c>
      <c r="II30" s="77">
        <f>MID(IG30,16,1)*POWER(2,0)+MID(IG30,15,1)*POWER(2,1)+MID(IG30,14,1)*POWER(2,2)+MID(IG30,13,1)*POWER(2,3)+MID(IG30,12,1)*POWER(2,4)+MID(IG30,11,1)*POWER(2,5)+MID(IG30,10,1)*POWER(2,6)+MID(IG30,9,1)*POWER(2,7)+MID(IG30,8,1)*POWER(2,8)+MID(IG30,7,1)*POWER(2,9)+MID(IG30,6,1)*POWER(2,10)+MID(IG30,5,1)*POWER(2,11)+MID(IG30,4,1)*POWER(2,12)+MID(IG30,3,1)*POWER(2,13)+MID(IG30,2,1)*POWER(2,14)+MID(IG30,1,1)*POWER(2,15)-(MID(IG31,16,1)*POWER(2,0)+MID(IG31,15,1)*POWER(2,1)+MID(IG31,14,1)*POWER(2,2)+MID(IG31,13,1)*POWER(2,3)+MID(IG31,12,1)*POWER(2,4)+MID(IG31,11,1)*POWER(2,5)+MID(IG31,10,1)*POWER(2,6)+MID(IG31,9,1)*POWER(2,7)+MID(IG31,8,1)*POWER(2,8)+MID(IG31,7,1)*POWER(2,9)+MID(IG31,6,1)*POWER(2,10)+MID(IG31,5,1)*POWER(2,11)+MID(IG31,4,1)*POWER(2,12)+MID(IG31,3,1)*POWER(2,13)+MID(IG31,2,1)*POWER(2,14)+MID(IG31,1,1)*POWER(2,15))</f>
        <v>15587</v>
      </c>
      <c r="IJ30" s="77">
        <f>MID(IH30,16,1)*POWER(2,0)+MID(IH30,15,1)*POWER(2,1)+MID(IH30,14,1)*POWER(2,2)+MID(IH30,13,1)*POWER(2,3)+MID(IH30,12,1)*POWER(2,4)+MID(IH30,11,1)*POWER(2,5)+MID(IH30,10,1)*POWER(2,6)+MID(IH30,9,1)*POWER(2,7)+MID(IH30,8,1)*POWER(2,8)+MID(IH30,7,1)*POWER(2,9)+MID(IH30,6,1)*POWER(2,10)+MID(IH30,5,1)*POWER(2,11)+MID(IH30,4,1)*POWER(2,12)+MID(IH30,3,1)*POWER(2,13)+MID(IH30,2,1)*POWER(2,14)+MID(IH30,1,1)*POWER(2,15)-(MID(IH31,16,1)*POWER(2,0)+MID(IH31,15,1)*POWER(2,1)+MID(IH31,14,1)*POWER(2,2)+MID(IH31,13,1)*POWER(2,3)+MID(IH31,12,1)*POWER(2,4)+MID(IH31,11,1)*POWER(2,5)+MID(IH31,10,1)*POWER(2,6)+MID(IH31,9,1)*POWER(2,7)+MID(IH31,8,1)*POWER(2,8)+MID(IH31,7,1)*POWER(2,9)+MID(IH31,6,1)*POWER(2,10)+MID(IH31,5,1)*POWER(2,11)+MID(IH31,4,1)*POWER(2,12)+MID(IH31,3,1)*POWER(2,13)+MID(IH31,2,1)*POWER(2,14)+MID(IH31,1,1)*POWER(2,15))</f>
        <v>17181</v>
      </c>
      <c r="IL30" s="26"/>
      <c r="IM30" s="26"/>
      <c r="IN30" s="26"/>
      <c r="IO30" s="26"/>
      <c r="IP30" s="22"/>
      <c r="IQ30" s="22"/>
      <c r="IR30" s="22"/>
      <c r="IS30" s="22"/>
      <c r="JB30" s="22"/>
      <c r="JC30" s="22"/>
      <c r="JD30" s="22"/>
      <c r="JE30" s="22"/>
      <c r="JF30" s="22"/>
      <c r="JG30" s="22"/>
      <c r="JH30" s="22"/>
      <c r="JI30" s="22"/>
      <c r="JJ30" s="26"/>
      <c r="JK30" s="26"/>
      <c r="JL30" s="22"/>
      <c r="JM30" s="22"/>
    </row>
    <row r="31" spans="1:273" s="31" customFormat="1" ht="18.600000000000001" thickBot="1" x14ac:dyDescent="0.4">
      <c r="A31" s="28"/>
      <c r="B31" s="29"/>
      <c r="C31" s="21" t="s">
        <v>6</v>
      </c>
      <c r="D31" s="21" t="s">
        <v>83</v>
      </c>
      <c r="E31" s="21" t="s">
        <v>62</v>
      </c>
      <c r="F31" s="21" t="s">
        <v>18</v>
      </c>
      <c r="G31" s="21" t="s">
        <v>49</v>
      </c>
      <c r="H31" s="21" t="str">
        <f t="shared" si="186"/>
        <v>11100111111100110010101110110110</v>
      </c>
      <c r="I31" s="21">
        <f t="shared" si="187"/>
        <v>21</v>
      </c>
      <c r="J31" s="21"/>
      <c r="K31" s="21"/>
      <c r="L31" s="44" t="str">
        <f>CONCATENATE(MID(H31,20,5),MID(H31,9,3),MID(H31,28,5),MID(H31,17,3),MID(H31,4,5),MID(H31,25,3),MID(H31,12,5),MID(H31,1,3))</f>
        <v>01011111101100010011110110011111</v>
      </c>
      <c r="M31" s="30" t="str">
        <f t="shared" si="26"/>
        <v>01011111</v>
      </c>
      <c r="N31" s="30" t="str">
        <f t="shared" si="27"/>
        <v>10110001</v>
      </c>
      <c r="O31" s="30" t="str">
        <f t="shared" si="28"/>
        <v>00111101</v>
      </c>
      <c r="P31" s="30" t="str">
        <f t="shared" si="29"/>
        <v>10011111</v>
      </c>
      <c r="Q31" s="78"/>
      <c r="R31" s="78"/>
      <c r="S31" s="78"/>
      <c r="T31" s="78"/>
      <c r="U31" s="31" t="str">
        <f t="shared" si="30"/>
        <v>0101</v>
      </c>
      <c r="V31" s="31" t="str">
        <f t="shared" si="31"/>
        <v>1111</v>
      </c>
      <c r="W31" s="31" t="str">
        <f t="shared" si="32"/>
        <v>1011</v>
      </c>
      <c r="X31" s="31" t="str">
        <f t="shared" si="33"/>
        <v>0001</v>
      </c>
      <c r="Y31" s="31" t="str">
        <f t="shared" si="34"/>
        <v>0011</v>
      </c>
      <c r="Z31" s="31" t="str">
        <f t="shared" si="35"/>
        <v>1101</v>
      </c>
      <c r="AA31" s="31" t="str">
        <f t="shared" si="36"/>
        <v>1001</v>
      </c>
      <c r="AB31" s="31" t="str">
        <f t="shared" si="37"/>
        <v>1111</v>
      </c>
      <c r="AC31" s="78"/>
      <c r="AD31" s="78"/>
      <c r="AE31" s="78"/>
      <c r="AF31" s="78"/>
      <c r="AG31" s="78"/>
      <c r="AH31" s="78"/>
      <c r="AI31" s="78"/>
      <c r="AJ31" s="78"/>
      <c r="AK31" s="30" t="str">
        <f t="shared" si="3"/>
        <v>0101111110110001</v>
      </c>
      <c r="AL31" s="30" t="str">
        <f t="shared" si="4"/>
        <v>0011110110011111</v>
      </c>
      <c r="AM31" s="78"/>
      <c r="AN31" s="78"/>
      <c r="AO31" s="46" t="str">
        <f>CONCATENATE(MID($L31,1,1)*MID($K20,1,1),MID($L31,2,1)*MID($K20,2,1),MID($L31,3,1)*MID($K20,3,1),MID($L31,4,1)*MID($K20,4,1),MID($L31,5,1)*MID($K20,5,1),MID($L31,6,1)*MID($K20,6,1),MID($L31,7,1)*MID($K20,7,1),MID($L31,8,1)*MID($K20,8,1),MID($L31,9,1)*MID($K20,1,1),MID($L31,10,1)*MID($K20,2,1),MID($L31,11,1)*MID($K20,3,1),MID($L31,12,1)*MID($K20,4,1),MID($L31,13,1)*MID($K20,5,1),MID($L31,14,1)*MID($K20,6,1),MID($L31,15,1)*MID($K20,7,1),MID($L31,16,1)*MID($K20,8,1),MID($L31,17,1)*MID($K20,1,1),MID($L31,18,1)*MID($K20,2,1),MID($L31,19,1)*MID($K20,3,1),MID($L31,20,1)*MID($K20,4,1),MID($L31,21,1)*MID($K20,5,1),MID($L31,22,1)*MID($K20,6,1),MID($L31,23,1)*MID($K20,7,1),MID($L31,24,1)*MID($K20,8,1),MID($L31,25,1)*MID($K20,1,1),MID($L31,26,1)*MID($K20,2,1),MID($L31,27,1)*MID($K20,3,1),MID($L31,28,1)*MID($K20,4,1),MID($L31,29,1)*MID($K20,5,1),MID($L31,30,1)*MID($K20,6,1),MID($L31,31,1)*MID($K20,7,1),MID($L31,32,1)*MID($K20,8,1))</f>
        <v>01000100001000000010010000000100</v>
      </c>
      <c r="AP31" s="30" t="str">
        <f t="shared" si="38"/>
        <v>01000100</v>
      </c>
      <c r="AQ31" s="30" t="str">
        <f t="shared" si="39"/>
        <v>00100000</v>
      </c>
      <c r="AR31" s="30" t="str">
        <f t="shared" si="40"/>
        <v>00100100</v>
      </c>
      <c r="AS31" s="30" t="str">
        <f t="shared" si="41"/>
        <v>00000100</v>
      </c>
      <c r="AT31" s="78"/>
      <c r="AU31" s="78"/>
      <c r="AV31" s="78"/>
      <c r="AW31" s="78"/>
      <c r="AX31" s="31" t="str">
        <f t="shared" si="42"/>
        <v>0101</v>
      </c>
      <c r="AY31" s="31" t="str">
        <f t="shared" si="43"/>
        <v>1111</v>
      </c>
      <c r="AZ31" s="31" t="str">
        <f t="shared" si="44"/>
        <v>1011</v>
      </c>
      <c r="BA31" s="31" t="str">
        <f t="shared" si="45"/>
        <v>0001</v>
      </c>
      <c r="BB31" s="31" t="str">
        <f t="shared" si="46"/>
        <v>0011</v>
      </c>
      <c r="BC31" s="31" t="str">
        <f t="shared" si="47"/>
        <v>1101</v>
      </c>
      <c r="BD31" s="31" t="str">
        <f t="shared" si="48"/>
        <v>1001</v>
      </c>
      <c r="BE31" s="31" t="str">
        <f t="shared" si="49"/>
        <v>1111</v>
      </c>
      <c r="BF31" s="78"/>
      <c r="BG31" s="78"/>
      <c r="BH31" s="78"/>
      <c r="BI31" s="78"/>
      <c r="BJ31" s="78"/>
      <c r="BK31" s="78"/>
      <c r="BL31" s="78"/>
      <c r="BM31" s="78"/>
      <c r="BN31" s="30" t="str">
        <f t="shared" si="6"/>
        <v>0100010000100000</v>
      </c>
      <c r="BO31" s="30" t="str">
        <f t="shared" si="7"/>
        <v>0010010000000100</v>
      </c>
      <c r="BP31" s="78"/>
      <c r="BQ31" s="78"/>
      <c r="BR31" s="46" t="str">
        <f>L31</f>
        <v>01011111101100010011110110011111</v>
      </c>
      <c r="BS31" s="30" t="str">
        <f t="shared" si="50"/>
        <v>01011111</v>
      </c>
      <c r="BT31" s="30" t="str">
        <f t="shared" si="51"/>
        <v>10110001</v>
      </c>
      <c r="BU31" s="30" t="str">
        <f t="shared" si="52"/>
        <v>00111101</v>
      </c>
      <c r="BV31" s="30" t="str">
        <f t="shared" si="53"/>
        <v>10011111</v>
      </c>
      <c r="BW31" s="78"/>
      <c r="BX31" s="78"/>
      <c r="BY31" s="78"/>
      <c r="BZ31" s="78"/>
      <c r="CA31" s="31" t="str">
        <f t="shared" si="54"/>
        <v>0101</v>
      </c>
      <c r="CB31" s="31" t="str">
        <f t="shared" si="55"/>
        <v>1111</v>
      </c>
      <c r="CC31" s="31" t="str">
        <f t="shared" si="56"/>
        <v>1011</v>
      </c>
      <c r="CD31" s="31" t="str">
        <f t="shared" si="57"/>
        <v>0001</v>
      </c>
      <c r="CE31" s="31" t="str">
        <f t="shared" si="58"/>
        <v>0011</v>
      </c>
      <c r="CF31" s="31" t="str">
        <f t="shared" si="59"/>
        <v>1101</v>
      </c>
      <c r="CG31" s="31" t="str">
        <f t="shared" si="60"/>
        <v>1001</v>
      </c>
      <c r="CH31" s="31" t="str">
        <f t="shared" si="61"/>
        <v>1111</v>
      </c>
      <c r="CI31" s="78"/>
      <c r="CJ31" s="78"/>
      <c r="CK31" s="78"/>
      <c r="CL31" s="78"/>
      <c r="CM31" s="78"/>
      <c r="CN31" s="78"/>
      <c r="CO31" s="78"/>
      <c r="CP31" s="78"/>
      <c r="CQ31" s="30" t="str">
        <f t="shared" si="9"/>
        <v>0101111110110001</v>
      </c>
      <c r="CR31" s="30" t="str">
        <f t="shared" si="10"/>
        <v>0011110110011111</v>
      </c>
      <c r="CS31" s="78"/>
      <c r="CT31" s="78"/>
      <c r="CU31" s="46" t="str">
        <f>AO31</f>
        <v>01000100001000000010010000000100</v>
      </c>
      <c r="CV31" s="30" t="str">
        <f t="shared" si="62"/>
        <v>01000100</v>
      </c>
      <c r="CW31" s="30" t="str">
        <f t="shared" si="63"/>
        <v>00100000</v>
      </c>
      <c r="CX31" s="30" t="str">
        <f t="shared" si="64"/>
        <v>00100100</v>
      </c>
      <c r="CY31" s="30" t="str">
        <f t="shared" si="65"/>
        <v>00000100</v>
      </c>
      <c r="CZ31" s="78"/>
      <c r="DA31" s="78"/>
      <c r="DB31" s="78"/>
      <c r="DC31" s="78"/>
      <c r="DD31" s="31" t="str">
        <f t="shared" si="66"/>
        <v>0101</v>
      </c>
      <c r="DE31" s="31" t="str">
        <f t="shared" si="67"/>
        <v>1111</v>
      </c>
      <c r="DF31" s="31" t="str">
        <f t="shared" si="68"/>
        <v>1011</v>
      </c>
      <c r="DG31" s="31" t="str">
        <f t="shared" si="69"/>
        <v>0001</v>
      </c>
      <c r="DH31" s="31" t="str">
        <f t="shared" si="70"/>
        <v>0011</v>
      </c>
      <c r="DI31" s="31" t="str">
        <f t="shared" si="71"/>
        <v>1101</v>
      </c>
      <c r="DJ31" s="31" t="str">
        <f t="shared" si="72"/>
        <v>1001</v>
      </c>
      <c r="DK31" s="31" t="str">
        <f t="shared" si="73"/>
        <v>1111</v>
      </c>
      <c r="DL31" s="78"/>
      <c r="DM31" s="78"/>
      <c r="DN31" s="78"/>
      <c r="DO31" s="78"/>
      <c r="DP31" s="78"/>
      <c r="DQ31" s="78"/>
      <c r="DR31" s="78"/>
      <c r="DS31" s="78"/>
      <c r="DT31" s="30" t="str">
        <f t="shared" si="12"/>
        <v>0100010000100000</v>
      </c>
      <c r="DU31" s="30" t="str">
        <f t="shared" si="13"/>
        <v>0010010000000100</v>
      </c>
      <c r="DV31" s="78"/>
      <c r="DW31" s="78"/>
      <c r="DX31" s="23" t="str">
        <f>CONCATENATE(MID($H31,1,1)*MID($K20,1,1),MID($H31,2,1)*MID($K20,2,1),MID($H31,3,1)*MID($K20,3,1),MID($H31,4,1)*MID($K20,4,1),MID($H31,5,1)*MID($K20,5,1),MID($H31,6,1)*MID($K20,6,1),MID($H31,7,1)*MID($K20,7,1),MID($H31,8,1)*MID($K20,8,1),MID($H31,9,1)*MID($K20,1,1),MID($H31,10,1)*MID($K20,2,1),MID($H31,11,1)*MID($K20,3,1),MID($H31,12,1)*MID($K20,4,1),MID($H31,13,1)*MID($K20,5,1),MID($H31,14,1)*MID($K20,6,1),MID($H31,15,1)*MID($K20,7,1),MID($H31,16,1)*MID($K20,8,1),MID($H31,17,1)*MID($K20,1,1),MID($H31,18,1)*MID($K20,2,1),MID($H31,19,1)*MID($K20,3,1),MID($H31,20,1)*MID($K20,4,1),MID($H31,21,1)*MID($K20,5,1),MID($H31,22,1)*MID($K20,6,1),MID($H31,23,1)*MID($K20,7,1),MID($H31,24,1)*MID($K20,8,1),MID($H31,25,1)*MID($K20,1,1),MID($H31,26,1)*MID($K20,2,1),MID($H31,27,1)*MID($K20,3,1),MID($H31,28,1)*MID($K20,4,1),MID($H31,29,1)*MID($K20,5,1),MID($H31,30,1)*MID($K20,6,1),MID($H31,31,1)*MID($K20,7,1),MID($H31,32,1)*MID($K20,8,1))</f>
        <v>01100100011000000010000000100100</v>
      </c>
      <c r="DY31" s="44" t="str">
        <f>CONCATENATE(MID(DX31,20,5),MID(DX31,9,3),MID(DX31,28,5),MID(DX31,17,3),MID(DX31,4,5),MID(DX31,25,3),MID(DX31,12,5),MID(DX31,1,3))</f>
        <v>00000011001000010010000100000011</v>
      </c>
      <c r="DZ31" s="30" t="str">
        <f t="shared" si="122"/>
        <v>00000011</v>
      </c>
      <c r="EA31" s="30" t="str">
        <f t="shared" si="74"/>
        <v>00100001</v>
      </c>
      <c r="EB31" s="30" t="str">
        <f t="shared" si="75"/>
        <v>00100001</v>
      </c>
      <c r="EC31" s="30" t="str">
        <f t="shared" si="76"/>
        <v>00000011</v>
      </c>
      <c r="ED31" s="78"/>
      <c r="EE31" s="78"/>
      <c r="EF31" s="78"/>
      <c r="EG31" s="78"/>
      <c r="EH31" s="31" t="str">
        <f t="shared" si="77"/>
        <v>0101</v>
      </c>
      <c r="EI31" s="31" t="str">
        <f t="shared" si="78"/>
        <v>1111</v>
      </c>
      <c r="EJ31" s="31" t="str">
        <f t="shared" si="79"/>
        <v>1011</v>
      </c>
      <c r="EK31" s="31" t="str">
        <f t="shared" si="80"/>
        <v>0001</v>
      </c>
      <c r="EL31" s="31" t="str">
        <f t="shared" si="81"/>
        <v>0011</v>
      </c>
      <c r="EM31" s="31" t="str">
        <f t="shared" si="82"/>
        <v>1101</v>
      </c>
      <c r="EN31" s="31" t="str">
        <f t="shared" si="83"/>
        <v>1001</v>
      </c>
      <c r="EO31" s="31" t="str">
        <f t="shared" si="84"/>
        <v>1111</v>
      </c>
      <c r="EP31" s="78"/>
      <c r="EQ31" s="78"/>
      <c r="ER31" s="78"/>
      <c r="ES31" s="78"/>
      <c r="ET31" s="78"/>
      <c r="EU31" s="78"/>
      <c r="EV31" s="78"/>
      <c r="EW31" s="78"/>
      <c r="EX31" s="30" t="str">
        <f t="shared" si="15"/>
        <v>0000001100100001</v>
      </c>
      <c r="EY31" s="30" t="str">
        <f t="shared" si="16"/>
        <v>0010000100000011</v>
      </c>
      <c r="EZ31" s="78"/>
      <c r="FA31" s="78"/>
      <c r="FB31" s="46" t="str">
        <f>CONCATENATE(MID(DY31,1,1)*MID($K30,1,1),MID(DY31,2,1)*MID($K30,2,1),MID(DY31,3,1)*MID($K30,3,1),MID(DY31,4,1)*MID($K30,4,1),MID(DY31,5,1)*MID($K30,5,1),MID(DY31,6,1)*MID($K30,6,1),MID(DY31,7,1)*MID($K30,7,1),MID(DY31,8,1)*MID($K30,8,1),MID(DY31,9,1)*MID($K30,1,1),MID(DY31,10,1)*MID($K30,2,1),MID(DY31,11,1)*MID($K30,3,1),MID(DY31,12,1)*MID($K30,4,1),MID(DY31,13,1)*MID($K30,5,1),MID(DY31,14,1)*MID($K30,6,1),MID(DY31,15,1)*MID($K30,7,1),MID(DY31,16,1)*MID($K30,8,1),MID(DY31,17,1)*MID($K30,1,1),MID(DY31,18,1)*MID($K30,2,1),MID(DY31,19,1)*MID($K30,3,1),MID(DY31,20,1)*MID($K30,4,1),MID(DY31,21,1)*MID($K30,5,1),MID(DY31,22,1)*MID($K30,6,1),MID(DY31,23,1)*MID($K30,7,1),MID(DY31,24,1)*MID($K30,8,1),MID(DY31,25,1)*MID($K30,1,1),MID(DY31,26,1)*MID($K30,2,1),MID(DY31,27,1)*MID($K30,3,1),MID(DY31,28,1)*MID($K30,4,1),MID(DY31,29,1)*MID($K30,5,1),MID(DY31,30,1)*MID($K30,6,1),MID(DY31,31,1)*MID($K30,7,1),MID(DY31,32,1)*MID($K30,8,1))</f>
        <v>00000011001000010010000100000011</v>
      </c>
      <c r="FC31" s="30" t="str">
        <f t="shared" si="124"/>
        <v>00000011</v>
      </c>
      <c r="FD31" s="30" t="str">
        <f t="shared" si="85"/>
        <v>00100001</v>
      </c>
      <c r="FE31" s="30" t="str">
        <f t="shared" si="86"/>
        <v>00100001</v>
      </c>
      <c r="FF31" s="30" t="str">
        <f t="shared" si="87"/>
        <v>00000011</v>
      </c>
      <c r="FG31" s="78"/>
      <c r="FH31" s="78"/>
      <c r="FI31" s="78"/>
      <c r="FJ31" s="78"/>
      <c r="FK31" s="31" t="str">
        <f t="shared" si="88"/>
        <v>0101</v>
      </c>
      <c r="FL31" s="31" t="str">
        <f t="shared" si="89"/>
        <v>1111</v>
      </c>
      <c r="FM31" s="31" t="str">
        <f t="shared" si="90"/>
        <v>1011</v>
      </c>
      <c r="FN31" s="31" t="str">
        <f t="shared" si="91"/>
        <v>0001</v>
      </c>
      <c r="FO31" s="31" t="str">
        <f t="shared" si="92"/>
        <v>0011</v>
      </c>
      <c r="FP31" s="31" t="str">
        <f t="shared" si="93"/>
        <v>1101</v>
      </c>
      <c r="FQ31" s="31" t="str">
        <f t="shared" si="94"/>
        <v>1001</v>
      </c>
      <c r="FR31" s="31" t="str">
        <f t="shared" si="95"/>
        <v>1111</v>
      </c>
      <c r="FS31" s="78"/>
      <c r="FT31" s="78"/>
      <c r="FU31" s="78"/>
      <c r="FV31" s="78"/>
      <c r="FW31" s="78"/>
      <c r="FX31" s="78"/>
      <c r="FY31" s="78"/>
      <c r="FZ31" s="78"/>
      <c r="GA31" s="30" t="str">
        <f t="shared" si="18"/>
        <v>0000001100100001</v>
      </c>
      <c r="GB31" s="30" t="str">
        <f t="shared" si="19"/>
        <v>0010000100000011</v>
      </c>
      <c r="GC31" s="78"/>
      <c r="GD31" s="78"/>
      <c r="GE31" s="48" t="str">
        <f>DY31</f>
        <v>00000011001000010010000100000011</v>
      </c>
      <c r="GF31" s="30" t="str">
        <f t="shared" si="126"/>
        <v>00000011</v>
      </c>
      <c r="GG31" s="30" t="str">
        <f t="shared" si="96"/>
        <v>00100001</v>
      </c>
      <c r="GH31" s="30" t="str">
        <f t="shared" si="97"/>
        <v>00100001</v>
      </c>
      <c r="GI31" s="30" t="str">
        <f t="shared" si="98"/>
        <v>00000011</v>
      </c>
      <c r="GJ31" s="78"/>
      <c r="GK31" s="78"/>
      <c r="GL31" s="78"/>
      <c r="GM31" s="78"/>
      <c r="GN31" s="31" t="str">
        <f t="shared" si="99"/>
        <v>0101</v>
      </c>
      <c r="GO31" s="31" t="str">
        <f t="shared" si="100"/>
        <v>1111</v>
      </c>
      <c r="GP31" s="31" t="str">
        <f t="shared" si="101"/>
        <v>1011</v>
      </c>
      <c r="GQ31" s="31" t="str">
        <f t="shared" si="102"/>
        <v>0001</v>
      </c>
      <c r="GR31" s="31" t="str">
        <f t="shared" si="103"/>
        <v>0011</v>
      </c>
      <c r="GS31" s="31" t="str">
        <f t="shared" si="104"/>
        <v>1101</v>
      </c>
      <c r="GT31" s="31" t="str">
        <f t="shared" si="105"/>
        <v>1001</v>
      </c>
      <c r="GU31" s="31" t="str">
        <f t="shared" si="106"/>
        <v>1111</v>
      </c>
      <c r="GV31" s="78"/>
      <c r="GW31" s="78"/>
      <c r="GX31" s="78"/>
      <c r="GY31" s="78"/>
      <c r="GZ31" s="78"/>
      <c r="HA31" s="78"/>
      <c r="HB31" s="78"/>
      <c r="HC31" s="78"/>
      <c r="HD31" s="30" t="str">
        <f t="shared" si="21"/>
        <v>0000001100100001</v>
      </c>
      <c r="HE31" s="30" t="str">
        <f t="shared" si="22"/>
        <v>0010000100000011</v>
      </c>
      <c r="HF31" s="78"/>
      <c r="HG31" s="78"/>
      <c r="HH31" s="48" t="str">
        <f>FB31</f>
        <v>00000011001000010010000100000011</v>
      </c>
      <c r="HI31" s="30" t="str">
        <f t="shared" si="128"/>
        <v>00000011</v>
      </c>
      <c r="HJ31" s="30" t="str">
        <f t="shared" si="107"/>
        <v>00100001</v>
      </c>
      <c r="HK31" s="30" t="str">
        <f t="shared" si="108"/>
        <v>00100001</v>
      </c>
      <c r="HL31" s="30" t="str">
        <f t="shared" si="109"/>
        <v>00000011</v>
      </c>
      <c r="HM31" s="78"/>
      <c r="HN31" s="78"/>
      <c r="HO31" s="78"/>
      <c r="HP31" s="78"/>
      <c r="HQ31" s="31" t="str">
        <f t="shared" si="110"/>
        <v>0101</v>
      </c>
      <c r="HR31" s="31" t="str">
        <f t="shared" si="111"/>
        <v>1111</v>
      </c>
      <c r="HS31" s="31" t="str">
        <f t="shared" si="112"/>
        <v>1011</v>
      </c>
      <c r="HT31" s="31" t="str">
        <f t="shared" si="113"/>
        <v>0001</v>
      </c>
      <c r="HU31" s="31" t="str">
        <f t="shared" si="114"/>
        <v>0011</v>
      </c>
      <c r="HV31" s="31" t="str">
        <f t="shared" si="115"/>
        <v>1101</v>
      </c>
      <c r="HW31" s="31" t="str">
        <f t="shared" si="116"/>
        <v>1001</v>
      </c>
      <c r="HX31" s="31" t="str">
        <f t="shared" si="117"/>
        <v>1111</v>
      </c>
      <c r="HY31" s="78"/>
      <c r="HZ31" s="78"/>
      <c r="IA31" s="78"/>
      <c r="IB31" s="78"/>
      <c r="IC31" s="78"/>
      <c r="ID31" s="78"/>
      <c r="IE31" s="78"/>
      <c r="IF31" s="78"/>
      <c r="IG31" s="30" t="str">
        <f t="shared" si="24"/>
        <v>0000001100100001</v>
      </c>
      <c r="IH31" s="30" t="str">
        <f t="shared" si="25"/>
        <v>0010000100000011</v>
      </c>
      <c r="II31" s="78"/>
      <c r="IJ31" s="78"/>
      <c r="IL31" s="30"/>
      <c r="IM31" s="30"/>
      <c r="IN31" s="30"/>
      <c r="IO31" s="30"/>
      <c r="IP31" s="23"/>
      <c r="IQ31" s="23"/>
      <c r="IR31" s="23"/>
      <c r="IS31" s="23"/>
      <c r="JB31" s="23"/>
      <c r="JC31" s="23"/>
      <c r="JD31" s="23"/>
      <c r="JE31" s="23"/>
      <c r="JF31" s="23"/>
      <c r="JG31" s="23"/>
      <c r="JH31" s="23"/>
      <c r="JI31" s="23"/>
      <c r="JJ31" s="30"/>
      <c r="JK31" s="30"/>
      <c r="JL31" s="23"/>
      <c r="JM31" s="23"/>
    </row>
    <row r="32" spans="1:273" s="27" customFormat="1" x14ac:dyDescent="0.35">
      <c r="A32" s="24"/>
      <c r="B32" s="25"/>
      <c r="C32" s="20" t="s">
        <v>0</v>
      </c>
      <c r="D32" s="20">
        <v>22</v>
      </c>
      <c r="E32" s="20">
        <v>18</v>
      </c>
      <c r="F32" s="20">
        <v>22</v>
      </c>
      <c r="G32" s="20" t="s">
        <v>155</v>
      </c>
      <c r="H32" s="20" t="str">
        <f t="shared" si="186"/>
        <v>00100010000110000010001010110100</v>
      </c>
      <c r="I32" s="20">
        <f t="shared" si="187"/>
        <v>10</v>
      </c>
      <c r="J32" s="20">
        <v>63</v>
      </c>
      <c r="K32" s="20" t="str">
        <f>HEX2BIN(J32,8)</f>
        <v>01100011</v>
      </c>
      <c r="L32" s="43" t="str">
        <f>H32</f>
        <v>00100010000110000010001010110100</v>
      </c>
      <c r="M32" s="26" t="str">
        <f t="shared" si="26"/>
        <v>00100010</v>
      </c>
      <c r="N32" s="26" t="str">
        <f t="shared" si="27"/>
        <v>00011000</v>
      </c>
      <c r="O32" s="26" t="str">
        <f t="shared" si="28"/>
        <v>00100010</v>
      </c>
      <c r="P32" s="26" t="str">
        <f t="shared" si="29"/>
        <v>10110100</v>
      </c>
      <c r="Q32" s="77">
        <f>BIN2DEC(M32)-BIN2DEC(M33)</f>
        <v>-140</v>
      </c>
      <c r="R32" s="77">
        <f>BIN2DEC(N32)-BIN2DEC(N33)</f>
        <v>-42</v>
      </c>
      <c r="S32" s="77">
        <f>BIN2DEC(O32)-BIN2DEC(O33)</f>
        <v>-199</v>
      </c>
      <c r="T32" s="77">
        <f>BIN2DEC(P32)-BIN2DEC(P33)</f>
        <v>157</v>
      </c>
      <c r="U32" s="27" t="str">
        <f t="shared" si="30"/>
        <v>0010</v>
      </c>
      <c r="V32" s="27" t="str">
        <f t="shared" si="31"/>
        <v>0010</v>
      </c>
      <c r="W32" s="27" t="str">
        <f t="shared" si="32"/>
        <v>0001</v>
      </c>
      <c r="X32" s="27" t="str">
        <f t="shared" si="33"/>
        <v>1000</v>
      </c>
      <c r="Y32" s="27" t="str">
        <f t="shared" si="34"/>
        <v>0010</v>
      </c>
      <c r="Z32" s="27" t="str">
        <f t="shared" si="35"/>
        <v>0010</v>
      </c>
      <c r="AA32" s="27" t="str">
        <f t="shared" si="36"/>
        <v>1011</v>
      </c>
      <c r="AB32" s="27" t="str">
        <f t="shared" si="37"/>
        <v>0100</v>
      </c>
      <c r="AC32" s="77">
        <f>BIN2DEC(U32)-BIN2DEC(U33)</f>
        <v>-8</v>
      </c>
      <c r="AD32" s="77">
        <f t="shared" ref="AD32:AI32" si="236">BIN2DEC(V32)-BIN2DEC(V33)</f>
        <v>-12</v>
      </c>
      <c r="AE32" s="77">
        <f t="shared" si="236"/>
        <v>-3</v>
      </c>
      <c r="AF32" s="77">
        <f t="shared" si="236"/>
        <v>6</v>
      </c>
      <c r="AG32" s="77">
        <f t="shared" si="236"/>
        <v>-12</v>
      </c>
      <c r="AH32" s="77">
        <f t="shared" si="236"/>
        <v>-7</v>
      </c>
      <c r="AI32" s="77">
        <f t="shared" si="236"/>
        <v>10</v>
      </c>
      <c r="AJ32" s="77">
        <f>BIN2DEC(AB32)-BIN2DEC(AB33)</f>
        <v>-3</v>
      </c>
      <c r="AK32" s="26" t="str">
        <f t="shared" si="3"/>
        <v>0010001000011000</v>
      </c>
      <c r="AL32" s="26" t="str">
        <f t="shared" si="4"/>
        <v>0010001010110100</v>
      </c>
      <c r="AM32" s="77">
        <f>MID(AK32,16,1)*POWER(2,0)+MID(AK32,15,1)*POWER(2,1)+MID(AK32,14,1)*POWER(2,2)+MID(AK32,13,1)*POWER(2,3)+MID(AK32,12,1)*POWER(2,4)+MID(AK32,11,1)*POWER(2,5)+MID(AK32,10,1)*POWER(2,6)+MID(AK32,9,1)*POWER(2,7)+MID(AK32,8,1)*POWER(2,8)+MID(AK32,7,1)*POWER(2,9)+MID(AK32,6,1)*POWER(2,10)+MID(AK32,5,1)*POWER(2,11)+MID(AK32,4,1)*POWER(2,12)+MID(AK32,3,1)*POWER(2,13)+MID(AK32,2,1)*POWER(2,14)+MID(AK32,1,1)*POWER(2,15)-(MID(AK33,16,1)*POWER(2,0)+MID(AK33,15,1)*POWER(2,1)+MID(AK33,14,1)*POWER(2,2)+MID(AK33,13,1)*POWER(2,3)+MID(AK33,12,1)*POWER(2,4)+MID(AK33,11,1)*POWER(2,5)+MID(AK33,10,1)*POWER(2,6)+MID(AK33,9,1)*POWER(2,7)+MID(AK33,8,1)*POWER(2,8)+MID(AK33,7,1)*POWER(2,9)+MID(AK33,6,1)*POWER(2,10)+MID(AK33,5,1)*POWER(2,11)+MID(AK33,4,1)*POWER(2,12)+MID(AK33,3,1)*POWER(2,13)+MID(AK33,2,1)*POWER(2,14)+MID(AK33,1,1)*POWER(2,15))</f>
        <v>-35882</v>
      </c>
      <c r="AN32" s="77">
        <f>MID(AL32,16,1)*POWER(2,0)+MID(AL32,15,1)*POWER(2,1)+MID(AL32,14,1)*POWER(2,2)+MID(AL32,13,1)*POWER(2,3)+MID(AL32,12,1)*POWER(2,4)+MID(AL32,11,1)*POWER(2,5)+MID(AL32,10,1)*POWER(2,6)+MID(AL32,9,1)*POWER(2,7)+MID(AL32,8,1)*POWER(2,8)+MID(AL32,7,1)*POWER(2,9)+MID(AL32,6,1)*POWER(2,10)+MID(AL32,5,1)*POWER(2,11)+MID(AL32,4,1)*POWER(2,12)+MID(AL32,3,1)*POWER(2,13)+MID(AL32,2,1)*POWER(2,14)+MID(AL32,1,1)*POWER(2,15)-(MID(AL33,16,1)*POWER(2,0)+MID(AL33,15,1)*POWER(2,1)+MID(AL33,14,1)*POWER(2,2)+MID(AL33,13,1)*POWER(2,3)+MID(AL33,12,1)*POWER(2,4)+MID(AL33,11,1)*POWER(2,5)+MID(AL33,10,1)*POWER(2,6)+MID(AL33,9,1)*POWER(2,7)+MID(AL33,8,1)*POWER(2,8)+MID(AL33,7,1)*POWER(2,9)+MID(AL33,6,1)*POWER(2,10)+MID(AL33,5,1)*POWER(2,11)+MID(AL33,4,1)*POWER(2,12)+MID(AL33,3,1)*POWER(2,13)+MID(AL33,2,1)*POWER(2,14)+MID(AL33,1,1)*POWER(2,15))</f>
        <v>-50787</v>
      </c>
      <c r="AO32" s="45" t="str">
        <f>H32</f>
        <v>00100010000110000010001010110100</v>
      </c>
      <c r="AP32" s="26" t="str">
        <f t="shared" si="38"/>
        <v>00100010</v>
      </c>
      <c r="AQ32" s="26" t="str">
        <f t="shared" si="39"/>
        <v>00011000</v>
      </c>
      <c r="AR32" s="26" t="str">
        <f t="shared" si="40"/>
        <v>00100010</v>
      </c>
      <c r="AS32" s="26" t="str">
        <f t="shared" si="41"/>
        <v>10110100</v>
      </c>
      <c r="AT32" s="77">
        <f>BIN2DEC(AP32)-BIN2DEC(AP33)</f>
        <v>0</v>
      </c>
      <c r="AU32" s="77">
        <f>BIN2DEC(AQ32)-BIN2DEC(AQ33)</f>
        <v>-42</v>
      </c>
      <c r="AV32" s="77">
        <f>BIN2DEC(AR32)-BIN2DEC(AR33)</f>
        <v>-63</v>
      </c>
      <c r="AW32" s="77">
        <f>BIN2DEC(AS32)-BIN2DEC(AS33)</f>
        <v>177</v>
      </c>
      <c r="AX32" s="27" t="str">
        <f t="shared" si="42"/>
        <v>0010</v>
      </c>
      <c r="AY32" s="27" t="str">
        <f t="shared" si="43"/>
        <v>0010</v>
      </c>
      <c r="AZ32" s="27" t="str">
        <f t="shared" si="44"/>
        <v>0001</v>
      </c>
      <c r="BA32" s="27" t="str">
        <f t="shared" si="45"/>
        <v>1000</v>
      </c>
      <c r="BB32" s="27" t="str">
        <f t="shared" si="46"/>
        <v>0010</v>
      </c>
      <c r="BC32" s="27" t="str">
        <f t="shared" si="47"/>
        <v>0010</v>
      </c>
      <c r="BD32" s="27" t="str">
        <f t="shared" si="48"/>
        <v>1011</v>
      </c>
      <c r="BE32" s="27" t="str">
        <f t="shared" si="49"/>
        <v>0100</v>
      </c>
      <c r="BF32" s="77">
        <f>BIN2DEC(AX32)-BIN2DEC(AX33)</f>
        <v>-8</v>
      </c>
      <c r="BG32" s="77">
        <f t="shared" ref="BG32:BL32" si="237">BIN2DEC(AY32)-BIN2DEC(AY33)</f>
        <v>-12</v>
      </c>
      <c r="BH32" s="77">
        <f t="shared" si="237"/>
        <v>-3</v>
      </c>
      <c r="BI32" s="77">
        <f t="shared" si="237"/>
        <v>6</v>
      </c>
      <c r="BJ32" s="77">
        <f t="shared" si="237"/>
        <v>-12</v>
      </c>
      <c r="BK32" s="77">
        <f t="shared" si="237"/>
        <v>-7</v>
      </c>
      <c r="BL32" s="77">
        <f t="shared" si="237"/>
        <v>10</v>
      </c>
      <c r="BM32" s="77">
        <f>BIN2DEC(BE32)-BIN2DEC(BE33)</f>
        <v>-3</v>
      </c>
      <c r="BN32" s="26" t="str">
        <f t="shared" si="6"/>
        <v>0010001000011000</v>
      </c>
      <c r="BO32" s="26" t="str">
        <f t="shared" si="7"/>
        <v>0010001010110100</v>
      </c>
      <c r="BP32" s="77">
        <f>MID(BN32,16,1)*POWER(2,0)+MID(BN32,15,1)*POWER(2,1)+MID(BN32,14,1)*POWER(2,2)+MID(BN32,13,1)*POWER(2,3)+MID(BN32,12,1)*POWER(2,4)+MID(BN32,11,1)*POWER(2,5)+MID(BN32,10,1)*POWER(2,6)+MID(BN32,9,1)*POWER(2,7)+MID(BN32,8,1)*POWER(2,8)+MID(BN32,7,1)*POWER(2,9)+MID(BN32,6,1)*POWER(2,10)+MID(BN32,5,1)*POWER(2,11)+MID(BN32,4,1)*POWER(2,12)+MID(BN32,3,1)*POWER(2,13)+MID(BN32,2,1)*POWER(2,14)+MID(BN32,1,1)*POWER(2,15)-(MID(BN33,16,1)*POWER(2,0)+MID(BN33,15,1)*POWER(2,1)+MID(BN33,14,1)*POWER(2,2)+MID(BN33,13,1)*POWER(2,3)+MID(BN33,12,1)*POWER(2,4)+MID(BN33,11,1)*POWER(2,5)+MID(BN33,10,1)*POWER(2,6)+MID(BN33,9,1)*POWER(2,7)+MID(BN33,8,1)*POWER(2,8)+MID(BN33,7,1)*POWER(2,9)+MID(BN33,6,1)*POWER(2,10)+MID(BN33,5,1)*POWER(2,11)+MID(BN33,4,1)*POWER(2,12)+MID(BN33,3,1)*POWER(2,13)+MID(BN33,2,1)*POWER(2,14)+MID(BN33,1,1)*POWER(2,15))</f>
        <v>-42</v>
      </c>
      <c r="BQ32" s="77">
        <f>MID(BO32,16,1)*POWER(2,0)+MID(BO32,15,1)*POWER(2,1)+MID(BO32,14,1)*POWER(2,2)+MID(BO32,13,1)*POWER(2,3)+MID(BO32,12,1)*POWER(2,4)+MID(BO32,11,1)*POWER(2,5)+MID(BO32,10,1)*POWER(2,6)+MID(BO32,9,1)*POWER(2,7)+MID(BO32,8,1)*POWER(2,8)+MID(BO32,7,1)*POWER(2,9)+MID(BO32,6,1)*POWER(2,10)+MID(BO32,5,1)*POWER(2,11)+MID(BO32,4,1)*POWER(2,12)+MID(BO32,3,1)*POWER(2,13)+MID(BO32,2,1)*POWER(2,14)+MID(BO32,1,1)*POWER(2,15)-(MID(BO33,16,1)*POWER(2,0)+MID(BO33,15,1)*POWER(2,1)+MID(BO33,14,1)*POWER(2,2)+MID(BO33,13,1)*POWER(2,3)+MID(BO33,12,1)*POWER(2,4)+MID(BO33,11,1)*POWER(2,5)+MID(BO33,10,1)*POWER(2,6)+MID(BO33,9,1)*POWER(2,7)+MID(BO33,8,1)*POWER(2,8)+MID(BO33,7,1)*POWER(2,9)+MID(BO33,6,1)*POWER(2,10)+MID(BO33,5,1)*POWER(2,11)+MID(BO33,4,1)*POWER(2,12)+MID(BO33,3,1)*POWER(2,13)+MID(BO33,2,1)*POWER(2,14)+MID(BO33,1,1)*POWER(2,15))</f>
        <v>-15951</v>
      </c>
      <c r="BR32" s="45" t="str">
        <f>CONCATENATE(MID($L32,1,1)*MID($K22,1,1),MID($L32,2,1)*MID($K22,2,1),MID($L32,3,1)*MID($K22,3,1),MID($L32,4,1)*MID($K22,4,1),MID($L32,5,1)*MID($K22,5,1),MID($L32,6,1)*MID($K22,6,1),MID($L32,7,1)*MID($K22,7,1),MID($L32,8,1)*MID($K22,8,1),MID($L32,9,1)*MID($K22,1,1),MID($L32,10,1)*MID($K22,2,1),MID($L32,11,1)*MID($K22,3,1),MID($L32,12,1)*MID($K22,4,1),MID($L32,13,1)*MID($K22,5,1),MID($L32,14,1)*MID($K22,6,1),MID($L32,15,1)*MID($K22,7,1),MID($L32,16,1)*MID($K22,8,1),MID($L32,17,1)*MID($K22,1,1),MID($L32,18,1)*MID($K22,2,1),MID($L32,19,1)*MID($K22,3,1),MID($L32,20,1)*MID($K22,4,1),MID($L32,21,1)*MID($K22,5,1),MID($L32,22,1)*MID($K22,6,1),MID($L32,23,1)*MID($K22,7,1),MID($L32,24,1)*MID($K22,8,1),MID($L32,25,1)*MID($K22,1,1),MID($L32,26,1)*MID($K22,2,1),MID($L32,27,1)*MID($K22,3,1),MID($L32,28,1)*MID($K22,4,1),MID($L32,29,1)*MID($K22,5,1),MID($L32,30,1)*MID($K22,6,1),MID($L32,31,1)*MID($K22,7,1),MID($L32,32,1)*MID($K22,8,1))</f>
        <v>00100010000000000010001000100000</v>
      </c>
      <c r="BS32" s="26" t="str">
        <f t="shared" si="50"/>
        <v>00100010</v>
      </c>
      <c r="BT32" s="26" t="str">
        <f t="shared" si="51"/>
        <v>00000000</v>
      </c>
      <c r="BU32" s="26" t="str">
        <f t="shared" si="52"/>
        <v>00100010</v>
      </c>
      <c r="BV32" s="26" t="str">
        <f t="shared" si="53"/>
        <v>00100000</v>
      </c>
      <c r="BW32" s="77">
        <f>BIN2DEC(BS32)-BIN2DEC(BS33)</f>
        <v>-140</v>
      </c>
      <c r="BX32" s="77">
        <f>BIN2DEC(BT32)-BIN2DEC(BT33)</f>
        <v>-66</v>
      </c>
      <c r="BY32" s="77">
        <f>BIN2DEC(BU32)-BIN2DEC(BU33)</f>
        <v>-199</v>
      </c>
      <c r="BZ32" s="77">
        <f>BIN2DEC(BV32)-BIN2DEC(BV33)</f>
        <v>9</v>
      </c>
      <c r="CA32" s="27" t="str">
        <f t="shared" si="54"/>
        <v>0010</v>
      </c>
      <c r="CB32" s="27" t="str">
        <f t="shared" si="55"/>
        <v>0010</v>
      </c>
      <c r="CC32" s="27" t="str">
        <f t="shared" si="56"/>
        <v>0001</v>
      </c>
      <c r="CD32" s="27" t="str">
        <f t="shared" si="57"/>
        <v>1000</v>
      </c>
      <c r="CE32" s="27" t="str">
        <f t="shared" si="58"/>
        <v>0010</v>
      </c>
      <c r="CF32" s="27" t="str">
        <f t="shared" si="59"/>
        <v>0010</v>
      </c>
      <c r="CG32" s="27" t="str">
        <f t="shared" si="60"/>
        <v>1011</v>
      </c>
      <c r="CH32" s="27" t="str">
        <f t="shared" si="61"/>
        <v>0100</v>
      </c>
      <c r="CI32" s="77">
        <f>BIN2DEC(CA32)-BIN2DEC(CA33)</f>
        <v>-8</v>
      </c>
      <c r="CJ32" s="77">
        <f t="shared" ref="CJ32:CO32" si="238">BIN2DEC(CB32)-BIN2DEC(CB33)</f>
        <v>-12</v>
      </c>
      <c r="CK32" s="77">
        <f t="shared" si="238"/>
        <v>-3</v>
      </c>
      <c r="CL32" s="77">
        <f t="shared" si="238"/>
        <v>6</v>
      </c>
      <c r="CM32" s="77">
        <f t="shared" si="238"/>
        <v>-12</v>
      </c>
      <c r="CN32" s="77">
        <f t="shared" si="238"/>
        <v>-7</v>
      </c>
      <c r="CO32" s="77">
        <f t="shared" si="238"/>
        <v>10</v>
      </c>
      <c r="CP32" s="77">
        <f>BIN2DEC(CH32)-BIN2DEC(CH33)</f>
        <v>-3</v>
      </c>
      <c r="CQ32" s="26" t="str">
        <f t="shared" si="9"/>
        <v>0010001000000000</v>
      </c>
      <c r="CR32" s="26" t="str">
        <f t="shared" si="10"/>
        <v>0010001000100000</v>
      </c>
      <c r="CS32" s="77">
        <f>MID(CQ32,16,1)*POWER(2,0)+MID(CQ32,15,1)*POWER(2,1)+MID(CQ32,14,1)*POWER(2,2)+MID(CQ32,13,1)*POWER(2,3)+MID(CQ32,12,1)*POWER(2,4)+MID(CQ32,11,1)*POWER(2,5)+MID(CQ32,10,1)*POWER(2,6)+MID(CQ32,9,1)*POWER(2,7)+MID(CQ32,8,1)*POWER(2,8)+MID(CQ32,7,1)*POWER(2,9)+MID(CQ32,6,1)*POWER(2,10)+MID(CQ32,5,1)*POWER(2,11)+MID(CQ32,4,1)*POWER(2,12)+MID(CQ32,3,1)*POWER(2,13)+MID(CQ32,2,1)*POWER(2,14)+MID(CQ32,1,1)*POWER(2,15)-(MID(CQ33,16,1)*POWER(2,0)+MID(CQ33,15,1)*POWER(2,1)+MID(CQ33,14,1)*POWER(2,2)+MID(CQ33,13,1)*POWER(2,3)+MID(CQ33,12,1)*POWER(2,4)+MID(CQ33,11,1)*POWER(2,5)+MID(CQ33,10,1)*POWER(2,6)+MID(CQ33,9,1)*POWER(2,7)+MID(CQ33,8,1)*POWER(2,8)+MID(CQ33,7,1)*POWER(2,9)+MID(CQ33,6,1)*POWER(2,10)+MID(CQ33,5,1)*POWER(2,11)+MID(CQ33,4,1)*POWER(2,12)+MID(CQ33,3,1)*POWER(2,13)+MID(CQ33,2,1)*POWER(2,14)+MID(CQ33,1,1)*POWER(2,15))</f>
        <v>-35906</v>
      </c>
      <c r="CT32" s="77">
        <f>MID(CR32,16,1)*POWER(2,0)+MID(CR32,15,1)*POWER(2,1)+MID(CR32,14,1)*POWER(2,2)+MID(CR32,13,1)*POWER(2,3)+MID(CR32,12,1)*POWER(2,4)+MID(CR32,11,1)*POWER(2,5)+MID(CR32,10,1)*POWER(2,6)+MID(CR32,9,1)*POWER(2,7)+MID(CR32,8,1)*POWER(2,8)+MID(CR32,7,1)*POWER(2,9)+MID(CR32,6,1)*POWER(2,10)+MID(CR32,5,1)*POWER(2,11)+MID(CR32,4,1)*POWER(2,12)+MID(CR32,3,1)*POWER(2,13)+MID(CR32,2,1)*POWER(2,14)+MID(CR32,1,1)*POWER(2,15)-(MID(CR33,16,1)*POWER(2,0)+MID(CR33,15,1)*POWER(2,1)+MID(CR33,14,1)*POWER(2,2)+MID(CR33,13,1)*POWER(2,3)+MID(CR33,12,1)*POWER(2,4)+MID(CR33,11,1)*POWER(2,5)+MID(CR33,10,1)*POWER(2,6)+MID(CR33,9,1)*POWER(2,7)+MID(CR33,8,1)*POWER(2,8)+MID(CR33,7,1)*POWER(2,9)+MID(CR33,6,1)*POWER(2,10)+MID(CR33,5,1)*POWER(2,11)+MID(CR33,4,1)*POWER(2,12)+MID(CR33,3,1)*POWER(2,13)+MID(CR33,2,1)*POWER(2,14)+MID(CR33,1,1)*POWER(2,15))</f>
        <v>-50935</v>
      </c>
      <c r="CU32" s="45" t="str">
        <f>BR32</f>
        <v>00100010000000000010001000100000</v>
      </c>
      <c r="CV32" s="26" t="str">
        <f t="shared" si="62"/>
        <v>00100010</v>
      </c>
      <c r="CW32" s="26" t="str">
        <f t="shared" si="63"/>
        <v>00000000</v>
      </c>
      <c r="CX32" s="26" t="str">
        <f t="shared" si="64"/>
        <v>00100010</v>
      </c>
      <c r="CY32" s="26" t="str">
        <f t="shared" si="65"/>
        <v>00100000</v>
      </c>
      <c r="CZ32" s="77">
        <f>BIN2DEC(CV32)-BIN2DEC(CV33)</f>
        <v>0</v>
      </c>
      <c r="DA32" s="77">
        <f>BIN2DEC(CW32)-BIN2DEC(CW33)</f>
        <v>-66</v>
      </c>
      <c r="DB32" s="77">
        <f>BIN2DEC(CX32)-BIN2DEC(CX33)</f>
        <v>-63</v>
      </c>
      <c r="DC32" s="77">
        <f>BIN2DEC(CY32)-BIN2DEC(CY33)</f>
        <v>29</v>
      </c>
      <c r="DD32" s="27" t="str">
        <f t="shared" si="66"/>
        <v>0010</v>
      </c>
      <c r="DE32" s="27" t="str">
        <f t="shared" si="67"/>
        <v>0010</v>
      </c>
      <c r="DF32" s="27" t="str">
        <f t="shared" si="68"/>
        <v>0001</v>
      </c>
      <c r="DG32" s="27" t="str">
        <f t="shared" si="69"/>
        <v>1000</v>
      </c>
      <c r="DH32" s="27" t="str">
        <f t="shared" si="70"/>
        <v>0010</v>
      </c>
      <c r="DI32" s="27" t="str">
        <f t="shared" si="71"/>
        <v>0010</v>
      </c>
      <c r="DJ32" s="27" t="str">
        <f t="shared" si="72"/>
        <v>1011</v>
      </c>
      <c r="DK32" s="27" t="str">
        <f t="shared" si="73"/>
        <v>0100</v>
      </c>
      <c r="DL32" s="77">
        <f>BIN2DEC(DD32)-BIN2DEC(DD33)</f>
        <v>-8</v>
      </c>
      <c r="DM32" s="77">
        <f t="shared" ref="DM32:DR32" si="239">BIN2DEC(DE32)-BIN2DEC(DE33)</f>
        <v>-12</v>
      </c>
      <c r="DN32" s="77">
        <f t="shared" si="239"/>
        <v>-3</v>
      </c>
      <c r="DO32" s="77">
        <f t="shared" si="239"/>
        <v>6</v>
      </c>
      <c r="DP32" s="77">
        <f t="shared" si="239"/>
        <v>-12</v>
      </c>
      <c r="DQ32" s="77">
        <f t="shared" si="239"/>
        <v>-7</v>
      </c>
      <c r="DR32" s="77">
        <f t="shared" si="239"/>
        <v>10</v>
      </c>
      <c r="DS32" s="77">
        <f>BIN2DEC(DK32)-BIN2DEC(DK33)</f>
        <v>-3</v>
      </c>
      <c r="DT32" s="26" t="str">
        <f t="shared" si="12"/>
        <v>0010001000000000</v>
      </c>
      <c r="DU32" s="26" t="str">
        <f t="shared" si="13"/>
        <v>0010001000100000</v>
      </c>
      <c r="DV32" s="77">
        <f>MID(DT32,16,1)*POWER(2,0)+MID(DT32,15,1)*POWER(2,1)+MID(DT32,14,1)*POWER(2,2)+MID(DT32,13,1)*POWER(2,3)+MID(DT32,12,1)*POWER(2,4)+MID(DT32,11,1)*POWER(2,5)+MID(DT32,10,1)*POWER(2,6)+MID(DT32,9,1)*POWER(2,7)+MID(DT32,8,1)*POWER(2,8)+MID(DT32,7,1)*POWER(2,9)+MID(DT32,6,1)*POWER(2,10)+MID(DT32,5,1)*POWER(2,11)+MID(DT32,4,1)*POWER(2,12)+MID(DT32,3,1)*POWER(2,13)+MID(DT32,2,1)*POWER(2,14)+MID(DT32,1,1)*POWER(2,15)-(MID(DT33,16,1)*POWER(2,0)+MID(DT33,15,1)*POWER(2,1)+MID(DT33,14,1)*POWER(2,2)+MID(DT33,13,1)*POWER(2,3)+MID(DT33,12,1)*POWER(2,4)+MID(DT33,11,1)*POWER(2,5)+MID(DT33,10,1)*POWER(2,6)+MID(DT33,9,1)*POWER(2,7)+MID(DT33,8,1)*POWER(2,8)+MID(DT33,7,1)*POWER(2,9)+MID(DT33,6,1)*POWER(2,10)+MID(DT33,5,1)*POWER(2,11)+MID(DT33,4,1)*POWER(2,12)+MID(DT33,3,1)*POWER(2,13)+MID(DT33,2,1)*POWER(2,14)+MID(DT33,1,1)*POWER(2,15))</f>
        <v>-66</v>
      </c>
      <c r="DW32" s="77">
        <f>MID(DU32,16,1)*POWER(2,0)+MID(DU32,15,1)*POWER(2,1)+MID(DU32,14,1)*POWER(2,2)+MID(DU32,13,1)*POWER(2,3)+MID(DU32,12,1)*POWER(2,4)+MID(DU32,11,1)*POWER(2,5)+MID(DU32,10,1)*POWER(2,6)+MID(DU32,9,1)*POWER(2,7)+MID(DU32,8,1)*POWER(2,8)+MID(DU32,7,1)*POWER(2,9)+MID(DU32,6,1)*POWER(2,10)+MID(DU32,5,1)*POWER(2,11)+MID(DU32,4,1)*POWER(2,12)+MID(DU32,3,1)*POWER(2,13)+MID(DU32,2,1)*POWER(2,14)+MID(DU32,1,1)*POWER(2,15)-(MID(DU33,16,1)*POWER(2,0)+MID(DU33,15,1)*POWER(2,1)+MID(DU33,14,1)*POWER(2,2)+MID(DU33,13,1)*POWER(2,3)+MID(DU33,12,1)*POWER(2,4)+MID(DU33,11,1)*POWER(2,5)+MID(DU33,10,1)*POWER(2,6)+MID(DU33,9,1)*POWER(2,7)+MID(DU33,8,1)*POWER(2,8)+MID(DU33,7,1)*POWER(2,9)+MID(DU33,6,1)*POWER(2,10)+MID(DU33,5,1)*POWER(2,11)+MID(DU33,4,1)*POWER(2,12)+MID(DU33,3,1)*POWER(2,13)+MID(DU33,2,1)*POWER(2,14)+MID(DU33,1,1)*POWER(2,15))</f>
        <v>-16099</v>
      </c>
      <c r="DX32" s="22"/>
      <c r="DY32" s="43" t="str">
        <f>H32</f>
        <v>00100010000110000010001010110100</v>
      </c>
      <c r="DZ32" s="26" t="str">
        <f t="shared" si="122"/>
        <v>00100010</v>
      </c>
      <c r="EA32" s="26" t="str">
        <f t="shared" si="74"/>
        <v>00011000</v>
      </c>
      <c r="EB32" s="26" t="str">
        <f t="shared" si="75"/>
        <v>00100010</v>
      </c>
      <c r="EC32" s="26" t="str">
        <f t="shared" si="76"/>
        <v>10110100</v>
      </c>
      <c r="ED32" s="77">
        <f>BIN2DEC(DZ32)-BIN2DEC(DZ33)</f>
        <v>24</v>
      </c>
      <c r="EE32" s="77">
        <f>BIN2DEC(EA32)-BIN2DEC(EA33)</f>
        <v>22</v>
      </c>
      <c r="EF32" s="77">
        <f>BIN2DEC(EB32)-BIN2DEC(EB33)</f>
        <v>25</v>
      </c>
      <c r="EG32" s="77">
        <f>BIN2DEC(EC32)-BIN2DEC(EC33)</f>
        <v>161</v>
      </c>
      <c r="EH32" s="27" t="str">
        <f t="shared" si="77"/>
        <v>0010</v>
      </c>
      <c r="EI32" s="27" t="str">
        <f t="shared" si="78"/>
        <v>0010</v>
      </c>
      <c r="EJ32" s="27" t="str">
        <f t="shared" si="79"/>
        <v>0001</v>
      </c>
      <c r="EK32" s="27" t="str">
        <f t="shared" si="80"/>
        <v>1000</v>
      </c>
      <c r="EL32" s="27" t="str">
        <f t="shared" si="81"/>
        <v>0010</v>
      </c>
      <c r="EM32" s="27" t="str">
        <f t="shared" si="82"/>
        <v>0010</v>
      </c>
      <c r="EN32" s="27" t="str">
        <f t="shared" si="83"/>
        <v>1011</v>
      </c>
      <c r="EO32" s="27" t="str">
        <f t="shared" si="84"/>
        <v>0100</v>
      </c>
      <c r="EP32" s="77">
        <f>BIN2DEC(EH32)-BIN2DEC(EH33)</f>
        <v>-8</v>
      </c>
      <c r="EQ32" s="77">
        <f t="shared" ref="EQ32:EV32" si="240">BIN2DEC(EI32)-BIN2DEC(EI33)</f>
        <v>-12</v>
      </c>
      <c r="ER32" s="77">
        <f t="shared" si="240"/>
        <v>-3</v>
      </c>
      <c r="ES32" s="77">
        <f t="shared" si="240"/>
        <v>6</v>
      </c>
      <c r="ET32" s="77">
        <f t="shared" si="240"/>
        <v>-12</v>
      </c>
      <c r="EU32" s="77">
        <f t="shared" si="240"/>
        <v>-7</v>
      </c>
      <c r="EV32" s="77">
        <f t="shared" si="240"/>
        <v>10</v>
      </c>
      <c r="EW32" s="77">
        <f>BIN2DEC(EO32)-BIN2DEC(EO33)</f>
        <v>-3</v>
      </c>
      <c r="EX32" s="26" t="str">
        <f t="shared" si="15"/>
        <v>0010001000011000</v>
      </c>
      <c r="EY32" s="26" t="str">
        <f t="shared" si="16"/>
        <v>0010001010110100</v>
      </c>
      <c r="EZ32" s="77">
        <f>MID(EX32,16,1)*POWER(2,0)+MID(EX32,15,1)*POWER(2,1)+MID(EX32,14,1)*POWER(2,2)+MID(EX32,13,1)*POWER(2,3)+MID(EX32,12,1)*POWER(2,4)+MID(EX32,11,1)*POWER(2,5)+MID(EX32,10,1)*POWER(2,6)+MID(EX32,9,1)*POWER(2,7)+MID(EX32,8,1)*POWER(2,8)+MID(EX32,7,1)*POWER(2,9)+MID(EX32,6,1)*POWER(2,10)+MID(EX32,5,1)*POWER(2,11)+MID(EX32,4,1)*POWER(2,12)+MID(EX32,3,1)*POWER(2,13)+MID(EX32,2,1)*POWER(2,14)+MID(EX32,1,1)*POWER(2,15)-(MID(EX33,16,1)*POWER(2,0)+MID(EX33,15,1)*POWER(2,1)+MID(EX33,14,1)*POWER(2,2)+MID(EX33,13,1)*POWER(2,3)+MID(EX33,12,1)*POWER(2,4)+MID(EX33,11,1)*POWER(2,5)+MID(EX33,10,1)*POWER(2,6)+MID(EX33,9,1)*POWER(2,7)+MID(EX33,8,1)*POWER(2,8)+MID(EX33,7,1)*POWER(2,9)+MID(EX33,6,1)*POWER(2,10)+MID(EX33,5,1)*POWER(2,11)+MID(EX33,4,1)*POWER(2,12)+MID(EX33,3,1)*POWER(2,13)+MID(EX33,2,1)*POWER(2,14)+MID(EX33,1,1)*POWER(2,15))</f>
        <v>6166</v>
      </c>
      <c r="FA32" s="77">
        <f>MID(EY32,16,1)*POWER(2,0)+MID(EY32,15,1)*POWER(2,1)+MID(EY32,14,1)*POWER(2,2)+MID(EY32,13,1)*POWER(2,3)+MID(EY32,12,1)*POWER(2,4)+MID(EY32,11,1)*POWER(2,5)+MID(EY32,10,1)*POWER(2,6)+MID(EY32,9,1)*POWER(2,7)+MID(EY32,8,1)*POWER(2,8)+MID(EY32,7,1)*POWER(2,9)+MID(EY32,6,1)*POWER(2,10)+MID(EY32,5,1)*POWER(2,11)+MID(EY32,4,1)*POWER(2,12)+MID(EY32,3,1)*POWER(2,13)+MID(EY32,2,1)*POWER(2,14)+MID(EY32,1,1)*POWER(2,15)-(MID(EY33,16,1)*POWER(2,0)+MID(EY33,15,1)*POWER(2,1)+MID(EY33,14,1)*POWER(2,2)+MID(EY33,13,1)*POWER(2,3)+MID(EY33,12,1)*POWER(2,4)+MID(EY33,11,1)*POWER(2,5)+MID(EY33,10,1)*POWER(2,6)+MID(EY33,9,1)*POWER(2,7)+MID(EY33,8,1)*POWER(2,8)+MID(EY33,7,1)*POWER(2,9)+MID(EY33,6,1)*POWER(2,10)+MID(EY33,5,1)*POWER(2,11)+MID(EY33,4,1)*POWER(2,12)+MID(EY33,3,1)*POWER(2,13)+MID(EY33,2,1)*POWER(2,14)+MID(EY33,1,1)*POWER(2,15))</f>
        <v>6561</v>
      </c>
      <c r="FB32" s="45" t="str">
        <f>H32</f>
        <v>00100010000110000010001010110100</v>
      </c>
      <c r="FC32" s="26" t="str">
        <f t="shared" si="124"/>
        <v>00100010</v>
      </c>
      <c r="FD32" s="26" t="str">
        <f t="shared" si="85"/>
        <v>00011000</v>
      </c>
      <c r="FE32" s="26" t="str">
        <f t="shared" si="86"/>
        <v>00100010</v>
      </c>
      <c r="FF32" s="26" t="str">
        <f t="shared" si="87"/>
        <v>10110100</v>
      </c>
      <c r="FG32" s="77">
        <f>BIN2DEC(FC32)-BIN2DEC(FC33)</f>
        <v>32</v>
      </c>
      <c r="FH32" s="77">
        <f>BIN2DEC(FD32)-BIN2DEC(FD33)</f>
        <v>22</v>
      </c>
      <c r="FI32" s="77">
        <f>BIN2DEC(FE32)-BIN2DEC(FE33)</f>
        <v>33</v>
      </c>
      <c r="FJ32" s="77">
        <f>BIN2DEC(FF32)-BIN2DEC(FF33)</f>
        <v>177</v>
      </c>
      <c r="FK32" s="27" t="str">
        <f t="shared" si="88"/>
        <v>0010</v>
      </c>
      <c r="FL32" s="27" t="str">
        <f t="shared" si="89"/>
        <v>0010</v>
      </c>
      <c r="FM32" s="27" t="str">
        <f t="shared" si="90"/>
        <v>0001</v>
      </c>
      <c r="FN32" s="27" t="str">
        <f t="shared" si="91"/>
        <v>1000</v>
      </c>
      <c r="FO32" s="27" t="str">
        <f t="shared" si="92"/>
        <v>0010</v>
      </c>
      <c r="FP32" s="27" t="str">
        <f t="shared" si="93"/>
        <v>0010</v>
      </c>
      <c r="FQ32" s="27" t="str">
        <f t="shared" si="94"/>
        <v>1011</v>
      </c>
      <c r="FR32" s="27" t="str">
        <f t="shared" si="95"/>
        <v>0100</v>
      </c>
      <c r="FS32" s="77">
        <f>BIN2DEC(FK32)-BIN2DEC(FK33)</f>
        <v>-8</v>
      </c>
      <c r="FT32" s="77">
        <f t="shared" ref="FT32:FY32" si="241">BIN2DEC(FL32)-BIN2DEC(FL33)</f>
        <v>-12</v>
      </c>
      <c r="FU32" s="77">
        <f t="shared" si="241"/>
        <v>-3</v>
      </c>
      <c r="FV32" s="77">
        <f t="shared" si="241"/>
        <v>6</v>
      </c>
      <c r="FW32" s="77">
        <f t="shared" si="241"/>
        <v>-12</v>
      </c>
      <c r="FX32" s="77">
        <f t="shared" si="241"/>
        <v>-7</v>
      </c>
      <c r="FY32" s="77">
        <f t="shared" si="241"/>
        <v>10</v>
      </c>
      <c r="FZ32" s="77">
        <f>BIN2DEC(FR32)-BIN2DEC(FR33)</f>
        <v>-3</v>
      </c>
      <c r="GA32" s="26" t="str">
        <f t="shared" si="18"/>
        <v>0010001000011000</v>
      </c>
      <c r="GB32" s="26" t="str">
        <f t="shared" si="19"/>
        <v>0010001010110100</v>
      </c>
      <c r="GC32" s="77">
        <f>MID(GA32,16,1)*POWER(2,0)+MID(GA32,15,1)*POWER(2,1)+MID(GA32,14,1)*POWER(2,2)+MID(GA32,13,1)*POWER(2,3)+MID(GA32,12,1)*POWER(2,4)+MID(GA32,11,1)*POWER(2,5)+MID(GA32,10,1)*POWER(2,6)+MID(GA32,9,1)*POWER(2,7)+MID(GA32,8,1)*POWER(2,8)+MID(GA32,7,1)*POWER(2,9)+MID(GA32,6,1)*POWER(2,10)+MID(GA32,5,1)*POWER(2,11)+MID(GA32,4,1)*POWER(2,12)+MID(GA32,3,1)*POWER(2,13)+MID(GA32,2,1)*POWER(2,14)+MID(GA32,1,1)*POWER(2,15)-(MID(GA33,16,1)*POWER(2,0)+MID(GA33,15,1)*POWER(2,1)+MID(GA33,14,1)*POWER(2,2)+MID(GA33,13,1)*POWER(2,3)+MID(GA33,12,1)*POWER(2,4)+MID(GA33,11,1)*POWER(2,5)+MID(GA33,10,1)*POWER(2,6)+MID(GA33,9,1)*POWER(2,7)+MID(GA33,8,1)*POWER(2,8)+MID(GA33,7,1)*POWER(2,9)+MID(GA33,6,1)*POWER(2,10)+MID(GA33,5,1)*POWER(2,11)+MID(GA33,4,1)*POWER(2,12)+MID(GA33,3,1)*POWER(2,13)+MID(GA33,2,1)*POWER(2,14)+MID(GA33,1,1)*POWER(2,15))</f>
        <v>8214</v>
      </c>
      <c r="GD32" s="77">
        <f>MID(GB32,16,1)*POWER(2,0)+MID(GB32,15,1)*POWER(2,1)+MID(GB32,14,1)*POWER(2,2)+MID(GB32,13,1)*POWER(2,3)+MID(GB32,12,1)*POWER(2,4)+MID(GB32,11,1)*POWER(2,5)+MID(GB32,10,1)*POWER(2,6)+MID(GB32,9,1)*POWER(2,7)+MID(GB32,8,1)*POWER(2,8)+MID(GB32,7,1)*POWER(2,9)+MID(GB32,6,1)*POWER(2,10)+MID(GB32,5,1)*POWER(2,11)+MID(GB32,4,1)*POWER(2,12)+MID(GB32,3,1)*POWER(2,13)+MID(GB32,2,1)*POWER(2,14)+MID(GB32,1,1)*POWER(2,15)-(MID(GB33,16,1)*POWER(2,0)+MID(GB33,15,1)*POWER(2,1)+MID(GB33,14,1)*POWER(2,2)+MID(GB33,13,1)*POWER(2,3)+MID(GB33,12,1)*POWER(2,4)+MID(GB33,11,1)*POWER(2,5)+MID(GB33,10,1)*POWER(2,6)+MID(GB33,9,1)*POWER(2,7)+MID(GB33,8,1)*POWER(2,8)+MID(GB33,7,1)*POWER(2,9)+MID(GB33,6,1)*POWER(2,10)+MID(GB33,5,1)*POWER(2,11)+MID(GB33,4,1)*POWER(2,12)+MID(GB33,3,1)*POWER(2,13)+MID(GB33,2,1)*POWER(2,14)+MID(GB33,1,1)*POWER(2,15))</f>
        <v>8625</v>
      </c>
      <c r="GE32" s="47" t="str">
        <f>CU32</f>
        <v>00100010000000000010001000100000</v>
      </c>
      <c r="GF32" s="26" t="str">
        <f t="shared" si="126"/>
        <v>00100010</v>
      </c>
      <c r="GG32" s="26" t="str">
        <f t="shared" si="96"/>
        <v>00000000</v>
      </c>
      <c r="GH32" s="26" t="str">
        <f t="shared" si="97"/>
        <v>00100010</v>
      </c>
      <c r="GI32" s="26" t="str">
        <f t="shared" si="98"/>
        <v>00100000</v>
      </c>
      <c r="GJ32" s="77">
        <f>BIN2DEC(GF32)-BIN2DEC(GF33)</f>
        <v>24</v>
      </c>
      <c r="GK32" s="77">
        <f>BIN2DEC(GG32)-BIN2DEC(GG33)</f>
        <v>-2</v>
      </c>
      <c r="GL32" s="77">
        <f>BIN2DEC(GH32)-BIN2DEC(GH33)</f>
        <v>25</v>
      </c>
      <c r="GM32" s="77">
        <f>BIN2DEC(GI32)-BIN2DEC(GI33)</f>
        <v>13</v>
      </c>
      <c r="GN32" s="27" t="str">
        <f t="shared" si="99"/>
        <v>0010</v>
      </c>
      <c r="GO32" s="27" t="str">
        <f t="shared" si="100"/>
        <v>0010</v>
      </c>
      <c r="GP32" s="27" t="str">
        <f t="shared" si="101"/>
        <v>0001</v>
      </c>
      <c r="GQ32" s="27" t="str">
        <f t="shared" si="102"/>
        <v>1000</v>
      </c>
      <c r="GR32" s="27" t="str">
        <f t="shared" si="103"/>
        <v>0010</v>
      </c>
      <c r="GS32" s="27" t="str">
        <f t="shared" si="104"/>
        <v>0010</v>
      </c>
      <c r="GT32" s="27" t="str">
        <f t="shared" si="105"/>
        <v>1011</v>
      </c>
      <c r="GU32" s="27" t="str">
        <f t="shared" si="106"/>
        <v>0100</v>
      </c>
      <c r="GV32" s="77">
        <f>BIN2DEC(GN32)-BIN2DEC(GN33)</f>
        <v>-8</v>
      </c>
      <c r="GW32" s="77">
        <f t="shared" ref="GW32:HB32" si="242">BIN2DEC(GO32)-BIN2DEC(GO33)</f>
        <v>-12</v>
      </c>
      <c r="GX32" s="77">
        <f t="shared" si="242"/>
        <v>-3</v>
      </c>
      <c r="GY32" s="77">
        <f t="shared" si="242"/>
        <v>6</v>
      </c>
      <c r="GZ32" s="77">
        <f t="shared" si="242"/>
        <v>-12</v>
      </c>
      <c r="HA32" s="77">
        <f t="shared" si="242"/>
        <v>-7</v>
      </c>
      <c r="HB32" s="77">
        <f t="shared" si="242"/>
        <v>10</v>
      </c>
      <c r="HC32" s="77">
        <f>BIN2DEC(GU32)-BIN2DEC(GU33)</f>
        <v>-3</v>
      </c>
      <c r="HD32" s="26" t="str">
        <f t="shared" si="21"/>
        <v>0010001000000000</v>
      </c>
      <c r="HE32" s="26" t="str">
        <f t="shared" si="22"/>
        <v>0010001000100000</v>
      </c>
      <c r="HF32" s="77">
        <f>MID(HD32,16,1)*POWER(2,0)+MID(HD32,15,1)*POWER(2,1)+MID(HD32,14,1)*POWER(2,2)+MID(HD32,13,1)*POWER(2,3)+MID(HD32,12,1)*POWER(2,4)+MID(HD32,11,1)*POWER(2,5)+MID(HD32,10,1)*POWER(2,6)+MID(HD32,9,1)*POWER(2,7)+MID(HD32,8,1)*POWER(2,8)+MID(HD32,7,1)*POWER(2,9)+MID(HD32,6,1)*POWER(2,10)+MID(HD32,5,1)*POWER(2,11)+MID(HD32,4,1)*POWER(2,12)+MID(HD32,3,1)*POWER(2,13)+MID(HD32,2,1)*POWER(2,14)+MID(HD32,1,1)*POWER(2,15)-(MID(HD33,16,1)*POWER(2,0)+MID(HD33,15,1)*POWER(2,1)+MID(HD33,14,1)*POWER(2,2)+MID(HD33,13,1)*POWER(2,3)+MID(HD33,12,1)*POWER(2,4)+MID(HD33,11,1)*POWER(2,5)+MID(HD33,10,1)*POWER(2,6)+MID(HD33,9,1)*POWER(2,7)+MID(HD33,8,1)*POWER(2,8)+MID(HD33,7,1)*POWER(2,9)+MID(HD33,6,1)*POWER(2,10)+MID(HD33,5,1)*POWER(2,11)+MID(HD33,4,1)*POWER(2,12)+MID(HD33,3,1)*POWER(2,13)+MID(HD33,2,1)*POWER(2,14)+MID(HD33,1,1)*POWER(2,15))</f>
        <v>6142</v>
      </c>
      <c r="HG32" s="77">
        <f>MID(HE32,16,1)*POWER(2,0)+MID(HE32,15,1)*POWER(2,1)+MID(HE32,14,1)*POWER(2,2)+MID(HE32,13,1)*POWER(2,3)+MID(HE32,12,1)*POWER(2,4)+MID(HE32,11,1)*POWER(2,5)+MID(HE32,10,1)*POWER(2,6)+MID(HE32,9,1)*POWER(2,7)+MID(HE32,8,1)*POWER(2,8)+MID(HE32,7,1)*POWER(2,9)+MID(HE32,6,1)*POWER(2,10)+MID(HE32,5,1)*POWER(2,11)+MID(HE32,4,1)*POWER(2,12)+MID(HE32,3,1)*POWER(2,13)+MID(HE32,2,1)*POWER(2,14)+MID(HE32,1,1)*POWER(2,15)-(MID(HE33,16,1)*POWER(2,0)+MID(HE33,15,1)*POWER(2,1)+MID(HE33,14,1)*POWER(2,2)+MID(HE33,13,1)*POWER(2,3)+MID(HE33,12,1)*POWER(2,4)+MID(HE33,11,1)*POWER(2,5)+MID(HE33,10,1)*POWER(2,6)+MID(HE33,9,1)*POWER(2,7)+MID(HE33,8,1)*POWER(2,8)+MID(HE33,7,1)*POWER(2,9)+MID(HE33,6,1)*POWER(2,10)+MID(HE33,5,1)*POWER(2,11)+MID(HE33,4,1)*POWER(2,12)+MID(HE33,3,1)*POWER(2,13)+MID(HE33,2,1)*POWER(2,14)+MID(HE33,1,1)*POWER(2,15))</f>
        <v>6413</v>
      </c>
      <c r="HH32" s="45" t="str">
        <f>GE32</f>
        <v>00100010000000000010001000100000</v>
      </c>
      <c r="HI32" s="26" t="str">
        <f t="shared" si="128"/>
        <v>00100010</v>
      </c>
      <c r="HJ32" s="26" t="str">
        <f t="shared" si="107"/>
        <v>00000000</v>
      </c>
      <c r="HK32" s="26" t="str">
        <f t="shared" si="108"/>
        <v>00100010</v>
      </c>
      <c r="HL32" s="26" t="str">
        <f t="shared" si="109"/>
        <v>00100000</v>
      </c>
      <c r="HM32" s="77">
        <f>BIN2DEC(HI32)-BIN2DEC(HI33)</f>
        <v>32</v>
      </c>
      <c r="HN32" s="77">
        <f>BIN2DEC(HJ32)-BIN2DEC(HJ33)</f>
        <v>-2</v>
      </c>
      <c r="HO32" s="77">
        <f>BIN2DEC(HK32)-BIN2DEC(HK33)</f>
        <v>33</v>
      </c>
      <c r="HP32" s="77">
        <f>BIN2DEC(HL32)-BIN2DEC(HL33)</f>
        <v>29</v>
      </c>
      <c r="HQ32" s="27" t="str">
        <f t="shared" si="110"/>
        <v>0010</v>
      </c>
      <c r="HR32" s="27" t="str">
        <f t="shared" si="111"/>
        <v>0010</v>
      </c>
      <c r="HS32" s="27" t="str">
        <f t="shared" si="112"/>
        <v>0001</v>
      </c>
      <c r="HT32" s="27" t="str">
        <f t="shared" si="113"/>
        <v>1000</v>
      </c>
      <c r="HU32" s="27" t="str">
        <f t="shared" si="114"/>
        <v>0010</v>
      </c>
      <c r="HV32" s="27" t="str">
        <f t="shared" si="115"/>
        <v>0010</v>
      </c>
      <c r="HW32" s="27" t="str">
        <f t="shared" si="116"/>
        <v>1011</v>
      </c>
      <c r="HX32" s="27" t="str">
        <f t="shared" si="117"/>
        <v>0100</v>
      </c>
      <c r="HY32" s="77">
        <f>BIN2DEC(HQ32)-BIN2DEC(HQ33)</f>
        <v>-8</v>
      </c>
      <c r="HZ32" s="77">
        <f t="shared" ref="HZ32:IE32" si="243">BIN2DEC(HR32)-BIN2DEC(HR33)</f>
        <v>-12</v>
      </c>
      <c r="IA32" s="77">
        <f t="shared" si="243"/>
        <v>-3</v>
      </c>
      <c r="IB32" s="77">
        <f t="shared" si="243"/>
        <v>6</v>
      </c>
      <c r="IC32" s="77">
        <f t="shared" si="243"/>
        <v>-12</v>
      </c>
      <c r="ID32" s="77">
        <f t="shared" si="243"/>
        <v>-7</v>
      </c>
      <c r="IE32" s="77">
        <f t="shared" si="243"/>
        <v>10</v>
      </c>
      <c r="IF32" s="77">
        <f>BIN2DEC(HX32)-BIN2DEC(HX33)</f>
        <v>-3</v>
      </c>
      <c r="IG32" s="26" t="str">
        <f t="shared" si="24"/>
        <v>0010001000000000</v>
      </c>
      <c r="IH32" s="26" t="str">
        <f t="shared" si="25"/>
        <v>0010001000100000</v>
      </c>
      <c r="II32" s="77">
        <f>MID(IG32,16,1)*POWER(2,0)+MID(IG32,15,1)*POWER(2,1)+MID(IG32,14,1)*POWER(2,2)+MID(IG32,13,1)*POWER(2,3)+MID(IG32,12,1)*POWER(2,4)+MID(IG32,11,1)*POWER(2,5)+MID(IG32,10,1)*POWER(2,6)+MID(IG32,9,1)*POWER(2,7)+MID(IG32,8,1)*POWER(2,8)+MID(IG32,7,1)*POWER(2,9)+MID(IG32,6,1)*POWER(2,10)+MID(IG32,5,1)*POWER(2,11)+MID(IG32,4,1)*POWER(2,12)+MID(IG32,3,1)*POWER(2,13)+MID(IG32,2,1)*POWER(2,14)+MID(IG32,1,1)*POWER(2,15)-(MID(IG33,16,1)*POWER(2,0)+MID(IG33,15,1)*POWER(2,1)+MID(IG33,14,1)*POWER(2,2)+MID(IG33,13,1)*POWER(2,3)+MID(IG33,12,1)*POWER(2,4)+MID(IG33,11,1)*POWER(2,5)+MID(IG33,10,1)*POWER(2,6)+MID(IG33,9,1)*POWER(2,7)+MID(IG33,8,1)*POWER(2,8)+MID(IG33,7,1)*POWER(2,9)+MID(IG33,6,1)*POWER(2,10)+MID(IG33,5,1)*POWER(2,11)+MID(IG33,4,1)*POWER(2,12)+MID(IG33,3,1)*POWER(2,13)+MID(IG33,2,1)*POWER(2,14)+MID(IG33,1,1)*POWER(2,15))</f>
        <v>8190</v>
      </c>
      <c r="IJ32" s="77">
        <f>MID(IH32,16,1)*POWER(2,0)+MID(IH32,15,1)*POWER(2,1)+MID(IH32,14,1)*POWER(2,2)+MID(IH32,13,1)*POWER(2,3)+MID(IH32,12,1)*POWER(2,4)+MID(IH32,11,1)*POWER(2,5)+MID(IH32,10,1)*POWER(2,6)+MID(IH32,9,1)*POWER(2,7)+MID(IH32,8,1)*POWER(2,8)+MID(IH32,7,1)*POWER(2,9)+MID(IH32,6,1)*POWER(2,10)+MID(IH32,5,1)*POWER(2,11)+MID(IH32,4,1)*POWER(2,12)+MID(IH32,3,1)*POWER(2,13)+MID(IH32,2,1)*POWER(2,14)+MID(IH32,1,1)*POWER(2,15)-(MID(IH33,16,1)*POWER(2,0)+MID(IH33,15,1)*POWER(2,1)+MID(IH33,14,1)*POWER(2,2)+MID(IH33,13,1)*POWER(2,3)+MID(IH33,12,1)*POWER(2,4)+MID(IH33,11,1)*POWER(2,5)+MID(IH33,10,1)*POWER(2,6)+MID(IH33,9,1)*POWER(2,7)+MID(IH33,8,1)*POWER(2,8)+MID(IH33,7,1)*POWER(2,9)+MID(IH33,6,1)*POWER(2,10)+MID(IH33,5,1)*POWER(2,11)+MID(IH33,4,1)*POWER(2,12)+MID(IH33,3,1)*POWER(2,13)+MID(IH33,2,1)*POWER(2,14)+MID(IH33,1,1)*POWER(2,15))</f>
        <v>8477</v>
      </c>
      <c r="IL32" s="26"/>
      <c r="IM32" s="26"/>
      <c r="IN32" s="26"/>
      <c r="IO32" s="26"/>
      <c r="IP32" s="22"/>
      <c r="IQ32" s="22"/>
      <c r="IR32" s="22"/>
      <c r="IS32" s="22"/>
      <c r="JB32" s="22"/>
      <c r="JC32" s="22"/>
      <c r="JD32" s="22"/>
      <c r="JE32" s="22"/>
      <c r="JF32" s="22"/>
      <c r="JG32" s="22"/>
      <c r="JH32" s="22"/>
      <c r="JI32" s="22"/>
      <c r="JJ32" s="26"/>
      <c r="JK32" s="26"/>
      <c r="JL32" s="22"/>
      <c r="JM32" s="22"/>
    </row>
    <row r="33" spans="1:273" s="31" customFormat="1" ht="18.600000000000001" thickBot="1" x14ac:dyDescent="0.4">
      <c r="A33" s="28"/>
      <c r="B33" s="29"/>
      <c r="C33" s="21" t="s">
        <v>6</v>
      </c>
      <c r="D33" s="21" t="s">
        <v>156</v>
      </c>
      <c r="E33" s="21" t="s">
        <v>29</v>
      </c>
      <c r="F33" s="21">
        <v>55</v>
      </c>
      <c r="G33" s="21">
        <v>28</v>
      </c>
      <c r="H33" s="21" t="str">
        <f t="shared" si="186"/>
        <v>11111101110000100101010100101000</v>
      </c>
      <c r="I33" s="21">
        <f t="shared" si="187"/>
        <v>16</v>
      </c>
      <c r="J33" s="21"/>
      <c r="K33" s="21"/>
      <c r="L33" s="44" t="str">
        <f>CONCATENATE(MID(H33,20,5),MID(H33,9,3),MID(H33,28,5),MID(H33,17,3),MID(H33,4,5),MID(H33,25,3),MID(H33,12,5),MID(H33,1,3))</f>
        <v>10101110010000101110100100010111</v>
      </c>
      <c r="M33" s="30" t="str">
        <f t="shared" si="26"/>
        <v>10101110</v>
      </c>
      <c r="N33" s="30" t="str">
        <f t="shared" si="27"/>
        <v>01000010</v>
      </c>
      <c r="O33" s="30" t="str">
        <f t="shared" si="28"/>
        <v>11101001</v>
      </c>
      <c r="P33" s="30" t="str">
        <f t="shared" si="29"/>
        <v>00010111</v>
      </c>
      <c r="Q33" s="78"/>
      <c r="R33" s="78"/>
      <c r="S33" s="78"/>
      <c r="T33" s="78"/>
      <c r="U33" s="31" t="str">
        <f t="shared" si="30"/>
        <v>1010</v>
      </c>
      <c r="V33" s="31" t="str">
        <f t="shared" si="31"/>
        <v>1110</v>
      </c>
      <c r="W33" s="31" t="str">
        <f t="shared" si="32"/>
        <v>0100</v>
      </c>
      <c r="X33" s="31" t="str">
        <f t="shared" si="33"/>
        <v>0010</v>
      </c>
      <c r="Y33" s="31" t="str">
        <f t="shared" si="34"/>
        <v>1110</v>
      </c>
      <c r="Z33" s="31" t="str">
        <f t="shared" si="35"/>
        <v>1001</v>
      </c>
      <c r="AA33" s="31" t="str">
        <f t="shared" si="36"/>
        <v>0001</v>
      </c>
      <c r="AB33" s="31" t="str">
        <f t="shared" si="37"/>
        <v>0111</v>
      </c>
      <c r="AC33" s="78"/>
      <c r="AD33" s="78"/>
      <c r="AE33" s="78"/>
      <c r="AF33" s="78"/>
      <c r="AG33" s="78"/>
      <c r="AH33" s="78"/>
      <c r="AI33" s="78"/>
      <c r="AJ33" s="78"/>
      <c r="AK33" s="30" t="str">
        <f t="shared" si="3"/>
        <v>1010111001000010</v>
      </c>
      <c r="AL33" s="30" t="str">
        <f t="shared" si="4"/>
        <v>1110100100010111</v>
      </c>
      <c r="AM33" s="78"/>
      <c r="AN33" s="78"/>
      <c r="AO33" s="46" t="str">
        <f>CONCATENATE(MID($L33,1,1)*MID($K22,1,1),MID($L33,2,1)*MID($K22,2,1),MID($L33,3,1)*MID($K22,3,1),MID($L33,4,1)*MID($K22,4,1),MID($L33,5,1)*MID($K22,5,1),MID($L33,6,1)*MID($K22,6,1),MID($L33,7,1)*MID($K22,7,1),MID($L33,8,1)*MID($K22,8,1),MID($L33,9,1)*MID($K22,1,1),MID($L33,10,1)*MID($K22,2,1),MID($L33,11,1)*MID($K22,3,1),MID($L33,12,1)*MID($K22,4,1),MID($L33,13,1)*MID($K22,5,1),MID($L33,14,1)*MID($K22,6,1),MID($L33,15,1)*MID($K22,7,1),MID($L33,16,1)*MID($K22,8,1),MID($L33,17,1)*MID($K22,1,1),MID($L33,18,1)*MID($K22,2,1),MID($L33,19,1)*MID($K22,3,1),MID($L33,20,1)*MID($K22,4,1),MID($L33,21,1)*MID($K22,5,1),MID($L33,22,1)*MID($K22,6,1),MID($L33,23,1)*MID($K22,7,1),MID($L33,24,1)*MID($K22,8,1),MID($L33,25,1)*MID($K22,1,1),MID($L33,26,1)*MID($K22,2,1),MID($L33,27,1)*MID($K22,3,1),MID($L33,28,1)*MID($K22,4,1),MID($L33,29,1)*MID($K22,5,1),MID($L33,30,1)*MID($K22,6,1),MID($L33,31,1)*MID($K22,7,1),MID($L33,32,1)*MID($K22,8,1))</f>
        <v>00100010010000100110000100000011</v>
      </c>
      <c r="AP33" s="30" t="str">
        <f t="shared" si="38"/>
        <v>00100010</v>
      </c>
      <c r="AQ33" s="30" t="str">
        <f t="shared" si="39"/>
        <v>01000010</v>
      </c>
      <c r="AR33" s="30" t="str">
        <f t="shared" si="40"/>
        <v>01100001</v>
      </c>
      <c r="AS33" s="30" t="str">
        <f t="shared" si="41"/>
        <v>00000011</v>
      </c>
      <c r="AT33" s="78"/>
      <c r="AU33" s="78"/>
      <c r="AV33" s="78"/>
      <c r="AW33" s="78"/>
      <c r="AX33" s="31" t="str">
        <f t="shared" si="42"/>
        <v>1010</v>
      </c>
      <c r="AY33" s="31" t="str">
        <f t="shared" si="43"/>
        <v>1110</v>
      </c>
      <c r="AZ33" s="31" t="str">
        <f t="shared" si="44"/>
        <v>0100</v>
      </c>
      <c r="BA33" s="31" t="str">
        <f t="shared" si="45"/>
        <v>0010</v>
      </c>
      <c r="BB33" s="31" t="str">
        <f t="shared" si="46"/>
        <v>1110</v>
      </c>
      <c r="BC33" s="31" t="str">
        <f t="shared" si="47"/>
        <v>1001</v>
      </c>
      <c r="BD33" s="31" t="str">
        <f t="shared" si="48"/>
        <v>0001</v>
      </c>
      <c r="BE33" s="31" t="str">
        <f t="shared" si="49"/>
        <v>0111</v>
      </c>
      <c r="BF33" s="78"/>
      <c r="BG33" s="78"/>
      <c r="BH33" s="78"/>
      <c r="BI33" s="78"/>
      <c r="BJ33" s="78"/>
      <c r="BK33" s="78"/>
      <c r="BL33" s="78"/>
      <c r="BM33" s="78"/>
      <c r="BN33" s="30" t="str">
        <f t="shared" si="6"/>
        <v>0010001001000010</v>
      </c>
      <c r="BO33" s="30" t="str">
        <f t="shared" si="7"/>
        <v>0110000100000011</v>
      </c>
      <c r="BP33" s="78"/>
      <c r="BQ33" s="78"/>
      <c r="BR33" s="46" t="str">
        <f>L33</f>
        <v>10101110010000101110100100010111</v>
      </c>
      <c r="BS33" s="30" t="str">
        <f t="shared" si="50"/>
        <v>10101110</v>
      </c>
      <c r="BT33" s="30" t="str">
        <f t="shared" si="51"/>
        <v>01000010</v>
      </c>
      <c r="BU33" s="30" t="str">
        <f t="shared" si="52"/>
        <v>11101001</v>
      </c>
      <c r="BV33" s="30" t="str">
        <f t="shared" si="53"/>
        <v>00010111</v>
      </c>
      <c r="BW33" s="78"/>
      <c r="BX33" s="78"/>
      <c r="BY33" s="78"/>
      <c r="BZ33" s="78"/>
      <c r="CA33" s="31" t="str">
        <f t="shared" si="54"/>
        <v>1010</v>
      </c>
      <c r="CB33" s="31" t="str">
        <f t="shared" si="55"/>
        <v>1110</v>
      </c>
      <c r="CC33" s="31" t="str">
        <f t="shared" si="56"/>
        <v>0100</v>
      </c>
      <c r="CD33" s="31" t="str">
        <f t="shared" si="57"/>
        <v>0010</v>
      </c>
      <c r="CE33" s="31" t="str">
        <f t="shared" si="58"/>
        <v>1110</v>
      </c>
      <c r="CF33" s="31" t="str">
        <f t="shared" si="59"/>
        <v>1001</v>
      </c>
      <c r="CG33" s="31" t="str">
        <f t="shared" si="60"/>
        <v>0001</v>
      </c>
      <c r="CH33" s="31" t="str">
        <f t="shared" si="61"/>
        <v>0111</v>
      </c>
      <c r="CI33" s="78"/>
      <c r="CJ33" s="78"/>
      <c r="CK33" s="78"/>
      <c r="CL33" s="78"/>
      <c r="CM33" s="78"/>
      <c r="CN33" s="78"/>
      <c r="CO33" s="78"/>
      <c r="CP33" s="78"/>
      <c r="CQ33" s="30" t="str">
        <f t="shared" si="9"/>
        <v>1010111001000010</v>
      </c>
      <c r="CR33" s="30" t="str">
        <f t="shared" si="10"/>
        <v>1110100100010111</v>
      </c>
      <c r="CS33" s="78"/>
      <c r="CT33" s="78"/>
      <c r="CU33" s="46" t="str">
        <f>AO33</f>
        <v>00100010010000100110000100000011</v>
      </c>
      <c r="CV33" s="30" t="str">
        <f t="shared" si="62"/>
        <v>00100010</v>
      </c>
      <c r="CW33" s="30" t="str">
        <f t="shared" si="63"/>
        <v>01000010</v>
      </c>
      <c r="CX33" s="30" t="str">
        <f t="shared" si="64"/>
        <v>01100001</v>
      </c>
      <c r="CY33" s="30" t="str">
        <f t="shared" si="65"/>
        <v>00000011</v>
      </c>
      <c r="CZ33" s="78"/>
      <c r="DA33" s="78"/>
      <c r="DB33" s="78"/>
      <c r="DC33" s="78"/>
      <c r="DD33" s="31" t="str">
        <f t="shared" si="66"/>
        <v>1010</v>
      </c>
      <c r="DE33" s="31" t="str">
        <f t="shared" si="67"/>
        <v>1110</v>
      </c>
      <c r="DF33" s="31" t="str">
        <f t="shared" si="68"/>
        <v>0100</v>
      </c>
      <c r="DG33" s="31" t="str">
        <f t="shared" si="69"/>
        <v>0010</v>
      </c>
      <c r="DH33" s="31" t="str">
        <f t="shared" si="70"/>
        <v>1110</v>
      </c>
      <c r="DI33" s="31" t="str">
        <f t="shared" si="71"/>
        <v>1001</v>
      </c>
      <c r="DJ33" s="31" t="str">
        <f t="shared" si="72"/>
        <v>0001</v>
      </c>
      <c r="DK33" s="31" t="str">
        <f t="shared" si="73"/>
        <v>0111</v>
      </c>
      <c r="DL33" s="78"/>
      <c r="DM33" s="78"/>
      <c r="DN33" s="78"/>
      <c r="DO33" s="78"/>
      <c r="DP33" s="78"/>
      <c r="DQ33" s="78"/>
      <c r="DR33" s="78"/>
      <c r="DS33" s="78"/>
      <c r="DT33" s="30" t="str">
        <f t="shared" si="12"/>
        <v>0010001001000010</v>
      </c>
      <c r="DU33" s="30" t="str">
        <f t="shared" si="13"/>
        <v>0110000100000011</v>
      </c>
      <c r="DV33" s="78"/>
      <c r="DW33" s="78"/>
      <c r="DX33" s="23" t="str">
        <f>CONCATENATE(MID($H33,1,1)*MID($K22,1,1),MID($H33,2,1)*MID($K22,2,1),MID($H33,3,1)*MID($K22,3,1),MID($H33,4,1)*MID($K22,4,1),MID($H33,5,1)*MID($K22,5,1),MID($H33,6,1)*MID($K22,6,1),MID($H33,7,1)*MID($K22,7,1),MID($H33,8,1)*MID($K22,8,1),MID($H33,9,1)*MID($K22,1,1),MID($H33,10,1)*MID($K22,2,1),MID($H33,11,1)*MID($K22,3,1),MID($H33,12,1)*MID($K22,4,1),MID($H33,13,1)*MID($K22,5,1),MID($H33,14,1)*MID($K22,6,1),MID($H33,15,1)*MID($K22,7,1),MID($H33,16,1)*MID($K22,8,1),MID($H33,17,1)*MID($K22,1,1),MID($H33,18,1)*MID($K22,2,1),MID($H33,19,1)*MID($K22,3,1),MID($H33,20,1)*MID($K22,4,1),MID($H33,21,1)*MID($K22,5,1),MID($H33,22,1)*MID($K22,6,1),MID($H33,23,1)*MID($K22,7,1),MID($H33,24,1)*MID($K22,8,1),MID($H33,25,1)*MID($K22,1,1),MID($H33,26,1)*MID($K22,2,1),MID($H33,27,1)*MID($K22,3,1),MID($H33,28,1)*MID($K22,4,1),MID($H33,29,1)*MID($K22,5,1),MID($H33,30,1)*MID($K22,6,1),MID($H33,31,1)*MID($K22,7,1),MID($H33,32,1)*MID($K22,8,1))</f>
        <v>01100001010000100100000100100000</v>
      </c>
      <c r="DY33" s="44" t="str">
        <f>CONCATENATE(MID(DX33,20,5),MID(DX33,9,3),MID(DX33,28,5),MID(DX33,17,3),MID(DX33,4,5),MID(DX33,25,3),MID(DX33,12,5),MID(DX33,1,3))</f>
        <v>00001010000000100000100100010011</v>
      </c>
      <c r="DZ33" s="30" t="str">
        <f t="shared" si="122"/>
        <v>00001010</v>
      </c>
      <c r="EA33" s="30" t="str">
        <f t="shared" si="74"/>
        <v>00000010</v>
      </c>
      <c r="EB33" s="30" t="str">
        <f t="shared" si="75"/>
        <v>00001001</v>
      </c>
      <c r="EC33" s="30" t="str">
        <f t="shared" si="76"/>
        <v>00010011</v>
      </c>
      <c r="ED33" s="78"/>
      <c r="EE33" s="78"/>
      <c r="EF33" s="78"/>
      <c r="EG33" s="78"/>
      <c r="EH33" s="31" t="str">
        <f t="shared" si="77"/>
        <v>1010</v>
      </c>
      <c r="EI33" s="31" t="str">
        <f t="shared" si="78"/>
        <v>1110</v>
      </c>
      <c r="EJ33" s="31" t="str">
        <f t="shared" si="79"/>
        <v>0100</v>
      </c>
      <c r="EK33" s="31" t="str">
        <f t="shared" si="80"/>
        <v>0010</v>
      </c>
      <c r="EL33" s="31" t="str">
        <f t="shared" si="81"/>
        <v>1110</v>
      </c>
      <c r="EM33" s="31" t="str">
        <f t="shared" si="82"/>
        <v>1001</v>
      </c>
      <c r="EN33" s="31" t="str">
        <f t="shared" si="83"/>
        <v>0001</v>
      </c>
      <c r="EO33" s="31" t="str">
        <f t="shared" si="84"/>
        <v>0111</v>
      </c>
      <c r="EP33" s="78"/>
      <c r="EQ33" s="78"/>
      <c r="ER33" s="78"/>
      <c r="ES33" s="78"/>
      <c r="ET33" s="78"/>
      <c r="EU33" s="78"/>
      <c r="EV33" s="78"/>
      <c r="EW33" s="78"/>
      <c r="EX33" s="30" t="str">
        <f t="shared" si="15"/>
        <v>0000101000000010</v>
      </c>
      <c r="EY33" s="30" t="str">
        <f t="shared" si="16"/>
        <v>0000100100010011</v>
      </c>
      <c r="EZ33" s="78"/>
      <c r="FA33" s="78"/>
      <c r="FB33" s="46" t="str">
        <f>CONCATENATE(MID(DY33,1,1)*MID($K32,1,1),MID(DY33,2,1)*MID($K32,2,1),MID(DY33,3,1)*MID($K32,3,1),MID(DY33,4,1)*MID($K32,4,1),MID(DY33,5,1)*MID($K32,5,1),MID(DY33,6,1)*MID($K32,6,1),MID(DY33,7,1)*MID($K32,7,1),MID(DY33,8,1)*MID($K32,8,1),MID(DY33,9,1)*MID($K32,1,1),MID(DY33,10,1)*MID($K32,2,1),MID(DY33,11,1)*MID($K32,3,1),MID(DY33,12,1)*MID($K32,4,1),MID(DY33,13,1)*MID($K32,5,1),MID(DY33,14,1)*MID($K32,6,1),MID(DY33,15,1)*MID($K32,7,1),MID(DY33,16,1)*MID($K32,8,1),MID(DY33,17,1)*MID($K32,1,1),MID(DY33,18,1)*MID($K32,2,1),MID(DY33,19,1)*MID($K32,3,1),MID(DY33,20,1)*MID($K32,4,1),MID(DY33,21,1)*MID($K32,5,1),MID(DY33,22,1)*MID($K32,6,1),MID(DY33,23,1)*MID($K32,7,1),MID(DY33,24,1)*MID($K32,8,1),MID(DY33,25,1)*MID($K32,1,1),MID(DY33,26,1)*MID($K32,2,1),MID(DY33,27,1)*MID($K32,3,1),MID(DY33,28,1)*MID($K32,4,1),MID(DY33,29,1)*MID($K32,5,1),MID(DY33,30,1)*MID($K32,6,1),MID(DY33,31,1)*MID($K32,7,1),MID(DY33,32,1)*MID($K32,8,1))</f>
        <v>00000010000000100000000100000011</v>
      </c>
      <c r="FC33" s="30" t="str">
        <f t="shared" si="124"/>
        <v>00000010</v>
      </c>
      <c r="FD33" s="30" t="str">
        <f t="shared" si="85"/>
        <v>00000010</v>
      </c>
      <c r="FE33" s="30" t="str">
        <f t="shared" si="86"/>
        <v>00000001</v>
      </c>
      <c r="FF33" s="30" t="str">
        <f t="shared" si="87"/>
        <v>00000011</v>
      </c>
      <c r="FG33" s="78"/>
      <c r="FH33" s="78"/>
      <c r="FI33" s="78"/>
      <c r="FJ33" s="78"/>
      <c r="FK33" s="31" t="str">
        <f t="shared" si="88"/>
        <v>1010</v>
      </c>
      <c r="FL33" s="31" t="str">
        <f t="shared" si="89"/>
        <v>1110</v>
      </c>
      <c r="FM33" s="31" t="str">
        <f t="shared" si="90"/>
        <v>0100</v>
      </c>
      <c r="FN33" s="31" t="str">
        <f t="shared" si="91"/>
        <v>0010</v>
      </c>
      <c r="FO33" s="31" t="str">
        <f t="shared" si="92"/>
        <v>1110</v>
      </c>
      <c r="FP33" s="31" t="str">
        <f t="shared" si="93"/>
        <v>1001</v>
      </c>
      <c r="FQ33" s="31" t="str">
        <f t="shared" si="94"/>
        <v>0001</v>
      </c>
      <c r="FR33" s="31" t="str">
        <f t="shared" si="95"/>
        <v>0111</v>
      </c>
      <c r="FS33" s="78"/>
      <c r="FT33" s="78"/>
      <c r="FU33" s="78"/>
      <c r="FV33" s="78"/>
      <c r="FW33" s="78"/>
      <c r="FX33" s="78"/>
      <c r="FY33" s="78"/>
      <c r="FZ33" s="78"/>
      <c r="GA33" s="30" t="str">
        <f t="shared" si="18"/>
        <v>0000001000000010</v>
      </c>
      <c r="GB33" s="30" t="str">
        <f t="shared" si="19"/>
        <v>0000000100000011</v>
      </c>
      <c r="GC33" s="78"/>
      <c r="GD33" s="78"/>
      <c r="GE33" s="48" t="str">
        <f>DY33</f>
        <v>00001010000000100000100100010011</v>
      </c>
      <c r="GF33" s="30" t="str">
        <f t="shared" si="126"/>
        <v>00001010</v>
      </c>
      <c r="GG33" s="30" t="str">
        <f t="shared" si="96"/>
        <v>00000010</v>
      </c>
      <c r="GH33" s="30" t="str">
        <f t="shared" si="97"/>
        <v>00001001</v>
      </c>
      <c r="GI33" s="30" t="str">
        <f t="shared" si="98"/>
        <v>00010011</v>
      </c>
      <c r="GJ33" s="78"/>
      <c r="GK33" s="78"/>
      <c r="GL33" s="78"/>
      <c r="GM33" s="78"/>
      <c r="GN33" s="31" t="str">
        <f t="shared" si="99"/>
        <v>1010</v>
      </c>
      <c r="GO33" s="31" t="str">
        <f t="shared" si="100"/>
        <v>1110</v>
      </c>
      <c r="GP33" s="31" t="str">
        <f t="shared" si="101"/>
        <v>0100</v>
      </c>
      <c r="GQ33" s="31" t="str">
        <f t="shared" si="102"/>
        <v>0010</v>
      </c>
      <c r="GR33" s="31" t="str">
        <f t="shared" si="103"/>
        <v>1110</v>
      </c>
      <c r="GS33" s="31" t="str">
        <f t="shared" si="104"/>
        <v>1001</v>
      </c>
      <c r="GT33" s="31" t="str">
        <f t="shared" si="105"/>
        <v>0001</v>
      </c>
      <c r="GU33" s="31" t="str">
        <f t="shared" si="106"/>
        <v>0111</v>
      </c>
      <c r="GV33" s="78"/>
      <c r="GW33" s="78"/>
      <c r="GX33" s="78"/>
      <c r="GY33" s="78"/>
      <c r="GZ33" s="78"/>
      <c r="HA33" s="78"/>
      <c r="HB33" s="78"/>
      <c r="HC33" s="78"/>
      <c r="HD33" s="30" t="str">
        <f t="shared" si="21"/>
        <v>0000101000000010</v>
      </c>
      <c r="HE33" s="30" t="str">
        <f t="shared" si="22"/>
        <v>0000100100010011</v>
      </c>
      <c r="HF33" s="78"/>
      <c r="HG33" s="78"/>
      <c r="HH33" s="48" t="str">
        <f>FB33</f>
        <v>00000010000000100000000100000011</v>
      </c>
      <c r="HI33" s="30" t="str">
        <f t="shared" si="128"/>
        <v>00000010</v>
      </c>
      <c r="HJ33" s="30" t="str">
        <f t="shared" si="107"/>
        <v>00000010</v>
      </c>
      <c r="HK33" s="30" t="str">
        <f t="shared" si="108"/>
        <v>00000001</v>
      </c>
      <c r="HL33" s="30" t="str">
        <f t="shared" si="109"/>
        <v>00000011</v>
      </c>
      <c r="HM33" s="78"/>
      <c r="HN33" s="78"/>
      <c r="HO33" s="78"/>
      <c r="HP33" s="78"/>
      <c r="HQ33" s="31" t="str">
        <f t="shared" si="110"/>
        <v>1010</v>
      </c>
      <c r="HR33" s="31" t="str">
        <f t="shared" si="111"/>
        <v>1110</v>
      </c>
      <c r="HS33" s="31" t="str">
        <f t="shared" si="112"/>
        <v>0100</v>
      </c>
      <c r="HT33" s="31" t="str">
        <f t="shared" si="113"/>
        <v>0010</v>
      </c>
      <c r="HU33" s="31" t="str">
        <f t="shared" si="114"/>
        <v>1110</v>
      </c>
      <c r="HV33" s="31" t="str">
        <f t="shared" si="115"/>
        <v>1001</v>
      </c>
      <c r="HW33" s="31" t="str">
        <f t="shared" si="116"/>
        <v>0001</v>
      </c>
      <c r="HX33" s="31" t="str">
        <f t="shared" si="117"/>
        <v>0111</v>
      </c>
      <c r="HY33" s="78"/>
      <c r="HZ33" s="78"/>
      <c r="IA33" s="78"/>
      <c r="IB33" s="78"/>
      <c r="IC33" s="78"/>
      <c r="ID33" s="78"/>
      <c r="IE33" s="78"/>
      <c r="IF33" s="78"/>
      <c r="IG33" s="30" t="str">
        <f t="shared" si="24"/>
        <v>0000001000000010</v>
      </c>
      <c r="IH33" s="30" t="str">
        <f t="shared" si="25"/>
        <v>0000000100000011</v>
      </c>
      <c r="II33" s="78"/>
      <c r="IJ33" s="78"/>
      <c r="IL33" s="30"/>
      <c r="IM33" s="30"/>
      <c r="IN33" s="30"/>
      <c r="IO33" s="30"/>
      <c r="IP33" s="23"/>
      <c r="IQ33" s="23"/>
      <c r="IR33" s="23"/>
      <c r="IS33" s="23"/>
      <c r="JB33" s="23"/>
      <c r="JC33" s="23"/>
      <c r="JD33" s="23"/>
      <c r="JE33" s="23"/>
      <c r="JF33" s="23"/>
      <c r="JG33" s="23"/>
      <c r="JH33" s="23"/>
      <c r="JI33" s="23"/>
      <c r="JJ33" s="30"/>
      <c r="JK33" s="30"/>
      <c r="JL33" s="23"/>
      <c r="JM33" s="23"/>
    </row>
    <row r="34" spans="1:273" s="27" customFormat="1" x14ac:dyDescent="0.35">
      <c r="A34" s="24"/>
      <c r="B34" s="25"/>
      <c r="C34" s="20" t="s">
        <v>0</v>
      </c>
      <c r="D34" s="20">
        <v>65</v>
      </c>
      <c r="E34" s="20">
        <v>25</v>
      </c>
      <c r="F34" s="20" t="s">
        <v>35</v>
      </c>
      <c r="G34" s="20" t="s">
        <v>79</v>
      </c>
      <c r="H34" s="20" t="str">
        <f t="shared" si="186"/>
        <v>01100101001001011101011001111110</v>
      </c>
      <c r="I34" s="20">
        <f t="shared" si="187"/>
        <v>18</v>
      </c>
      <c r="J34" s="20">
        <v>63</v>
      </c>
      <c r="K34" s="20" t="str">
        <f>HEX2BIN(J34,8)</f>
        <v>01100011</v>
      </c>
      <c r="L34" s="43" t="str">
        <f>H34</f>
        <v>01100101001001011101011001111110</v>
      </c>
      <c r="M34" s="26" t="str">
        <f t="shared" si="26"/>
        <v>01100101</v>
      </c>
      <c r="N34" s="26" t="str">
        <f t="shared" si="27"/>
        <v>00100101</v>
      </c>
      <c r="O34" s="26" t="str">
        <f t="shared" si="28"/>
        <v>11010110</v>
      </c>
      <c r="P34" s="26" t="str">
        <f t="shared" si="29"/>
        <v>01111110</v>
      </c>
      <c r="Q34" s="77">
        <f>BIN2DEC(M34)-BIN2DEC(M35)</f>
        <v>-140</v>
      </c>
      <c r="R34" s="77">
        <f>BIN2DEC(N34)-BIN2DEC(N35)</f>
        <v>-42</v>
      </c>
      <c r="S34" s="77">
        <f>BIN2DEC(O34)-BIN2DEC(O35)</f>
        <v>57</v>
      </c>
      <c r="T34" s="77">
        <f>BIN2DEC(P34)-BIN2DEC(P35)</f>
        <v>-100</v>
      </c>
      <c r="U34" s="27" t="str">
        <f t="shared" si="30"/>
        <v>0110</v>
      </c>
      <c r="V34" s="27" t="str">
        <f t="shared" si="31"/>
        <v>0101</v>
      </c>
      <c r="W34" s="27" t="str">
        <f t="shared" si="32"/>
        <v>0010</v>
      </c>
      <c r="X34" s="27" t="str">
        <f t="shared" si="33"/>
        <v>0101</v>
      </c>
      <c r="Y34" s="27" t="str">
        <f t="shared" si="34"/>
        <v>1101</v>
      </c>
      <c r="Z34" s="27" t="str">
        <f t="shared" si="35"/>
        <v>0110</v>
      </c>
      <c r="AA34" s="27" t="str">
        <f t="shared" si="36"/>
        <v>0111</v>
      </c>
      <c r="AB34" s="27" t="str">
        <f t="shared" si="37"/>
        <v>1110</v>
      </c>
      <c r="AC34" s="77">
        <f>BIN2DEC(U34)-BIN2DEC(U35)</f>
        <v>-9</v>
      </c>
      <c r="AD34" s="77">
        <f t="shared" ref="AD34:AI34" si="244">BIN2DEC(V34)-BIN2DEC(V35)</f>
        <v>4</v>
      </c>
      <c r="AE34" s="77">
        <f t="shared" si="244"/>
        <v>-2</v>
      </c>
      <c r="AF34" s="77">
        <f t="shared" si="244"/>
        <v>-10</v>
      </c>
      <c r="AG34" s="77">
        <f t="shared" si="244"/>
        <v>4</v>
      </c>
      <c r="AH34" s="77">
        <f t="shared" si="244"/>
        <v>-7</v>
      </c>
      <c r="AI34" s="77">
        <f t="shared" si="244"/>
        <v>-7</v>
      </c>
      <c r="AJ34" s="77">
        <f>BIN2DEC(AB34)-BIN2DEC(AB35)</f>
        <v>12</v>
      </c>
      <c r="AK34" s="26" t="str">
        <f t="shared" si="3"/>
        <v>0110010100100101</v>
      </c>
      <c r="AL34" s="26" t="str">
        <f t="shared" si="4"/>
        <v>1101011001111110</v>
      </c>
      <c r="AM34" s="77">
        <f>MID(AK34,16,1)*POWER(2,0)+MID(AK34,15,1)*POWER(2,1)+MID(AK34,14,1)*POWER(2,2)+MID(AK34,13,1)*POWER(2,3)+MID(AK34,12,1)*POWER(2,4)+MID(AK34,11,1)*POWER(2,5)+MID(AK34,10,1)*POWER(2,6)+MID(AK34,9,1)*POWER(2,7)+MID(AK34,8,1)*POWER(2,8)+MID(AK34,7,1)*POWER(2,9)+MID(AK34,6,1)*POWER(2,10)+MID(AK34,5,1)*POWER(2,11)+MID(AK34,4,1)*POWER(2,12)+MID(AK34,3,1)*POWER(2,13)+MID(AK34,2,1)*POWER(2,14)+MID(AK34,1,1)*POWER(2,15)-(MID(AK35,16,1)*POWER(2,0)+MID(AK35,15,1)*POWER(2,1)+MID(AK35,14,1)*POWER(2,2)+MID(AK35,13,1)*POWER(2,3)+MID(AK35,12,1)*POWER(2,4)+MID(AK35,11,1)*POWER(2,5)+MID(AK35,10,1)*POWER(2,6)+MID(AK35,9,1)*POWER(2,7)+MID(AK35,8,1)*POWER(2,8)+MID(AK35,7,1)*POWER(2,9)+MID(AK35,6,1)*POWER(2,10)+MID(AK35,5,1)*POWER(2,11)+MID(AK35,4,1)*POWER(2,12)+MID(AK35,3,1)*POWER(2,13)+MID(AK35,2,1)*POWER(2,14)+MID(AK35,1,1)*POWER(2,15))</f>
        <v>-35882</v>
      </c>
      <c r="AN34" s="77">
        <f>MID(AL34,16,1)*POWER(2,0)+MID(AL34,15,1)*POWER(2,1)+MID(AL34,14,1)*POWER(2,2)+MID(AL34,13,1)*POWER(2,3)+MID(AL34,12,1)*POWER(2,4)+MID(AL34,11,1)*POWER(2,5)+MID(AL34,10,1)*POWER(2,6)+MID(AL34,9,1)*POWER(2,7)+MID(AL34,8,1)*POWER(2,8)+MID(AL34,7,1)*POWER(2,9)+MID(AL34,6,1)*POWER(2,10)+MID(AL34,5,1)*POWER(2,11)+MID(AL34,4,1)*POWER(2,12)+MID(AL34,3,1)*POWER(2,13)+MID(AL34,2,1)*POWER(2,14)+MID(AL34,1,1)*POWER(2,15)-(MID(AL35,16,1)*POWER(2,0)+MID(AL35,15,1)*POWER(2,1)+MID(AL35,14,1)*POWER(2,2)+MID(AL35,13,1)*POWER(2,3)+MID(AL35,12,1)*POWER(2,4)+MID(AL35,11,1)*POWER(2,5)+MID(AL35,10,1)*POWER(2,6)+MID(AL35,9,1)*POWER(2,7)+MID(AL35,8,1)*POWER(2,8)+MID(AL35,7,1)*POWER(2,9)+MID(AL35,6,1)*POWER(2,10)+MID(AL35,5,1)*POWER(2,11)+MID(AL35,4,1)*POWER(2,12)+MID(AL35,3,1)*POWER(2,13)+MID(AL35,2,1)*POWER(2,14)+MID(AL35,1,1)*POWER(2,15))</f>
        <v>14492</v>
      </c>
      <c r="AO34" s="45" t="str">
        <f>H34</f>
        <v>01100101001001011101011001111110</v>
      </c>
      <c r="AP34" s="26" t="str">
        <f t="shared" si="38"/>
        <v>01100101</v>
      </c>
      <c r="AQ34" s="26" t="str">
        <f t="shared" si="39"/>
        <v>00100101</v>
      </c>
      <c r="AR34" s="26" t="str">
        <f t="shared" si="40"/>
        <v>11010110</v>
      </c>
      <c r="AS34" s="26" t="str">
        <f t="shared" si="41"/>
        <v>01111110</v>
      </c>
      <c r="AT34" s="77">
        <f>BIN2DEC(AP34)-BIN2DEC(AP35)</f>
        <v>4</v>
      </c>
      <c r="AU34" s="77">
        <f>BIN2DEC(AQ34)-BIN2DEC(AQ35)</f>
        <v>-30</v>
      </c>
      <c r="AV34" s="77">
        <f>BIN2DEC(AR34)-BIN2DEC(AR35)</f>
        <v>213</v>
      </c>
      <c r="AW34" s="77">
        <f>BIN2DEC(AS34)-BIN2DEC(AS35)</f>
        <v>28</v>
      </c>
      <c r="AX34" s="27" t="str">
        <f t="shared" si="42"/>
        <v>0110</v>
      </c>
      <c r="AY34" s="27" t="str">
        <f t="shared" si="43"/>
        <v>0101</v>
      </c>
      <c r="AZ34" s="27" t="str">
        <f t="shared" si="44"/>
        <v>0010</v>
      </c>
      <c r="BA34" s="27" t="str">
        <f t="shared" si="45"/>
        <v>0101</v>
      </c>
      <c r="BB34" s="27" t="str">
        <f t="shared" si="46"/>
        <v>1101</v>
      </c>
      <c r="BC34" s="27" t="str">
        <f t="shared" si="47"/>
        <v>0110</v>
      </c>
      <c r="BD34" s="27" t="str">
        <f t="shared" si="48"/>
        <v>0111</v>
      </c>
      <c r="BE34" s="27" t="str">
        <f t="shared" si="49"/>
        <v>1110</v>
      </c>
      <c r="BF34" s="77">
        <f>BIN2DEC(AX34)-BIN2DEC(AX35)</f>
        <v>-9</v>
      </c>
      <c r="BG34" s="77">
        <f t="shared" ref="BG34:BL34" si="245">BIN2DEC(AY34)-BIN2DEC(AY35)</f>
        <v>4</v>
      </c>
      <c r="BH34" s="77">
        <f t="shared" si="245"/>
        <v>-2</v>
      </c>
      <c r="BI34" s="77">
        <f t="shared" si="245"/>
        <v>-10</v>
      </c>
      <c r="BJ34" s="77">
        <f t="shared" si="245"/>
        <v>4</v>
      </c>
      <c r="BK34" s="77">
        <f t="shared" si="245"/>
        <v>-7</v>
      </c>
      <c r="BL34" s="77">
        <f t="shared" si="245"/>
        <v>-7</v>
      </c>
      <c r="BM34" s="77">
        <f>BIN2DEC(BE34)-BIN2DEC(BE35)</f>
        <v>12</v>
      </c>
      <c r="BN34" s="26" t="str">
        <f t="shared" si="6"/>
        <v>0110010100100101</v>
      </c>
      <c r="BO34" s="26" t="str">
        <f t="shared" si="7"/>
        <v>1101011001111110</v>
      </c>
      <c r="BP34" s="77">
        <f>MID(BN34,16,1)*POWER(2,0)+MID(BN34,15,1)*POWER(2,1)+MID(BN34,14,1)*POWER(2,2)+MID(BN34,13,1)*POWER(2,3)+MID(BN34,12,1)*POWER(2,4)+MID(BN34,11,1)*POWER(2,5)+MID(BN34,10,1)*POWER(2,6)+MID(BN34,9,1)*POWER(2,7)+MID(BN34,8,1)*POWER(2,8)+MID(BN34,7,1)*POWER(2,9)+MID(BN34,6,1)*POWER(2,10)+MID(BN34,5,1)*POWER(2,11)+MID(BN34,4,1)*POWER(2,12)+MID(BN34,3,1)*POWER(2,13)+MID(BN34,2,1)*POWER(2,14)+MID(BN34,1,1)*POWER(2,15)-(MID(BN35,16,1)*POWER(2,0)+MID(BN35,15,1)*POWER(2,1)+MID(BN35,14,1)*POWER(2,2)+MID(BN35,13,1)*POWER(2,3)+MID(BN35,12,1)*POWER(2,4)+MID(BN35,11,1)*POWER(2,5)+MID(BN35,10,1)*POWER(2,6)+MID(BN35,9,1)*POWER(2,7)+MID(BN35,8,1)*POWER(2,8)+MID(BN35,7,1)*POWER(2,9)+MID(BN35,6,1)*POWER(2,10)+MID(BN35,5,1)*POWER(2,11)+MID(BN35,4,1)*POWER(2,12)+MID(BN35,3,1)*POWER(2,13)+MID(BN35,2,1)*POWER(2,14)+MID(BN35,1,1)*POWER(2,15))</f>
        <v>994</v>
      </c>
      <c r="BQ34" s="77">
        <f>MID(BO34,16,1)*POWER(2,0)+MID(BO34,15,1)*POWER(2,1)+MID(BO34,14,1)*POWER(2,2)+MID(BO34,13,1)*POWER(2,3)+MID(BO34,12,1)*POWER(2,4)+MID(BO34,11,1)*POWER(2,5)+MID(BO34,10,1)*POWER(2,6)+MID(BO34,9,1)*POWER(2,7)+MID(BO34,8,1)*POWER(2,8)+MID(BO34,7,1)*POWER(2,9)+MID(BO34,6,1)*POWER(2,10)+MID(BO34,5,1)*POWER(2,11)+MID(BO34,4,1)*POWER(2,12)+MID(BO34,3,1)*POWER(2,13)+MID(BO34,2,1)*POWER(2,14)+MID(BO34,1,1)*POWER(2,15)-(MID(BO35,16,1)*POWER(2,0)+MID(BO35,15,1)*POWER(2,1)+MID(BO35,14,1)*POWER(2,2)+MID(BO35,13,1)*POWER(2,3)+MID(BO35,12,1)*POWER(2,4)+MID(BO35,11,1)*POWER(2,5)+MID(BO35,10,1)*POWER(2,6)+MID(BO35,9,1)*POWER(2,7)+MID(BO35,8,1)*POWER(2,8)+MID(BO35,7,1)*POWER(2,9)+MID(BO35,6,1)*POWER(2,10)+MID(BO35,5,1)*POWER(2,11)+MID(BO35,4,1)*POWER(2,12)+MID(BO35,3,1)*POWER(2,13)+MID(BO35,2,1)*POWER(2,14)+MID(BO35,1,1)*POWER(2,15))</f>
        <v>54556</v>
      </c>
      <c r="BR34" s="45" t="str">
        <f>CONCATENATE(MID($L34,1,1)*MID($K24,1,1),MID($L34,2,1)*MID($K24,2,1),MID($L34,3,1)*MID($K24,3,1),MID($L34,4,1)*MID($K24,4,1),MID($L34,5,1)*MID($K24,5,1),MID($L34,6,1)*MID($K24,6,1),MID($L34,7,1)*MID($K24,7,1),MID($L34,8,1)*MID($K24,8,1),MID($L34,9,1)*MID($K24,1,1),MID($L34,10,1)*MID($K24,2,1),MID($L34,11,1)*MID($K24,3,1),MID($L34,12,1)*MID($K24,4,1),MID($L34,13,1)*MID($K24,5,1),MID($L34,14,1)*MID($K24,6,1),MID($L34,15,1)*MID($K24,7,1),MID($L34,16,1)*MID($K24,8,1),MID($L34,17,1)*MID($K24,1,1),MID($L34,18,1)*MID($K24,2,1),MID($L34,19,1)*MID($K24,3,1),MID($L34,20,1)*MID($K24,4,1),MID($L34,21,1)*MID($K24,5,1),MID($L34,22,1)*MID($K24,6,1),MID($L34,23,1)*MID($K24,7,1),MID($L34,24,1)*MID($K24,8,1),MID($L34,25,1)*MID($K24,1,1),MID($L34,26,1)*MID($K24,2,1),MID($L34,27,1)*MID($K24,3,1),MID($L34,28,1)*MID($K24,4,1),MID($L34,29,1)*MID($K24,5,1),MID($L34,30,1)*MID($K24,6,1),MID($L34,31,1)*MID($K24,7,1),MID($L34,32,1)*MID($K24,8,1))</f>
        <v>01100001001000010100001001100010</v>
      </c>
      <c r="BS34" s="26" t="str">
        <f t="shared" si="50"/>
        <v>01100001</v>
      </c>
      <c r="BT34" s="26" t="str">
        <f t="shared" si="51"/>
        <v>00100001</v>
      </c>
      <c r="BU34" s="26" t="str">
        <f t="shared" si="52"/>
        <v>01000010</v>
      </c>
      <c r="BV34" s="26" t="str">
        <f t="shared" si="53"/>
        <v>01100010</v>
      </c>
      <c r="BW34" s="77">
        <f>BIN2DEC(BS34)-BIN2DEC(BS35)</f>
        <v>-144</v>
      </c>
      <c r="BX34" s="77">
        <f>BIN2DEC(BT34)-BIN2DEC(BT35)</f>
        <v>-46</v>
      </c>
      <c r="BY34" s="77">
        <f>BIN2DEC(BU34)-BIN2DEC(BU35)</f>
        <v>-91</v>
      </c>
      <c r="BZ34" s="77">
        <f>BIN2DEC(BV34)-BIN2DEC(BV35)</f>
        <v>-128</v>
      </c>
      <c r="CA34" s="27" t="str">
        <f t="shared" si="54"/>
        <v>0110</v>
      </c>
      <c r="CB34" s="27" t="str">
        <f t="shared" si="55"/>
        <v>0101</v>
      </c>
      <c r="CC34" s="27" t="str">
        <f t="shared" si="56"/>
        <v>0010</v>
      </c>
      <c r="CD34" s="27" t="str">
        <f t="shared" si="57"/>
        <v>0101</v>
      </c>
      <c r="CE34" s="27" t="str">
        <f t="shared" si="58"/>
        <v>1101</v>
      </c>
      <c r="CF34" s="27" t="str">
        <f t="shared" si="59"/>
        <v>0110</v>
      </c>
      <c r="CG34" s="27" t="str">
        <f t="shared" si="60"/>
        <v>0111</v>
      </c>
      <c r="CH34" s="27" t="str">
        <f t="shared" si="61"/>
        <v>1110</v>
      </c>
      <c r="CI34" s="77">
        <f>BIN2DEC(CA34)-BIN2DEC(CA35)</f>
        <v>-9</v>
      </c>
      <c r="CJ34" s="77">
        <f t="shared" ref="CJ34:CO34" si="246">BIN2DEC(CB34)-BIN2DEC(CB35)</f>
        <v>4</v>
      </c>
      <c r="CK34" s="77">
        <f t="shared" si="246"/>
        <v>-2</v>
      </c>
      <c r="CL34" s="77">
        <f t="shared" si="246"/>
        <v>-10</v>
      </c>
      <c r="CM34" s="77">
        <f t="shared" si="246"/>
        <v>4</v>
      </c>
      <c r="CN34" s="77">
        <f t="shared" si="246"/>
        <v>-7</v>
      </c>
      <c r="CO34" s="77">
        <f t="shared" si="246"/>
        <v>-7</v>
      </c>
      <c r="CP34" s="77">
        <f>BIN2DEC(CH34)-BIN2DEC(CH35)</f>
        <v>12</v>
      </c>
      <c r="CQ34" s="26" t="str">
        <f t="shared" si="9"/>
        <v>0110000100100001</v>
      </c>
      <c r="CR34" s="26" t="str">
        <f t="shared" si="10"/>
        <v>0100001001100010</v>
      </c>
      <c r="CS34" s="77">
        <f>MID(CQ34,16,1)*POWER(2,0)+MID(CQ34,15,1)*POWER(2,1)+MID(CQ34,14,1)*POWER(2,2)+MID(CQ34,13,1)*POWER(2,3)+MID(CQ34,12,1)*POWER(2,4)+MID(CQ34,11,1)*POWER(2,5)+MID(CQ34,10,1)*POWER(2,6)+MID(CQ34,9,1)*POWER(2,7)+MID(CQ34,8,1)*POWER(2,8)+MID(CQ34,7,1)*POWER(2,9)+MID(CQ34,6,1)*POWER(2,10)+MID(CQ34,5,1)*POWER(2,11)+MID(CQ34,4,1)*POWER(2,12)+MID(CQ34,3,1)*POWER(2,13)+MID(CQ34,2,1)*POWER(2,14)+MID(CQ34,1,1)*POWER(2,15)-(MID(CQ35,16,1)*POWER(2,0)+MID(CQ35,15,1)*POWER(2,1)+MID(CQ35,14,1)*POWER(2,2)+MID(CQ35,13,1)*POWER(2,3)+MID(CQ35,12,1)*POWER(2,4)+MID(CQ35,11,1)*POWER(2,5)+MID(CQ35,10,1)*POWER(2,6)+MID(CQ35,9,1)*POWER(2,7)+MID(CQ35,8,1)*POWER(2,8)+MID(CQ35,7,1)*POWER(2,9)+MID(CQ35,6,1)*POWER(2,10)+MID(CQ35,5,1)*POWER(2,11)+MID(CQ35,4,1)*POWER(2,12)+MID(CQ35,3,1)*POWER(2,13)+MID(CQ35,2,1)*POWER(2,14)+MID(CQ35,1,1)*POWER(2,15))</f>
        <v>-36910</v>
      </c>
      <c r="CT34" s="77">
        <f>MID(CR34,16,1)*POWER(2,0)+MID(CR34,15,1)*POWER(2,1)+MID(CR34,14,1)*POWER(2,2)+MID(CR34,13,1)*POWER(2,3)+MID(CR34,12,1)*POWER(2,4)+MID(CR34,11,1)*POWER(2,5)+MID(CR34,10,1)*POWER(2,6)+MID(CR34,9,1)*POWER(2,7)+MID(CR34,8,1)*POWER(2,8)+MID(CR34,7,1)*POWER(2,9)+MID(CR34,6,1)*POWER(2,10)+MID(CR34,5,1)*POWER(2,11)+MID(CR34,4,1)*POWER(2,12)+MID(CR34,3,1)*POWER(2,13)+MID(CR34,2,1)*POWER(2,14)+MID(CR34,1,1)*POWER(2,15)-(MID(CR35,16,1)*POWER(2,0)+MID(CR35,15,1)*POWER(2,1)+MID(CR35,14,1)*POWER(2,2)+MID(CR35,13,1)*POWER(2,3)+MID(CR35,12,1)*POWER(2,4)+MID(CR35,11,1)*POWER(2,5)+MID(CR35,10,1)*POWER(2,6)+MID(CR35,9,1)*POWER(2,7)+MID(CR35,8,1)*POWER(2,8)+MID(CR35,7,1)*POWER(2,9)+MID(CR35,6,1)*POWER(2,10)+MID(CR35,5,1)*POWER(2,11)+MID(CR35,4,1)*POWER(2,12)+MID(CR35,3,1)*POWER(2,13)+MID(CR35,2,1)*POWER(2,14)+MID(CR35,1,1)*POWER(2,15))</f>
        <v>-23424</v>
      </c>
      <c r="CU34" s="45" t="str">
        <f>BR34</f>
        <v>01100001001000010100001001100010</v>
      </c>
      <c r="CV34" s="26" t="str">
        <f t="shared" si="62"/>
        <v>01100001</v>
      </c>
      <c r="CW34" s="26" t="str">
        <f t="shared" si="63"/>
        <v>00100001</v>
      </c>
      <c r="CX34" s="26" t="str">
        <f t="shared" si="64"/>
        <v>01000010</v>
      </c>
      <c r="CY34" s="26" t="str">
        <f t="shared" si="65"/>
        <v>01100010</v>
      </c>
      <c r="CZ34" s="77">
        <f>BIN2DEC(CV34)-BIN2DEC(CV35)</f>
        <v>0</v>
      </c>
      <c r="DA34" s="77">
        <f>BIN2DEC(CW34)-BIN2DEC(CW35)</f>
        <v>-34</v>
      </c>
      <c r="DB34" s="77">
        <f>BIN2DEC(CX34)-BIN2DEC(CX35)</f>
        <v>65</v>
      </c>
      <c r="DC34" s="77">
        <f>BIN2DEC(CY34)-BIN2DEC(CY35)</f>
        <v>0</v>
      </c>
      <c r="DD34" s="27" t="str">
        <f t="shared" si="66"/>
        <v>0110</v>
      </c>
      <c r="DE34" s="27" t="str">
        <f t="shared" si="67"/>
        <v>0101</v>
      </c>
      <c r="DF34" s="27" t="str">
        <f t="shared" si="68"/>
        <v>0010</v>
      </c>
      <c r="DG34" s="27" t="str">
        <f t="shared" si="69"/>
        <v>0101</v>
      </c>
      <c r="DH34" s="27" t="str">
        <f t="shared" si="70"/>
        <v>1101</v>
      </c>
      <c r="DI34" s="27" t="str">
        <f t="shared" si="71"/>
        <v>0110</v>
      </c>
      <c r="DJ34" s="27" t="str">
        <f t="shared" si="72"/>
        <v>0111</v>
      </c>
      <c r="DK34" s="27" t="str">
        <f t="shared" si="73"/>
        <v>1110</v>
      </c>
      <c r="DL34" s="77">
        <f>BIN2DEC(DD34)-BIN2DEC(DD35)</f>
        <v>-9</v>
      </c>
      <c r="DM34" s="77">
        <f t="shared" ref="DM34:DR34" si="247">BIN2DEC(DE34)-BIN2DEC(DE35)</f>
        <v>4</v>
      </c>
      <c r="DN34" s="77">
        <f t="shared" si="247"/>
        <v>-2</v>
      </c>
      <c r="DO34" s="77">
        <f t="shared" si="247"/>
        <v>-10</v>
      </c>
      <c r="DP34" s="77">
        <f t="shared" si="247"/>
        <v>4</v>
      </c>
      <c r="DQ34" s="77">
        <f t="shared" si="247"/>
        <v>-7</v>
      </c>
      <c r="DR34" s="77">
        <f t="shared" si="247"/>
        <v>-7</v>
      </c>
      <c r="DS34" s="77">
        <f>BIN2DEC(DK34)-BIN2DEC(DK35)</f>
        <v>12</v>
      </c>
      <c r="DT34" s="26" t="str">
        <f t="shared" si="12"/>
        <v>0110000100100001</v>
      </c>
      <c r="DU34" s="26" t="str">
        <f t="shared" si="13"/>
        <v>0100001001100010</v>
      </c>
      <c r="DV34" s="77">
        <f>MID(DT34,16,1)*POWER(2,0)+MID(DT34,15,1)*POWER(2,1)+MID(DT34,14,1)*POWER(2,2)+MID(DT34,13,1)*POWER(2,3)+MID(DT34,12,1)*POWER(2,4)+MID(DT34,11,1)*POWER(2,5)+MID(DT34,10,1)*POWER(2,6)+MID(DT34,9,1)*POWER(2,7)+MID(DT34,8,1)*POWER(2,8)+MID(DT34,7,1)*POWER(2,9)+MID(DT34,6,1)*POWER(2,10)+MID(DT34,5,1)*POWER(2,11)+MID(DT34,4,1)*POWER(2,12)+MID(DT34,3,1)*POWER(2,13)+MID(DT34,2,1)*POWER(2,14)+MID(DT34,1,1)*POWER(2,15)-(MID(DT35,16,1)*POWER(2,0)+MID(DT35,15,1)*POWER(2,1)+MID(DT35,14,1)*POWER(2,2)+MID(DT35,13,1)*POWER(2,3)+MID(DT35,12,1)*POWER(2,4)+MID(DT35,11,1)*POWER(2,5)+MID(DT35,10,1)*POWER(2,6)+MID(DT35,9,1)*POWER(2,7)+MID(DT35,8,1)*POWER(2,8)+MID(DT35,7,1)*POWER(2,9)+MID(DT35,6,1)*POWER(2,10)+MID(DT35,5,1)*POWER(2,11)+MID(DT35,4,1)*POWER(2,12)+MID(DT35,3,1)*POWER(2,13)+MID(DT35,2,1)*POWER(2,14)+MID(DT35,1,1)*POWER(2,15))</f>
        <v>-34</v>
      </c>
      <c r="DW34" s="77">
        <f>MID(DU34,16,1)*POWER(2,0)+MID(DU34,15,1)*POWER(2,1)+MID(DU34,14,1)*POWER(2,2)+MID(DU34,13,1)*POWER(2,3)+MID(DU34,12,1)*POWER(2,4)+MID(DU34,11,1)*POWER(2,5)+MID(DU34,10,1)*POWER(2,6)+MID(DU34,9,1)*POWER(2,7)+MID(DU34,8,1)*POWER(2,8)+MID(DU34,7,1)*POWER(2,9)+MID(DU34,6,1)*POWER(2,10)+MID(DU34,5,1)*POWER(2,11)+MID(DU34,4,1)*POWER(2,12)+MID(DU34,3,1)*POWER(2,13)+MID(DU34,2,1)*POWER(2,14)+MID(DU34,1,1)*POWER(2,15)-(MID(DU35,16,1)*POWER(2,0)+MID(DU35,15,1)*POWER(2,1)+MID(DU35,14,1)*POWER(2,2)+MID(DU35,13,1)*POWER(2,3)+MID(DU35,12,1)*POWER(2,4)+MID(DU35,11,1)*POWER(2,5)+MID(DU35,10,1)*POWER(2,6)+MID(DU35,9,1)*POWER(2,7)+MID(DU35,8,1)*POWER(2,8)+MID(DU35,7,1)*POWER(2,9)+MID(DU35,6,1)*POWER(2,10)+MID(DU35,5,1)*POWER(2,11)+MID(DU35,4,1)*POWER(2,12)+MID(DU35,3,1)*POWER(2,13)+MID(DU35,2,1)*POWER(2,14)+MID(DU35,1,1)*POWER(2,15))</f>
        <v>16640</v>
      </c>
      <c r="DX34" s="22"/>
      <c r="DY34" s="43" t="str">
        <f>H34</f>
        <v>01100101001001011101011001111110</v>
      </c>
      <c r="DZ34" s="26" t="str">
        <f t="shared" si="122"/>
        <v>01100101</v>
      </c>
      <c r="EA34" s="26" t="str">
        <f t="shared" si="74"/>
        <v>00100101</v>
      </c>
      <c r="EB34" s="26" t="str">
        <f t="shared" si="75"/>
        <v>11010110</v>
      </c>
      <c r="EC34" s="26" t="str">
        <f t="shared" si="76"/>
        <v>01111110</v>
      </c>
      <c r="ED34" s="77">
        <f>BIN2DEC(DZ34)-BIN2DEC(DZ35)</f>
        <v>84</v>
      </c>
      <c r="EE34" s="77">
        <f>BIN2DEC(EA34)-BIN2DEC(EA35)</f>
        <v>26</v>
      </c>
      <c r="EF34" s="77">
        <f>BIN2DEC(EB34)-BIN2DEC(EB35)</f>
        <v>189</v>
      </c>
      <c r="EG34" s="77">
        <f>BIN2DEC(EC34)-BIN2DEC(EC35)</f>
        <v>124</v>
      </c>
      <c r="EH34" s="27" t="str">
        <f t="shared" si="77"/>
        <v>0110</v>
      </c>
      <c r="EI34" s="27" t="str">
        <f t="shared" si="78"/>
        <v>0101</v>
      </c>
      <c r="EJ34" s="27" t="str">
        <f t="shared" si="79"/>
        <v>0010</v>
      </c>
      <c r="EK34" s="27" t="str">
        <f t="shared" si="80"/>
        <v>0101</v>
      </c>
      <c r="EL34" s="27" t="str">
        <f t="shared" si="81"/>
        <v>1101</v>
      </c>
      <c r="EM34" s="27" t="str">
        <f t="shared" si="82"/>
        <v>0110</v>
      </c>
      <c r="EN34" s="27" t="str">
        <f t="shared" si="83"/>
        <v>0111</v>
      </c>
      <c r="EO34" s="27" t="str">
        <f t="shared" si="84"/>
        <v>1110</v>
      </c>
      <c r="EP34" s="77">
        <f>BIN2DEC(EH34)-BIN2DEC(EH35)</f>
        <v>-9</v>
      </c>
      <c r="EQ34" s="77">
        <f t="shared" ref="EQ34:EV34" si="248">BIN2DEC(EI34)-BIN2DEC(EI35)</f>
        <v>4</v>
      </c>
      <c r="ER34" s="77">
        <f t="shared" si="248"/>
        <v>-2</v>
      </c>
      <c r="ES34" s="77">
        <f t="shared" si="248"/>
        <v>-10</v>
      </c>
      <c r="ET34" s="77">
        <f t="shared" si="248"/>
        <v>4</v>
      </c>
      <c r="EU34" s="77">
        <f t="shared" si="248"/>
        <v>-7</v>
      </c>
      <c r="EV34" s="77">
        <f t="shared" si="248"/>
        <v>-7</v>
      </c>
      <c r="EW34" s="77">
        <f>BIN2DEC(EO34)-BIN2DEC(EO35)</f>
        <v>12</v>
      </c>
      <c r="EX34" s="26" t="str">
        <f t="shared" si="15"/>
        <v>0110010100100101</v>
      </c>
      <c r="EY34" s="26" t="str">
        <f t="shared" si="16"/>
        <v>1101011001111110</v>
      </c>
      <c r="EZ34" s="77">
        <f>MID(EX34,16,1)*POWER(2,0)+MID(EX34,15,1)*POWER(2,1)+MID(EX34,14,1)*POWER(2,2)+MID(EX34,13,1)*POWER(2,3)+MID(EX34,12,1)*POWER(2,4)+MID(EX34,11,1)*POWER(2,5)+MID(EX34,10,1)*POWER(2,6)+MID(EX34,9,1)*POWER(2,7)+MID(EX34,8,1)*POWER(2,8)+MID(EX34,7,1)*POWER(2,9)+MID(EX34,6,1)*POWER(2,10)+MID(EX34,5,1)*POWER(2,11)+MID(EX34,4,1)*POWER(2,12)+MID(EX34,3,1)*POWER(2,13)+MID(EX34,2,1)*POWER(2,14)+MID(EX34,1,1)*POWER(2,15)-(MID(EX35,16,1)*POWER(2,0)+MID(EX35,15,1)*POWER(2,1)+MID(EX35,14,1)*POWER(2,2)+MID(EX35,13,1)*POWER(2,3)+MID(EX35,12,1)*POWER(2,4)+MID(EX35,11,1)*POWER(2,5)+MID(EX35,10,1)*POWER(2,6)+MID(EX35,9,1)*POWER(2,7)+MID(EX35,8,1)*POWER(2,8)+MID(EX35,7,1)*POWER(2,9)+MID(EX35,6,1)*POWER(2,10)+MID(EX35,5,1)*POWER(2,11)+MID(EX35,4,1)*POWER(2,12)+MID(EX35,3,1)*POWER(2,13)+MID(EX35,2,1)*POWER(2,14)+MID(EX35,1,1)*POWER(2,15))</f>
        <v>21530</v>
      </c>
      <c r="FA34" s="77">
        <f>MID(EY34,16,1)*POWER(2,0)+MID(EY34,15,1)*POWER(2,1)+MID(EY34,14,1)*POWER(2,2)+MID(EY34,13,1)*POWER(2,3)+MID(EY34,12,1)*POWER(2,4)+MID(EY34,11,1)*POWER(2,5)+MID(EY34,10,1)*POWER(2,6)+MID(EY34,9,1)*POWER(2,7)+MID(EY34,8,1)*POWER(2,8)+MID(EY34,7,1)*POWER(2,9)+MID(EY34,6,1)*POWER(2,10)+MID(EY34,5,1)*POWER(2,11)+MID(EY34,4,1)*POWER(2,12)+MID(EY34,3,1)*POWER(2,13)+MID(EY34,2,1)*POWER(2,14)+MID(EY34,1,1)*POWER(2,15)-(MID(EY35,16,1)*POWER(2,0)+MID(EY35,15,1)*POWER(2,1)+MID(EY35,14,1)*POWER(2,2)+MID(EY35,13,1)*POWER(2,3)+MID(EY35,12,1)*POWER(2,4)+MID(EY35,11,1)*POWER(2,5)+MID(EY35,10,1)*POWER(2,6)+MID(EY35,9,1)*POWER(2,7)+MID(EY35,8,1)*POWER(2,8)+MID(EY35,7,1)*POWER(2,9)+MID(EY35,6,1)*POWER(2,10)+MID(EY35,5,1)*POWER(2,11)+MID(EY35,4,1)*POWER(2,12)+MID(EY35,3,1)*POWER(2,13)+MID(EY35,2,1)*POWER(2,14)+MID(EY35,1,1)*POWER(2,15))</f>
        <v>48508</v>
      </c>
      <c r="FB34" s="45" t="str">
        <f>H34</f>
        <v>01100101001001011101011001111110</v>
      </c>
      <c r="FC34" s="26" t="str">
        <f t="shared" si="124"/>
        <v>01100101</v>
      </c>
      <c r="FD34" s="26" t="str">
        <f t="shared" si="85"/>
        <v>00100101</v>
      </c>
      <c r="FE34" s="26" t="str">
        <f t="shared" si="86"/>
        <v>11010110</v>
      </c>
      <c r="FF34" s="26" t="str">
        <f t="shared" si="87"/>
        <v>01111110</v>
      </c>
      <c r="FG34" s="77">
        <f>BIN2DEC(FC34)-BIN2DEC(FC35)</f>
        <v>100</v>
      </c>
      <c r="FH34" s="77">
        <f>BIN2DEC(FD34)-BIN2DEC(FD35)</f>
        <v>34</v>
      </c>
      <c r="FI34" s="77">
        <f>BIN2DEC(FE34)-BIN2DEC(FE35)</f>
        <v>213</v>
      </c>
      <c r="FJ34" s="77">
        <f>BIN2DEC(FF34)-BIN2DEC(FF35)</f>
        <v>124</v>
      </c>
      <c r="FK34" s="27" t="str">
        <f t="shared" si="88"/>
        <v>0110</v>
      </c>
      <c r="FL34" s="27" t="str">
        <f t="shared" si="89"/>
        <v>0101</v>
      </c>
      <c r="FM34" s="27" t="str">
        <f t="shared" si="90"/>
        <v>0010</v>
      </c>
      <c r="FN34" s="27" t="str">
        <f t="shared" si="91"/>
        <v>0101</v>
      </c>
      <c r="FO34" s="27" t="str">
        <f t="shared" si="92"/>
        <v>1101</v>
      </c>
      <c r="FP34" s="27" t="str">
        <f t="shared" si="93"/>
        <v>0110</v>
      </c>
      <c r="FQ34" s="27" t="str">
        <f t="shared" si="94"/>
        <v>0111</v>
      </c>
      <c r="FR34" s="27" t="str">
        <f t="shared" si="95"/>
        <v>1110</v>
      </c>
      <c r="FS34" s="77">
        <f>BIN2DEC(FK34)-BIN2DEC(FK35)</f>
        <v>-9</v>
      </c>
      <c r="FT34" s="77">
        <f t="shared" ref="FT34:FY34" si="249">BIN2DEC(FL34)-BIN2DEC(FL35)</f>
        <v>4</v>
      </c>
      <c r="FU34" s="77">
        <f t="shared" si="249"/>
        <v>-2</v>
      </c>
      <c r="FV34" s="77">
        <f t="shared" si="249"/>
        <v>-10</v>
      </c>
      <c r="FW34" s="77">
        <f t="shared" si="249"/>
        <v>4</v>
      </c>
      <c r="FX34" s="77">
        <f t="shared" si="249"/>
        <v>-7</v>
      </c>
      <c r="FY34" s="77">
        <f t="shared" si="249"/>
        <v>-7</v>
      </c>
      <c r="FZ34" s="77">
        <f>BIN2DEC(FR34)-BIN2DEC(FR35)</f>
        <v>12</v>
      </c>
      <c r="GA34" s="26" t="str">
        <f t="shared" si="18"/>
        <v>0110010100100101</v>
      </c>
      <c r="GB34" s="26" t="str">
        <f t="shared" si="19"/>
        <v>1101011001111110</v>
      </c>
      <c r="GC34" s="77">
        <f>MID(GA34,16,1)*POWER(2,0)+MID(GA34,15,1)*POWER(2,1)+MID(GA34,14,1)*POWER(2,2)+MID(GA34,13,1)*POWER(2,3)+MID(GA34,12,1)*POWER(2,4)+MID(GA34,11,1)*POWER(2,5)+MID(GA34,10,1)*POWER(2,6)+MID(GA34,9,1)*POWER(2,7)+MID(GA34,8,1)*POWER(2,8)+MID(GA34,7,1)*POWER(2,9)+MID(GA34,6,1)*POWER(2,10)+MID(GA34,5,1)*POWER(2,11)+MID(GA34,4,1)*POWER(2,12)+MID(GA34,3,1)*POWER(2,13)+MID(GA34,2,1)*POWER(2,14)+MID(GA34,1,1)*POWER(2,15)-(MID(GA35,16,1)*POWER(2,0)+MID(GA35,15,1)*POWER(2,1)+MID(GA35,14,1)*POWER(2,2)+MID(GA35,13,1)*POWER(2,3)+MID(GA35,12,1)*POWER(2,4)+MID(GA35,11,1)*POWER(2,5)+MID(GA35,10,1)*POWER(2,6)+MID(GA35,9,1)*POWER(2,7)+MID(GA35,8,1)*POWER(2,8)+MID(GA35,7,1)*POWER(2,9)+MID(GA35,6,1)*POWER(2,10)+MID(GA35,5,1)*POWER(2,11)+MID(GA35,4,1)*POWER(2,12)+MID(GA35,3,1)*POWER(2,13)+MID(GA35,2,1)*POWER(2,14)+MID(GA35,1,1)*POWER(2,15))</f>
        <v>25634</v>
      </c>
      <c r="GD34" s="77">
        <f>MID(GB34,16,1)*POWER(2,0)+MID(GB34,15,1)*POWER(2,1)+MID(GB34,14,1)*POWER(2,2)+MID(GB34,13,1)*POWER(2,3)+MID(GB34,12,1)*POWER(2,4)+MID(GB34,11,1)*POWER(2,5)+MID(GB34,10,1)*POWER(2,6)+MID(GB34,9,1)*POWER(2,7)+MID(GB34,8,1)*POWER(2,8)+MID(GB34,7,1)*POWER(2,9)+MID(GB34,6,1)*POWER(2,10)+MID(GB34,5,1)*POWER(2,11)+MID(GB34,4,1)*POWER(2,12)+MID(GB34,3,1)*POWER(2,13)+MID(GB34,2,1)*POWER(2,14)+MID(GB34,1,1)*POWER(2,15)-(MID(GB35,16,1)*POWER(2,0)+MID(GB35,15,1)*POWER(2,1)+MID(GB35,14,1)*POWER(2,2)+MID(GB35,13,1)*POWER(2,3)+MID(GB35,12,1)*POWER(2,4)+MID(GB35,11,1)*POWER(2,5)+MID(GB35,10,1)*POWER(2,6)+MID(GB35,9,1)*POWER(2,7)+MID(GB35,8,1)*POWER(2,8)+MID(GB35,7,1)*POWER(2,9)+MID(GB35,6,1)*POWER(2,10)+MID(GB35,5,1)*POWER(2,11)+MID(GB35,4,1)*POWER(2,12)+MID(GB35,3,1)*POWER(2,13)+MID(GB35,2,1)*POWER(2,14)+MID(GB35,1,1)*POWER(2,15))</f>
        <v>54652</v>
      </c>
      <c r="GE34" s="47" t="str">
        <f>CU34</f>
        <v>01100001001000010100001001100010</v>
      </c>
      <c r="GF34" s="26" t="str">
        <f t="shared" si="126"/>
        <v>01100001</v>
      </c>
      <c r="GG34" s="26" t="str">
        <f t="shared" si="96"/>
        <v>00100001</v>
      </c>
      <c r="GH34" s="26" t="str">
        <f t="shared" si="97"/>
        <v>01000010</v>
      </c>
      <c r="GI34" s="26" t="str">
        <f t="shared" si="98"/>
        <v>01100010</v>
      </c>
      <c r="GJ34" s="77">
        <f>BIN2DEC(GF34)-BIN2DEC(GF35)</f>
        <v>80</v>
      </c>
      <c r="GK34" s="77">
        <f>BIN2DEC(GG34)-BIN2DEC(GG35)</f>
        <v>22</v>
      </c>
      <c r="GL34" s="77">
        <f>BIN2DEC(GH34)-BIN2DEC(GH35)</f>
        <v>41</v>
      </c>
      <c r="GM34" s="77">
        <f>BIN2DEC(GI34)-BIN2DEC(GI35)</f>
        <v>96</v>
      </c>
      <c r="GN34" s="27" t="str">
        <f t="shared" si="99"/>
        <v>0110</v>
      </c>
      <c r="GO34" s="27" t="str">
        <f t="shared" si="100"/>
        <v>0101</v>
      </c>
      <c r="GP34" s="27" t="str">
        <f t="shared" si="101"/>
        <v>0010</v>
      </c>
      <c r="GQ34" s="27" t="str">
        <f t="shared" si="102"/>
        <v>0101</v>
      </c>
      <c r="GR34" s="27" t="str">
        <f t="shared" si="103"/>
        <v>1101</v>
      </c>
      <c r="GS34" s="27" t="str">
        <f t="shared" si="104"/>
        <v>0110</v>
      </c>
      <c r="GT34" s="27" t="str">
        <f t="shared" si="105"/>
        <v>0111</v>
      </c>
      <c r="GU34" s="27" t="str">
        <f t="shared" si="106"/>
        <v>1110</v>
      </c>
      <c r="GV34" s="77">
        <f>BIN2DEC(GN34)-BIN2DEC(GN35)</f>
        <v>-9</v>
      </c>
      <c r="GW34" s="77">
        <f t="shared" ref="GW34:HB34" si="250">BIN2DEC(GO34)-BIN2DEC(GO35)</f>
        <v>4</v>
      </c>
      <c r="GX34" s="77">
        <f t="shared" si="250"/>
        <v>-2</v>
      </c>
      <c r="GY34" s="77">
        <f t="shared" si="250"/>
        <v>-10</v>
      </c>
      <c r="GZ34" s="77">
        <f t="shared" si="250"/>
        <v>4</v>
      </c>
      <c r="HA34" s="77">
        <f t="shared" si="250"/>
        <v>-7</v>
      </c>
      <c r="HB34" s="77">
        <f t="shared" si="250"/>
        <v>-7</v>
      </c>
      <c r="HC34" s="77">
        <f>BIN2DEC(GU34)-BIN2DEC(GU35)</f>
        <v>12</v>
      </c>
      <c r="HD34" s="26" t="str">
        <f t="shared" si="21"/>
        <v>0110000100100001</v>
      </c>
      <c r="HE34" s="26" t="str">
        <f t="shared" si="22"/>
        <v>0100001001100010</v>
      </c>
      <c r="HF34" s="77">
        <f>MID(HD34,16,1)*POWER(2,0)+MID(HD34,15,1)*POWER(2,1)+MID(HD34,14,1)*POWER(2,2)+MID(HD34,13,1)*POWER(2,3)+MID(HD34,12,1)*POWER(2,4)+MID(HD34,11,1)*POWER(2,5)+MID(HD34,10,1)*POWER(2,6)+MID(HD34,9,1)*POWER(2,7)+MID(HD34,8,1)*POWER(2,8)+MID(HD34,7,1)*POWER(2,9)+MID(HD34,6,1)*POWER(2,10)+MID(HD34,5,1)*POWER(2,11)+MID(HD34,4,1)*POWER(2,12)+MID(HD34,3,1)*POWER(2,13)+MID(HD34,2,1)*POWER(2,14)+MID(HD34,1,1)*POWER(2,15)-(MID(HD35,16,1)*POWER(2,0)+MID(HD35,15,1)*POWER(2,1)+MID(HD35,14,1)*POWER(2,2)+MID(HD35,13,1)*POWER(2,3)+MID(HD35,12,1)*POWER(2,4)+MID(HD35,11,1)*POWER(2,5)+MID(HD35,10,1)*POWER(2,6)+MID(HD35,9,1)*POWER(2,7)+MID(HD35,8,1)*POWER(2,8)+MID(HD35,7,1)*POWER(2,9)+MID(HD35,6,1)*POWER(2,10)+MID(HD35,5,1)*POWER(2,11)+MID(HD35,4,1)*POWER(2,12)+MID(HD35,3,1)*POWER(2,13)+MID(HD35,2,1)*POWER(2,14)+MID(HD35,1,1)*POWER(2,15))</f>
        <v>20502</v>
      </c>
      <c r="HG34" s="77">
        <f>MID(HE34,16,1)*POWER(2,0)+MID(HE34,15,1)*POWER(2,1)+MID(HE34,14,1)*POWER(2,2)+MID(HE34,13,1)*POWER(2,3)+MID(HE34,12,1)*POWER(2,4)+MID(HE34,11,1)*POWER(2,5)+MID(HE34,10,1)*POWER(2,6)+MID(HE34,9,1)*POWER(2,7)+MID(HE34,8,1)*POWER(2,8)+MID(HE34,7,1)*POWER(2,9)+MID(HE34,6,1)*POWER(2,10)+MID(HE34,5,1)*POWER(2,11)+MID(HE34,4,1)*POWER(2,12)+MID(HE34,3,1)*POWER(2,13)+MID(HE34,2,1)*POWER(2,14)+MID(HE34,1,1)*POWER(2,15)-(MID(HE35,16,1)*POWER(2,0)+MID(HE35,15,1)*POWER(2,1)+MID(HE35,14,1)*POWER(2,2)+MID(HE35,13,1)*POWER(2,3)+MID(HE35,12,1)*POWER(2,4)+MID(HE35,11,1)*POWER(2,5)+MID(HE35,10,1)*POWER(2,6)+MID(HE35,9,1)*POWER(2,7)+MID(HE35,8,1)*POWER(2,8)+MID(HE35,7,1)*POWER(2,9)+MID(HE35,6,1)*POWER(2,10)+MID(HE35,5,1)*POWER(2,11)+MID(HE35,4,1)*POWER(2,12)+MID(HE35,3,1)*POWER(2,13)+MID(HE35,2,1)*POWER(2,14)+MID(HE35,1,1)*POWER(2,15))</f>
        <v>10592</v>
      </c>
      <c r="HH34" s="45" t="str">
        <f>GE34</f>
        <v>01100001001000010100001001100010</v>
      </c>
      <c r="HI34" s="26" t="str">
        <f t="shared" si="128"/>
        <v>01100001</v>
      </c>
      <c r="HJ34" s="26" t="str">
        <f t="shared" si="107"/>
        <v>00100001</v>
      </c>
      <c r="HK34" s="26" t="str">
        <f t="shared" si="108"/>
        <v>01000010</v>
      </c>
      <c r="HL34" s="26" t="str">
        <f t="shared" si="109"/>
        <v>01100010</v>
      </c>
      <c r="HM34" s="77">
        <f>BIN2DEC(HI34)-BIN2DEC(HI35)</f>
        <v>96</v>
      </c>
      <c r="HN34" s="77">
        <f>BIN2DEC(HJ34)-BIN2DEC(HJ35)</f>
        <v>30</v>
      </c>
      <c r="HO34" s="77">
        <f>BIN2DEC(HK34)-BIN2DEC(HK35)</f>
        <v>65</v>
      </c>
      <c r="HP34" s="77">
        <f>BIN2DEC(HL34)-BIN2DEC(HL35)</f>
        <v>96</v>
      </c>
      <c r="HQ34" s="27" t="str">
        <f t="shared" si="110"/>
        <v>0110</v>
      </c>
      <c r="HR34" s="27" t="str">
        <f t="shared" si="111"/>
        <v>0101</v>
      </c>
      <c r="HS34" s="27" t="str">
        <f t="shared" si="112"/>
        <v>0010</v>
      </c>
      <c r="HT34" s="27" t="str">
        <f t="shared" si="113"/>
        <v>0101</v>
      </c>
      <c r="HU34" s="27" t="str">
        <f t="shared" si="114"/>
        <v>1101</v>
      </c>
      <c r="HV34" s="27" t="str">
        <f t="shared" si="115"/>
        <v>0110</v>
      </c>
      <c r="HW34" s="27" t="str">
        <f t="shared" si="116"/>
        <v>0111</v>
      </c>
      <c r="HX34" s="27" t="str">
        <f t="shared" si="117"/>
        <v>1110</v>
      </c>
      <c r="HY34" s="77">
        <f>BIN2DEC(HQ34)-BIN2DEC(HQ35)</f>
        <v>-9</v>
      </c>
      <c r="HZ34" s="77">
        <f t="shared" ref="HZ34:IE34" si="251">BIN2DEC(HR34)-BIN2DEC(HR35)</f>
        <v>4</v>
      </c>
      <c r="IA34" s="77">
        <f t="shared" si="251"/>
        <v>-2</v>
      </c>
      <c r="IB34" s="77">
        <f t="shared" si="251"/>
        <v>-10</v>
      </c>
      <c r="IC34" s="77">
        <f t="shared" si="251"/>
        <v>4</v>
      </c>
      <c r="ID34" s="77">
        <f t="shared" si="251"/>
        <v>-7</v>
      </c>
      <c r="IE34" s="77">
        <f t="shared" si="251"/>
        <v>-7</v>
      </c>
      <c r="IF34" s="77">
        <f>BIN2DEC(HX34)-BIN2DEC(HX35)</f>
        <v>12</v>
      </c>
      <c r="IG34" s="26" t="str">
        <f t="shared" si="24"/>
        <v>0110000100100001</v>
      </c>
      <c r="IH34" s="26" t="str">
        <f t="shared" si="25"/>
        <v>0100001001100010</v>
      </c>
      <c r="II34" s="77">
        <f>MID(IG34,16,1)*POWER(2,0)+MID(IG34,15,1)*POWER(2,1)+MID(IG34,14,1)*POWER(2,2)+MID(IG34,13,1)*POWER(2,3)+MID(IG34,12,1)*POWER(2,4)+MID(IG34,11,1)*POWER(2,5)+MID(IG34,10,1)*POWER(2,6)+MID(IG34,9,1)*POWER(2,7)+MID(IG34,8,1)*POWER(2,8)+MID(IG34,7,1)*POWER(2,9)+MID(IG34,6,1)*POWER(2,10)+MID(IG34,5,1)*POWER(2,11)+MID(IG34,4,1)*POWER(2,12)+MID(IG34,3,1)*POWER(2,13)+MID(IG34,2,1)*POWER(2,14)+MID(IG34,1,1)*POWER(2,15)-(MID(IG35,16,1)*POWER(2,0)+MID(IG35,15,1)*POWER(2,1)+MID(IG35,14,1)*POWER(2,2)+MID(IG35,13,1)*POWER(2,3)+MID(IG35,12,1)*POWER(2,4)+MID(IG35,11,1)*POWER(2,5)+MID(IG35,10,1)*POWER(2,6)+MID(IG35,9,1)*POWER(2,7)+MID(IG35,8,1)*POWER(2,8)+MID(IG35,7,1)*POWER(2,9)+MID(IG35,6,1)*POWER(2,10)+MID(IG35,5,1)*POWER(2,11)+MID(IG35,4,1)*POWER(2,12)+MID(IG35,3,1)*POWER(2,13)+MID(IG35,2,1)*POWER(2,14)+MID(IG35,1,1)*POWER(2,15))</f>
        <v>24606</v>
      </c>
      <c r="IJ34" s="77">
        <f>MID(IH34,16,1)*POWER(2,0)+MID(IH34,15,1)*POWER(2,1)+MID(IH34,14,1)*POWER(2,2)+MID(IH34,13,1)*POWER(2,3)+MID(IH34,12,1)*POWER(2,4)+MID(IH34,11,1)*POWER(2,5)+MID(IH34,10,1)*POWER(2,6)+MID(IH34,9,1)*POWER(2,7)+MID(IH34,8,1)*POWER(2,8)+MID(IH34,7,1)*POWER(2,9)+MID(IH34,6,1)*POWER(2,10)+MID(IH34,5,1)*POWER(2,11)+MID(IH34,4,1)*POWER(2,12)+MID(IH34,3,1)*POWER(2,13)+MID(IH34,2,1)*POWER(2,14)+MID(IH34,1,1)*POWER(2,15)-(MID(IH35,16,1)*POWER(2,0)+MID(IH35,15,1)*POWER(2,1)+MID(IH35,14,1)*POWER(2,2)+MID(IH35,13,1)*POWER(2,3)+MID(IH35,12,1)*POWER(2,4)+MID(IH35,11,1)*POWER(2,5)+MID(IH35,10,1)*POWER(2,6)+MID(IH35,9,1)*POWER(2,7)+MID(IH35,8,1)*POWER(2,8)+MID(IH35,7,1)*POWER(2,9)+MID(IH35,6,1)*POWER(2,10)+MID(IH35,5,1)*POWER(2,11)+MID(IH35,4,1)*POWER(2,12)+MID(IH35,3,1)*POWER(2,13)+MID(IH35,2,1)*POWER(2,14)+MID(IH35,1,1)*POWER(2,15))</f>
        <v>16736</v>
      </c>
      <c r="IL34" s="26"/>
      <c r="IM34" s="26"/>
      <c r="IN34" s="26"/>
      <c r="IO34" s="26"/>
      <c r="IP34" s="22"/>
      <c r="IQ34" s="22"/>
      <c r="IR34" s="22"/>
      <c r="IS34" s="22"/>
      <c r="JB34" s="22"/>
      <c r="JC34" s="22"/>
      <c r="JD34" s="22"/>
      <c r="JE34" s="22"/>
      <c r="JF34" s="22"/>
      <c r="JG34" s="22"/>
      <c r="JH34" s="22"/>
      <c r="JI34" s="22"/>
      <c r="JJ34" s="26"/>
      <c r="JK34" s="26"/>
      <c r="JL34" s="22"/>
      <c r="JM34" s="22"/>
    </row>
    <row r="35" spans="1:273" s="31" customFormat="1" ht="18.600000000000001" thickBot="1" x14ac:dyDescent="0.4">
      <c r="A35" s="28"/>
      <c r="B35" s="29"/>
      <c r="C35" s="21" t="s">
        <v>6</v>
      </c>
      <c r="D35" s="21">
        <v>53</v>
      </c>
      <c r="E35" s="21" t="s">
        <v>84</v>
      </c>
      <c r="F35" s="21" t="s">
        <v>68</v>
      </c>
      <c r="G35" s="21" t="s">
        <v>149</v>
      </c>
      <c r="H35" s="21" t="str">
        <f t="shared" si="186"/>
        <v>01010011001111001111111010101001</v>
      </c>
      <c r="I35" s="21">
        <f t="shared" si="187"/>
        <v>19</v>
      </c>
      <c r="J35" s="21"/>
      <c r="K35" s="21"/>
      <c r="L35" s="44" t="str">
        <f>CONCATENATE(MID(H35,20,5),MID(H35,9,3),MID(H35,28,5),MID(H35,17,3),MID(H35,4,5),MID(H35,25,3),MID(H35,12,5),MID(H35,1,3))</f>
        <v>11110001010011111001110111100010</v>
      </c>
      <c r="M35" s="30" t="str">
        <f t="shared" si="26"/>
        <v>11110001</v>
      </c>
      <c r="N35" s="30" t="str">
        <f t="shared" si="27"/>
        <v>01001111</v>
      </c>
      <c r="O35" s="30" t="str">
        <f t="shared" si="28"/>
        <v>10011101</v>
      </c>
      <c r="P35" s="30" t="str">
        <f t="shared" si="29"/>
        <v>11100010</v>
      </c>
      <c r="Q35" s="78"/>
      <c r="R35" s="78"/>
      <c r="S35" s="78"/>
      <c r="T35" s="78"/>
      <c r="U35" s="31" t="str">
        <f t="shared" si="30"/>
        <v>1111</v>
      </c>
      <c r="V35" s="31" t="str">
        <f t="shared" si="31"/>
        <v>0001</v>
      </c>
      <c r="W35" s="31" t="str">
        <f t="shared" si="32"/>
        <v>0100</v>
      </c>
      <c r="X35" s="31" t="str">
        <f t="shared" si="33"/>
        <v>1111</v>
      </c>
      <c r="Y35" s="31" t="str">
        <f t="shared" si="34"/>
        <v>1001</v>
      </c>
      <c r="Z35" s="31" t="str">
        <f t="shared" si="35"/>
        <v>1101</v>
      </c>
      <c r="AA35" s="31" t="str">
        <f t="shared" si="36"/>
        <v>1110</v>
      </c>
      <c r="AB35" s="31" t="str">
        <f t="shared" si="37"/>
        <v>0010</v>
      </c>
      <c r="AC35" s="78"/>
      <c r="AD35" s="78"/>
      <c r="AE35" s="78"/>
      <c r="AF35" s="78"/>
      <c r="AG35" s="78"/>
      <c r="AH35" s="78"/>
      <c r="AI35" s="78"/>
      <c r="AJ35" s="78"/>
      <c r="AK35" s="30" t="str">
        <f t="shared" si="3"/>
        <v>1111000101001111</v>
      </c>
      <c r="AL35" s="30" t="str">
        <f t="shared" si="4"/>
        <v>1001110111100010</v>
      </c>
      <c r="AM35" s="78"/>
      <c r="AN35" s="78"/>
      <c r="AO35" s="46" t="str">
        <f>CONCATENATE(MID($L35,1,1)*MID($K24,1,1),MID($L35,2,1)*MID($K24,2,1),MID($L35,3,1)*MID($K24,3,1),MID($L35,4,1)*MID($K24,4,1),MID($L35,5,1)*MID($K24,5,1),MID($L35,6,1)*MID($K24,6,1),MID($L35,7,1)*MID($K24,7,1),MID($L35,8,1)*MID($K24,8,1),MID($L35,9,1)*MID($K24,1,1),MID($L35,10,1)*MID($K24,2,1),MID($L35,11,1)*MID($K24,3,1),MID($L35,12,1)*MID($K24,4,1),MID($L35,13,1)*MID($K24,5,1),MID($L35,14,1)*MID($K24,6,1),MID($L35,15,1)*MID($K24,7,1),MID($L35,16,1)*MID($K24,8,1),MID($L35,17,1)*MID($K24,1,1),MID($L35,18,1)*MID($K24,2,1),MID($L35,19,1)*MID($K24,3,1),MID($L35,20,1)*MID($K24,4,1),MID($L35,21,1)*MID($K24,5,1),MID($L35,22,1)*MID($K24,6,1),MID($L35,23,1)*MID($K24,7,1),MID($L35,24,1)*MID($K24,8,1),MID($L35,25,1)*MID($K24,1,1),MID($L35,26,1)*MID($K24,2,1),MID($L35,27,1)*MID($K24,3,1),MID($L35,28,1)*MID($K24,4,1),MID($L35,29,1)*MID($K24,5,1),MID($L35,30,1)*MID($K24,6,1),MID($L35,31,1)*MID($K24,7,1),MID($L35,32,1)*MID($K24,8,1))</f>
        <v>01100001010000110000000101100010</v>
      </c>
      <c r="AP35" s="30" t="str">
        <f t="shared" si="38"/>
        <v>01100001</v>
      </c>
      <c r="AQ35" s="30" t="str">
        <f t="shared" si="39"/>
        <v>01000011</v>
      </c>
      <c r="AR35" s="30" t="str">
        <f t="shared" si="40"/>
        <v>00000001</v>
      </c>
      <c r="AS35" s="30" t="str">
        <f t="shared" si="41"/>
        <v>01100010</v>
      </c>
      <c r="AT35" s="78"/>
      <c r="AU35" s="78"/>
      <c r="AV35" s="78"/>
      <c r="AW35" s="78"/>
      <c r="AX35" s="31" t="str">
        <f t="shared" si="42"/>
        <v>1111</v>
      </c>
      <c r="AY35" s="31" t="str">
        <f t="shared" si="43"/>
        <v>0001</v>
      </c>
      <c r="AZ35" s="31" t="str">
        <f t="shared" si="44"/>
        <v>0100</v>
      </c>
      <c r="BA35" s="31" t="str">
        <f t="shared" si="45"/>
        <v>1111</v>
      </c>
      <c r="BB35" s="31" t="str">
        <f t="shared" si="46"/>
        <v>1001</v>
      </c>
      <c r="BC35" s="31" t="str">
        <f t="shared" si="47"/>
        <v>1101</v>
      </c>
      <c r="BD35" s="31" t="str">
        <f t="shared" si="48"/>
        <v>1110</v>
      </c>
      <c r="BE35" s="31" t="str">
        <f t="shared" si="49"/>
        <v>0010</v>
      </c>
      <c r="BF35" s="78"/>
      <c r="BG35" s="78"/>
      <c r="BH35" s="78"/>
      <c r="BI35" s="78"/>
      <c r="BJ35" s="78"/>
      <c r="BK35" s="78"/>
      <c r="BL35" s="78"/>
      <c r="BM35" s="78"/>
      <c r="BN35" s="30" t="str">
        <f t="shared" si="6"/>
        <v>0110000101000011</v>
      </c>
      <c r="BO35" s="30" t="str">
        <f t="shared" si="7"/>
        <v>0000000101100010</v>
      </c>
      <c r="BP35" s="78"/>
      <c r="BQ35" s="78"/>
      <c r="BR35" s="46" t="str">
        <f>L35</f>
        <v>11110001010011111001110111100010</v>
      </c>
      <c r="BS35" s="30" t="str">
        <f t="shared" si="50"/>
        <v>11110001</v>
      </c>
      <c r="BT35" s="30" t="str">
        <f t="shared" si="51"/>
        <v>01001111</v>
      </c>
      <c r="BU35" s="30" t="str">
        <f t="shared" si="52"/>
        <v>10011101</v>
      </c>
      <c r="BV35" s="30" t="str">
        <f t="shared" si="53"/>
        <v>11100010</v>
      </c>
      <c r="BW35" s="78"/>
      <c r="BX35" s="78"/>
      <c r="BY35" s="78"/>
      <c r="BZ35" s="78"/>
      <c r="CA35" s="31" t="str">
        <f t="shared" si="54"/>
        <v>1111</v>
      </c>
      <c r="CB35" s="31" t="str">
        <f t="shared" si="55"/>
        <v>0001</v>
      </c>
      <c r="CC35" s="31" t="str">
        <f t="shared" si="56"/>
        <v>0100</v>
      </c>
      <c r="CD35" s="31" t="str">
        <f t="shared" si="57"/>
        <v>1111</v>
      </c>
      <c r="CE35" s="31" t="str">
        <f t="shared" si="58"/>
        <v>1001</v>
      </c>
      <c r="CF35" s="31" t="str">
        <f t="shared" si="59"/>
        <v>1101</v>
      </c>
      <c r="CG35" s="31" t="str">
        <f t="shared" si="60"/>
        <v>1110</v>
      </c>
      <c r="CH35" s="31" t="str">
        <f t="shared" si="61"/>
        <v>0010</v>
      </c>
      <c r="CI35" s="78"/>
      <c r="CJ35" s="78"/>
      <c r="CK35" s="78"/>
      <c r="CL35" s="78"/>
      <c r="CM35" s="78"/>
      <c r="CN35" s="78"/>
      <c r="CO35" s="78"/>
      <c r="CP35" s="78"/>
      <c r="CQ35" s="30" t="str">
        <f t="shared" si="9"/>
        <v>1111000101001111</v>
      </c>
      <c r="CR35" s="30" t="str">
        <f t="shared" si="10"/>
        <v>1001110111100010</v>
      </c>
      <c r="CS35" s="78"/>
      <c r="CT35" s="78"/>
      <c r="CU35" s="46" t="str">
        <f>AO35</f>
        <v>01100001010000110000000101100010</v>
      </c>
      <c r="CV35" s="30" t="str">
        <f t="shared" si="62"/>
        <v>01100001</v>
      </c>
      <c r="CW35" s="30" t="str">
        <f t="shared" si="63"/>
        <v>01000011</v>
      </c>
      <c r="CX35" s="30" t="str">
        <f t="shared" si="64"/>
        <v>00000001</v>
      </c>
      <c r="CY35" s="30" t="str">
        <f t="shared" si="65"/>
        <v>01100010</v>
      </c>
      <c r="CZ35" s="78"/>
      <c r="DA35" s="78"/>
      <c r="DB35" s="78"/>
      <c r="DC35" s="78"/>
      <c r="DD35" s="31" t="str">
        <f t="shared" si="66"/>
        <v>1111</v>
      </c>
      <c r="DE35" s="31" t="str">
        <f t="shared" si="67"/>
        <v>0001</v>
      </c>
      <c r="DF35" s="31" t="str">
        <f t="shared" si="68"/>
        <v>0100</v>
      </c>
      <c r="DG35" s="31" t="str">
        <f t="shared" si="69"/>
        <v>1111</v>
      </c>
      <c r="DH35" s="31" t="str">
        <f t="shared" si="70"/>
        <v>1001</v>
      </c>
      <c r="DI35" s="31" t="str">
        <f t="shared" si="71"/>
        <v>1101</v>
      </c>
      <c r="DJ35" s="31" t="str">
        <f t="shared" si="72"/>
        <v>1110</v>
      </c>
      <c r="DK35" s="31" t="str">
        <f t="shared" si="73"/>
        <v>0010</v>
      </c>
      <c r="DL35" s="78"/>
      <c r="DM35" s="78"/>
      <c r="DN35" s="78"/>
      <c r="DO35" s="78"/>
      <c r="DP35" s="78"/>
      <c r="DQ35" s="78"/>
      <c r="DR35" s="78"/>
      <c r="DS35" s="78"/>
      <c r="DT35" s="30" t="str">
        <f t="shared" si="12"/>
        <v>0110000101000011</v>
      </c>
      <c r="DU35" s="30" t="str">
        <f t="shared" si="13"/>
        <v>0000000101100010</v>
      </c>
      <c r="DV35" s="78"/>
      <c r="DW35" s="78"/>
      <c r="DX35" s="23" t="str">
        <f>CONCATENATE(MID($H35,1,1)*MID($K24,1,1),MID($H35,2,1)*MID($K24,2,1),MID($H35,3,1)*MID($K24,3,1),MID($H35,4,1)*MID($K24,4,1),MID($H35,5,1)*MID($K24,5,1),MID($H35,6,1)*MID($K24,6,1),MID($H35,7,1)*MID($K24,7,1),MID($H35,8,1)*MID($K24,8,1),MID($H35,9,1)*MID($K24,1,1),MID($H35,10,1)*MID($K24,2,1),MID($H35,11,1)*MID($K24,3,1),MID($H35,12,1)*MID($K24,4,1),MID($H35,13,1)*MID($K24,5,1),MID($H35,14,1)*MID($K24,6,1),MID($H35,15,1)*MID($K24,7,1),MID($H35,16,1)*MID($K24,8,1),MID($H35,17,1)*MID($K24,1,1),MID($H35,18,1)*MID($K24,2,1),MID($H35,19,1)*MID($K24,3,1),MID($H35,20,1)*MID($K24,4,1),MID($H35,21,1)*MID($K24,5,1),MID($H35,22,1)*MID($K24,6,1),MID($H35,23,1)*MID($K24,7,1),MID($H35,24,1)*MID($K24,8,1),MID($H35,25,1)*MID($K24,1,1),MID($H35,26,1)*MID($K24,2,1),MID($H35,27,1)*MID($K24,3,1),MID($H35,28,1)*MID($K24,4,1),MID($H35,29,1)*MID($K24,5,1),MID($H35,30,1)*MID($K24,6,1),MID($H35,31,1)*MID($K24,7,1),MID($H35,32,1)*MID($K24,8,1))</f>
        <v>01000011001000000110001000100001</v>
      </c>
      <c r="DY35" s="44" t="str">
        <f>CONCATENATE(MID(DX35,20,5),MID(DX35,9,3),MID(DX35,28,5),MID(DX35,17,3),MID(DX35,4,5),MID(DX35,25,3),MID(DX35,12,5),MID(DX35,1,3))</f>
        <v>00010001000010110001100100000010</v>
      </c>
      <c r="DZ35" s="30" t="str">
        <f t="shared" si="122"/>
        <v>00010001</v>
      </c>
      <c r="EA35" s="30" t="str">
        <f t="shared" si="74"/>
        <v>00001011</v>
      </c>
      <c r="EB35" s="30" t="str">
        <f t="shared" si="75"/>
        <v>00011001</v>
      </c>
      <c r="EC35" s="30" t="str">
        <f t="shared" si="76"/>
        <v>00000010</v>
      </c>
      <c r="ED35" s="78"/>
      <c r="EE35" s="78"/>
      <c r="EF35" s="78"/>
      <c r="EG35" s="78"/>
      <c r="EH35" s="31" t="str">
        <f t="shared" si="77"/>
        <v>1111</v>
      </c>
      <c r="EI35" s="31" t="str">
        <f t="shared" si="78"/>
        <v>0001</v>
      </c>
      <c r="EJ35" s="31" t="str">
        <f t="shared" si="79"/>
        <v>0100</v>
      </c>
      <c r="EK35" s="31" t="str">
        <f t="shared" si="80"/>
        <v>1111</v>
      </c>
      <c r="EL35" s="31" t="str">
        <f t="shared" si="81"/>
        <v>1001</v>
      </c>
      <c r="EM35" s="31" t="str">
        <f t="shared" si="82"/>
        <v>1101</v>
      </c>
      <c r="EN35" s="31" t="str">
        <f t="shared" si="83"/>
        <v>1110</v>
      </c>
      <c r="EO35" s="31" t="str">
        <f t="shared" si="84"/>
        <v>0010</v>
      </c>
      <c r="EP35" s="78"/>
      <c r="EQ35" s="78"/>
      <c r="ER35" s="78"/>
      <c r="ES35" s="78"/>
      <c r="ET35" s="78"/>
      <c r="EU35" s="78"/>
      <c r="EV35" s="78"/>
      <c r="EW35" s="78"/>
      <c r="EX35" s="30" t="str">
        <f t="shared" si="15"/>
        <v>0001000100001011</v>
      </c>
      <c r="EY35" s="30" t="str">
        <f t="shared" si="16"/>
        <v>0001100100000010</v>
      </c>
      <c r="EZ35" s="78"/>
      <c r="FA35" s="78"/>
      <c r="FB35" s="46" t="str">
        <f>CONCATENATE(MID(DY35,1,1)*MID($K34,1,1),MID(DY35,2,1)*MID($K34,2,1),MID(DY35,3,1)*MID($K34,3,1),MID(DY35,4,1)*MID($K34,4,1),MID(DY35,5,1)*MID($K34,5,1),MID(DY35,6,1)*MID($K34,6,1),MID(DY35,7,1)*MID($K34,7,1),MID(DY35,8,1)*MID($K34,8,1),MID(DY35,9,1)*MID($K34,1,1),MID(DY35,10,1)*MID($K34,2,1),MID(DY35,11,1)*MID($K34,3,1),MID(DY35,12,1)*MID($K34,4,1),MID(DY35,13,1)*MID($K34,5,1),MID(DY35,14,1)*MID($K34,6,1),MID(DY35,15,1)*MID($K34,7,1),MID(DY35,16,1)*MID($K34,8,1),MID(DY35,17,1)*MID($K34,1,1),MID(DY35,18,1)*MID($K34,2,1),MID(DY35,19,1)*MID($K34,3,1),MID(DY35,20,1)*MID($K34,4,1),MID(DY35,21,1)*MID($K34,5,1),MID(DY35,22,1)*MID($K34,6,1),MID(DY35,23,1)*MID($K34,7,1),MID(DY35,24,1)*MID($K34,8,1),MID(DY35,25,1)*MID($K34,1,1),MID(DY35,26,1)*MID($K34,2,1),MID(DY35,27,1)*MID($K34,3,1),MID(DY35,28,1)*MID($K34,4,1),MID(DY35,29,1)*MID($K34,5,1),MID(DY35,30,1)*MID($K34,6,1),MID(DY35,31,1)*MID($K34,7,1),MID(DY35,32,1)*MID($K34,8,1))</f>
        <v>00000001000000110000000100000010</v>
      </c>
      <c r="FC35" s="30" t="str">
        <f t="shared" si="124"/>
        <v>00000001</v>
      </c>
      <c r="FD35" s="30" t="str">
        <f t="shared" si="85"/>
        <v>00000011</v>
      </c>
      <c r="FE35" s="30" t="str">
        <f t="shared" si="86"/>
        <v>00000001</v>
      </c>
      <c r="FF35" s="30" t="str">
        <f t="shared" si="87"/>
        <v>00000010</v>
      </c>
      <c r="FG35" s="78"/>
      <c r="FH35" s="78"/>
      <c r="FI35" s="78"/>
      <c r="FJ35" s="78"/>
      <c r="FK35" s="31" t="str">
        <f t="shared" si="88"/>
        <v>1111</v>
      </c>
      <c r="FL35" s="31" t="str">
        <f t="shared" si="89"/>
        <v>0001</v>
      </c>
      <c r="FM35" s="31" t="str">
        <f t="shared" si="90"/>
        <v>0100</v>
      </c>
      <c r="FN35" s="31" t="str">
        <f t="shared" si="91"/>
        <v>1111</v>
      </c>
      <c r="FO35" s="31" t="str">
        <f t="shared" si="92"/>
        <v>1001</v>
      </c>
      <c r="FP35" s="31" t="str">
        <f t="shared" si="93"/>
        <v>1101</v>
      </c>
      <c r="FQ35" s="31" t="str">
        <f t="shared" si="94"/>
        <v>1110</v>
      </c>
      <c r="FR35" s="31" t="str">
        <f t="shared" si="95"/>
        <v>0010</v>
      </c>
      <c r="FS35" s="78"/>
      <c r="FT35" s="78"/>
      <c r="FU35" s="78"/>
      <c r="FV35" s="78"/>
      <c r="FW35" s="78"/>
      <c r="FX35" s="78"/>
      <c r="FY35" s="78"/>
      <c r="FZ35" s="78"/>
      <c r="GA35" s="30" t="str">
        <f t="shared" si="18"/>
        <v>0000000100000011</v>
      </c>
      <c r="GB35" s="30" t="str">
        <f t="shared" si="19"/>
        <v>0000000100000010</v>
      </c>
      <c r="GC35" s="78"/>
      <c r="GD35" s="78"/>
      <c r="GE35" s="48" t="str">
        <f>DY35</f>
        <v>00010001000010110001100100000010</v>
      </c>
      <c r="GF35" s="30" t="str">
        <f t="shared" si="126"/>
        <v>00010001</v>
      </c>
      <c r="GG35" s="30" t="str">
        <f t="shared" si="96"/>
        <v>00001011</v>
      </c>
      <c r="GH35" s="30" t="str">
        <f t="shared" si="97"/>
        <v>00011001</v>
      </c>
      <c r="GI35" s="30" t="str">
        <f t="shared" si="98"/>
        <v>00000010</v>
      </c>
      <c r="GJ35" s="78"/>
      <c r="GK35" s="78"/>
      <c r="GL35" s="78"/>
      <c r="GM35" s="78"/>
      <c r="GN35" s="31" t="str">
        <f t="shared" si="99"/>
        <v>1111</v>
      </c>
      <c r="GO35" s="31" t="str">
        <f t="shared" si="100"/>
        <v>0001</v>
      </c>
      <c r="GP35" s="31" t="str">
        <f t="shared" si="101"/>
        <v>0100</v>
      </c>
      <c r="GQ35" s="31" t="str">
        <f t="shared" si="102"/>
        <v>1111</v>
      </c>
      <c r="GR35" s="31" t="str">
        <f t="shared" si="103"/>
        <v>1001</v>
      </c>
      <c r="GS35" s="31" t="str">
        <f t="shared" si="104"/>
        <v>1101</v>
      </c>
      <c r="GT35" s="31" t="str">
        <f t="shared" si="105"/>
        <v>1110</v>
      </c>
      <c r="GU35" s="31" t="str">
        <f t="shared" si="106"/>
        <v>0010</v>
      </c>
      <c r="GV35" s="78"/>
      <c r="GW35" s="78"/>
      <c r="GX35" s="78"/>
      <c r="GY35" s="78"/>
      <c r="GZ35" s="78"/>
      <c r="HA35" s="78"/>
      <c r="HB35" s="78"/>
      <c r="HC35" s="78"/>
      <c r="HD35" s="30" t="str">
        <f t="shared" si="21"/>
        <v>0001000100001011</v>
      </c>
      <c r="HE35" s="30" t="str">
        <f t="shared" si="22"/>
        <v>0001100100000010</v>
      </c>
      <c r="HF35" s="78"/>
      <c r="HG35" s="78"/>
      <c r="HH35" s="48" t="str">
        <f>FB35</f>
        <v>00000001000000110000000100000010</v>
      </c>
      <c r="HI35" s="30" t="str">
        <f t="shared" si="128"/>
        <v>00000001</v>
      </c>
      <c r="HJ35" s="30" t="str">
        <f t="shared" si="107"/>
        <v>00000011</v>
      </c>
      <c r="HK35" s="30" t="str">
        <f t="shared" si="108"/>
        <v>00000001</v>
      </c>
      <c r="HL35" s="30" t="str">
        <f t="shared" si="109"/>
        <v>00000010</v>
      </c>
      <c r="HM35" s="78"/>
      <c r="HN35" s="78"/>
      <c r="HO35" s="78"/>
      <c r="HP35" s="78"/>
      <c r="HQ35" s="31" t="str">
        <f t="shared" si="110"/>
        <v>1111</v>
      </c>
      <c r="HR35" s="31" t="str">
        <f t="shared" si="111"/>
        <v>0001</v>
      </c>
      <c r="HS35" s="31" t="str">
        <f t="shared" si="112"/>
        <v>0100</v>
      </c>
      <c r="HT35" s="31" t="str">
        <f t="shared" si="113"/>
        <v>1111</v>
      </c>
      <c r="HU35" s="31" t="str">
        <f t="shared" si="114"/>
        <v>1001</v>
      </c>
      <c r="HV35" s="31" t="str">
        <f t="shared" si="115"/>
        <v>1101</v>
      </c>
      <c r="HW35" s="31" t="str">
        <f t="shared" si="116"/>
        <v>1110</v>
      </c>
      <c r="HX35" s="31" t="str">
        <f t="shared" si="117"/>
        <v>0010</v>
      </c>
      <c r="HY35" s="78"/>
      <c r="HZ35" s="78"/>
      <c r="IA35" s="78"/>
      <c r="IB35" s="78"/>
      <c r="IC35" s="78"/>
      <c r="ID35" s="78"/>
      <c r="IE35" s="78"/>
      <c r="IF35" s="78"/>
      <c r="IG35" s="30" t="str">
        <f t="shared" si="24"/>
        <v>0000000100000011</v>
      </c>
      <c r="IH35" s="30" t="str">
        <f t="shared" si="25"/>
        <v>0000000100000010</v>
      </c>
      <c r="II35" s="78"/>
      <c r="IJ35" s="78"/>
      <c r="IL35" s="30"/>
      <c r="IM35" s="30"/>
      <c r="IN35" s="30"/>
      <c r="IO35" s="30"/>
      <c r="IP35" s="23"/>
      <c r="IQ35" s="23"/>
      <c r="IR35" s="23"/>
      <c r="IS35" s="23"/>
      <c r="JB35" s="23"/>
      <c r="JC35" s="23"/>
      <c r="JD35" s="23"/>
      <c r="JE35" s="23"/>
      <c r="JF35" s="23"/>
      <c r="JG35" s="23"/>
      <c r="JH35" s="23"/>
      <c r="JI35" s="23"/>
      <c r="JJ35" s="30"/>
      <c r="JK35" s="30"/>
      <c r="JL35" s="23"/>
      <c r="JM35" s="23"/>
    </row>
    <row r="36" spans="1:273" s="27" customFormat="1" x14ac:dyDescent="0.35">
      <c r="A36" s="24"/>
      <c r="B36" s="25"/>
      <c r="C36" s="20" t="s">
        <v>0</v>
      </c>
      <c r="D36" s="20" t="s">
        <v>10</v>
      </c>
      <c r="E36" s="20" t="s">
        <v>11</v>
      </c>
      <c r="F36" s="20" t="s">
        <v>12</v>
      </c>
      <c r="G36" s="20" t="s">
        <v>13</v>
      </c>
      <c r="H36" s="20" t="str">
        <f t="shared" si="186"/>
        <v>10011100101110001010001110011110</v>
      </c>
      <c r="I36" s="20">
        <f t="shared" si="187"/>
        <v>17</v>
      </c>
      <c r="J36" s="20">
        <v>65</v>
      </c>
      <c r="K36" s="20" t="str">
        <f>HEX2BIN(J36,8)</f>
        <v>01100101</v>
      </c>
      <c r="L36" s="43" t="str">
        <f>H36</f>
        <v>10011100101110001010001110011110</v>
      </c>
      <c r="M36" s="26" t="str">
        <f t="shared" si="26"/>
        <v>10011100</v>
      </c>
      <c r="N36" s="26" t="str">
        <f t="shared" si="27"/>
        <v>10111000</v>
      </c>
      <c r="O36" s="26" t="str">
        <f t="shared" si="28"/>
        <v>10100011</v>
      </c>
      <c r="P36" s="26" t="str">
        <f t="shared" si="29"/>
        <v>10011110</v>
      </c>
      <c r="Q36" s="77">
        <f>BIN2DEC(M36)-BIN2DEC(M37)</f>
        <v>108</v>
      </c>
      <c r="R36" s="77">
        <f>BIN2DEC(N36)-BIN2DEC(N37)</f>
        <v>-49</v>
      </c>
      <c r="S36" s="77">
        <f>BIN2DEC(O36)-BIN2DEC(O37)</f>
        <v>53</v>
      </c>
      <c r="T36" s="77">
        <f>BIN2DEC(P36)-BIN2DEC(P37)</f>
        <v>154</v>
      </c>
      <c r="U36" s="27" t="str">
        <f t="shared" si="30"/>
        <v>1001</v>
      </c>
      <c r="V36" s="27" t="str">
        <f t="shared" si="31"/>
        <v>1100</v>
      </c>
      <c r="W36" s="27" t="str">
        <f t="shared" si="32"/>
        <v>1011</v>
      </c>
      <c r="X36" s="27" t="str">
        <f t="shared" si="33"/>
        <v>1000</v>
      </c>
      <c r="Y36" s="27" t="str">
        <f t="shared" si="34"/>
        <v>1010</v>
      </c>
      <c r="Z36" s="27" t="str">
        <f t="shared" si="35"/>
        <v>0011</v>
      </c>
      <c r="AA36" s="27" t="str">
        <f t="shared" si="36"/>
        <v>1001</v>
      </c>
      <c r="AB36" s="27" t="str">
        <f t="shared" si="37"/>
        <v>1110</v>
      </c>
      <c r="AC36" s="77">
        <f>BIN2DEC(U36)-BIN2DEC(U37)</f>
        <v>6</v>
      </c>
      <c r="AD36" s="77">
        <f t="shared" ref="AD36:AI36" si="252">BIN2DEC(V36)-BIN2DEC(V37)</f>
        <v>12</v>
      </c>
      <c r="AE36" s="77">
        <f t="shared" si="252"/>
        <v>-3</v>
      </c>
      <c r="AF36" s="77">
        <f t="shared" si="252"/>
        <v>-1</v>
      </c>
      <c r="AG36" s="77">
        <f t="shared" si="252"/>
        <v>4</v>
      </c>
      <c r="AH36" s="77">
        <f t="shared" si="252"/>
        <v>-11</v>
      </c>
      <c r="AI36" s="77">
        <f t="shared" si="252"/>
        <v>9</v>
      </c>
      <c r="AJ36" s="77">
        <f>BIN2DEC(AB36)-BIN2DEC(AB37)</f>
        <v>10</v>
      </c>
      <c r="AK36" s="26" t="str">
        <f t="shared" si="3"/>
        <v>1001110010111000</v>
      </c>
      <c r="AL36" s="26" t="str">
        <f t="shared" si="4"/>
        <v>1010001110011110</v>
      </c>
      <c r="AM36" s="77">
        <f>MID(AK36,16,1)*POWER(2,0)+MID(AK36,15,1)*POWER(2,1)+MID(AK36,14,1)*POWER(2,2)+MID(AK36,13,1)*POWER(2,3)+MID(AK36,12,1)*POWER(2,4)+MID(AK36,11,1)*POWER(2,5)+MID(AK36,10,1)*POWER(2,6)+MID(AK36,9,1)*POWER(2,7)+MID(AK36,8,1)*POWER(2,8)+MID(AK36,7,1)*POWER(2,9)+MID(AK36,6,1)*POWER(2,10)+MID(AK36,5,1)*POWER(2,11)+MID(AK36,4,1)*POWER(2,12)+MID(AK36,3,1)*POWER(2,13)+MID(AK36,2,1)*POWER(2,14)+MID(AK36,1,1)*POWER(2,15)-(MID(AK37,16,1)*POWER(2,0)+MID(AK37,15,1)*POWER(2,1)+MID(AK37,14,1)*POWER(2,2)+MID(AK37,13,1)*POWER(2,3)+MID(AK37,12,1)*POWER(2,4)+MID(AK37,11,1)*POWER(2,5)+MID(AK37,10,1)*POWER(2,6)+MID(AK37,9,1)*POWER(2,7)+MID(AK37,8,1)*POWER(2,8)+MID(AK37,7,1)*POWER(2,9)+MID(AK37,6,1)*POWER(2,10)+MID(AK37,5,1)*POWER(2,11)+MID(AK37,4,1)*POWER(2,12)+MID(AK37,3,1)*POWER(2,13)+MID(AK37,2,1)*POWER(2,14)+MID(AK37,1,1)*POWER(2,15))</f>
        <v>27599</v>
      </c>
      <c r="AN36" s="77">
        <f>MID(AL36,16,1)*POWER(2,0)+MID(AL36,15,1)*POWER(2,1)+MID(AL36,14,1)*POWER(2,2)+MID(AL36,13,1)*POWER(2,3)+MID(AL36,12,1)*POWER(2,4)+MID(AL36,11,1)*POWER(2,5)+MID(AL36,10,1)*POWER(2,6)+MID(AL36,9,1)*POWER(2,7)+MID(AL36,8,1)*POWER(2,8)+MID(AL36,7,1)*POWER(2,9)+MID(AL36,6,1)*POWER(2,10)+MID(AL36,5,1)*POWER(2,11)+MID(AL36,4,1)*POWER(2,12)+MID(AL36,3,1)*POWER(2,13)+MID(AL36,2,1)*POWER(2,14)+MID(AL36,1,1)*POWER(2,15)-(MID(AL37,16,1)*POWER(2,0)+MID(AL37,15,1)*POWER(2,1)+MID(AL37,14,1)*POWER(2,2)+MID(AL37,13,1)*POWER(2,3)+MID(AL37,12,1)*POWER(2,4)+MID(AL37,11,1)*POWER(2,5)+MID(AL37,10,1)*POWER(2,6)+MID(AL37,9,1)*POWER(2,7)+MID(AL37,8,1)*POWER(2,8)+MID(AL37,7,1)*POWER(2,9)+MID(AL37,6,1)*POWER(2,10)+MID(AL37,5,1)*POWER(2,11)+MID(AL37,4,1)*POWER(2,12)+MID(AL37,3,1)*POWER(2,13)+MID(AL37,2,1)*POWER(2,14)+MID(AL37,1,1)*POWER(2,15))</f>
        <v>13722</v>
      </c>
      <c r="AO36" s="45" t="str">
        <f>H36</f>
        <v>10011100101110001010001110011110</v>
      </c>
      <c r="AP36" s="26" t="str">
        <f t="shared" si="38"/>
        <v>10011100</v>
      </c>
      <c r="AQ36" s="26" t="str">
        <f t="shared" si="39"/>
        <v>10111000</v>
      </c>
      <c r="AR36" s="26" t="str">
        <f t="shared" si="40"/>
        <v>10100011</v>
      </c>
      <c r="AS36" s="26" t="str">
        <f t="shared" si="41"/>
        <v>10011110</v>
      </c>
      <c r="AT36" s="77">
        <f>BIN2DEC(AP36)-BIN2DEC(AP37)</f>
        <v>124</v>
      </c>
      <c r="AU36" s="77">
        <f>BIN2DEC(AQ36)-BIN2DEC(AQ37)</f>
        <v>87</v>
      </c>
      <c r="AV36" s="77">
        <f>BIN2DEC(AR36)-BIN2DEC(AR37)</f>
        <v>65</v>
      </c>
      <c r="AW36" s="77">
        <f>BIN2DEC(AS36)-BIN2DEC(AS37)</f>
        <v>158</v>
      </c>
      <c r="AX36" s="27" t="str">
        <f t="shared" si="42"/>
        <v>1001</v>
      </c>
      <c r="AY36" s="27" t="str">
        <f t="shared" si="43"/>
        <v>1100</v>
      </c>
      <c r="AZ36" s="27" t="str">
        <f t="shared" si="44"/>
        <v>1011</v>
      </c>
      <c r="BA36" s="27" t="str">
        <f t="shared" si="45"/>
        <v>1000</v>
      </c>
      <c r="BB36" s="27" t="str">
        <f t="shared" si="46"/>
        <v>1010</v>
      </c>
      <c r="BC36" s="27" t="str">
        <f t="shared" si="47"/>
        <v>0011</v>
      </c>
      <c r="BD36" s="27" t="str">
        <f t="shared" si="48"/>
        <v>1001</v>
      </c>
      <c r="BE36" s="27" t="str">
        <f t="shared" si="49"/>
        <v>1110</v>
      </c>
      <c r="BF36" s="77">
        <f>BIN2DEC(AX36)-BIN2DEC(AX37)</f>
        <v>6</v>
      </c>
      <c r="BG36" s="77">
        <f t="shared" ref="BG36:BL36" si="253">BIN2DEC(AY36)-BIN2DEC(AY37)</f>
        <v>12</v>
      </c>
      <c r="BH36" s="77">
        <f t="shared" si="253"/>
        <v>-3</v>
      </c>
      <c r="BI36" s="77">
        <f t="shared" si="253"/>
        <v>-1</v>
      </c>
      <c r="BJ36" s="77">
        <f t="shared" si="253"/>
        <v>4</v>
      </c>
      <c r="BK36" s="77">
        <f t="shared" si="253"/>
        <v>-11</v>
      </c>
      <c r="BL36" s="77">
        <f t="shared" si="253"/>
        <v>9</v>
      </c>
      <c r="BM36" s="77">
        <f>BIN2DEC(BE36)-BIN2DEC(BE37)</f>
        <v>10</v>
      </c>
      <c r="BN36" s="26" t="str">
        <f t="shared" si="6"/>
        <v>1001110010111000</v>
      </c>
      <c r="BO36" s="26" t="str">
        <f t="shared" si="7"/>
        <v>1010001110011110</v>
      </c>
      <c r="BP36" s="77">
        <f>MID(BN36,16,1)*POWER(2,0)+MID(BN36,15,1)*POWER(2,1)+MID(BN36,14,1)*POWER(2,2)+MID(BN36,13,1)*POWER(2,3)+MID(BN36,12,1)*POWER(2,4)+MID(BN36,11,1)*POWER(2,5)+MID(BN36,10,1)*POWER(2,6)+MID(BN36,9,1)*POWER(2,7)+MID(BN36,8,1)*POWER(2,8)+MID(BN36,7,1)*POWER(2,9)+MID(BN36,6,1)*POWER(2,10)+MID(BN36,5,1)*POWER(2,11)+MID(BN36,4,1)*POWER(2,12)+MID(BN36,3,1)*POWER(2,13)+MID(BN36,2,1)*POWER(2,14)+MID(BN36,1,1)*POWER(2,15)-(MID(BN37,16,1)*POWER(2,0)+MID(BN37,15,1)*POWER(2,1)+MID(BN37,14,1)*POWER(2,2)+MID(BN37,13,1)*POWER(2,3)+MID(BN37,12,1)*POWER(2,4)+MID(BN37,11,1)*POWER(2,5)+MID(BN37,10,1)*POWER(2,6)+MID(BN37,9,1)*POWER(2,7)+MID(BN37,8,1)*POWER(2,8)+MID(BN37,7,1)*POWER(2,9)+MID(BN37,6,1)*POWER(2,10)+MID(BN37,5,1)*POWER(2,11)+MID(BN37,4,1)*POWER(2,12)+MID(BN37,3,1)*POWER(2,13)+MID(BN37,2,1)*POWER(2,14)+MID(BN37,1,1)*POWER(2,15))</f>
        <v>31831</v>
      </c>
      <c r="BQ36" s="77">
        <f>MID(BO36,16,1)*POWER(2,0)+MID(BO36,15,1)*POWER(2,1)+MID(BO36,14,1)*POWER(2,2)+MID(BO36,13,1)*POWER(2,3)+MID(BO36,12,1)*POWER(2,4)+MID(BO36,11,1)*POWER(2,5)+MID(BO36,10,1)*POWER(2,6)+MID(BO36,9,1)*POWER(2,7)+MID(BO36,8,1)*POWER(2,8)+MID(BO36,7,1)*POWER(2,9)+MID(BO36,6,1)*POWER(2,10)+MID(BO36,5,1)*POWER(2,11)+MID(BO36,4,1)*POWER(2,12)+MID(BO36,3,1)*POWER(2,13)+MID(BO36,2,1)*POWER(2,14)+MID(BO36,1,1)*POWER(2,15)-(MID(BO37,16,1)*POWER(2,0)+MID(BO37,15,1)*POWER(2,1)+MID(BO37,14,1)*POWER(2,2)+MID(BO37,13,1)*POWER(2,3)+MID(BO37,12,1)*POWER(2,4)+MID(BO37,11,1)*POWER(2,5)+MID(BO37,10,1)*POWER(2,6)+MID(BO37,9,1)*POWER(2,7)+MID(BO37,8,1)*POWER(2,8)+MID(BO37,7,1)*POWER(2,9)+MID(BO37,6,1)*POWER(2,10)+MID(BO37,5,1)*POWER(2,11)+MID(BO37,4,1)*POWER(2,12)+MID(BO37,3,1)*POWER(2,13)+MID(BO37,2,1)*POWER(2,14)+MID(BO37,1,1)*POWER(2,15))</f>
        <v>16798</v>
      </c>
      <c r="BR36" s="45" t="str">
        <f>CONCATENATE(MID($L36,1,1)*MID($K26,1,1),MID($L36,2,1)*MID($K26,2,1),MID($L36,3,1)*MID($K26,3,1),MID($L36,4,1)*MID($K26,4,1),MID($L36,5,1)*MID($K26,5,1),MID($L36,6,1)*MID($K26,6,1),MID($L36,7,1)*MID($K26,7,1),MID($L36,8,1)*MID($K26,8,1),MID($L36,9,1)*MID($K26,1,1),MID($L36,10,1)*MID($K26,2,1),MID($L36,11,1)*MID($K26,3,1),MID($L36,12,1)*MID($K26,4,1),MID($L36,13,1)*MID($K26,5,1),MID($L36,14,1)*MID($K26,6,1),MID($L36,15,1)*MID($K26,7,1),MID($L36,16,1)*MID($K26,8,1),MID($L36,17,1)*MID($K26,1,1),MID($L36,18,1)*MID($K26,2,1),MID($L36,19,1)*MID($K26,3,1),MID($L36,20,1)*MID($K26,4,1),MID($L36,21,1)*MID($K26,5,1),MID($L36,22,1)*MID($K26,6,1),MID($L36,23,1)*MID($K26,7,1),MID($L36,24,1)*MID($K26,8,1),MID($L36,25,1)*MID($K26,1,1),MID($L36,26,1)*MID($K26,2,1),MID($L36,27,1)*MID($K26,3,1),MID($L36,28,1)*MID($K26,4,1),MID($L36,29,1)*MID($K26,5,1),MID($L36,30,1)*MID($K26,6,1),MID($L36,31,1)*MID($K26,7,1),MID($L36,32,1)*MID($K26,8,1))</f>
        <v>00000000001000000010001100000010</v>
      </c>
      <c r="BS36" s="26" t="str">
        <f t="shared" si="50"/>
        <v>00000000</v>
      </c>
      <c r="BT36" s="26" t="str">
        <f t="shared" si="51"/>
        <v>00100000</v>
      </c>
      <c r="BU36" s="26" t="str">
        <f t="shared" si="52"/>
        <v>00100011</v>
      </c>
      <c r="BV36" s="26" t="str">
        <f t="shared" si="53"/>
        <v>00000010</v>
      </c>
      <c r="BW36" s="77">
        <f>BIN2DEC(BS36)-BIN2DEC(BS37)</f>
        <v>-48</v>
      </c>
      <c r="BX36" s="77">
        <f>BIN2DEC(BT36)-BIN2DEC(BT37)</f>
        <v>-201</v>
      </c>
      <c r="BY36" s="77">
        <f>BIN2DEC(BU36)-BIN2DEC(BU37)</f>
        <v>-75</v>
      </c>
      <c r="BZ36" s="77">
        <f>BIN2DEC(BV36)-BIN2DEC(BV37)</f>
        <v>-2</v>
      </c>
      <c r="CA36" s="27" t="str">
        <f t="shared" si="54"/>
        <v>1001</v>
      </c>
      <c r="CB36" s="27" t="str">
        <f t="shared" si="55"/>
        <v>1100</v>
      </c>
      <c r="CC36" s="27" t="str">
        <f t="shared" si="56"/>
        <v>1011</v>
      </c>
      <c r="CD36" s="27" t="str">
        <f t="shared" si="57"/>
        <v>1000</v>
      </c>
      <c r="CE36" s="27" t="str">
        <f t="shared" si="58"/>
        <v>1010</v>
      </c>
      <c r="CF36" s="27" t="str">
        <f t="shared" si="59"/>
        <v>0011</v>
      </c>
      <c r="CG36" s="27" t="str">
        <f t="shared" si="60"/>
        <v>1001</v>
      </c>
      <c r="CH36" s="27" t="str">
        <f t="shared" si="61"/>
        <v>1110</v>
      </c>
      <c r="CI36" s="77">
        <f>BIN2DEC(CA36)-BIN2DEC(CA37)</f>
        <v>6</v>
      </c>
      <c r="CJ36" s="77">
        <f t="shared" ref="CJ36:CO36" si="254">BIN2DEC(CB36)-BIN2DEC(CB37)</f>
        <v>12</v>
      </c>
      <c r="CK36" s="77">
        <f t="shared" si="254"/>
        <v>-3</v>
      </c>
      <c r="CL36" s="77">
        <f t="shared" si="254"/>
        <v>-1</v>
      </c>
      <c r="CM36" s="77">
        <f t="shared" si="254"/>
        <v>4</v>
      </c>
      <c r="CN36" s="77">
        <f t="shared" si="254"/>
        <v>-11</v>
      </c>
      <c r="CO36" s="77">
        <f t="shared" si="254"/>
        <v>9</v>
      </c>
      <c r="CP36" s="77">
        <f>BIN2DEC(CH36)-BIN2DEC(CH37)</f>
        <v>10</v>
      </c>
      <c r="CQ36" s="26" t="str">
        <f t="shared" si="9"/>
        <v>0000000000100000</v>
      </c>
      <c r="CR36" s="26" t="str">
        <f t="shared" si="10"/>
        <v>0010001100000010</v>
      </c>
      <c r="CS36" s="77">
        <f>MID(CQ36,16,1)*POWER(2,0)+MID(CQ36,15,1)*POWER(2,1)+MID(CQ36,14,1)*POWER(2,2)+MID(CQ36,13,1)*POWER(2,3)+MID(CQ36,12,1)*POWER(2,4)+MID(CQ36,11,1)*POWER(2,5)+MID(CQ36,10,1)*POWER(2,6)+MID(CQ36,9,1)*POWER(2,7)+MID(CQ36,8,1)*POWER(2,8)+MID(CQ36,7,1)*POWER(2,9)+MID(CQ36,6,1)*POWER(2,10)+MID(CQ36,5,1)*POWER(2,11)+MID(CQ36,4,1)*POWER(2,12)+MID(CQ36,3,1)*POWER(2,13)+MID(CQ36,2,1)*POWER(2,14)+MID(CQ36,1,1)*POWER(2,15)-(MID(CQ37,16,1)*POWER(2,0)+MID(CQ37,15,1)*POWER(2,1)+MID(CQ37,14,1)*POWER(2,2)+MID(CQ37,13,1)*POWER(2,3)+MID(CQ37,12,1)*POWER(2,4)+MID(CQ37,11,1)*POWER(2,5)+MID(CQ37,10,1)*POWER(2,6)+MID(CQ37,9,1)*POWER(2,7)+MID(CQ37,8,1)*POWER(2,8)+MID(CQ37,7,1)*POWER(2,9)+MID(CQ37,6,1)*POWER(2,10)+MID(CQ37,5,1)*POWER(2,11)+MID(CQ37,4,1)*POWER(2,12)+MID(CQ37,3,1)*POWER(2,13)+MID(CQ37,2,1)*POWER(2,14)+MID(CQ37,1,1)*POWER(2,15))</f>
        <v>-12489</v>
      </c>
      <c r="CT36" s="77">
        <f>MID(CR36,16,1)*POWER(2,0)+MID(CR36,15,1)*POWER(2,1)+MID(CR36,14,1)*POWER(2,2)+MID(CR36,13,1)*POWER(2,3)+MID(CR36,12,1)*POWER(2,4)+MID(CR36,11,1)*POWER(2,5)+MID(CR36,10,1)*POWER(2,6)+MID(CR36,9,1)*POWER(2,7)+MID(CR36,8,1)*POWER(2,8)+MID(CR36,7,1)*POWER(2,9)+MID(CR36,6,1)*POWER(2,10)+MID(CR36,5,1)*POWER(2,11)+MID(CR36,4,1)*POWER(2,12)+MID(CR36,3,1)*POWER(2,13)+MID(CR36,2,1)*POWER(2,14)+MID(CR36,1,1)*POWER(2,15)-(MID(CR37,16,1)*POWER(2,0)+MID(CR37,15,1)*POWER(2,1)+MID(CR37,14,1)*POWER(2,2)+MID(CR37,13,1)*POWER(2,3)+MID(CR37,12,1)*POWER(2,4)+MID(CR37,11,1)*POWER(2,5)+MID(CR37,10,1)*POWER(2,6)+MID(CR37,9,1)*POWER(2,7)+MID(CR37,8,1)*POWER(2,8)+MID(CR37,7,1)*POWER(2,9)+MID(CR37,6,1)*POWER(2,10)+MID(CR37,5,1)*POWER(2,11)+MID(CR37,4,1)*POWER(2,12)+MID(CR37,3,1)*POWER(2,13)+MID(CR37,2,1)*POWER(2,14)+MID(CR37,1,1)*POWER(2,15))</f>
        <v>-19202</v>
      </c>
      <c r="CU36" s="45" t="str">
        <f>BR36</f>
        <v>00000000001000000010001100000010</v>
      </c>
      <c r="CV36" s="26" t="str">
        <f t="shared" si="62"/>
        <v>00000000</v>
      </c>
      <c r="CW36" s="26" t="str">
        <f t="shared" si="63"/>
        <v>00100000</v>
      </c>
      <c r="CX36" s="26" t="str">
        <f t="shared" si="64"/>
        <v>00100011</v>
      </c>
      <c r="CY36" s="26" t="str">
        <f t="shared" si="65"/>
        <v>00000010</v>
      </c>
      <c r="CZ36" s="77">
        <f>BIN2DEC(CV36)-BIN2DEC(CV37)</f>
        <v>-32</v>
      </c>
      <c r="DA36" s="77">
        <f>BIN2DEC(CW36)-BIN2DEC(CW37)</f>
        <v>-65</v>
      </c>
      <c r="DB36" s="77">
        <f>BIN2DEC(CX36)-BIN2DEC(CX37)</f>
        <v>-63</v>
      </c>
      <c r="DC36" s="77">
        <f>BIN2DEC(CY36)-BIN2DEC(CY37)</f>
        <v>2</v>
      </c>
      <c r="DD36" s="27" t="str">
        <f t="shared" si="66"/>
        <v>1001</v>
      </c>
      <c r="DE36" s="27" t="str">
        <f t="shared" si="67"/>
        <v>1100</v>
      </c>
      <c r="DF36" s="27" t="str">
        <f t="shared" si="68"/>
        <v>1011</v>
      </c>
      <c r="DG36" s="27" t="str">
        <f t="shared" si="69"/>
        <v>1000</v>
      </c>
      <c r="DH36" s="27" t="str">
        <f t="shared" si="70"/>
        <v>1010</v>
      </c>
      <c r="DI36" s="27" t="str">
        <f t="shared" si="71"/>
        <v>0011</v>
      </c>
      <c r="DJ36" s="27" t="str">
        <f t="shared" si="72"/>
        <v>1001</v>
      </c>
      <c r="DK36" s="27" t="str">
        <f t="shared" si="73"/>
        <v>1110</v>
      </c>
      <c r="DL36" s="77">
        <f>BIN2DEC(DD36)-BIN2DEC(DD37)</f>
        <v>6</v>
      </c>
      <c r="DM36" s="77">
        <f t="shared" ref="DM36:DR36" si="255">BIN2DEC(DE36)-BIN2DEC(DE37)</f>
        <v>12</v>
      </c>
      <c r="DN36" s="77">
        <f t="shared" si="255"/>
        <v>-3</v>
      </c>
      <c r="DO36" s="77">
        <f t="shared" si="255"/>
        <v>-1</v>
      </c>
      <c r="DP36" s="77">
        <f t="shared" si="255"/>
        <v>4</v>
      </c>
      <c r="DQ36" s="77">
        <f t="shared" si="255"/>
        <v>-11</v>
      </c>
      <c r="DR36" s="77">
        <f t="shared" si="255"/>
        <v>9</v>
      </c>
      <c r="DS36" s="77">
        <f>BIN2DEC(DK36)-BIN2DEC(DK37)</f>
        <v>10</v>
      </c>
      <c r="DT36" s="26" t="str">
        <f t="shared" si="12"/>
        <v>0000000000100000</v>
      </c>
      <c r="DU36" s="26" t="str">
        <f t="shared" si="13"/>
        <v>0010001100000010</v>
      </c>
      <c r="DV36" s="77">
        <f>MID(DT36,16,1)*POWER(2,0)+MID(DT36,15,1)*POWER(2,1)+MID(DT36,14,1)*POWER(2,2)+MID(DT36,13,1)*POWER(2,3)+MID(DT36,12,1)*POWER(2,4)+MID(DT36,11,1)*POWER(2,5)+MID(DT36,10,1)*POWER(2,6)+MID(DT36,9,1)*POWER(2,7)+MID(DT36,8,1)*POWER(2,8)+MID(DT36,7,1)*POWER(2,9)+MID(DT36,6,1)*POWER(2,10)+MID(DT36,5,1)*POWER(2,11)+MID(DT36,4,1)*POWER(2,12)+MID(DT36,3,1)*POWER(2,13)+MID(DT36,2,1)*POWER(2,14)+MID(DT36,1,1)*POWER(2,15)-(MID(DT37,16,1)*POWER(2,0)+MID(DT37,15,1)*POWER(2,1)+MID(DT37,14,1)*POWER(2,2)+MID(DT37,13,1)*POWER(2,3)+MID(DT37,12,1)*POWER(2,4)+MID(DT37,11,1)*POWER(2,5)+MID(DT37,10,1)*POWER(2,6)+MID(DT37,9,1)*POWER(2,7)+MID(DT37,8,1)*POWER(2,8)+MID(DT37,7,1)*POWER(2,9)+MID(DT37,6,1)*POWER(2,10)+MID(DT37,5,1)*POWER(2,11)+MID(DT37,4,1)*POWER(2,12)+MID(DT37,3,1)*POWER(2,13)+MID(DT37,2,1)*POWER(2,14)+MID(DT37,1,1)*POWER(2,15))</f>
        <v>-8257</v>
      </c>
      <c r="DW36" s="77">
        <f>MID(DU36,16,1)*POWER(2,0)+MID(DU36,15,1)*POWER(2,1)+MID(DU36,14,1)*POWER(2,2)+MID(DU36,13,1)*POWER(2,3)+MID(DU36,12,1)*POWER(2,4)+MID(DU36,11,1)*POWER(2,5)+MID(DU36,10,1)*POWER(2,6)+MID(DU36,9,1)*POWER(2,7)+MID(DU36,8,1)*POWER(2,8)+MID(DU36,7,1)*POWER(2,9)+MID(DU36,6,1)*POWER(2,10)+MID(DU36,5,1)*POWER(2,11)+MID(DU36,4,1)*POWER(2,12)+MID(DU36,3,1)*POWER(2,13)+MID(DU36,2,1)*POWER(2,14)+MID(DU36,1,1)*POWER(2,15)-(MID(DU37,16,1)*POWER(2,0)+MID(DU37,15,1)*POWER(2,1)+MID(DU37,14,1)*POWER(2,2)+MID(DU37,13,1)*POWER(2,3)+MID(DU37,12,1)*POWER(2,4)+MID(DU37,11,1)*POWER(2,5)+MID(DU37,10,1)*POWER(2,6)+MID(DU37,9,1)*POWER(2,7)+MID(DU37,8,1)*POWER(2,8)+MID(DU37,7,1)*POWER(2,9)+MID(DU37,6,1)*POWER(2,10)+MID(DU37,5,1)*POWER(2,11)+MID(DU37,4,1)*POWER(2,12)+MID(DU37,3,1)*POWER(2,13)+MID(DU37,2,1)*POWER(2,14)+MID(DU37,1,1)*POWER(2,15))</f>
        <v>-16126</v>
      </c>
      <c r="DX36" s="22"/>
      <c r="DY36" s="43" t="str">
        <f>H36</f>
        <v>10011100101110001010001110011110</v>
      </c>
      <c r="DZ36" s="26" t="str">
        <f t="shared" si="122"/>
        <v>10011100</v>
      </c>
      <c r="EA36" s="26" t="str">
        <f t="shared" si="74"/>
        <v>10111000</v>
      </c>
      <c r="EB36" s="26" t="str">
        <f t="shared" si="75"/>
        <v>10100011</v>
      </c>
      <c r="EC36" s="26" t="str">
        <f t="shared" si="76"/>
        <v>10011110</v>
      </c>
      <c r="ED36" s="77">
        <f>BIN2DEC(DZ36)-BIN2DEC(DZ37)</f>
        <v>140</v>
      </c>
      <c r="EE36" s="77">
        <f>BIN2DEC(EA36)-BIN2DEC(EA37)</f>
        <v>175</v>
      </c>
      <c r="EF36" s="77">
        <f>BIN2DEC(EB36)-BIN2DEC(EB37)</f>
        <v>153</v>
      </c>
      <c r="EG36" s="77">
        <f>BIN2DEC(EC36)-BIN2DEC(EC37)</f>
        <v>158</v>
      </c>
      <c r="EH36" s="27" t="str">
        <f t="shared" si="77"/>
        <v>1001</v>
      </c>
      <c r="EI36" s="27" t="str">
        <f t="shared" si="78"/>
        <v>1100</v>
      </c>
      <c r="EJ36" s="27" t="str">
        <f t="shared" si="79"/>
        <v>1011</v>
      </c>
      <c r="EK36" s="27" t="str">
        <f t="shared" si="80"/>
        <v>1000</v>
      </c>
      <c r="EL36" s="27" t="str">
        <f t="shared" si="81"/>
        <v>1010</v>
      </c>
      <c r="EM36" s="27" t="str">
        <f t="shared" si="82"/>
        <v>0011</v>
      </c>
      <c r="EN36" s="27" t="str">
        <f t="shared" si="83"/>
        <v>1001</v>
      </c>
      <c r="EO36" s="27" t="str">
        <f t="shared" si="84"/>
        <v>1110</v>
      </c>
      <c r="EP36" s="77">
        <f>BIN2DEC(EH36)-BIN2DEC(EH37)</f>
        <v>6</v>
      </c>
      <c r="EQ36" s="77">
        <f t="shared" ref="EQ36:EV36" si="256">BIN2DEC(EI36)-BIN2DEC(EI37)</f>
        <v>12</v>
      </c>
      <c r="ER36" s="77">
        <f t="shared" si="256"/>
        <v>-3</v>
      </c>
      <c r="ES36" s="77">
        <f t="shared" si="256"/>
        <v>-1</v>
      </c>
      <c r="ET36" s="77">
        <f t="shared" si="256"/>
        <v>4</v>
      </c>
      <c r="EU36" s="77">
        <f t="shared" si="256"/>
        <v>-11</v>
      </c>
      <c r="EV36" s="77">
        <f t="shared" si="256"/>
        <v>9</v>
      </c>
      <c r="EW36" s="77">
        <f>BIN2DEC(EO36)-BIN2DEC(EO37)</f>
        <v>10</v>
      </c>
      <c r="EX36" s="26" t="str">
        <f t="shared" si="15"/>
        <v>1001110010111000</v>
      </c>
      <c r="EY36" s="26" t="str">
        <f t="shared" si="16"/>
        <v>1010001110011110</v>
      </c>
      <c r="EZ36" s="77">
        <f>MID(EX36,16,1)*POWER(2,0)+MID(EX36,15,1)*POWER(2,1)+MID(EX36,14,1)*POWER(2,2)+MID(EX36,13,1)*POWER(2,3)+MID(EX36,12,1)*POWER(2,4)+MID(EX36,11,1)*POWER(2,5)+MID(EX36,10,1)*POWER(2,6)+MID(EX36,9,1)*POWER(2,7)+MID(EX36,8,1)*POWER(2,8)+MID(EX36,7,1)*POWER(2,9)+MID(EX36,6,1)*POWER(2,10)+MID(EX36,5,1)*POWER(2,11)+MID(EX36,4,1)*POWER(2,12)+MID(EX36,3,1)*POWER(2,13)+MID(EX36,2,1)*POWER(2,14)+MID(EX36,1,1)*POWER(2,15)-(MID(EX37,16,1)*POWER(2,0)+MID(EX37,15,1)*POWER(2,1)+MID(EX37,14,1)*POWER(2,2)+MID(EX37,13,1)*POWER(2,3)+MID(EX37,12,1)*POWER(2,4)+MID(EX37,11,1)*POWER(2,5)+MID(EX37,10,1)*POWER(2,6)+MID(EX37,9,1)*POWER(2,7)+MID(EX37,8,1)*POWER(2,8)+MID(EX37,7,1)*POWER(2,9)+MID(EX37,6,1)*POWER(2,10)+MID(EX37,5,1)*POWER(2,11)+MID(EX37,4,1)*POWER(2,12)+MID(EX37,3,1)*POWER(2,13)+MID(EX37,2,1)*POWER(2,14)+MID(EX37,1,1)*POWER(2,15))</f>
        <v>36015</v>
      </c>
      <c r="FA36" s="77">
        <f>MID(EY36,16,1)*POWER(2,0)+MID(EY36,15,1)*POWER(2,1)+MID(EY36,14,1)*POWER(2,2)+MID(EY36,13,1)*POWER(2,3)+MID(EY36,12,1)*POWER(2,4)+MID(EY36,11,1)*POWER(2,5)+MID(EY36,10,1)*POWER(2,6)+MID(EY36,9,1)*POWER(2,7)+MID(EY36,8,1)*POWER(2,8)+MID(EY36,7,1)*POWER(2,9)+MID(EY36,6,1)*POWER(2,10)+MID(EY36,5,1)*POWER(2,11)+MID(EY36,4,1)*POWER(2,12)+MID(EY36,3,1)*POWER(2,13)+MID(EY36,2,1)*POWER(2,14)+MID(EY36,1,1)*POWER(2,15)-(MID(EY37,16,1)*POWER(2,0)+MID(EY37,15,1)*POWER(2,1)+MID(EY37,14,1)*POWER(2,2)+MID(EY37,13,1)*POWER(2,3)+MID(EY37,12,1)*POWER(2,4)+MID(EY37,11,1)*POWER(2,5)+MID(EY37,10,1)*POWER(2,6)+MID(EY37,9,1)*POWER(2,7)+MID(EY37,8,1)*POWER(2,8)+MID(EY37,7,1)*POWER(2,9)+MID(EY37,6,1)*POWER(2,10)+MID(EY37,5,1)*POWER(2,11)+MID(EY37,4,1)*POWER(2,12)+MID(EY37,3,1)*POWER(2,13)+MID(EY37,2,1)*POWER(2,14)+MID(EY37,1,1)*POWER(2,15))</f>
        <v>39326</v>
      </c>
      <c r="FB36" s="45" t="str">
        <f>H36</f>
        <v>10011100101110001010001110011110</v>
      </c>
      <c r="FC36" s="26" t="str">
        <f t="shared" si="124"/>
        <v>10011100</v>
      </c>
      <c r="FD36" s="26" t="str">
        <f t="shared" si="85"/>
        <v>10111000</v>
      </c>
      <c r="FE36" s="26" t="str">
        <f t="shared" si="86"/>
        <v>10100011</v>
      </c>
      <c r="FF36" s="26" t="str">
        <f t="shared" si="87"/>
        <v>10011110</v>
      </c>
      <c r="FG36" s="77">
        <f>BIN2DEC(FC36)-BIN2DEC(FC37)</f>
        <v>156</v>
      </c>
      <c r="FH36" s="77">
        <f>BIN2DEC(FD36)-BIN2DEC(FD37)</f>
        <v>183</v>
      </c>
      <c r="FI36" s="77">
        <f>BIN2DEC(FE36)-BIN2DEC(FE37)</f>
        <v>163</v>
      </c>
      <c r="FJ36" s="77">
        <f>BIN2DEC(FF36)-BIN2DEC(FF37)</f>
        <v>158</v>
      </c>
      <c r="FK36" s="27" t="str">
        <f t="shared" si="88"/>
        <v>1001</v>
      </c>
      <c r="FL36" s="27" t="str">
        <f t="shared" si="89"/>
        <v>1100</v>
      </c>
      <c r="FM36" s="27" t="str">
        <f t="shared" si="90"/>
        <v>1011</v>
      </c>
      <c r="FN36" s="27" t="str">
        <f t="shared" si="91"/>
        <v>1000</v>
      </c>
      <c r="FO36" s="27" t="str">
        <f t="shared" si="92"/>
        <v>1010</v>
      </c>
      <c r="FP36" s="27" t="str">
        <f t="shared" si="93"/>
        <v>0011</v>
      </c>
      <c r="FQ36" s="27" t="str">
        <f t="shared" si="94"/>
        <v>1001</v>
      </c>
      <c r="FR36" s="27" t="str">
        <f t="shared" si="95"/>
        <v>1110</v>
      </c>
      <c r="FS36" s="77">
        <f>BIN2DEC(FK36)-BIN2DEC(FK37)</f>
        <v>6</v>
      </c>
      <c r="FT36" s="77">
        <f t="shared" ref="FT36:FY36" si="257">BIN2DEC(FL36)-BIN2DEC(FL37)</f>
        <v>12</v>
      </c>
      <c r="FU36" s="77">
        <f t="shared" si="257"/>
        <v>-3</v>
      </c>
      <c r="FV36" s="77">
        <f t="shared" si="257"/>
        <v>-1</v>
      </c>
      <c r="FW36" s="77">
        <f t="shared" si="257"/>
        <v>4</v>
      </c>
      <c r="FX36" s="77">
        <f t="shared" si="257"/>
        <v>-11</v>
      </c>
      <c r="FY36" s="77">
        <f t="shared" si="257"/>
        <v>9</v>
      </c>
      <c r="FZ36" s="77">
        <f>BIN2DEC(FR36)-BIN2DEC(FR37)</f>
        <v>10</v>
      </c>
      <c r="GA36" s="26" t="str">
        <f t="shared" si="18"/>
        <v>1001110010111000</v>
      </c>
      <c r="GB36" s="26" t="str">
        <f t="shared" si="19"/>
        <v>1010001110011110</v>
      </c>
      <c r="GC36" s="77">
        <f>MID(GA36,16,1)*POWER(2,0)+MID(GA36,15,1)*POWER(2,1)+MID(GA36,14,1)*POWER(2,2)+MID(GA36,13,1)*POWER(2,3)+MID(GA36,12,1)*POWER(2,4)+MID(GA36,11,1)*POWER(2,5)+MID(GA36,10,1)*POWER(2,6)+MID(GA36,9,1)*POWER(2,7)+MID(GA36,8,1)*POWER(2,8)+MID(GA36,7,1)*POWER(2,9)+MID(GA36,6,1)*POWER(2,10)+MID(GA36,5,1)*POWER(2,11)+MID(GA36,4,1)*POWER(2,12)+MID(GA36,3,1)*POWER(2,13)+MID(GA36,2,1)*POWER(2,14)+MID(GA36,1,1)*POWER(2,15)-(MID(GA37,16,1)*POWER(2,0)+MID(GA37,15,1)*POWER(2,1)+MID(GA37,14,1)*POWER(2,2)+MID(GA37,13,1)*POWER(2,3)+MID(GA37,12,1)*POWER(2,4)+MID(GA37,11,1)*POWER(2,5)+MID(GA37,10,1)*POWER(2,6)+MID(GA37,9,1)*POWER(2,7)+MID(GA37,8,1)*POWER(2,8)+MID(GA37,7,1)*POWER(2,9)+MID(GA37,6,1)*POWER(2,10)+MID(GA37,5,1)*POWER(2,11)+MID(GA37,4,1)*POWER(2,12)+MID(GA37,3,1)*POWER(2,13)+MID(GA37,2,1)*POWER(2,14)+MID(GA37,1,1)*POWER(2,15))</f>
        <v>40119</v>
      </c>
      <c r="GD36" s="77">
        <f>MID(GB36,16,1)*POWER(2,0)+MID(GB36,15,1)*POWER(2,1)+MID(GB36,14,1)*POWER(2,2)+MID(GB36,13,1)*POWER(2,3)+MID(GB36,12,1)*POWER(2,4)+MID(GB36,11,1)*POWER(2,5)+MID(GB36,10,1)*POWER(2,6)+MID(GB36,9,1)*POWER(2,7)+MID(GB36,8,1)*POWER(2,8)+MID(GB36,7,1)*POWER(2,9)+MID(GB36,6,1)*POWER(2,10)+MID(GB36,5,1)*POWER(2,11)+MID(GB36,4,1)*POWER(2,12)+MID(GB36,3,1)*POWER(2,13)+MID(GB36,2,1)*POWER(2,14)+MID(GB36,1,1)*POWER(2,15)-(MID(GB37,16,1)*POWER(2,0)+MID(GB37,15,1)*POWER(2,1)+MID(GB37,14,1)*POWER(2,2)+MID(GB37,13,1)*POWER(2,3)+MID(GB37,12,1)*POWER(2,4)+MID(GB37,11,1)*POWER(2,5)+MID(GB37,10,1)*POWER(2,6)+MID(GB37,9,1)*POWER(2,7)+MID(GB37,8,1)*POWER(2,8)+MID(GB37,7,1)*POWER(2,9)+MID(GB37,6,1)*POWER(2,10)+MID(GB37,5,1)*POWER(2,11)+MID(GB37,4,1)*POWER(2,12)+MID(GB37,3,1)*POWER(2,13)+MID(GB37,2,1)*POWER(2,14)+MID(GB37,1,1)*POWER(2,15))</f>
        <v>41886</v>
      </c>
      <c r="GE36" s="47" t="str">
        <f>CU36</f>
        <v>00000000001000000010001100000010</v>
      </c>
      <c r="GF36" s="26" t="str">
        <f t="shared" si="126"/>
        <v>00000000</v>
      </c>
      <c r="GG36" s="26" t="str">
        <f t="shared" si="96"/>
        <v>00100000</v>
      </c>
      <c r="GH36" s="26" t="str">
        <f t="shared" si="97"/>
        <v>00100011</v>
      </c>
      <c r="GI36" s="26" t="str">
        <f t="shared" si="98"/>
        <v>00000010</v>
      </c>
      <c r="GJ36" s="77">
        <f>BIN2DEC(GF36)-BIN2DEC(GF37)</f>
        <v>-16</v>
      </c>
      <c r="GK36" s="77">
        <f>BIN2DEC(GG36)-BIN2DEC(GG37)</f>
        <v>23</v>
      </c>
      <c r="GL36" s="77">
        <f>BIN2DEC(GH36)-BIN2DEC(GH37)</f>
        <v>25</v>
      </c>
      <c r="GM36" s="77">
        <f>BIN2DEC(GI36)-BIN2DEC(GI37)</f>
        <v>2</v>
      </c>
      <c r="GN36" s="27" t="str">
        <f t="shared" si="99"/>
        <v>1001</v>
      </c>
      <c r="GO36" s="27" t="str">
        <f t="shared" si="100"/>
        <v>1100</v>
      </c>
      <c r="GP36" s="27" t="str">
        <f t="shared" si="101"/>
        <v>1011</v>
      </c>
      <c r="GQ36" s="27" t="str">
        <f t="shared" si="102"/>
        <v>1000</v>
      </c>
      <c r="GR36" s="27" t="str">
        <f t="shared" si="103"/>
        <v>1010</v>
      </c>
      <c r="GS36" s="27" t="str">
        <f t="shared" si="104"/>
        <v>0011</v>
      </c>
      <c r="GT36" s="27" t="str">
        <f t="shared" si="105"/>
        <v>1001</v>
      </c>
      <c r="GU36" s="27" t="str">
        <f t="shared" si="106"/>
        <v>1110</v>
      </c>
      <c r="GV36" s="77">
        <f>BIN2DEC(GN36)-BIN2DEC(GN37)</f>
        <v>6</v>
      </c>
      <c r="GW36" s="77">
        <f t="shared" ref="GW36:HB36" si="258">BIN2DEC(GO36)-BIN2DEC(GO37)</f>
        <v>12</v>
      </c>
      <c r="GX36" s="77">
        <f t="shared" si="258"/>
        <v>-3</v>
      </c>
      <c r="GY36" s="77">
        <f t="shared" si="258"/>
        <v>-1</v>
      </c>
      <c r="GZ36" s="77">
        <f t="shared" si="258"/>
        <v>4</v>
      </c>
      <c r="HA36" s="77">
        <f t="shared" si="258"/>
        <v>-11</v>
      </c>
      <c r="HB36" s="77">
        <f t="shared" si="258"/>
        <v>9</v>
      </c>
      <c r="HC36" s="77">
        <f>BIN2DEC(GU36)-BIN2DEC(GU37)</f>
        <v>10</v>
      </c>
      <c r="HD36" s="26" t="str">
        <f t="shared" si="21"/>
        <v>0000000000100000</v>
      </c>
      <c r="HE36" s="26" t="str">
        <f t="shared" si="22"/>
        <v>0010001100000010</v>
      </c>
      <c r="HF36" s="77">
        <f>MID(HD36,16,1)*POWER(2,0)+MID(HD36,15,1)*POWER(2,1)+MID(HD36,14,1)*POWER(2,2)+MID(HD36,13,1)*POWER(2,3)+MID(HD36,12,1)*POWER(2,4)+MID(HD36,11,1)*POWER(2,5)+MID(HD36,10,1)*POWER(2,6)+MID(HD36,9,1)*POWER(2,7)+MID(HD36,8,1)*POWER(2,8)+MID(HD36,7,1)*POWER(2,9)+MID(HD36,6,1)*POWER(2,10)+MID(HD36,5,1)*POWER(2,11)+MID(HD36,4,1)*POWER(2,12)+MID(HD36,3,1)*POWER(2,13)+MID(HD36,2,1)*POWER(2,14)+MID(HD36,1,1)*POWER(2,15)-(MID(HD37,16,1)*POWER(2,0)+MID(HD37,15,1)*POWER(2,1)+MID(HD37,14,1)*POWER(2,2)+MID(HD37,13,1)*POWER(2,3)+MID(HD37,12,1)*POWER(2,4)+MID(HD37,11,1)*POWER(2,5)+MID(HD37,10,1)*POWER(2,6)+MID(HD37,9,1)*POWER(2,7)+MID(HD37,8,1)*POWER(2,8)+MID(HD37,7,1)*POWER(2,9)+MID(HD37,6,1)*POWER(2,10)+MID(HD37,5,1)*POWER(2,11)+MID(HD37,4,1)*POWER(2,12)+MID(HD37,3,1)*POWER(2,13)+MID(HD37,2,1)*POWER(2,14)+MID(HD37,1,1)*POWER(2,15))</f>
        <v>-4073</v>
      </c>
      <c r="HG36" s="77">
        <f>MID(HE36,16,1)*POWER(2,0)+MID(HE36,15,1)*POWER(2,1)+MID(HE36,14,1)*POWER(2,2)+MID(HE36,13,1)*POWER(2,3)+MID(HE36,12,1)*POWER(2,4)+MID(HE36,11,1)*POWER(2,5)+MID(HE36,10,1)*POWER(2,6)+MID(HE36,9,1)*POWER(2,7)+MID(HE36,8,1)*POWER(2,8)+MID(HE36,7,1)*POWER(2,9)+MID(HE36,6,1)*POWER(2,10)+MID(HE36,5,1)*POWER(2,11)+MID(HE36,4,1)*POWER(2,12)+MID(HE36,3,1)*POWER(2,13)+MID(HE36,2,1)*POWER(2,14)+MID(HE36,1,1)*POWER(2,15)-(MID(HE37,16,1)*POWER(2,0)+MID(HE37,15,1)*POWER(2,1)+MID(HE37,14,1)*POWER(2,2)+MID(HE37,13,1)*POWER(2,3)+MID(HE37,12,1)*POWER(2,4)+MID(HE37,11,1)*POWER(2,5)+MID(HE37,10,1)*POWER(2,6)+MID(HE37,9,1)*POWER(2,7)+MID(HE37,8,1)*POWER(2,8)+MID(HE37,7,1)*POWER(2,9)+MID(HE37,6,1)*POWER(2,10)+MID(HE37,5,1)*POWER(2,11)+MID(HE37,4,1)*POWER(2,12)+MID(HE37,3,1)*POWER(2,13)+MID(HE37,2,1)*POWER(2,14)+MID(HE37,1,1)*POWER(2,15))</f>
        <v>6402</v>
      </c>
      <c r="HH36" s="45" t="str">
        <f>GE36</f>
        <v>00000000001000000010001100000010</v>
      </c>
      <c r="HI36" s="26" t="str">
        <f t="shared" si="128"/>
        <v>00000000</v>
      </c>
      <c r="HJ36" s="26" t="str">
        <f t="shared" si="107"/>
        <v>00100000</v>
      </c>
      <c r="HK36" s="26" t="str">
        <f t="shared" si="108"/>
        <v>00100011</v>
      </c>
      <c r="HL36" s="26" t="str">
        <f t="shared" si="109"/>
        <v>00000010</v>
      </c>
      <c r="HM36" s="77">
        <f>BIN2DEC(HI36)-BIN2DEC(HI37)</f>
        <v>0</v>
      </c>
      <c r="HN36" s="77">
        <f>BIN2DEC(HJ36)-BIN2DEC(HJ37)</f>
        <v>31</v>
      </c>
      <c r="HO36" s="77">
        <f>BIN2DEC(HK36)-BIN2DEC(HK37)</f>
        <v>35</v>
      </c>
      <c r="HP36" s="77">
        <f>BIN2DEC(HL36)-BIN2DEC(HL37)</f>
        <v>2</v>
      </c>
      <c r="HQ36" s="27" t="str">
        <f t="shared" si="110"/>
        <v>1001</v>
      </c>
      <c r="HR36" s="27" t="str">
        <f t="shared" si="111"/>
        <v>1100</v>
      </c>
      <c r="HS36" s="27" t="str">
        <f t="shared" si="112"/>
        <v>1011</v>
      </c>
      <c r="HT36" s="27" t="str">
        <f t="shared" si="113"/>
        <v>1000</v>
      </c>
      <c r="HU36" s="27" t="str">
        <f t="shared" si="114"/>
        <v>1010</v>
      </c>
      <c r="HV36" s="27" t="str">
        <f t="shared" si="115"/>
        <v>0011</v>
      </c>
      <c r="HW36" s="27" t="str">
        <f t="shared" si="116"/>
        <v>1001</v>
      </c>
      <c r="HX36" s="27" t="str">
        <f t="shared" si="117"/>
        <v>1110</v>
      </c>
      <c r="HY36" s="77">
        <f>BIN2DEC(HQ36)-BIN2DEC(HQ37)</f>
        <v>6</v>
      </c>
      <c r="HZ36" s="77">
        <f t="shared" ref="HZ36:IE36" si="259">BIN2DEC(HR36)-BIN2DEC(HR37)</f>
        <v>12</v>
      </c>
      <c r="IA36" s="77">
        <f t="shared" si="259"/>
        <v>-3</v>
      </c>
      <c r="IB36" s="77">
        <f t="shared" si="259"/>
        <v>-1</v>
      </c>
      <c r="IC36" s="77">
        <f t="shared" si="259"/>
        <v>4</v>
      </c>
      <c r="ID36" s="77">
        <f t="shared" si="259"/>
        <v>-11</v>
      </c>
      <c r="IE36" s="77">
        <f t="shared" si="259"/>
        <v>9</v>
      </c>
      <c r="IF36" s="77">
        <f>BIN2DEC(HX36)-BIN2DEC(HX37)</f>
        <v>10</v>
      </c>
      <c r="IG36" s="26" t="str">
        <f t="shared" si="24"/>
        <v>0000000000100000</v>
      </c>
      <c r="IH36" s="26" t="str">
        <f t="shared" si="25"/>
        <v>0010001100000010</v>
      </c>
      <c r="II36" s="77">
        <f>MID(IG36,16,1)*POWER(2,0)+MID(IG36,15,1)*POWER(2,1)+MID(IG36,14,1)*POWER(2,2)+MID(IG36,13,1)*POWER(2,3)+MID(IG36,12,1)*POWER(2,4)+MID(IG36,11,1)*POWER(2,5)+MID(IG36,10,1)*POWER(2,6)+MID(IG36,9,1)*POWER(2,7)+MID(IG36,8,1)*POWER(2,8)+MID(IG36,7,1)*POWER(2,9)+MID(IG36,6,1)*POWER(2,10)+MID(IG36,5,1)*POWER(2,11)+MID(IG36,4,1)*POWER(2,12)+MID(IG36,3,1)*POWER(2,13)+MID(IG36,2,1)*POWER(2,14)+MID(IG36,1,1)*POWER(2,15)-(MID(IG37,16,1)*POWER(2,0)+MID(IG37,15,1)*POWER(2,1)+MID(IG37,14,1)*POWER(2,2)+MID(IG37,13,1)*POWER(2,3)+MID(IG37,12,1)*POWER(2,4)+MID(IG37,11,1)*POWER(2,5)+MID(IG37,10,1)*POWER(2,6)+MID(IG37,9,1)*POWER(2,7)+MID(IG37,8,1)*POWER(2,8)+MID(IG37,7,1)*POWER(2,9)+MID(IG37,6,1)*POWER(2,10)+MID(IG37,5,1)*POWER(2,11)+MID(IG37,4,1)*POWER(2,12)+MID(IG37,3,1)*POWER(2,13)+MID(IG37,2,1)*POWER(2,14)+MID(IG37,1,1)*POWER(2,15))</f>
        <v>31</v>
      </c>
      <c r="IJ36" s="77">
        <f>MID(IH36,16,1)*POWER(2,0)+MID(IH36,15,1)*POWER(2,1)+MID(IH36,14,1)*POWER(2,2)+MID(IH36,13,1)*POWER(2,3)+MID(IH36,12,1)*POWER(2,4)+MID(IH36,11,1)*POWER(2,5)+MID(IH36,10,1)*POWER(2,6)+MID(IH36,9,1)*POWER(2,7)+MID(IH36,8,1)*POWER(2,8)+MID(IH36,7,1)*POWER(2,9)+MID(IH36,6,1)*POWER(2,10)+MID(IH36,5,1)*POWER(2,11)+MID(IH36,4,1)*POWER(2,12)+MID(IH36,3,1)*POWER(2,13)+MID(IH36,2,1)*POWER(2,14)+MID(IH36,1,1)*POWER(2,15)-(MID(IH37,16,1)*POWER(2,0)+MID(IH37,15,1)*POWER(2,1)+MID(IH37,14,1)*POWER(2,2)+MID(IH37,13,1)*POWER(2,3)+MID(IH37,12,1)*POWER(2,4)+MID(IH37,11,1)*POWER(2,5)+MID(IH37,10,1)*POWER(2,6)+MID(IH37,9,1)*POWER(2,7)+MID(IH37,8,1)*POWER(2,8)+MID(IH37,7,1)*POWER(2,9)+MID(IH37,6,1)*POWER(2,10)+MID(IH37,5,1)*POWER(2,11)+MID(IH37,4,1)*POWER(2,12)+MID(IH37,3,1)*POWER(2,13)+MID(IH37,2,1)*POWER(2,14)+MID(IH37,1,1)*POWER(2,15))</f>
        <v>8962</v>
      </c>
      <c r="IL36" s="26"/>
      <c r="IM36" s="26"/>
      <c r="IN36" s="26"/>
      <c r="IO36" s="26"/>
      <c r="IP36" s="22"/>
      <c r="IQ36" s="22"/>
      <c r="IR36" s="22"/>
      <c r="IS36" s="22"/>
      <c r="JB36" s="22"/>
      <c r="JC36" s="22"/>
      <c r="JD36" s="22"/>
      <c r="JE36" s="22"/>
      <c r="JF36" s="22"/>
      <c r="JG36" s="22"/>
      <c r="JH36" s="22"/>
      <c r="JI36" s="22"/>
      <c r="JJ36" s="26"/>
      <c r="JK36" s="26"/>
      <c r="JL36" s="22"/>
      <c r="JM36" s="22"/>
    </row>
    <row r="37" spans="1:273" s="31" customFormat="1" ht="18.600000000000001" thickBot="1" x14ac:dyDescent="0.4">
      <c r="A37" s="28"/>
      <c r="B37" s="29"/>
      <c r="C37" s="21" t="s">
        <v>6</v>
      </c>
      <c r="D37" s="21" t="s">
        <v>15</v>
      </c>
      <c r="E37" s="21">
        <v>0</v>
      </c>
      <c r="F37" s="21">
        <v>26</v>
      </c>
      <c r="G37" s="21" t="s">
        <v>14</v>
      </c>
      <c r="H37" s="21" t="str">
        <f t="shared" si="186"/>
        <v>10001101000000000010011011011101</v>
      </c>
      <c r="I37" s="21">
        <f t="shared" si="187"/>
        <v>13</v>
      </c>
      <c r="J37" s="21"/>
      <c r="K37" s="21"/>
      <c r="L37" s="44" t="str">
        <f>CONCATENATE(MID(H37,20,5),MID(H37,9,3),MID(H37,28,5),MID(H37,17,3),MID(H37,4,5),MID(H37,25,3),MID(H37,12,5),MID(H37,1,3))</f>
        <v>00110000111010010110111000000100</v>
      </c>
      <c r="M37" s="30" t="str">
        <f t="shared" si="26"/>
        <v>00110000</v>
      </c>
      <c r="N37" s="30" t="str">
        <f t="shared" si="27"/>
        <v>11101001</v>
      </c>
      <c r="O37" s="30" t="str">
        <f t="shared" si="28"/>
        <v>01101110</v>
      </c>
      <c r="P37" s="30" t="str">
        <f t="shared" si="29"/>
        <v>00000100</v>
      </c>
      <c r="Q37" s="78"/>
      <c r="R37" s="78"/>
      <c r="S37" s="78"/>
      <c r="T37" s="78"/>
      <c r="U37" s="31" t="str">
        <f t="shared" si="30"/>
        <v>0011</v>
      </c>
      <c r="V37" s="31" t="str">
        <f t="shared" si="31"/>
        <v>0000</v>
      </c>
      <c r="W37" s="31" t="str">
        <f t="shared" si="32"/>
        <v>1110</v>
      </c>
      <c r="X37" s="31" t="str">
        <f t="shared" si="33"/>
        <v>1001</v>
      </c>
      <c r="Y37" s="31" t="str">
        <f t="shared" si="34"/>
        <v>0110</v>
      </c>
      <c r="Z37" s="31" t="str">
        <f t="shared" si="35"/>
        <v>1110</v>
      </c>
      <c r="AA37" s="31" t="str">
        <f t="shared" si="36"/>
        <v>0000</v>
      </c>
      <c r="AB37" s="31" t="str">
        <f t="shared" si="37"/>
        <v>0100</v>
      </c>
      <c r="AC37" s="78"/>
      <c r="AD37" s="78"/>
      <c r="AE37" s="78"/>
      <c r="AF37" s="78"/>
      <c r="AG37" s="78"/>
      <c r="AH37" s="78"/>
      <c r="AI37" s="78"/>
      <c r="AJ37" s="78"/>
      <c r="AK37" s="30" t="str">
        <f t="shared" si="3"/>
        <v>0011000011101001</v>
      </c>
      <c r="AL37" s="30" t="str">
        <f t="shared" si="4"/>
        <v>0110111000000100</v>
      </c>
      <c r="AM37" s="78"/>
      <c r="AN37" s="78"/>
      <c r="AO37" s="46" t="str">
        <f>CONCATENATE(MID($L37,1,1)*MID($K26,1,1),MID($L37,2,1)*MID($K26,2,1),MID($L37,3,1)*MID($K26,3,1),MID($L37,4,1)*MID($K26,4,1),MID($L37,5,1)*MID($K26,5,1),MID($L37,6,1)*MID($K26,6,1),MID($L37,7,1)*MID($K26,7,1),MID($L37,8,1)*MID($K26,8,1),MID($L37,9,1)*MID($K26,1,1),MID($L37,10,1)*MID($K26,2,1),MID($L37,11,1)*MID($K26,3,1),MID($L37,12,1)*MID($K26,4,1),MID($L37,13,1)*MID($K26,5,1),MID($L37,14,1)*MID($K26,6,1),MID($L37,15,1)*MID($K26,7,1),MID($L37,16,1)*MID($K26,8,1),MID($L37,17,1)*MID($K26,1,1),MID($L37,18,1)*MID($K26,2,1),MID($L37,19,1)*MID($K26,3,1),MID($L37,20,1)*MID($K26,4,1),MID($L37,21,1)*MID($K26,5,1),MID($L37,22,1)*MID($K26,6,1),MID($L37,23,1)*MID($K26,7,1),MID($L37,24,1)*MID($K26,8,1),MID($L37,25,1)*MID($K26,1,1),MID($L37,26,1)*MID($K26,2,1),MID($L37,27,1)*MID($K26,3,1),MID($L37,28,1)*MID($K26,4,1),MID($L37,29,1)*MID($K26,5,1),MID($L37,30,1)*MID($K26,6,1),MID($L37,31,1)*MID($K26,7,1),MID($L37,32,1)*MID($K26,8,1))</f>
        <v>00100000011000010110001000000000</v>
      </c>
      <c r="AP37" s="30" t="str">
        <f t="shared" si="38"/>
        <v>00100000</v>
      </c>
      <c r="AQ37" s="30" t="str">
        <f t="shared" si="39"/>
        <v>01100001</v>
      </c>
      <c r="AR37" s="30" t="str">
        <f t="shared" si="40"/>
        <v>01100010</v>
      </c>
      <c r="AS37" s="30" t="str">
        <f t="shared" si="41"/>
        <v>00000000</v>
      </c>
      <c r="AT37" s="78"/>
      <c r="AU37" s="78"/>
      <c r="AV37" s="78"/>
      <c r="AW37" s="78"/>
      <c r="AX37" s="31" t="str">
        <f t="shared" si="42"/>
        <v>0011</v>
      </c>
      <c r="AY37" s="31" t="str">
        <f t="shared" si="43"/>
        <v>0000</v>
      </c>
      <c r="AZ37" s="31" t="str">
        <f t="shared" si="44"/>
        <v>1110</v>
      </c>
      <c r="BA37" s="31" t="str">
        <f t="shared" si="45"/>
        <v>1001</v>
      </c>
      <c r="BB37" s="31" t="str">
        <f t="shared" si="46"/>
        <v>0110</v>
      </c>
      <c r="BC37" s="31" t="str">
        <f t="shared" si="47"/>
        <v>1110</v>
      </c>
      <c r="BD37" s="31" t="str">
        <f t="shared" si="48"/>
        <v>0000</v>
      </c>
      <c r="BE37" s="31" t="str">
        <f t="shared" si="49"/>
        <v>0100</v>
      </c>
      <c r="BF37" s="78"/>
      <c r="BG37" s="78"/>
      <c r="BH37" s="78"/>
      <c r="BI37" s="78"/>
      <c r="BJ37" s="78"/>
      <c r="BK37" s="78"/>
      <c r="BL37" s="78"/>
      <c r="BM37" s="78"/>
      <c r="BN37" s="30" t="str">
        <f t="shared" si="6"/>
        <v>0010000001100001</v>
      </c>
      <c r="BO37" s="30" t="str">
        <f t="shared" si="7"/>
        <v>0110001000000000</v>
      </c>
      <c r="BP37" s="78"/>
      <c r="BQ37" s="78"/>
      <c r="BR37" s="46" t="str">
        <f>L37</f>
        <v>00110000111010010110111000000100</v>
      </c>
      <c r="BS37" s="30" t="str">
        <f t="shared" si="50"/>
        <v>00110000</v>
      </c>
      <c r="BT37" s="30" t="str">
        <f t="shared" si="51"/>
        <v>11101001</v>
      </c>
      <c r="BU37" s="30" t="str">
        <f t="shared" si="52"/>
        <v>01101110</v>
      </c>
      <c r="BV37" s="30" t="str">
        <f t="shared" si="53"/>
        <v>00000100</v>
      </c>
      <c r="BW37" s="78"/>
      <c r="BX37" s="78"/>
      <c r="BY37" s="78"/>
      <c r="BZ37" s="78"/>
      <c r="CA37" s="31" t="str">
        <f t="shared" si="54"/>
        <v>0011</v>
      </c>
      <c r="CB37" s="31" t="str">
        <f t="shared" si="55"/>
        <v>0000</v>
      </c>
      <c r="CC37" s="31" t="str">
        <f t="shared" si="56"/>
        <v>1110</v>
      </c>
      <c r="CD37" s="31" t="str">
        <f t="shared" si="57"/>
        <v>1001</v>
      </c>
      <c r="CE37" s="31" t="str">
        <f t="shared" si="58"/>
        <v>0110</v>
      </c>
      <c r="CF37" s="31" t="str">
        <f t="shared" si="59"/>
        <v>1110</v>
      </c>
      <c r="CG37" s="31" t="str">
        <f t="shared" si="60"/>
        <v>0000</v>
      </c>
      <c r="CH37" s="31" t="str">
        <f t="shared" si="61"/>
        <v>0100</v>
      </c>
      <c r="CI37" s="78"/>
      <c r="CJ37" s="78"/>
      <c r="CK37" s="78"/>
      <c r="CL37" s="78"/>
      <c r="CM37" s="78"/>
      <c r="CN37" s="78"/>
      <c r="CO37" s="78"/>
      <c r="CP37" s="78"/>
      <c r="CQ37" s="30" t="str">
        <f t="shared" si="9"/>
        <v>0011000011101001</v>
      </c>
      <c r="CR37" s="30" t="str">
        <f t="shared" si="10"/>
        <v>0110111000000100</v>
      </c>
      <c r="CS37" s="78"/>
      <c r="CT37" s="78"/>
      <c r="CU37" s="46" t="str">
        <f>AO37</f>
        <v>00100000011000010110001000000000</v>
      </c>
      <c r="CV37" s="30" t="str">
        <f t="shared" si="62"/>
        <v>00100000</v>
      </c>
      <c r="CW37" s="30" t="str">
        <f t="shared" si="63"/>
        <v>01100001</v>
      </c>
      <c r="CX37" s="30" t="str">
        <f t="shared" si="64"/>
        <v>01100010</v>
      </c>
      <c r="CY37" s="30" t="str">
        <f t="shared" si="65"/>
        <v>00000000</v>
      </c>
      <c r="CZ37" s="78"/>
      <c r="DA37" s="78"/>
      <c r="DB37" s="78"/>
      <c r="DC37" s="78"/>
      <c r="DD37" s="31" t="str">
        <f t="shared" si="66"/>
        <v>0011</v>
      </c>
      <c r="DE37" s="31" t="str">
        <f t="shared" si="67"/>
        <v>0000</v>
      </c>
      <c r="DF37" s="31" t="str">
        <f t="shared" si="68"/>
        <v>1110</v>
      </c>
      <c r="DG37" s="31" t="str">
        <f t="shared" si="69"/>
        <v>1001</v>
      </c>
      <c r="DH37" s="31" t="str">
        <f t="shared" si="70"/>
        <v>0110</v>
      </c>
      <c r="DI37" s="31" t="str">
        <f t="shared" si="71"/>
        <v>1110</v>
      </c>
      <c r="DJ37" s="31" t="str">
        <f t="shared" si="72"/>
        <v>0000</v>
      </c>
      <c r="DK37" s="31" t="str">
        <f t="shared" si="73"/>
        <v>0100</v>
      </c>
      <c r="DL37" s="78"/>
      <c r="DM37" s="78"/>
      <c r="DN37" s="78"/>
      <c r="DO37" s="78"/>
      <c r="DP37" s="78"/>
      <c r="DQ37" s="78"/>
      <c r="DR37" s="78"/>
      <c r="DS37" s="78"/>
      <c r="DT37" s="30" t="str">
        <f t="shared" si="12"/>
        <v>0010000001100001</v>
      </c>
      <c r="DU37" s="30" t="str">
        <f t="shared" si="13"/>
        <v>0110001000000000</v>
      </c>
      <c r="DV37" s="78"/>
      <c r="DW37" s="78"/>
      <c r="DX37" s="23" t="str">
        <f>CONCATENATE(MID($H37,1,1)*MID($K26,1,1),MID($H37,2,1)*MID($K26,2,1),MID($H37,3,1)*MID($K26,3,1),MID($H37,4,1)*MID($K26,4,1),MID($H37,5,1)*MID($K26,5,1),MID($H37,6,1)*MID($K26,6,1),MID($H37,7,1)*MID($K26,7,1),MID($H37,8,1)*MID($K26,8,1),MID($H37,9,1)*MID($K26,1,1),MID($H37,10,1)*MID($K26,2,1),MID($H37,11,1)*MID($K26,3,1),MID($H37,12,1)*MID($K26,4,1),MID($H37,13,1)*MID($K26,5,1),MID($H37,14,1)*MID($K26,6,1),MID($H37,15,1)*MID($K26,7,1),MID($H37,16,1)*MID($K26,8,1),MID($H37,17,1)*MID($K26,1,1),MID($H37,18,1)*MID($K26,2,1),MID($H37,19,1)*MID($K26,3,1),MID($H37,20,1)*MID($K26,4,1),MID($H37,21,1)*MID($K26,5,1),MID($H37,22,1)*MID($K26,6,1),MID($H37,23,1)*MID($K26,7,1),MID($H37,24,1)*MID($K26,8,1),MID($H37,25,1)*MID($K26,1,1),MID($H37,26,1)*MID($K26,2,1),MID($H37,27,1)*MID($K26,3,1),MID($H37,28,1)*MID($K26,4,1),MID($H37,29,1)*MID($K26,5,1),MID($H37,30,1)*MID($K26,6,1),MID($H37,31,1)*MID($K26,7,1),MID($H37,32,1)*MID($K26,8,1))</f>
        <v>00000001000000000010001001000001</v>
      </c>
      <c r="DY37" s="44" t="str">
        <f>CONCATENATE(MID(DX37,20,5),MID(DX37,9,3),MID(DX37,28,5),MID(DX37,17,3),MID(DX37,4,5),MID(DX37,25,3),MID(DX37,12,5),MID(DX37,1,3))</f>
        <v>00010000000010010000101000000000</v>
      </c>
      <c r="DZ37" s="30" t="str">
        <f t="shared" si="122"/>
        <v>00010000</v>
      </c>
      <c r="EA37" s="30" t="str">
        <f t="shared" si="74"/>
        <v>00001001</v>
      </c>
      <c r="EB37" s="30" t="str">
        <f t="shared" si="75"/>
        <v>00001010</v>
      </c>
      <c r="EC37" s="30" t="str">
        <f t="shared" si="76"/>
        <v>00000000</v>
      </c>
      <c r="ED37" s="78"/>
      <c r="EE37" s="78"/>
      <c r="EF37" s="78"/>
      <c r="EG37" s="78"/>
      <c r="EH37" s="31" t="str">
        <f t="shared" si="77"/>
        <v>0011</v>
      </c>
      <c r="EI37" s="31" t="str">
        <f t="shared" si="78"/>
        <v>0000</v>
      </c>
      <c r="EJ37" s="31" t="str">
        <f t="shared" si="79"/>
        <v>1110</v>
      </c>
      <c r="EK37" s="31" t="str">
        <f t="shared" si="80"/>
        <v>1001</v>
      </c>
      <c r="EL37" s="31" t="str">
        <f t="shared" si="81"/>
        <v>0110</v>
      </c>
      <c r="EM37" s="31" t="str">
        <f t="shared" si="82"/>
        <v>1110</v>
      </c>
      <c r="EN37" s="31" t="str">
        <f t="shared" si="83"/>
        <v>0000</v>
      </c>
      <c r="EO37" s="31" t="str">
        <f t="shared" si="84"/>
        <v>0100</v>
      </c>
      <c r="EP37" s="78"/>
      <c r="EQ37" s="78"/>
      <c r="ER37" s="78"/>
      <c r="ES37" s="78"/>
      <c r="ET37" s="78"/>
      <c r="EU37" s="78"/>
      <c r="EV37" s="78"/>
      <c r="EW37" s="78"/>
      <c r="EX37" s="30" t="str">
        <f t="shared" si="15"/>
        <v>0001000000001001</v>
      </c>
      <c r="EY37" s="30" t="str">
        <f t="shared" si="16"/>
        <v>0000101000000000</v>
      </c>
      <c r="EZ37" s="78"/>
      <c r="FA37" s="78"/>
      <c r="FB37" s="46" t="str">
        <f>CONCATENATE(MID(DY37,1,1)*MID($K36,1,1),MID(DY37,2,1)*MID($K36,2,1),MID(DY37,3,1)*MID($K36,3,1),MID(DY37,4,1)*MID($K36,4,1),MID(DY37,5,1)*MID($K36,5,1),MID(DY37,6,1)*MID($K36,6,1),MID(DY37,7,1)*MID($K36,7,1),MID(DY37,8,1)*MID($K36,8,1),MID(DY37,9,1)*MID($K36,1,1),MID(DY37,10,1)*MID($K36,2,1),MID(DY37,11,1)*MID($K36,3,1),MID(DY37,12,1)*MID($K36,4,1),MID(DY37,13,1)*MID($K36,5,1),MID(DY37,14,1)*MID($K36,6,1),MID(DY37,15,1)*MID($K36,7,1),MID(DY37,16,1)*MID($K36,8,1),MID(DY37,17,1)*MID($K36,1,1),MID(DY37,18,1)*MID($K36,2,1),MID(DY37,19,1)*MID($K36,3,1),MID(DY37,20,1)*MID($K36,4,1),MID(DY37,21,1)*MID($K36,5,1),MID(DY37,22,1)*MID($K36,6,1),MID(DY37,23,1)*MID($K36,7,1),MID(DY37,24,1)*MID($K36,8,1),MID(DY37,25,1)*MID($K36,1,1),MID(DY37,26,1)*MID($K36,2,1),MID(DY37,27,1)*MID($K36,3,1),MID(DY37,28,1)*MID($K36,4,1),MID(DY37,29,1)*MID($K36,5,1),MID(DY37,30,1)*MID($K36,6,1),MID(DY37,31,1)*MID($K36,7,1),MID(DY37,32,1)*MID($K36,8,1))</f>
        <v>00000000000000010000000000000000</v>
      </c>
      <c r="FC37" s="30" t="str">
        <f t="shared" si="124"/>
        <v>00000000</v>
      </c>
      <c r="FD37" s="30" t="str">
        <f t="shared" si="85"/>
        <v>00000001</v>
      </c>
      <c r="FE37" s="30" t="str">
        <f t="shared" si="86"/>
        <v>00000000</v>
      </c>
      <c r="FF37" s="30" t="str">
        <f t="shared" si="87"/>
        <v>00000000</v>
      </c>
      <c r="FG37" s="78"/>
      <c r="FH37" s="78"/>
      <c r="FI37" s="78"/>
      <c r="FJ37" s="78"/>
      <c r="FK37" s="31" t="str">
        <f t="shared" si="88"/>
        <v>0011</v>
      </c>
      <c r="FL37" s="31" t="str">
        <f t="shared" si="89"/>
        <v>0000</v>
      </c>
      <c r="FM37" s="31" t="str">
        <f t="shared" si="90"/>
        <v>1110</v>
      </c>
      <c r="FN37" s="31" t="str">
        <f t="shared" si="91"/>
        <v>1001</v>
      </c>
      <c r="FO37" s="31" t="str">
        <f t="shared" si="92"/>
        <v>0110</v>
      </c>
      <c r="FP37" s="31" t="str">
        <f t="shared" si="93"/>
        <v>1110</v>
      </c>
      <c r="FQ37" s="31" t="str">
        <f t="shared" si="94"/>
        <v>0000</v>
      </c>
      <c r="FR37" s="31" t="str">
        <f t="shared" si="95"/>
        <v>0100</v>
      </c>
      <c r="FS37" s="78"/>
      <c r="FT37" s="78"/>
      <c r="FU37" s="78"/>
      <c r="FV37" s="78"/>
      <c r="FW37" s="78"/>
      <c r="FX37" s="78"/>
      <c r="FY37" s="78"/>
      <c r="FZ37" s="78"/>
      <c r="GA37" s="30" t="str">
        <f t="shared" si="18"/>
        <v>0000000000000001</v>
      </c>
      <c r="GB37" s="30" t="str">
        <f t="shared" si="19"/>
        <v>0000000000000000</v>
      </c>
      <c r="GC37" s="78"/>
      <c r="GD37" s="78"/>
      <c r="GE37" s="48" t="str">
        <f>DY37</f>
        <v>00010000000010010000101000000000</v>
      </c>
      <c r="GF37" s="30" t="str">
        <f t="shared" si="126"/>
        <v>00010000</v>
      </c>
      <c r="GG37" s="30" t="str">
        <f t="shared" si="96"/>
        <v>00001001</v>
      </c>
      <c r="GH37" s="30" t="str">
        <f t="shared" si="97"/>
        <v>00001010</v>
      </c>
      <c r="GI37" s="30" t="str">
        <f t="shared" si="98"/>
        <v>00000000</v>
      </c>
      <c r="GJ37" s="78"/>
      <c r="GK37" s="78"/>
      <c r="GL37" s="78"/>
      <c r="GM37" s="78"/>
      <c r="GN37" s="31" t="str">
        <f t="shared" si="99"/>
        <v>0011</v>
      </c>
      <c r="GO37" s="31" t="str">
        <f t="shared" si="100"/>
        <v>0000</v>
      </c>
      <c r="GP37" s="31" t="str">
        <f t="shared" si="101"/>
        <v>1110</v>
      </c>
      <c r="GQ37" s="31" t="str">
        <f t="shared" si="102"/>
        <v>1001</v>
      </c>
      <c r="GR37" s="31" t="str">
        <f t="shared" si="103"/>
        <v>0110</v>
      </c>
      <c r="GS37" s="31" t="str">
        <f t="shared" si="104"/>
        <v>1110</v>
      </c>
      <c r="GT37" s="31" t="str">
        <f t="shared" si="105"/>
        <v>0000</v>
      </c>
      <c r="GU37" s="31" t="str">
        <f t="shared" si="106"/>
        <v>0100</v>
      </c>
      <c r="GV37" s="78"/>
      <c r="GW37" s="78"/>
      <c r="GX37" s="78"/>
      <c r="GY37" s="78"/>
      <c r="GZ37" s="78"/>
      <c r="HA37" s="78"/>
      <c r="HB37" s="78"/>
      <c r="HC37" s="78"/>
      <c r="HD37" s="30" t="str">
        <f t="shared" si="21"/>
        <v>0001000000001001</v>
      </c>
      <c r="HE37" s="30" t="str">
        <f t="shared" si="22"/>
        <v>0000101000000000</v>
      </c>
      <c r="HF37" s="78"/>
      <c r="HG37" s="78"/>
      <c r="HH37" s="48" t="str">
        <f>FB37</f>
        <v>00000000000000010000000000000000</v>
      </c>
      <c r="HI37" s="30" t="str">
        <f t="shared" si="128"/>
        <v>00000000</v>
      </c>
      <c r="HJ37" s="30" t="str">
        <f t="shared" si="107"/>
        <v>00000001</v>
      </c>
      <c r="HK37" s="30" t="str">
        <f t="shared" si="108"/>
        <v>00000000</v>
      </c>
      <c r="HL37" s="30" t="str">
        <f t="shared" si="109"/>
        <v>00000000</v>
      </c>
      <c r="HM37" s="78"/>
      <c r="HN37" s="78"/>
      <c r="HO37" s="78"/>
      <c r="HP37" s="78"/>
      <c r="HQ37" s="31" t="str">
        <f t="shared" si="110"/>
        <v>0011</v>
      </c>
      <c r="HR37" s="31" t="str">
        <f t="shared" si="111"/>
        <v>0000</v>
      </c>
      <c r="HS37" s="31" t="str">
        <f t="shared" si="112"/>
        <v>1110</v>
      </c>
      <c r="HT37" s="31" t="str">
        <f t="shared" si="113"/>
        <v>1001</v>
      </c>
      <c r="HU37" s="31" t="str">
        <f t="shared" si="114"/>
        <v>0110</v>
      </c>
      <c r="HV37" s="31" t="str">
        <f t="shared" si="115"/>
        <v>1110</v>
      </c>
      <c r="HW37" s="31" t="str">
        <f t="shared" si="116"/>
        <v>0000</v>
      </c>
      <c r="HX37" s="31" t="str">
        <f t="shared" si="117"/>
        <v>0100</v>
      </c>
      <c r="HY37" s="78"/>
      <c r="HZ37" s="78"/>
      <c r="IA37" s="78"/>
      <c r="IB37" s="78"/>
      <c r="IC37" s="78"/>
      <c r="ID37" s="78"/>
      <c r="IE37" s="78"/>
      <c r="IF37" s="78"/>
      <c r="IG37" s="30" t="str">
        <f t="shared" si="24"/>
        <v>0000000000000001</v>
      </c>
      <c r="IH37" s="30" t="str">
        <f t="shared" si="25"/>
        <v>0000000000000000</v>
      </c>
      <c r="II37" s="78"/>
      <c r="IJ37" s="78"/>
      <c r="IL37" s="30"/>
      <c r="IM37" s="30"/>
      <c r="IN37" s="30"/>
      <c r="IO37" s="30"/>
      <c r="IP37" s="23"/>
      <c r="IQ37" s="23"/>
      <c r="IR37" s="23"/>
      <c r="IS37" s="23"/>
      <c r="JB37" s="23"/>
      <c r="JC37" s="23"/>
      <c r="JD37" s="23"/>
      <c r="JE37" s="23"/>
      <c r="JF37" s="23"/>
      <c r="JG37" s="23"/>
      <c r="JH37" s="23"/>
      <c r="JI37" s="23"/>
      <c r="JJ37" s="30"/>
      <c r="JK37" s="30"/>
      <c r="JL37" s="23"/>
      <c r="JM37" s="23"/>
    </row>
    <row r="38" spans="1:273" s="27" customFormat="1" x14ac:dyDescent="0.35">
      <c r="A38" s="24"/>
      <c r="B38" s="25"/>
      <c r="C38" s="20" t="s">
        <v>0</v>
      </c>
      <c r="D38" s="20">
        <v>46</v>
      </c>
      <c r="E38" s="20">
        <v>76</v>
      </c>
      <c r="F38" s="20">
        <v>28</v>
      </c>
      <c r="G38" s="20" t="s">
        <v>10</v>
      </c>
      <c r="H38" s="20" t="str">
        <f t="shared" si="186"/>
        <v>01000110011101100010100010011100</v>
      </c>
      <c r="I38" s="20">
        <f t="shared" si="187"/>
        <v>14</v>
      </c>
      <c r="J38" s="20" t="s">
        <v>47</v>
      </c>
      <c r="K38" s="20" t="str">
        <f>HEX2BIN(J38,8)</f>
        <v>11111111</v>
      </c>
      <c r="L38" s="43" t="str">
        <f>H38</f>
        <v>01000110011101100010100010011100</v>
      </c>
      <c r="M38" s="26" t="str">
        <f t="shared" si="26"/>
        <v>01000110</v>
      </c>
      <c r="N38" s="26" t="str">
        <f t="shared" si="27"/>
        <v>01110110</v>
      </c>
      <c r="O38" s="26" t="str">
        <f t="shared" si="28"/>
        <v>00101000</v>
      </c>
      <c r="P38" s="26" t="str">
        <f t="shared" si="29"/>
        <v>10011100</v>
      </c>
      <c r="Q38" s="77">
        <f>BIN2DEC(M38)-BIN2DEC(M39)</f>
        <v>4</v>
      </c>
      <c r="R38" s="77">
        <f>BIN2DEC(N38)-BIN2DEC(N39)</f>
        <v>-1</v>
      </c>
      <c r="S38" s="77">
        <f>BIN2DEC(O38)-BIN2DEC(O39)</f>
        <v>-1</v>
      </c>
      <c r="T38" s="77">
        <f>BIN2DEC(P38)-BIN2DEC(P39)</f>
        <v>-1</v>
      </c>
      <c r="U38" s="27" t="str">
        <f t="shared" si="30"/>
        <v>0100</v>
      </c>
      <c r="V38" s="27" t="str">
        <f t="shared" si="31"/>
        <v>0110</v>
      </c>
      <c r="W38" s="27" t="str">
        <f t="shared" si="32"/>
        <v>0111</v>
      </c>
      <c r="X38" s="27" t="str">
        <f t="shared" si="33"/>
        <v>0110</v>
      </c>
      <c r="Y38" s="27" t="str">
        <f t="shared" si="34"/>
        <v>0010</v>
      </c>
      <c r="Z38" s="27" t="str">
        <f t="shared" si="35"/>
        <v>1000</v>
      </c>
      <c r="AA38" s="27" t="str">
        <f t="shared" si="36"/>
        <v>1001</v>
      </c>
      <c r="AB38" s="27" t="str">
        <f t="shared" si="37"/>
        <v>1100</v>
      </c>
      <c r="AC38" s="77">
        <f>BIN2DEC(U38)-BIN2DEC(U39)</f>
        <v>0</v>
      </c>
      <c r="AD38" s="77">
        <f t="shared" ref="AD38:AI38" si="260">BIN2DEC(V38)-BIN2DEC(V39)</f>
        <v>4</v>
      </c>
      <c r="AE38" s="77">
        <f t="shared" si="260"/>
        <v>0</v>
      </c>
      <c r="AF38" s="77">
        <f t="shared" si="260"/>
        <v>-1</v>
      </c>
      <c r="AG38" s="77">
        <f t="shared" si="260"/>
        <v>0</v>
      </c>
      <c r="AH38" s="77">
        <f t="shared" si="260"/>
        <v>-1</v>
      </c>
      <c r="AI38" s="77">
        <f t="shared" si="260"/>
        <v>0</v>
      </c>
      <c r="AJ38" s="77">
        <f>BIN2DEC(AB38)-BIN2DEC(AB39)</f>
        <v>-1</v>
      </c>
      <c r="AK38" s="26" t="str">
        <f t="shared" si="3"/>
        <v>0100011001110110</v>
      </c>
      <c r="AL38" s="26" t="str">
        <f t="shared" si="4"/>
        <v>0010100010011100</v>
      </c>
      <c r="AM38" s="77">
        <f>MID(AK38,16,1)*POWER(2,0)+MID(AK38,15,1)*POWER(2,1)+MID(AK38,14,1)*POWER(2,2)+MID(AK38,13,1)*POWER(2,3)+MID(AK38,12,1)*POWER(2,4)+MID(AK38,11,1)*POWER(2,5)+MID(AK38,10,1)*POWER(2,6)+MID(AK38,9,1)*POWER(2,7)+MID(AK38,8,1)*POWER(2,8)+MID(AK38,7,1)*POWER(2,9)+MID(AK38,6,1)*POWER(2,10)+MID(AK38,5,1)*POWER(2,11)+MID(AK38,4,1)*POWER(2,12)+MID(AK38,3,1)*POWER(2,13)+MID(AK38,2,1)*POWER(2,14)+MID(AK38,1,1)*POWER(2,15)-(MID(AK39,16,1)*POWER(2,0)+MID(AK39,15,1)*POWER(2,1)+MID(AK39,14,1)*POWER(2,2)+MID(AK39,13,1)*POWER(2,3)+MID(AK39,12,1)*POWER(2,4)+MID(AK39,11,1)*POWER(2,5)+MID(AK39,10,1)*POWER(2,6)+MID(AK39,9,1)*POWER(2,7)+MID(AK39,8,1)*POWER(2,8)+MID(AK39,7,1)*POWER(2,9)+MID(AK39,6,1)*POWER(2,10)+MID(AK39,5,1)*POWER(2,11)+MID(AK39,4,1)*POWER(2,12)+MID(AK39,3,1)*POWER(2,13)+MID(AK39,2,1)*POWER(2,14)+MID(AK39,1,1)*POWER(2,15))</f>
        <v>1023</v>
      </c>
      <c r="AN38" s="77">
        <f>MID(AL38,16,1)*POWER(2,0)+MID(AL38,15,1)*POWER(2,1)+MID(AL38,14,1)*POWER(2,2)+MID(AL38,13,1)*POWER(2,3)+MID(AL38,12,1)*POWER(2,4)+MID(AL38,11,1)*POWER(2,5)+MID(AL38,10,1)*POWER(2,6)+MID(AL38,9,1)*POWER(2,7)+MID(AL38,8,1)*POWER(2,8)+MID(AL38,7,1)*POWER(2,9)+MID(AL38,6,1)*POWER(2,10)+MID(AL38,5,1)*POWER(2,11)+MID(AL38,4,1)*POWER(2,12)+MID(AL38,3,1)*POWER(2,13)+MID(AL38,2,1)*POWER(2,14)+MID(AL38,1,1)*POWER(2,15)-(MID(AL39,16,1)*POWER(2,0)+MID(AL39,15,1)*POWER(2,1)+MID(AL39,14,1)*POWER(2,2)+MID(AL39,13,1)*POWER(2,3)+MID(AL39,12,1)*POWER(2,4)+MID(AL39,11,1)*POWER(2,5)+MID(AL39,10,1)*POWER(2,6)+MID(AL39,9,1)*POWER(2,7)+MID(AL39,8,1)*POWER(2,8)+MID(AL39,7,1)*POWER(2,9)+MID(AL39,6,1)*POWER(2,10)+MID(AL39,5,1)*POWER(2,11)+MID(AL39,4,1)*POWER(2,12)+MID(AL39,3,1)*POWER(2,13)+MID(AL39,2,1)*POWER(2,14)+MID(AL39,1,1)*POWER(2,15))</f>
        <v>-257</v>
      </c>
      <c r="AO38" s="45" t="str">
        <f>H38</f>
        <v>01000110011101100010100010011100</v>
      </c>
      <c r="AP38" s="26" t="str">
        <f t="shared" si="38"/>
        <v>01000110</v>
      </c>
      <c r="AQ38" s="26" t="str">
        <f t="shared" si="39"/>
        <v>01110110</v>
      </c>
      <c r="AR38" s="26" t="str">
        <f t="shared" si="40"/>
        <v>00101000</v>
      </c>
      <c r="AS38" s="26" t="str">
        <f t="shared" si="41"/>
        <v>10011100</v>
      </c>
      <c r="AT38" s="77">
        <f>BIN2DEC(AP38)-BIN2DEC(AP39)</f>
        <v>4</v>
      </c>
      <c r="AU38" s="77">
        <f>BIN2DEC(AQ38)-BIN2DEC(AQ39)</f>
        <v>19</v>
      </c>
      <c r="AV38" s="77">
        <f>BIN2DEC(AR38)-BIN2DEC(AR39)</f>
        <v>7</v>
      </c>
      <c r="AW38" s="77">
        <f>BIN2DEC(AS38)-BIN2DEC(AS39)</f>
        <v>155</v>
      </c>
      <c r="AX38" s="27" t="str">
        <f t="shared" si="42"/>
        <v>0100</v>
      </c>
      <c r="AY38" s="27" t="str">
        <f t="shared" si="43"/>
        <v>0110</v>
      </c>
      <c r="AZ38" s="27" t="str">
        <f t="shared" si="44"/>
        <v>0111</v>
      </c>
      <c r="BA38" s="27" t="str">
        <f t="shared" si="45"/>
        <v>0110</v>
      </c>
      <c r="BB38" s="27" t="str">
        <f t="shared" si="46"/>
        <v>0010</v>
      </c>
      <c r="BC38" s="27" t="str">
        <f t="shared" si="47"/>
        <v>1000</v>
      </c>
      <c r="BD38" s="27" t="str">
        <f t="shared" si="48"/>
        <v>1001</v>
      </c>
      <c r="BE38" s="27" t="str">
        <f t="shared" si="49"/>
        <v>1100</v>
      </c>
      <c r="BF38" s="77">
        <f>BIN2DEC(AX38)-BIN2DEC(AX39)</f>
        <v>0</v>
      </c>
      <c r="BG38" s="77">
        <f t="shared" ref="BG38:BL38" si="261">BIN2DEC(AY38)-BIN2DEC(AY39)</f>
        <v>4</v>
      </c>
      <c r="BH38" s="77">
        <f t="shared" si="261"/>
        <v>0</v>
      </c>
      <c r="BI38" s="77">
        <f t="shared" si="261"/>
        <v>-1</v>
      </c>
      <c r="BJ38" s="77">
        <f t="shared" si="261"/>
        <v>0</v>
      </c>
      <c r="BK38" s="77">
        <f t="shared" si="261"/>
        <v>-1</v>
      </c>
      <c r="BL38" s="77">
        <f t="shared" si="261"/>
        <v>0</v>
      </c>
      <c r="BM38" s="77">
        <f>BIN2DEC(BE38)-BIN2DEC(BE39)</f>
        <v>-1</v>
      </c>
      <c r="BN38" s="26" t="str">
        <f t="shared" si="6"/>
        <v>0100011001110110</v>
      </c>
      <c r="BO38" s="26" t="str">
        <f t="shared" si="7"/>
        <v>0010100010011100</v>
      </c>
      <c r="BP38" s="77">
        <f>MID(BN38,16,1)*POWER(2,0)+MID(BN38,15,1)*POWER(2,1)+MID(BN38,14,1)*POWER(2,2)+MID(BN38,13,1)*POWER(2,3)+MID(BN38,12,1)*POWER(2,4)+MID(BN38,11,1)*POWER(2,5)+MID(BN38,10,1)*POWER(2,6)+MID(BN38,9,1)*POWER(2,7)+MID(BN38,8,1)*POWER(2,8)+MID(BN38,7,1)*POWER(2,9)+MID(BN38,6,1)*POWER(2,10)+MID(BN38,5,1)*POWER(2,11)+MID(BN38,4,1)*POWER(2,12)+MID(BN38,3,1)*POWER(2,13)+MID(BN38,2,1)*POWER(2,14)+MID(BN38,1,1)*POWER(2,15)-(MID(BN39,16,1)*POWER(2,0)+MID(BN39,15,1)*POWER(2,1)+MID(BN39,14,1)*POWER(2,2)+MID(BN39,13,1)*POWER(2,3)+MID(BN39,12,1)*POWER(2,4)+MID(BN39,11,1)*POWER(2,5)+MID(BN39,10,1)*POWER(2,6)+MID(BN39,9,1)*POWER(2,7)+MID(BN39,8,1)*POWER(2,8)+MID(BN39,7,1)*POWER(2,9)+MID(BN39,6,1)*POWER(2,10)+MID(BN39,5,1)*POWER(2,11)+MID(BN39,4,1)*POWER(2,12)+MID(BN39,3,1)*POWER(2,13)+MID(BN39,2,1)*POWER(2,14)+MID(BN39,1,1)*POWER(2,15))</f>
        <v>1043</v>
      </c>
      <c r="BQ38" s="77">
        <f>MID(BO38,16,1)*POWER(2,0)+MID(BO38,15,1)*POWER(2,1)+MID(BO38,14,1)*POWER(2,2)+MID(BO38,13,1)*POWER(2,3)+MID(BO38,12,1)*POWER(2,4)+MID(BO38,11,1)*POWER(2,5)+MID(BO38,10,1)*POWER(2,6)+MID(BO38,9,1)*POWER(2,7)+MID(BO38,8,1)*POWER(2,8)+MID(BO38,7,1)*POWER(2,9)+MID(BO38,6,1)*POWER(2,10)+MID(BO38,5,1)*POWER(2,11)+MID(BO38,4,1)*POWER(2,12)+MID(BO38,3,1)*POWER(2,13)+MID(BO38,2,1)*POWER(2,14)+MID(BO38,1,1)*POWER(2,15)-(MID(BO39,16,1)*POWER(2,0)+MID(BO39,15,1)*POWER(2,1)+MID(BO39,14,1)*POWER(2,2)+MID(BO39,13,1)*POWER(2,3)+MID(BO39,12,1)*POWER(2,4)+MID(BO39,11,1)*POWER(2,5)+MID(BO39,10,1)*POWER(2,6)+MID(BO39,9,1)*POWER(2,7)+MID(BO39,8,1)*POWER(2,8)+MID(BO39,7,1)*POWER(2,9)+MID(BO39,6,1)*POWER(2,10)+MID(BO39,5,1)*POWER(2,11)+MID(BO39,4,1)*POWER(2,12)+MID(BO39,3,1)*POWER(2,13)+MID(BO39,2,1)*POWER(2,14)+MID(BO39,1,1)*POWER(2,15))</f>
        <v>1947</v>
      </c>
      <c r="BR38" s="45" t="str">
        <f>CONCATENATE(MID($L38,1,1)*MID($K28,1,1),MID($L38,2,1)*MID($K28,2,1),MID($L38,3,1)*MID($K28,3,1),MID($L38,4,1)*MID($K28,4,1),MID($L38,5,1)*MID($K28,5,1),MID($L38,6,1)*MID($K28,6,1),MID($L38,7,1)*MID($K28,7,1),MID($L38,8,1)*MID($K28,8,1),MID($L38,9,1)*MID($K28,1,1),MID($L38,10,1)*MID($K28,2,1),MID($L38,11,1)*MID($K28,3,1),MID($L38,12,1)*MID($K28,4,1),MID($L38,13,1)*MID($K28,5,1),MID($L38,14,1)*MID($K28,6,1),MID($L38,15,1)*MID($K28,7,1),MID($L38,16,1)*MID($K28,8,1),MID($L38,17,1)*MID($K28,1,1),MID($L38,18,1)*MID($K28,2,1),MID($L38,19,1)*MID($K28,3,1),MID($L38,20,1)*MID($K28,4,1),MID($L38,21,1)*MID($K28,5,1),MID($L38,22,1)*MID($K28,6,1),MID($L38,23,1)*MID($K28,7,1),MID($L38,24,1)*MID($K28,8,1),MID($L38,25,1)*MID($K28,1,1),MID($L38,26,1)*MID($K28,2,1),MID($L38,27,1)*MID($K28,3,1),MID($L38,28,1)*MID($K28,4,1),MID($L38,29,1)*MID($K28,5,1),MID($L38,30,1)*MID($K28,6,1),MID($L38,31,1)*MID($K28,7,1),MID($L38,32,1)*MID($K28,8,1))</f>
        <v>01000010011000100010000000000000</v>
      </c>
      <c r="BS38" s="26" t="str">
        <f t="shared" si="50"/>
        <v>01000010</v>
      </c>
      <c r="BT38" s="26" t="str">
        <f t="shared" si="51"/>
        <v>01100010</v>
      </c>
      <c r="BU38" s="26" t="str">
        <f t="shared" si="52"/>
        <v>00100000</v>
      </c>
      <c r="BV38" s="26" t="str">
        <f t="shared" si="53"/>
        <v>00000000</v>
      </c>
      <c r="BW38" s="77">
        <f>BIN2DEC(BS38)-BIN2DEC(BS39)</f>
        <v>0</v>
      </c>
      <c r="BX38" s="77">
        <f>BIN2DEC(BT38)-BIN2DEC(BT39)</f>
        <v>-21</v>
      </c>
      <c r="BY38" s="77">
        <f>BIN2DEC(BU38)-BIN2DEC(BU39)</f>
        <v>-9</v>
      </c>
      <c r="BZ38" s="77">
        <f>BIN2DEC(BV38)-BIN2DEC(BV39)</f>
        <v>-157</v>
      </c>
      <c r="CA38" s="27" t="str">
        <f t="shared" si="54"/>
        <v>0100</v>
      </c>
      <c r="CB38" s="27" t="str">
        <f t="shared" si="55"/>
        <v>0110</v>
      </c>
      <c r="CC38" s="27" t="str">
        <f t="shared" si="56"/>
        <v>0111</v>
      </c>
      <c r="CD38" s="27" t="str">
        <f t="shared" si="57"/>
        <v>0110</v>
      </c>
      <c r="CE38" s="27" t="str">
        <f t="shared" si="58"/>
        <v>0010</v>
      </c>
      <c r="CF38" s="27" t="str">
        <f t="shared" si="59"/>
        <v>1000</v>
      </c>
      <c r="CG38" s="27" t="str">
        <f t="shared" si="60"/>
        <v>1001</v>
      </c>
      <c r="CH38" s="27" t="str">
        <f t="shared" si="61"/>
        <v>1100</v>
      </c>
      <c r="CI38" s="77">
        <f>BIN2DEC(CA38)-BIN2DEC(CA39)</f>
        <v>0</v>
      </c>
      <c r="CJ38" s="77">
        <f t="shared" ref="CJ38:CO38" si="262">BIN2DEC(CB38)-BIN2DEC(CB39)</f>
        <v>4</v>
      </c>
      <c r="CK38" s="77">
        <f t="shared" si="262"/>
        <v>0</v>
      </c>
      <c r="CL38" s="77">
        <f t="shared" si="262"/>
        <v>-1</v>
      </c>
      <c r="CM38" s="77">
        <f t="shared" si="262"/>
        <v>0</v>
      </c>
      <c r="CN38" s="77">
        <f t="shared" si="262"/>
        <v>-1</v>
      </c>
      <c r="CO38" s="77">
        <f t="shared" si="262"/>
        <v>0</v>
      </c>
      <c r="CP38" s="77">
        <f>BIN2DEC(CH38)-BIN2DEC(CH39)</f>
        <v>-1</v>
      </c>
      <c r="CQ38" s="26" t="str">
        <f t="shared" si="9"/>
        <v>0100001001100010</v>
      </c>
      <c r="CR38" s="26" t="str">
        <f t="shared" si="10"/>
        <v>0010000000000000</v>
      </c>
      <c r="CS38" s="77">
        <f>MID(CQ38,16,1)*POWER(2,0)+MID(CQ38,15,1)*POWER(2,1)+MID(CQ38,14,1)*POWER(2,2)+MID(CQ38,13,1)*POWER(2,3)+MID(CQ38,12,1)*POWER(2,4)+MID(CQ38,11,1)*POWER(2,5)+MID(CQ38,10,1)*POWER(2,6)+MID(CQ38,9,1)*POWER(2,7)+MID(CQ38,8,1)*POWER(2,8)+MID(CQ38,7,1)*POWER(2,9)+MID(CQ38,6,1)*POWER(2,10)+MID(CQ38,5,1)*POWER(2,11)+MID(CQ38,4,1)*POWER(2,12)+MID(CQ38,3,1)*POWER(2,13)+MID(CQ38,2,1)*POWER(2,14)+MID(CQ38,1,1)*POWER(2,15)-(MID(CQ39,16,1)*POWER(2,0)+MID(CQ39,15,1)*POWER(2,1)+MID(CQ39,14,1)*POWER(2,2)+MID(CQ39,13,1)*POWER(2,3)+MID(CQ39,12,1)*POWER(2,4)+MID(CQ39,11,1)*POWER(2,5)+MID(CQ39,10,1)*POWER(2,6)+MID(CQ39,9,1)*POWER(2,7)+MID(CQ39,8,1)*POWER(2,8)+MID(CQ39,7,1)*POWER(2,9)+MID(CQ39,6,1)*POWER(2,10)+MID(CQ39,5,1)*POWER(2,11)+MID(CQ39,4,1)*POWER(2,12)+MID(CQ39,3,1)*POWER(2,13)+MID(CQ39,2,1)*POWER(2,14)+MID(CQ39,1,1)*POWER(2,15))</f>
        <v>-21</v>
      </c>
      <c r="CT38" s="77">
        <f>MID(CR38,16,1)*POWER(2,0)+MID(CR38,15,1)*POWER(2,1)+MID(CR38,14,1)*POWER(2,2)+MID(CR38,13,1)*POWER(2,3)+MID(CR38,12,1)*POWER(2,4)+MID(CR38,11,1)*POWER(2,5)+MID(CR38,10,1)*POWER(2,6)+MID(CR38,9,1)*POWER(2,7)+MID(CR38,8,1)*POWER(2,8)+MID(CR38,7,1)*POWER(2,9)+MID(CR38,6,1)*POWER(2,10)+MID(CR38,5,1)*POWER(2,11)+MID(CR38,4,1)*POWER(2,12)+MID(CR38,3,1)*POWER(2,13)+MID(CR38,2,1)*POWER(2,14)+MID(CR38,1,1)*POWER(2,15)-(MID(CR39,16,1)*POWER(2,0)+MID(CR39,15,1)*POWER(2,1)+MID(CR39,14,1)*POWER(2,2)+MID(CR39,13,1)*POWER(2,3)+MID(CR39,12,1)*POWER(2,4)+MID(CR39,11,1)*POWER(2,5)+MID(CR39,10,1)*POWER(2,6)+MID(CR39,9,1)*POWER(2,7)+MID(CR39,8,1)*POWER(2,8)+MID(CR39,7,1)*POWER(2,9)+MID(CR39,6,1)*POWER(2,10)+MID(CR39,5,1)*POWER(2,11)+MID(CR39,4,1)*POWER(2,12)+MID(CR39,3,1)*POWER(2,13)+MID(CR39,2,1)*POWER(2,14)+MID(CR39,1,1)*POWER(2,15))</f>
        <v>-2461</v>
      </c>
      <c r="CU38" s="45" t="str">
        <f>BR38</f>
        <v>01000010011000100010000000000000</v>
      </c>
      <c r="CV38" s="26" t="str">
        <f t="shared" si="62"/>
        <v>01000010</v>
      </c>
      <c r="CW38" s="26" t="str">
        <f t="shared" si="63"/>
        <v>01100010</v>
      </c>
      <c r="CX38" s="26" t="str">
        <f t="shared" si="64"/>
        <v>00100000</v>
      </c>
      <c r="CY38" s="26" t="str">
        <f t="shared" si="65"/>
        <v>00000000</v>
      </c>
      <c r="CZ38" s="77">
        <f>BIN2DEC(CV38)-BIN2DEC(CV39)</f>
        <v>0</v>
      </c>
      <c r="DA38" s="77">
        <f>BIN2DEC(CW38)-BIN2DEC(CW39)</f>
        <v>-1</v>
      </c>
      <c r="DB38" s="77">
        <f>BIN2DEC(CX38)-BIN2DEC(CX39)</f>
        <v>-1</v>
      </c>
      <c r="DC38" s="77">
        <f>BIN2DEC(CY38)-BIN2DEC(CY39)</f>
        <v>-1</v>
      </c>
      <c r="DD38" s="27" t="str">
        <f t="shared" si="66"/>
        <v>0100</v>
      </c>
      <c r="DE38" s="27" t="str">
        <f t="shared" si="67"/>
        <v>0110</v>
      </c>
      <c r="DF38" s="27" t="str">
        <f t="shared" si="68"/>
        <v>0111</v>
      </c>
      <c r="DG38" s="27" t="str">
        <f t="shared" si="69"/>
        <v>0110</v>
      </c>
      <c r="DH38" s="27" t="str">
        <f t="shared" si="70"/>
        <v>0010</v>
      </c>
      <c r="DI38" s="27" t="str">
        <f t="shared" si="71"/>
        <v>1000</v>
      </c>
      <c r="DJ38" s="27" t="str">
        <f t="shared" si="72"/>
        <v>1001</v>
      </c>
      <c r="DK38" s="27" t="str">
        <f t="shared" si="73"/>
        <v>1100</v>
      </c>
      <c r="DL38" s="77">
        <f>BIN2DEC(DD38)-BIN2DEC(DD39)</f>
        <v>0</v>
      </c>
      <c r="DM38" s="77">
        <f t="shared" ref="DM38:DR38" si="263">BIN2DEC(DE38)-BIN2DEC(DE39)</f>
        <v>4</v>
      </c>
      <c r="DN38" s="77">
        <f t="shared" si="263"/>
        <v>0</v>
      </c>
      <c r="DO38" s="77">
        <f t="shared" si="263"/>
        <v>-1</v>
      </c>
      <c r="DP38" s="77">
        <f t="shared" si="263"/>
        <v>0</v>
      </c>
      <c r="DQ38" s="77">
        <f t="shared" si="263"/>
        <v>-1</v>
      </c>
      <c r="DR38" s="77">
        <f t="shared" si="263"/>
        <v>0</v>
      </c>
      <c r="DS38" s="77">
        <f>BIN2DEC(DK38)-BIN2DEC(DK39)</f>
        <v>-1</v>
      </c>
      <c r="DT38" s="26" t="str">
        <f t="shared" si="12"/>
        <v>0100001001100010</v>
      </c>
      <c r="DU38" s="26" t="str">
        <f t="shared" si="13"/>
        <v>0010000000000000</v>
      </c>
      <c r="DV38" s="77">
        <f>MID(DT38,16,1)*POWER(2,0)+MID(DT38,15,1)*POWER(2,1)+MID(DT38,14,1)*POWER(2,2)+MID(DT38,13,1)*POWER(2,3)+MID(DT38,12,1)*POWER(2,4)+MID(DT38,11,1)*POWER(2,5)+MID(DT38,10,1)*POWER(2,6)+MID(DT38,9,1)*POWER(2,7)+MID(DT38,8,1)*POWER(2,8)+MID(DT38,7,1)*POWER(2,9)+MID(DT38,6,1)*POWER(2,10)+MID(DT38,5,1)*POWER(2,11)+MID(DT38,4,1)*POWER(2,12)+MID(DT38,3,1)*POWER(2,13)+MID(DT38,2,1)*POWER(2,14)+MID(DT38,1,1)*POWER(2,15)-(MID(DT39,16,1)*POWER(2,0)+MID(DT39,15,1)*POWER(2,1)+MID(DT39,14,1)*POWER(2,2)+MID(DT39,13,1)*POWER(2,3)+MID(DT39,12,1)*POWER(2,4)+MID(DT39,11,1)*POWER(2,5)+MID(DT39,10,1)*POWER(2,6)+MID(DT39,9,1)*POWER(2,7)+MID(DT39,8,1)*POWER(2,8)+MID(DT39,7,1)*POWER(2,9)+MID(DT39,6,1)*POWER(2,10)+MID(DT39,5,1)*POWER(2,11)+MID(DT39,4,1)*POWER(2,12)+MID(DT39,3,1)*POWER(2,13)+MID(DT39,2,1)*POWER(2,14)+MID(DT39,1,1)*POWER(2,15))</f>
        <v>-1</v>
      </c>
      <c r="DW38" s="77">
        <f>MID(DU38,16,1)*POWER(2,0)+MID(DU38,15,1)*POWER(2,1)+MID(DU38,14,1)*POWER(2,2)+MID(DU38,13,1)*POWER(2,3)+MID(DU38,12,1)*POWER(2,4)+MID(DU38,11,1)*POWER(2,5)+MID(DU38,10,1)*POWER(2,6)+MID(DU38,9,1)*POWER(2,7)+MID(DU38,8,1)*POWER(2,8)+MID(DU38,7,1)*POWER(2,9)+MID(DU38,6,1)*POWER(2,10)+MID(DU38,5,1)*POWER(2,11)+MID(DU38,4,1)*POWER(2,12)+MID(DU38,3,1)*POWER(2,13)+MID(DU38,2,1)*POWER(2,14)+MID(DU38,1,1)*POWER(2,15)-(MID(DU39,16,1)*POWER(2,0)+MID(DU39,15,1)*POWER(2,1)+MID(DU39,14,1)*POWER(2,2)+MID(DU39,13,1)*POWER(2,3)+MID(DU39,12,1)*POWER(2,4)+MID(DU39,11,1)*POWER(2,5)+MID(DU39,10,1)*POWER(2,6)+MID(DU39,9,1)*POWER(2,7)+MID(DU39,8,1)*POWER(2,8)+MID(DU39,7,1)*POWER(2,9)+MID(DU39,6,1)*POWER(2,10)+MID(DU39,5,1)*POWER(2,11)+MID(DU39,4,1)*POWER(2,12)+MID(DU39,3,1)*POWER(2,13)+MID(DU39,2,1)*POWER(2,14)+MID(DU39,1,1)*POWER(2,15))</f>
        <v>-257</v>
      </c>
      <c r="DX38" s="22"/>
      <c r="DY38" s="43" t="str">
        <f>H38</f>
        <v>01000110011101100010100010011100</v>
      </c>
      <c r="DZ38" s="26" t="str">
        <f t="shared" si="122"/>
        <v>01000110</v>
      </c>
      <c r="EA38" s="26" t="str">
        <f t="shared" si="74"/>
        <v>01110110</v>
      </c>
      <c r="EB38" s="26" t="str">
        <f t="shared" si="75"/>
        <v>00101000</v>
      </c>
      <c r="EC38" s="26" t="str">
        <f t="shared" si="76"/>
        <v>10011100</v>
      </c>
      <c r="ED38" s="77">
        <f>BIN2DEC(DZ38)-BIN2DEC(DZ39)</f>
        <v>68</v>
      </c>
      <c r="EE38" s="77">
        <f>BIN2DEC(EA38)-BIN2DEC(EA39)</f>
        <v>99</v>
      </c>
      <c r="EF38" s="77">
        <f>BIN2DEC(EB38)-BIN2DEC(EB39)</f>
        <v>31</v>
      </c>
      <c r="EG38" s="77">
        <f>BIN2DEC(EC38)-BIN2DEC(EC39)</f>
        <v>131</v>
      </c>
      <c r="EH38" s="27" t="str">
        <f t="shared" si="77"/>
        <v>0100</v>
      </c>
      <c r="EI38" s="27" t="str">
        <f t="shared" si="78"/>
        <v>0110</v>
      </c>
      <c r="EJ38" s="27" t="str">
        <f t="shared" si="79"/>
        <v>0111</v>
      </c>
      <c r="EK38" s="27" t="str">
        <f t="shared" si="80"/>
        <v>0110</v>
      </c>
      <c r="EL38" s="27" t="str">
        <f t="shared" si="81"/>
        <v>0010</v>
      </c>
      <c r="EM38" s="27" t="str">
        <f t="shared" si="82"/>
        <v>1000</v>
      </c>
      <c r="EN38" s="27" t="str">
        <f t="shared" si="83"/>
        <v>1001</v>
      </c>
      <c r="EO38" s="27" t="str">
        <f t="shared" si="84"/>
        <v>1100</v>
      </c>
      <c r="EP38" s="77">
        <f>BIN2DEC(EH38)-BIN2DEC(EH39)</f>
        <v>0</v>
      </c>
      <c r="EQ38" s="77">
        <f t="shared" ref="EQ38:EV38" si="264">BIN2DEC(EI38)-BIN2DEC(EI39)</f>
        <v>4</v>
      </c>
      <c r="ER38" s="77">
        <f t="shared" si="264"/>
        <v>0</v>
      </c>
      <c r="ES38" s="77">
        <f t="shared" si="264"/>
        <v>-1</v>
      </c>
      <c r="ET38" s="77">
        <f t="shared" si="264"/>
        <v>0</v>
      </c>
      <c r="EU38" s="77">
        <f t="shared" si="264"/>
        <v>-1</v>
      </c>
      <c r="EV38" s="77">
        <f t="shared" si="264"/>
        <v>0</v>
      </c>
      <c r="EW38" s="77">
        <f>BIN2DEC(EO38)-BIN2DEC(EO39)</f>
        <v>-1</v>
      </c>
      <c r="EX38" s="26" t="str">
        <f t="shared" si="15"/>
        <v>0100011001110110</v>
      </c>
      <c r="EY38" s="26" t="str">
        <f t="shared" si="16"/>
        <v>0010100010011100</v>
      </c>
      <c r="EZ38" s="77">
        <f>MID(EX38,16,1)*POWER(2,0)+MID(EX38,15,1)*POWER(2,1)+MID(EX38,14,1)*POWER(2,2)+MID(EX38,13,1)*POWER(2,3)+MID(EX38,12,1)*POWER(2,4)+MID(EX38,11,1)*POWER(2,5)+MID(EX38,10,1)*POWER(2,6)+MID(EX38,9,1)*POWER(2,7)+MID(EX38,8,1)*POWER(2,8)+MID(EX38,7,1)*POWER(2,9)+MID(EX38,6,1)*POWER(2,10)+MID(EX38,5,1)*POWER(2,11)+MID(EX38,4,1)*POWER(2,12)+MID(EX38,3,1)*POWER(2,13)+MID(EX38,2,1)*POWER(2,14)+MID(EX38,1,1)*POWER(2,15)-(MID(EX39,16,1)*POWER(2,0)+MID(EX39,15,1)*POWER(2,1)+MID(EX39,14,1)*POWER(2,2)+MID(EX39,13,1)*POWER(2,3)+MID(EX39,12,1)*POWER(2,4)+MID(EX39,11,1)*POWER(2,5)+MID(EX39,10,1)*POWER(2,6)+MID(EX39,9,1)*POWER(2,7)+MID(EX39,8,1)*POWER(2,8)+MID(EX39,7,1)*POWER(2,9)+MID(EX39,6,1)*POWER(2,10)+MID(EX39,5,1)*POWER(2,11)+MID(EX39,4,1)*POWER(2,12)+MID(EX39,3,1)*POWER(2,13)+MID(EX39,2,1)*POWER(2,14)+MID(EX39,1,1)*POWER(2,15))</f>
        <v>17507</v>
      </c>
      <c r="FA38" s="77">
        <f>MID(EY38,16,1)*POWER(2,0)+MID(EY38,15,1)*POWER(2,1)+MID(EY38,14,1)*POWER(2,2)+MID(EY38,13,1)*POWER(2,3)+MID(EY38,12,1)*POWER(2,4)+MID(EY38,11,1)*POWER(2,5)+MID(EY38,10,1)*POWER(2,6)+MID(EY38,9,1)*POWER(2,7)+MID(EY38,8,1)*POWER(2,8)+MID(EY38,7,1)*POWER(2,9)+MID(EY38,6,1)*POWER(2,10)+MID(EY38,5,1)*POWER(2,11)+MID(EY38,4,1)*POWER(2,12)+MID(EY38,3,1)*POWER(2,13)+MID(EY38,2,1)*POWER(2,14)+MID(EY38,1,1)*POWER(2,15)-(MID(EY39,16,1)*POWER(2,0)+MID(EY39,15,1)*POWER(2,1)+MID(EY39,14,1)*POWER(2,2)+MID(EY39,13,1)*POWER(2,3)+MID(EY39,12,1)*POWER(2,4)+MID(EY39,11,1)*POWER(2,5)+MID(EY39,10,1)*POWER(2,6)+MID(EY39,9,1)*POWER(2,7)+MID(EY39,8,1)*POWER(2,8)+MID(EY39,7,1)*POWER(2,9)+MID(EY39,6,1)*POWER(2,10)+MID(EY39,5,1)*POWER(2,11)+MID(EY39,4,1)*POWER(2,12)+MID(EY39,3,1)*POWER(2,13)+MID(EY39,2,1)*POWER(2,14)+MID(EY39,1,1)*POWER(2,15))</f>
        <v>8067</v>
      </c>
      <c r="FB38" s="45" t="str">
        <f>H38</f>
        <v>01000110011101100010100010011100</v>
      </c>
      <c r="FC38" s="26" t="str">
        <f t="shared" si="124"/>
        <v>01000110</v>
      </c>
      <c r="FD38" s="26" t="str">
        <f t="shared" si="85"/>
        <v>01110110</v>
      </c>
      <c r="FE38" s="26" t="str">
        <f t="shared" si="86"/>
        <v>00101000</v>
      </c>
      <c r="FF38" s="26" t="str">
        <f t="shared" si="87"/>
        <v>10011100</v>
      </c>
      <c r="FG38" s="77">
        <f>BIN2DEC(FC38)-BIN2DEC(FC39)</f>
        <v>68</v>
      </c>
      <c r="FH38" s="77">
        <f>BIN2DEC(FD38)-BIN2DEC(FD39)</f>
        <v>99</v>
      </c>
      <c r="FI38" s="77">
        <f>BIN2DEC(FE38)-BIN2DEC(FE39)</f>
        <v>31</v>
      </c>
      <c r="FJ38" s="77">
        <f>BIN2DEC(FF38)-BIN2DEC(FF39)</f>
        <v>131</v>
      </c>
      <c r="FK38" s="27" t="str">
        <f t="shared" si="88"/>
        <v>0100</v>
      </c>
      <c r="FL38" s="27" t="str">
        <f t="shared" si="89"/>
        <v>0110</v>
      </c>
      <c r="FM38" s="27" t="str">
        <f t="shared" si="90"/>
        <v>0111</v>
      </c>
      <c r="FN38" s="27" t="str">
        <f t="shared" si="91"/>
        <v>0110</v>
      </c>
      <c r="FO38" s="27" t="str">
        <f t="shared" si="92"/>
        <v>0010</v>
      </c>
      <c r="FP38" s="27" t="str">
        <f t="shared" si="93"/>
        <v>1000</v>
      </c>
      <c r="FQ38" s="27" t="str">
        <f t="shared" si="94"/>
        <v>1001</v>
      </c>
      <c r="FR38" s="27" t="str">
        <f t="shared" si="95"/>
        <v>1100</v>
      </c>
      <c r="FS38" s="77">
        <f>BIN2DEC(FK38)-BIN2DEC(FK39)</f>
        <v>0</v>
      </c>
      <c r="FT38" s="77">
        <f t="shared" ref="FT38:FY38" si="265">BIN2DEC(FL38)-BIN2DEC(FL39)</f>
        <v>4</v>
      </c>
      <c r="FU38" s="77">
        <f t="shared" si="265"/>
        <v>0</v>
      </c>
      <c r="FV38" s="77">
        <f t="shared" si="265"/>
        <v>-1</v>
      </c>
      <c r="FW38" s="77">
        <f t="shared" si="265"/>
        <v>0</v>
      </c>
      <c r="FX38" s="77">
        <f t="shared" si="265"/>
        <v>-1</v>
      </c>
      <c r="FY38" s="77">
        <f t="shared" si="265"/>
        <v>0</v>
      </c>
      <c r="FZ38" s="77">
        <f>BIN2DEC(FR38)-BIN2DEC(FR39)</f>
        <v>-1</v>
      </c>
      <c r="GA38" s="26" t="str">
        <f t="shared" si="18"/>
        <v>0100011001110110</v>
      </c>
      <c r="GB38" s="26" t="str">
        <f t="shared" si="19"/>
        <v>0010100010011100</v>
      </c>
      <c r="GC38" s="77">
        <f>MID(GA38,16,1)*POWER(2,0)+MID(GA38,15,1)*POWER(2,1)+MID(GA38,14,1)*POWER(2,2)+MID(GA38,13,1)*POWER(2,3)+MID(GA38,12,1)*POWER(2,4)+MID(GA38,11,1)*POWER(2,5)+MID(GA38,10,1)*POWER(2,6)+MID(GA38,9,1)*POWER(2,7)+MID(GA38,8,1)*POWER(2,8)+MID(GA38,7,1)*POWER(2,9)+MID(GA38,6,1)*POWER(2,10)+MID(GA38,5,1)*POWER(2,11)+MID(GA38,4,1)*POWER(2,12)+MID(GA38,3,1)*POWER(2,13)+MID(GA38,2,1)*POWER(2,14)+MID(GA38,1,1)*POWER(2,15)-(MID(GA39,16,1)*POWER(2,0)+MID(GA39,15,1)*POWER(2,1)+MID(GA39,14,1)*POWER(2,2)+MID(GA39,13,1)*POWER(2,3)+MID(GA39,12,1)*POWER(2,4)+MID(GA39,11,1)*POWER(2,5)+MID(GA39,10,1)*POWER(2,6)+MID(GA39,9,1)*POWER(2,7)+MID(GA39,8,1)*POWER(2,8)+MID(GA39,7,1)*POWER(2,9)+MID(GA39,6,1)*POWER(2,10)+MID(GA39,5,1)*POWER(2,11)+MID(GA39,4,1)*POWER(2,12)+MID(GA39,3,1)*POWER(2,13)+MID(GA39,2,1)*POWER(2,14)+MID(GA39,1,1)*POWER(2,15))</f>
        <v>17507</v>
      </c>
      <c r="GD38" s="77">
        <f>MID(GB38,16,1)*POWER(2,0)+MID(GB38,15,1)*POWER(2,1)+MID(GB38,14,1)*POWER(2,2)+MID(GB38,13,1)*POWER(2,3)+MID(GB38,12,1)*POWER(2,4)+MID(GB38,11,1)*POWER(2,5)+MID(GB38,10,1)*POWER(2,6)+MID(GB38,9,1)*POWER(2,7)+MID(GB38,8,1)*POWER(2,8)+MID(GB38,7,1)*POWER(2,9)+MID(GB38,6,1)*POWER(2,10)+MID(GB38,5,1)*POWER(2,11)+MID(GB38,4,1)*POWER(2,12)+MID(GB38,3,1)*POWER(2,13)+MID(GB38,2,1)*POWER(2,14)+MID(GB38,1,1)*POWER(2,15)-(MID(GB39,16,1)*POWER(2,0)+MID(GB39,15,1)*POWER(2,1)+MID(GB39,14,1)*POWER(2,2)+MID(GB39,13,1)*POWER(2,3)+MID(GB39,12,1)*POWER(2,4)+MID(GB39,11,1)*POWER(2,5)+MID(GB39,10,1)*POWER(2,6)+MID(GB39,9,1)*POWER(2,7)+MID(GB39,8,1)*POWER(2,8)+MID(GB39,7,1)*POWER(2,9)+MID(GB39,6,1)*POWER(2,10)+MID(GB39,5,1)*POWER(2,11)+MID(GB39,4,1)*POWER(2,12)+MID(GB39,3,1)*POWER(2,13)+MID(GB39,2,1)*POWER(2,14)+MID(GB39,1,1)*POWER(2,15))</f>
        <v>8067</v>
      </c>
      <c r="GE38" s="47" t="str">
        <f>CU38</f>
        <v>01000010011000100010000000000000</v>
      </c>
      <c r="GF38" s="26" t="str">
        <f t="shared" si="126"/>
        <v>01000010</v>
      </c>
      <c r="GG38" s="26" t="str">
        <f t="shared" si="96"/>
        <v>01100010</v>
      </c>
      <c r="GH38" s="26" t="str">
        <f t="shared" si="97"/>
        <v>00100000</v>
      </c>
      <c r="GI38" s="26" t="str">
        <f t="shared" si="98"/>
        <v>00000000</v>
      </c>
      <c r="GJ38" s="77">
        <f>BIN2DEC(GF38)-BIN2DEC(GF39)</f>
        <v>64</v>
      </c>
      <c r="GK38" s="77">
        <f>BIN2DEC(GG38)-BIN2DEC(GG39)</f>
        <v>79</v>
      </c>
      <c r="GL38" s="77">
        <f>BIN2DEC(GH38)-BIN2DEC(GH39)</f>
        <v>23</v>
      </c>
      <c r="GM38" s="77">
        <f>BIN2DEC(GI38)-BIN2DEC(GI39)</f>
        <v>-25</v>
      </c>
      <c r="GN38" s="27" t="str">
        <f t="shared" si="99"/>
        <v>0100</v>
      </c>
      <c r="GO38" s="27" t="str">
        <f t="shared" si="100"/>
        <v>0110</v>
      </c>
      <c r="GP38" s="27" t="str">
        <f t="shared" si="101"/>
        <v>0111</v>
      </c>
      <c r="GQ38" s="27" t="str">
        <f t="shared" si="102"/>
        <v>0110</v>
      </c>
      <c r="GR38" s="27" t="str">
        <f t="shared" si="103"/>
        <v>0010</v>
      </c>
      <c r="GS38" s="27" t="str">
        <f t="shared" si="104"/>
        <v>1000</v>
      </c>
      <c r="GT38" s="27" t="str">
        <f t="shared" si="105"/>
        <v>1001</v>
      </c>
      <c r="GU38" s="27" t="str">
        <f t="shared" si="106"/>
        <v>1100</v>
      </c>
      <c r="GV38" s="77">
        <f>BIN2DEC(GN38)-BIN2DEC(GN39)</f>
        <v>0</v>
      </c>
      <c r="GW38" s="77">
        <f t="shared" ref="GW38:HB38" si="266">BIN2DEC(GO38)-BIN2DEC(GO39)</f>
        <v>4</v>
      </c>
      <c r="GX38" s="77">
        <f t="shared" si="266"/>
        <v>0</v>
      </c>
      <c r="GY38" s="77">
        <f t="shared" si="266"/>
        <v>-1</v>
      </c>
      <c r="GZ38" s="77">
        <f t="shared" si="266"/>
        <v>0</v>
      </c>
      <c r="HA38" s="77">
        <f t="shared" si="266"/>
        <v>-1</v>
      </c>
      <c r="HB38" s="77">
        <f t="shared" si="266"/>
        <v>0</v>
      </c>
      <c r="HC38" s="77">
        <f>BIN2DEC(GU38)-BIN2DEC(GU39)</f>
        <v>-1</v>
      </c>
      <c r="HD38" s="26" t="str">
        <f t="shared" si="21"/>
        <v>0100001001100010</v>
      </c>
      <c r="HE38" s="26" t="str">
        <f t="shared" si="22"/>
        <v>0010000000000000</v>
      </c>
      <c r="HF38" s="77">
        <f>MID(HD38,16,1)*POWER(2,0)+MID(HD38,15,1)*POWER(2,1)+MID(HD38,14,1)*POWER(2,2)+MID(HD38,13,1)*POWER(2,3)+MID(HD38,12,1)*POWER(2,4)+MID(HD38,11,1)*POWER(2,5)+MID(HD38,10,1)*POWER(2,6)+MID(HD38,9,1)*POWER(2,7)+MID(HD38,8,1)*POWER(2,8)+MID(HD38,7,1)*POWER(2,9)+MID(HD38,6,1)*POWER(2,10)+MID(HD38,5,1)*POWER(2,11)+MID(HD38,4,1)*POWER(2,12)+MID(HD38,3,1)*POWER(2,13)+MID(HD38,2,1)*POWER(2,14)+MID(HD38,1,1)*POWER(2,15)-(MID(HD39,16,1)*POWER(2,0)+MID(HD39,15,1)*POWER(2,1)+MID(HD39,14,1)*POWER(2,2)+MID(HD39,13,1)*POWER(2,3)+MID(HD39,12,1)*POWER(2,4)+MID(HD39,11,1)*POWER(2,5)+MID(HD39,10,1)*POWER(2,6)+MID(HD39,9,1)*POWER(2,7)+MID(HD39,8,1)*POWER(2,8)+MID(HD39,7,1)*POWER(2,9)+MID(HD39,6,1)*POWER(2,10)+MID(HD39,5,1)*POWER(2,11)+MID(HD39,4,1)*POWER(2,12)+MID(HD39,3,1)*POWER(2,13)+MID(HD39,2,1)*POWER(2,14)+MID(HD39,1,1)*POWER(2,15))</f>
        <v>16463</v>
      </c>
      <c r="HG38" s="77">
        <f>MID(HE38,16,1)*POWER(2,0)+MID(HE38,15,1)*POWER(2,1)+MID(HE38,14,1)*POWER(2,2)+MID(HE38,13,1)*POWER(2,3)+MID(HE38,12,1)*POWER(2,4)+MID(HE38,11,1)*POWER(2,5)+MID(HE38,10,1)*POWER(2,6)+MID(HE38,9,1)*POWER(2,7)+MID(HE38,8,1)*POWER(2,8)+MID(HE38,7,1)*POWER(2,9)+MID(HE38,6,1)*POWER(2,10)+MID(HE38,5,1)*POWER(2,11)+MID(HE38,4,1)*POWER(2,12)+MID(HE38,3,1)*POWER(2,13)+MID(HE38,2,1)*POWER(2,14)+MID(HE38,1,1)*POWER(2,15)-(MID(HE39,16,1)*POWER(2,0)+MID(HE39,15,1)*POWER(2,1)+MID(HE39,14,1)*POWER(2,2)+MID(HE39,13,1)*POWER(2,3)+MID(HE39,12,1)*POWER(2,4)+MID(HE39,11,1)*POWER(2,5)+MID(HE39,10,1)*POWER(2,6)+MID(HE39,9,1)*POWER(2,7)+MID(HE39,8,1)*POWER(2,8)+MID(HE39,7,1)*POWER(2,9)+MID(HE39,6,1)*POWER(2,10)+MID(HE39,5,1)*POWER(2,11)+MID(HE39,4,1)*POWER(2,12)+MID(HE39,3,1)*POWER(2,13)+MID(HE39,2,1)*POWER(2,14)+MID(HE39,1,1)*POWER(2,15))</f>
        <v>5863</v>
      </c>
      <c r="HH38" s="45" t="str">
        <f>GE38</f>
        <v>01000010011000100010000000000000</v>
      </c>
      <c r="HI38" s="26" t="str">
        <f t="shared" si="128"/>
        <v>01000010</v>
      </c>
      <c r="HJ38" s="26" t="str">
        <f t="shared" si="107"/>
        <v>01100010</v>
      </c>
      <c r="HK38" s="26" t="str">
        <f t="shared" si="108"/>
        <v>00100000</v>
      </c>
      <c r="HL38" s="26" t="str">
        <f t="shared" si="109"/>
        <v>00000000</v>
      </c>
      <c r="HM38" s="77">
        <f>BIN2DEC(HI38)-BIN2DEC(HI39)</f>
        <v>64</v>
      </c>
      <c r="HN38" s="77">
        <f>BIN2DEC(HJ38)-BIN2DEC(HJ39)</f>
        <v>79</v>
      </c>
      <c r="HO38" s="77">
        <f>BIN2DEC(HK38)-BIN2DEC(HK39)</f>
        <v>23</v>
      </c>
      <c r="HP38" s="77">
        <f>BIN2DEC(HL38)-BIN2DEC(HL39)</f>
        <v>-25</v>
      </c>
      <c r="HQ38" s="27" t="str">
        <f t="shared" si="110"/>
        <v>0100</v>
      </c>
      <c r="HR38" s="27" t="str">
        <f t="shared" si="111"/>
        <v>0110</v>
      </c>
      <c r="HS38" s="27" t="str">
        <f t="shared" si="112"/>
        <v>0111</v>
      </c>
      <c r="HT38" s="27" t="str">
        <f t="shared" si="113"/>
        <v>0110</v>
      </c>
      <c r="HU38" s="27" t="str">
        <f t="shared" si="114"/>
        <v>0010</v>
      </c>
      <c r="HV38" s="27" t="str">
        <f t="shared" si="115"/>
        <v>1000</v>
      </c>
      <c r="HW38" s="27" t="str">
        <f t="shared" si="116"/>
        <v>1001</v>
      </c>
      <c r="HX38" s="27" t="str">
        <f t="shared" si="117"/>
        <v>1100</v>
      </c>
      <c r="HY38" s="77">
        <f>BIN2DEC(HQ38)-BIN2DEC(HQ39)</f>
        <v>0</v>
      </c>
      <c r="HZ38" s="77">
        <f t="shared" ref="HZ38:IE38" si="267">BIN2DEC(HR38)-BIN2DEC(HR39)</f>
        <v>4</v>
      </c>
      <c r="IA38" s="77">
        <f t="shared" si="267"/>
        <v>0</v>
      </c>
      <c r="IB38" s="77">
        <f t="shared" si="267"/>
        <v>-1</v>
      </c>
      <c r="IC38" s="77">
        <f t="shared" si="267"/>
        <v>0</v>
      </c>
      <c r="ID38" s="77">
        <f t="shared" si="267"/>
        <v>-1</v>
      </c>
      <c r="IE38" s="77">
        <f t="shared" si="267"/>
        <v>0</v>
      </c>
      <c r="IF38" s="77">
        <f>BIN2DEC(HX38)-BIN2DEC(HX39)</f>
        <v>-1</v>
      </c>
      <c r="IG38" s="26" t="str">
        <f t="shared" si="24"/>
        <v>0100001001100010</v>
      </c>
      <c r="IH38" s="26" t="str">
        <f t="shared" si="25"/>
        <v>0010000000000000</v>
      </c>
      <c r="II38" s="77">
        <f>MID(IG38,16,1)*POWER(2,0)+MID(IG38,15,1)*POWER(2,1)+MID(IG38,14,1)*POWER(2,2)+MID(IG38,13,1)*POWER(2,3)+MID(IG38,12,1)*POWER(2,4)+MID(IG38,11,1)*POWER(2,5)+MID(IG38,10,1)*POWER(2,6)+MID(IG38,9,1)*POWER(2,7)+MID(IG38,8,1)*POWER(2,8)+MID(IG38,7,1)*POWER(2,9)+MID(IG38,6,1)*POWER(2,10)+MID(IG38,5,1)*POWER(2,11)+MID(IG38,4,1)*POWER(2,12)+MID(IG38,3,1)*POWER(2,13)+MID(IG38,2,1)*POWER(2,14)+MID(IG38,1,1)*POWER(2,15)-(MID(IG39,16,1)*POWER(2,0)+MID(IG39,15,1)*POWER(2,1)+MID(IG39,14,1)*POWER(2,2)+MID(IG39,13,1)*POWER(2,3)+MID(IG39,12,1)*POWER(2,4)+MID(IG39,11,1)*POWER(2,5)+MID(IG39,10,1)*POWER(2,6)+MID(IG39,9,1)*POWER(2,7)+MID(IG39,8,1)*POWER(2,8)+MID(IG39,7,1)*POWER(2,9)+MID(IG39,6,1)*POWER(2,10)+MID(IG39,5,1)*POWER(2,11)+MID(IG39,4,1)*POWER(2,12)+MID(IG39,3,1)*POWER(2,13)+MID(IG39,2,1)*POWER(2,14)+MID(IG39,1,1)*POWER(2,15))</f>
        <v>16463</v>
      </c>
      <c r="IJ38" s="77">
        <f>MID(IH38,16,1)*POWER(2,0)+MID(IH38,15,1)*POWER(2,1)+MID(IH38,14,1)*POWER(2,2)+MID(IH38,13,1)*POWER(2,3)+MID(IH38,12,1)*POWER(2,4)+MID(IH38,11,1)*POWER(2,5)+MID(IH38,10,1)*POWER(2,6)+MID(IH38,9,1)*POWER(2,7)+MID(IH38,8,1)*POWER(2,8)+MID(IH38,7,1)*POWER(2,9)+MID(IH38,6,1)*POWER(2,10)+MID(IH38,5,1)*POWER(2,11)+MID(IH38,4,1)*POWER(2,12)+MID(IH38,3,1)*POWER(2,13)+MID(IH38,2,1)*POWER(2,14)+MID(IH38,1,1)*POWER(2,15)-(MID(IH39,16,1)*POWER(2,0)+MID(IH39,15,1)*POWER(2,1)+MID(IH39,14,1)*POWER(2,2)+MID(IH39,13,1)*POWER(2,3)+MID(IH39,12,1)*POWER(2,4)+MID(IH39,11,1)*POWER(2,5)+MID(IH39,10,1)*POWER(2,6)+MID(IH39,9,1)*POWER(2,7)+MID(IH39,8,1)*POWER(2,8)+MID(IH39,7,1)*POWER(2,9)+MID(IH39,6,1)*POWER(2,10)+MID(IH39,5,1)*POWER(2,11)+MID(IH39,4,1)*POWER(2,12)+MID(IH39,3,1)*POWER(2,13)+MID(IH39,2,1)*POWER(2,14)+MID(IH39,1,1)*POWER(2,15))</f>
        <v>5863</v>
      </c>
      <c r="IL38" s="26"/>
      <c r="IM38" s="26"/>
      <c r="IN38" s="26"/>
      <c r="IO38" s="26"/>
      <c r="IP38" s="22"/>
      <c r="IQ38" s="22"/>
      <c r="IR38" s="22"/>
      <c r="IS38" s="22"/>
      <c r="JB38" s="22"/>
      <c r="JC38" s="22"/>
      <c r="JD38" s="22"/>
      <c r="JE38" s="22"/>
      <c r="JF38" s="22"/>
      <c r="JG38" s="22"/>
      <c r="JH38" s="22"/>
      <c r="JI38" s="22"/>
      <c r="JJ38" s="26"/>
      <c r="JK38" s="26"/>
      <c r="JL38" s="22"/>
      <c r="JM38" s="22"/>
    </row>
    <row r="39" spans="1:273" s="31" customFormat="1" ht="18.600000000000001" thickBot="1" x14ac:dyDescent="0.4">
      <c r="A39" s="28"/>
      <c r="B39" s="29"/>
      <c r="C39" s="21" t="s">
        <v>6</v>
      </c>
      <c r="D39" s="21" t="s">
        <v>154</v>
      </c>
      <c r="E39" s="21">
        <v>53</v>
      </c>
      <c r="F39" s="21" t="s">
        <v>76</v>
      </c>
      <c r="G39" s="21" t="s">
        <v>104</v>
      </c>
      <c r="H39" s="21" t="str">
        <f t="shared" si="186"/>
        <v>10100101010100111110100000101110</v>
      </c>
      <c r="I39" s="21">
        <f t="shared" si="187"/>
        <v>16</v>
      </c>
      <c r="J39" s="21"/>
      <c r="K39" s="21"/>
      <c r="L39" s="44" t="str">
        <f>CONCATENATE(MID(H39,20,5),MID(H39,9,3),MID(H39,28,5),MID(H39,17,3),MID(H39,4,5),MID(H39,25,3),MID(H39,12,5),MID(H39,1,3))</f>
        <v>01000010011101110010100110011101</v>
      </c>
      <c r="M39" s="30" t="str">
        <f t="shared" si="26"/>
        <v>01000010</v>
      </c>
      <c r="N39" s="30" t="str">
        <f t="shared" si="27"/>
        <v>01110111</v>
      </c>
      <c r="O39" s="30" t="str">
        <f t="shared" si="28"/>
        <v>00101001</v>
      </c>
      <c r="P39" s="30" t="str">
        <f t="shared" si="29"/>
        <v>10011101</v>
      </c>
      <c r="Q39" s="78"/>
      <c r="R39" s="78"/>
      <c r="S39" s="78"/>
      <c r="T39" s="78"/>
      <c r="U39" s="31" t="str">
        <f t="shared" si="30"/>
        <v>0100</v>
      </c>
      <c r="V39" s="31" t="str">
        <f t="shared" si="31"/>
        <v>0010</v>
      </c>
      <c r="W39" s="31" t="str">
        <f t="shared" si="32"/>
        <v>0111</v>
      </c>
      <c r="X39" s="31" t="str">
        <f t="shared" si="33"/>
        <v>0111</v>
      </c>
      <c r="Y39" s="31" t="str">
        <f t="shared" si="34"/>
        <v>0010</v>
      </c>
      <c r="Z39" s="31" t="str">
        <f t="shared" si="35"/>
        <v>1001</v>
      </c>
      <c r="AA39" s="31" t="str">
        <f t="shared" si="36"/>
        <v>1001</v>
      </c>
      <c r="AB39" s="31" t="str">
        <f t="shared" si="37"/>
        <v>1101</v>
      </c>
      <c r="AC39" s="78"/>
      <c r="AD39" s="78"/>
      <c r="AE39" s="78"/>
      <c r="AF39" s="78"/>
      <c r="AG39" s="78"/>
      <c r="AH39" s="78"/>
      <c r="AI39" s="78"/>
      <c r="AJ39" s="78"/>
      <c r="AK39" s="30" t="str">
        <f t="shared" si="3"/>
        <v>0100001001110111</v>
      </c>
      <c r="AL39" s="30" t="str">
        <f t="shared" si="4"/>
        <v>0010100110011101</v>
      </c>
      <c r="AM39" s="78"/>
      <c r="AN39" s="78"/>
      <c r="AO39" s="46" t="str">
        <f>CONCATENATE(MID($L39,1,1)*MID($K28,1,1),MID($L39,2,1)*MID($K28,2,1),MID($L39,3,1)*MID($K28,3,1),MID($L39,4,1)*MID($K28,4,1),MID($L39,5,1)*MID($K28,5,1),MID($L39,6,1)*MID($K28,6,1),MID($L39,7,1)*MID($K28,7,1),MID($L39,8,1)*MID($K28,8,1),MID($L39,9,1)*MID($K28,1,1),MID($L39,10,1)*MID($K28,2,1),MID($L39,11,1)*MID($K28,3,1),MID($L39,12,1)*MID($K28,4,1),MID($L39,13,1)*MID($K28,5,1),MID($L39,14,1)*MID($K28,6,1),MID($L39,15,1)*MID($K28,7,1),MID($L39,16,1)*MID($K28,8,1),MID($L39,17,1)*MID($K28,1,1),MID($L39,18,1)*MID($K28,2,1),MID($L39,19,1)*MID($K28,3,1),MID($L39,20,1)*MID($K28,4,1),MID($L39,21,1)*MID($K28,5,1),MID($L39,22,1)*MID($K28,6,1),MID($L39,23,1)*MID($K28,7,1),MID($L39,24,1)*MID($K28,8,1),MID($L39,25,1)*MID($K28,1,1),MID($L39,26,1)*MID($K28,2,1),MID($L39,27,1)*MID($K28,3,1),MID($L39,28,1)*MID($K28,4,1),MID($L39,29,1)*MID($K28,5,1),MID($L39,30,1)*MID($K28,6,1),MID($L39,31,1)*MID($K28,7,1),MID($L39,32,1)*MID($K28,8,1))</f>
        <v>01000010011000110010000100000001</v>
      </c>
      <c r="AP39" s="30" t="str">
        <f t="shared" si="38"/>
        <v>01000010</v>
      </c>
      <c r="AQ39" s="30" t="str">
        <f t="shared" si="39"/>
        <v>01100011</v>
      </c>
      <c r="AR39" s="30" t="str">
        <f t="shared" si="40"/>
        <v>00100001</v>
      </c>
      <c r="AS39" s="30" t="str">
        <f t="shared" si="41"/>
        <v>00000001</v>
      </c>
      <c r="AT39" s="78"/>
      <c r="AU39" s="78"/>
      <c r="AV39" s="78"/>
      <c r="AW39" s="78"/>
      <c r="AX39" s="31" t="str">
        <f t="shared" si="42"/>
        <v>0100</v>
      </c>
      <c r="AY39" s="31" t="str">
        <f t="shared" si="43"/>
        <v>0010</v>
      </c>
      <c r="AZ39" s="31" t="str">
        <f t="shared" si="44"/>
        <v>0111</v>
      </c>
      <c r="BA39" s="31" t="str">
        <f t="shared" si="45"/>
        <v>0111</v>
      </c>
      <c r="BB39" s="31" t="str">
        <f t="shared" si="46"/>
        <v>0010</v>
      </c>
      <c r="BC39" s="31" t="str">
        <f t="shared" si="47"/>
        <v>1001</v>
      </c>
      <c r="BD39" s="31" t="str">
        <f t="shared" si="48"/>
        <v>1001</v>
      </c>
      <c r="BE39" s="31" t="str">
        <f t="shared" si="49"/>
        <v>1101</v>
      </c>
      <c r="BF39" s="78"/>
      <c r="BG39" s="78"/>
      <c r="BH39" s="78"/>
      <c r="BI39" s="78"/>
      <c r="BJ39" s="78"/>
      <c r="BK39" s="78"/>
      <c r="BL39" s="78"/>
      <c r="BM39" s="78"/>
      <c r="BN39" s="30" t="str">
        <f t="shared" si="6"/>
        <v>0100001001100011</v>
      </c>
      <c r="BO39" s="30" t="str">
        <f t="shared" si="7"/>
        <v>0010000100000001</v>
      </c>
      <c r="BP39" s="78"/>
      <c r="BQ39" s="78"/>
      <c r="BR39" s="46" t="str">
        <f>L39</f>
        <v>01000010011101110010100110011101</v>
      </c>
      <c r="BS39" s="30" t="str">
        <f t="shared" si="50"/>
        <v>01000010</v>
      </c>
      <c r="BT39" s="30" t="str">
        <f t="shared" si="51"/>
        <v>01110111</v>
      </c>
      <c r="BU39" s="30" t="str">
        <f t="shared" si="52"/>
        <v>00101001</v>
      </c>
      <c r="BV39" s="30" t="str">
        <f t="shared" si="53"/>
        <v>10011101</v>
      </c>
      <c r="BW39" s="78"/>
      <c r="BX39" s="78"/>
      <c r="BY39" s="78"/>
      <c r="BZ39" s="78"/>
      <c r="CA39" s="31" t="str">
        <f t="shared" si="54"/>
        <v>0100</v>
      </c>
      <c r="CB39" s="31" t="str">
        <f t="shared" si="55"/>
        <v>0010</v>
      </c>
      <c r="CC39" s="31" t="str">
        <f t="shared" si="56"/>
        <v>0111</v>
      </c>
      <c r="CD39" s="31" t="str">
        <f t="shared" si="57"/>
        <v>0111</v>
      </c>
      <c r="CE39" s="31" t="str">
        <f t="shared" si="58"/>
        <v>0010</v>
      </c>
      <c r="CF39" s="31" t="str">
        <f t="shared" si="59"/>
        <v>1001</v>
      </c>
      <c r="CG39" s="31" t="str">
        <f t="shared" si="60"/>
        <v>1001</v>
      </c>
      <c r="CH39" s="31" t="str">
        <f t="shared" si="61"/>
        <v>1101</v>
      </c>
      <c r="CI39" s="78"/>
      <c r="CJ39" s="78"/>
      <c r="CK39" s="78"/>
      <c r="CL39" s="78"/>
      <c r="CM39" s="78"/>
      <c r="CN39" s="78"/>
      <c r="CO39" s="78"/>
      <c r="CP39" s="78"/>
      <c r="CQ39" s="30" t="str">
        <f t="shared" si="9"/>
        <v>0100001001110111</v>
      </c>
      <c r="CR39" s="30" t="str">
        <f t="shared" si="10"/>
        <v>0010100110011101</v>
      </c>
      <c r="CS39" s="78"/>
      <c r="CT39" s="78"/>
      <c r="CU39" s="46" t="str">
        <f>AO39</f>
        <v>01000010011000110010000100000001</v>
      </c>
      <c r="CV39" s="30" t="str">
        <f t="shared" si="62"/>
        <v>01000010</v>
      </c>
      <c r="CW39" s="30" t="str">
        <f t="shared" si="63"/>
        <v>01100011</v>
      </c>
      <c r="CX39" s="30" t="str">
        <f t="shared" si="64"/>
        <v>00100001</v>
      </c>
      <c r="CY39" s="30" t="str">
        <f t="shared" si="65"/>
        <v>00000001</v>
      </c>
      <c r="CZ39" s="78"/>
      <c r="DA39" s="78"/>
      <c r="DB39" s="78"/>
      <c r="DC39" s="78"/>
      <c r="DD39" s="31" t="str">
        <f t="shared" si="66"/>
        <v>0100</v>
      </c>
      <c r="DE39" s="31" t="str">
        <f t="shared" si="67"/>
        <v>0010</v>
      </c>
      <c r="DF39" s="31" t="str">
        <f t="shared" si="68"/>
        <v>0111</v>
      </c>
      <c r="DG39" s="31" t="str">
        <f t="shared" si="69"/>
        <v>0111</v>
      </c>
      <c r="DH39" s="31" t="str">
        <f t="shared" si="70"/>
        <v>0010</v>
      </c>
      <c r="DI39" s="31" t="str">
        <f t="shared" si="71"/>
        <v>1001</v>
      </c>
      <c r="DJ39" s="31" t="str">
        <f t="shared" si="72"/>
        <v>1001</v>
      </c>
      <c r="DK39" s="31" t="str">
        <f t="shared" si="73"/>
        <v>1101</v>
      </c>
      <c r="DL39" s="78"/>
      <c r="DM39" s="78"/>
      <c r="DN39" s="78"/>
      <c r="DO39" s="78"/>
      <c r="DP39" s="78"/>
      <c r="DQ39" s="78"/>
      <c r="DR39" s="78"/>
      <c r="DS39" s="78"/>
      <c r="DT39" s="30" t="str">
        <f t="shared" si="12"/>
        <v>0100001001100011</v>
      </c>
      <c r="DU39" s="30" t="str">
        <f t="shared" si="13"/>
        <v>0010000100000001</v>
      </c>
      <c r="DV39" s="78"/>
      <c r="DW39" s="78"/>
      <c r="DX39" s="23" t="str">
        <f>CONCATENATE(MID($H39,1,1)*MID($K28,1,1),MID($H39,2,1)*MID($K28,2,1),MID($H39,3,1)*MID($K28,3,1),MID($H39,4,1)*MID($K28,4,1),MID($H39,5,1)*MID($K28,5,1),MID($H39,6,1)*MID($K28,6,1),MID($H39,7,1)*MID($K28,7,1),MID($H39,8,1)*MID($K28,8,1),MID($H39,9,1)*MID($K28,1,1),MID($H39,10,1)*MID($K28,2,1),MID($H39,11,1)*MID($K28,3,1),MID($H39,12,1)*MID($K28,4,1),MID($H39,13,1)*MID($K28,5,1),MID($H39,14,1)*MID($K28,6,1),MID($H39,15,1)*MID($K28,7,1),MID($H39,16,1)*MID($K28,8,1),MID($H39,17,1)*MID($K28,1,1),MID($H39,18,1)*MID($K28,2,1),MID($H39,19,1)*MID($K28,3,1),MID($H39,20,1)*MID($K28,4,1),MID($H39,21,1)*MID($K28,5,1),MID($H39,22,1)*MID($K28,6,1),MID($H39,23,1)*MID($K28,7,1),MID($H39,24,1)*MID($K28,8,1),MID($H39,25,1)*MID($K28,1,1),MID($H39,26,1)*MID($K28,2,1),MID($H39,27,1)*MID($K28,3,1),MID($H39,28,1)*MID($K28,4,1),MID($H39,29,1)*MID($K28,5,1),MID($H39,30,1)*MID($K28,6,1),MID($H39,31,1)*MID($K28,7,1),MID($H39,32,1)*MID($K28,8,1))</f>
        <v>00100001010000110110000000100010</v>
      </c>
      <c r="DY39" s="44" t="str">
        <f>CONCATENATE(MID(DX39,20,5),MID(DX39,9,3),MID(DX39,28,5),MID(DX39,17,3),MID(DX39,4,5),MID(DX39,25,3),MID(DX39,12,5),MID(DX39,1,3))</f>
        <v>00000010000100110000100100011001</v>
      </c>
      <c r="DZ39" s="30" t="str">
        <f t="shared" si="122"/>
        <v>00000010</v>
      </c>
      <c r="EA39" s="30" t="str">
        <f t="shared" si="74"/>
        <v>00010011</v>
      </c>
      <c r="EB39" s="30" t="str">
        <f t="shared" si="75"/>
        <v>00001001</v>
      </c>
      <c r="EC39" s="30" t="str">
        <f t="shared" si="76"/>
        <v>00011001</v>
      </c>
      <c r="ED39" s="78"/>
      <c r="EE39" s="78"/>
      <c r="EF39" s="78"/>
      <c r="EG39" s="78"/>
      <c r="EH39" s="31" t="str">
        <f t="shared" si="77"/>
        <v>0100</v>
      </c>
      <c r="EI39" s="31" t="str">
        <f t="shared" si="78"/>
        <v>0010</v>
      </c>
      <c r="EJ39" s="31" t="str">
        <f t="shared" si="79"/>
        <v>0111</v>
      </c>
      <c r="EK39" s="31" t="str">
        <f t="shared" si="80"/>
        <v>0111</v>
      </c>
      <c r="EL39" s="31" t="str">
        <f t="shared" si="81"/>
        <v>0010</v>
      </c>
      <c r="EM39" s="31" t="str">
        <f t="shared" si="82"/>
        <v>1001</v>
      </c>
      <c r="EN39" s="31" t="str">
        <f t="shared" si="83"/>
        <v>1001</v>
      </c>
      <c r="EO39" s="31" t="str">
        <f t="shared" si="84"/>
        <v>1101</v>
      </c>
      <c r="EP39" s="78"/>
      <c r="EQ39" s="78"/>
      <c r="ER39" s="78"/>
      <c r="ES39" s="78"/>
      <c r="ET39" s="78"/>
      <c r="EU39" s="78"/>
      <c r="EV39" s="78"/>
      <c r="EW39" s="78"/>
      <c r="EX39" s="30" t="str">
        <f t="shared" si="15"/>
        <v>0000001000010011</v>
      </c>
      <c r="EY39" s="30" t="str">
        <f t="shared" si="16"/>
        <v>0000100100011001</v>
      </c>
      <c r="EZ39" s="78"/>
      <c r="FA39" s="78"/>
      <c r="FB39" s="46" t="str">
        <f>CONCATENATE(MID(DY39,1,1)*MID($K38,1,1),MID(DY39,2,1)*MID($K38,2,1),MID(DY39,3,1)*MID($K38,3,1),MID(DY39,4,1)*MID($K38,4,1),MID(DY39,5,1)*MID($K38,5,1),MID(DY39,6,1)*MID($K38,6,1),MID(DY39,7,1)*MID($K38,7,1),MID(DY39,8,1)*MID($K38,8,1),MID(DY39,9,1)*MID($K38,1,1),MID(DY39,10,1)*MID($K38,2,1),MID(DY39,11,1)*MID($K38,3,1),MID(DY39,12,1)*MID($K38,4,1),MID(DY39,13,1)*MID($K38,5,1),MID(DY39,14,1)*MID($K38,6,1),MID(DY39,15,1)*MID($K38,7,1),MID(DY39,16,1)*MID($K38,8,1),MID(DY39,17,1)*MID($K38,1,1),MID(DY39,18,1)*MID($K38,2,1),MID(DY39,19,1)*MID($K38,3,1),MID(DY39,20,1)*MID($K38,4,1),MID(DY39,21,1)*MID($K38,5,1),MID(DY39,22,1)*MID($K38,6,1),MID(DY39,23,1)*MID($K38,7,1),MID(DY39,24,1)*MID($K38,8,1),MID(DY39,25,1)*MID($K38,1,1),MID(DY39,26,1)*MID($K38,2,1),MID(DY39,27,1)*MID($K38,3,1),MID(DY39,28,1)*MID($K38,4,1),MID(DY39,29,1)*MID($K38,5,1),MID(DY39,30,1)*MID($K38,6,1),MID(DY39,31,1)*MID($K38,7,1),MID(DY39,32,1)*MID($K38,8,1))</f>
        <v>00000010000100110000100100011001</v>
      </c>
      <c r="FC39" s="30" t="str">
        <f t="shared" si="124"/>
        <v>00000010</v>
      </c>
      <c r="FD39" s="30" t="str">
        <f t="shared" si="85"/>
        <v>00010011</v>
      </c>
      <c r="FE39" s="30" t="str">
        <f t="shared" si="86"/>
        <v>00001001</v>
      </c>
      <c r="FF39" s="30" t="str">
        <f t="shared" si="87"/>
        <v>00011001</v>
      </c>
      <c r="FG39" s="78"/>
      <c r="FH39" s="78"/>
      <c r="FI39" s="78"/>
      <c r="FJ39" s="78"/>
      <c r="FK39" s="31" t="str">
        <f t="shared" si="88"/>
        <v>0100</v>
      </c>
      <c r="FL39" s="31" t="str">
        <f t="shared" si="89"/>
        <v>0010</v>
      </c>
      <c r="FM39" s="31" t="str">
        <f t="shared" si="90"/>
        <v>0111</v>
      </c>
      <c r="FN39" s="31" t="str">
        <f t="shared" si="91"/>
        <v>0111</v>
      </c>
      <c r="FO39" s="31" t="str">
        <f t="shared" si="92"/>
        <v>0010</v>
      </c>
      <c r="FP39" s="31" t="str">
        <f t="shared" si="93"/>
        <v>1001</v>
      </c>
      <c r="FQ39" s="31" t="str">
        <f t="shared" si="94"/>
        <v>1001</v>
      </c>
      <c r="FR39" s="31" t="str">
        <f t="shared" si="95"/>
        <v>1101</v>
      </c>
      <c r="FS39" s="78"/>
      <c r="FT39" s="78"/>
      <c r="FU39" s="78"/>
      <c r="FV39" s="78"/>
      <c r="FW39" s="78"/>
      <c r="FX39" s="78"/>
      <c r="FY39" s="78"/>
      <c r="FZ39" s="78"/>
      <c r="GA39" s="30" t="str">
        <f t="shared" si="18"/>
        <v>0000001000010011</v>
      </c>
      <c r="GB39" s="30" t="str">
        <f t="shared" si="19"/>
        <v>0000100100011001</v>
      </c>
      <c r="GC39" s="78"/>
      <c r="GD39" s="78"/>
      <c r="GE39" s="48" t="str">
        <f>DY39</f>
        <v>00000010000100110000100100011001</v>
      </c>
      <c r="GF39" s="30" t="str">
        <f t="shared" si="126"/>
        <v>00000010</v>
      </c>
      <c r="GG39" s="30" t="str">
        <f t="shared" si="96"/>
        <v>00010011</v>
      </c>
      <c r="GH39" s="30" t="str">
        <f t="shared" si="97"/>
        <v>00001001</v>
      </c>
      <c r="GI39" s="30" t="str">
        <f t="shared" si="98"/>
        <v>00011001</v>
      </c>
      <c r="GJ39" s="78"/>
      <c r="GK39" s="78"/>
      <c r="GL39" s="78"/>
      <c r="GM39" s="78"/>
      <c r="GN39" s="31" t="str">
        <f t="shared" si="99"/>
        <v>0100</v>
      </c>
      <c r="GO39" s="31" t="str">
        <f t="shared" si="100"/>
        <v>0010</v>
      </c>
      <c r="GP39" s="31" t="str">
        <f t="shared" si="101"/>
        <v>0111</v>
      </c>
      <c r="GQ39" s="31" t="str">
        <f t="shared" si="102"/>
        <v>0111</v>
      </c>
      <c r="GR39" s="31" t="str">
        <f t="shared" si="103"/>
        <v>0010</v>
      </c>
      <c r="GS39" s="31" t="str">
        <f t="shared" si="104"/>
        <v>1001</v>
      </c>
      <c r="GT39" s="31" t="str">
        <f t="shared" si="105"/>
        <v>1001</v>
      </c>
      <c r="GU39" s="31" t="str">
        <f t="shared" si="106"/>
        <v>1101</v>
      </c>
      <c r="GV39" s="78"/>
      <c r="GW39" s="78"/>
      <c r="GX39" s="78"/>
      <c r="GY39" s="78"/>
      <c r="GZ39" s="78"/>
      <c r="HA39" s="78"/>
      <c r="HB39" s="78"/>
      <c r="HC39" s="78"/>
      <c r="HD39" s="30" t="str">
        <f t="shared" si="21"/>
        <v>0000001000010011</v>
      </c>
      <c r="HE39" s="30" t="str">
        <f t="shared" si="22"/>
        <v>0000100100011001</v>
      </c>
      <c r="HF39" s="78"/>
      <c r="HG39" s="78"/>
      <c r="HH39" s="48" t="str">
        <f>FB39</f>
        <v>00000010000100110000100100011001</v>
      </c>
      <c r="HI39" s="30" t="str">
        <f t="shared" si="128"/>
        <v>00000010</v>
      </c>
      <c r="HJ39" s="30" t="str">
        <f t="shared" si="107"/>
        <v>00010011</v>
      </c>
      <c r="HK39" s="30" t="str">
        <f t="shared" si="108"/>
        <v>00001001</v>
      </c>
      <c r="HL39" s="30" t="str">
        <f t="shared" si="109"/>
        <v>00011001</v>
      </c>
      <c r="HM39" s="78"/>
      <c r="HN39" s="78"/>
      <c r="HO39" s="78"/>
      <c r="HP39" s="78"/>
      <c r="HQ39" s="31" t="str">
        <f t="shared" si="110"/>
        <v>0100</v>
      </c>
      <c r="HR39" s="31" t="str">
        <f t="shared" si="111"/>
        <v>0010</v>
      </c>
      <c r="HS39" s="31" t="str">
        <f t="shared" si="112"/>
        <v>0111</v>
      </c>
      <c r="HT39" s="31" t="str">
        <f t="shared" si="113"/>
        <v>0111</v>
      </c>
      <c r="HU39" s="31" t="str">
        <f t="shared" si="114"/>
        <v>0010</v>
      </c>
      <c r="HV39" s="31" t="str">
        <f t="shared" si="115"/>
        <v>1001</v>
      </c>
      <c r="HW39" s="31" t="str">
        <f t="shared" si="116"/>
        <v>1001</v>
      </c>
      <c r="HX39" s="31" t="str">
        <f t="shared" si="117"/>
        <v>1101</v>
      </c>
      <c r="HY39" s="78"/>
      <c r="HZ39" s="78"/>
      <c r="IA39" s="78"/>
      <c r="IB39" s="78"/>
      <c r="IC39" s="78"/>
      <c r="ID39" s="78"/>
      <c r="IE39" s="78"/>
      <c r="IF39" s="78"/>
      <c r="IG39" s="30" t="str">
        <f t="shared" si="24"/>
        <v>0000001000010011</v>
      </c>
      <c r="IH39" s="30" t="str">
        <f t="shared" si="25"/>
        <v>0000100100011001</v>
      </c>
      <c r="II39" s="78"/>
      <c r="IJ39" s="78"/>
      <c r="IL39" s="30"/>
      <c r="IM39" s="30"/>
      <c r="IN39" s="30"/>
      <c r="IO39" s="30"/>
      <c r="IP39" s="23"/>
      <c r="IQ39" s="23"/>
      <c r="IR39" s="23"/>
      <c r="IS39" s="23"/>
      <c r="JB39" s="23"/>
      <c r="JC39" s="23"/>
      <c r="JD39" s="23"/>
      <c r="JE39" s="23"/>
      <c r="JF39" s="23"/>
      <c r="JG39" s="23"/>
      <c r="JH39" s="23"/>
      <c r="JI39" s="23"/>
      <c r="JJ39" s="30"/>
      <c r="JK39" s="30"/>
      <c r="JL39" s="23"/>
      <c r="JM39" s="23"/>
    </row>
    <row r="40" spans="1:273" s="27" customFormat="1" x14ac:dyDescent="0.35">
      <c r="A40" s="24"/>
      <c r="B40" s="25"/>
      <c r="C40" s="20" t="s">
        <v>0</v>
      </c>
      <c r="D40" s="20" t="s">
        <v>106</v>
      </c>
      <c r="E40" s="20" t="s">
        <v>82</v>
      </c>
      <c r="F40" s="20">
        <v>1</v>
      </c>
      <c r="G40" s="20" t="s">
        <v>48</v>
      </c>
      <c r="H40" s="20" t="str">
        <f t="shared" si="186"/>
        <v>11011110110011010000000111000101</v>
      </c>
      <c r="I40" s="20">
        <f t="shared" si="187"/>
        <v>16</v>
      </c>
      <c r="J40" s="20" t="s">
        <v>47</v>
      </c>
      <c r="K40" s="20" t="str">
        <f>HEX2BIN(J40,8)</f>
        <v>11111111</v>
      </c>
      <c r="L40" s="43" t="str">
        <f>H40</f>
        <v>11011110110011010000000111000101</v>
      </c>
      <c r="M40" s="26" t="str">
        <f t="shared" si="26"/>
        <v>11011110</v>
      </c>
      <c r="N40" s="26" t="str">
        <f t="shared" si="27"/>
        <v>11001101</v>
      </c>
      <c r="O40" s="26" t="str">
        <f t="shared" si="28"/>
        <v>00000001</v>
      </c>
      <c r="P40" s="26" t="str">
        <f t="shared" si="29"/>
        <v>11000101</v>
      </c>
      <c r="Q40" s="77">
        <f>BIN2DEC(M40)-BIN2DEC(M41)</f>
        <v>4</v>
      </c>
      <c r="R40" s="77">
        <f>BIN2DEC(N40)-BIN2DEC(N41)</f>
        <v>-1</v>
      </c>
      <c r="S40" s="77">
        <f>BIN2DEC(O40)-BIN2DEC(O41)</f>
        <v>-1</v>
      </c>
      <c r="T40" s="77">
        <f>BIN2DEC(P40)-BIN2DEC(P41)</f>
        <v>-1</v>
      </c>
      <c r="U40" s="27" t="str">
        <f t="shared" si="30"/>
        <v>1101</v>
      </c>
      <c r="V40" s="27" t="str">
        <f t="shared" si="31"/>
        <v>1110</v>
      </c>
      <c r="W40" s="27" t="str">
        <f t="shared" si="32"/>
        <v>1100</v>
      </c>
      <c r="X40" s="27" t="str">
        <f t="shared" si="33"/>
        <v>1101</v>
      </c>
      <c r="Y40" s="27" t="str">
        <f t="shared" si="34"/>
        <v>0000</v>
      </c>
      <c r="Z40" s="27" t="str">
        <f t="shared" si="35"/>
        <v>0001</v>
      </c>
      <c r="AA40" s="27" t="str">
        <f t="shared" si="36"/>
        <v>1100</v>
      </c>
      <c r="AB40" s="27" t="str">
        <f t="shared" si="37"/>
        <v>0101</v>
      </c>
      <c r="AC40" s="77">
        <f>BIN2DEC(U40)-BIN2DEC(U41)</f>
        <v>0</v>
      </c>
      <c r="AD40" s="77">
        <f t="shared" ref="AD40:AI40" si="268">BIN2DEC(V40)-BIN2DEC(V41)</f>
        <v>4</v>
      </c>
      <c r="AE40" s="77">
        <f t="shared" si="268"/>
        <v>0</v>
      </c>
      <c r="AF40" s="77">
        <f t="shared" si="268"/>
        <v>-1</v>
      </c>
      <c r="AG40" s="77">
        <f t="shared" si="268"/>
        <v>0</v>
      </c>
      <c r="AH40" s="77">
        <f t="shared" si="268"/>
        <v>-1</v>
      </c>
      <c r="AI40" s="77">
        <f t="shared" si="268"/>
        <v>0</v>
      </c>
      <c r="AJ40" s="77">
        <f>BIN2DEC(AB40)-BIN2DEC(AB41)</f>
        <v>-1</v>
      </c>
      <c r="AK40" s="26" t="str">
        <f t="shared" si="3"/>
        <v>1101111011001101</v>
      </c>
      <c r="AL40" s="26" t="str">
        <f t="shared" si="4"/>
        <v>0000000111000101</v>
      </c>
      <c r="AM40" s="77">
        <f>MID(AK40,16,1)*POWER(2,0)+MID(AK40,15,1)*POWER(2,1)+MID(AK40,14,1)*POWER(2,2)+MID(AK40,13,1)*POWER(2,3)+MID(AK40,12,1)*POWER(2,4)+MID(AK40,11,1)*POWER(2,5)+MID(AK40,10,1)*POWER(2,6)+MID(AK40,9,1)*POWER(2,7)+MID(AK40,8,1)*POWER(2,8)+MID(AK40,7,1)*POWER(2,9)+MID(AK40,6,1)*POWER(2,10)+MID(AK40,5,1)*POWER(2,11)+MID(AK40,4,1)*POWER(2,12)+MID(AK40,3,1)*POWER(2,13)+MID(AK40,2,1)*POWER(2,14)+MID(AK40,1,1)*POWER(2,15)-(MID(AK41,16,1)*POWER(2,0)+MID(AK41,15,1)*POWER(2,1)+MID(AK41,14,1)*POWER(2,2)+MID(AK41,13,1)*POWER(2,3)+MID(AK41,12,1)*POWER(2,4)+MID(AK41,11,1)*POWER(2,5)+MID(AK41,10,1)*POWER(2,6)+MID(AK41,9,1)*POWER(2,7)+MID(AK41,8,1)*POWER(2,8)+MID(AK41,7,1)*POWER(2,9)+MID(AK41,6,1)*POWER(2,10)+MID(AK41,5,1)*POWER(2,11)+MID(AK41,4,1)*POWER(2,12)+MID(AK41,3,1)*POWER(2,13)+MID(AK41,2,1)*POWER(2,14)+MID(AK41,1,1)*POWER(2,15))</f>
        <v>1023</v>
      </c>
      <c r="AN40" s="77">
        <f>MID(AL40,16,1)*POWER(2,0)+MID(AL40,15,1)*POWER(2,1)+MID(AL40,14,1)*POWER(2,2)+MID(AL40,13,1)*POWER(2,3)+MID(AL40,12,1)*POWER(2,4)+MID(AL40,11,1)*POWER(2,5)+MID(AL40,10,1)*POWER(2,6)+MID(AL40,9,1)*POWER(2,7)+MID(AL40,8,1)*POWER(2,8)+MID(AL40,7,1)*POWER(2,9)+MID(AL40,6,1)*POWER(2,10)+MID(AL40,5,1)*POWER(2,11)+MID(AL40,4,1)*POWER(2,12)+MID(AL40,3,1)*POWER(2,13)+MID(AL40,2,1)*POWER(2,14)+MID(AL40,1,1)*POWER(2,15)-(MID(AL41,16,1)*POWER(2,0)+MID(AL41,15,1)*POWER(2,1)+MID(AL41,14,1)*POWER(2,2)+MID(AL41,13,1)*POWER(2,3)+MID(AL41,12,1)*POWER(2,4)+MID(AL41,11,1)*POWER(2,5)+MID(AL41,10,1)*POWER(2,6)+MID(AL41,9,1)*POWER(2,7)+MID(AL41,8,1)*POWER(2,8)+MID(AL41,7,1)*POWER(2,9)+MID(AL41,6,1)*POWER(2,10)+MID(AL41,5,1)*POWER(2,11)+MID(AL41,4,1)*POWER(2,12)+MID(AL41,3,1)*POWER(2,13)+MID(AL41,2,1)*POWER(2,14)+MID(AL41,1,1)*POWER(2,15))</f>
        <v>-257</v>
      </c>
      <c r="AO40" s="45" t="str">
        <f>H40</f>
        <v>11011110110011010000000111000101</v>
      </c>
      <c r="AP40" s="26" t="str">
        <f t="shared" si="38"/>
        <v>11011110</v>
      </c>
      <c r="AQ40" s="26" t="str">
        <f t="shared" si="39"/>
        <v>11001101</v>
      </c>
      <c r="AR40" s="26" t="str">
        <f t="shared" si="40"/>
        <v>00000001</v>
      </c>
      <c r="AS40" s="26" t="str">
        <f t="shared" si="41"/>
        <v>11000101</v>
      </c>
      <c r="AT40" s="77">
        <f>BIN2DEC(AP40)-BIN2DEC(AP41)</f>
        <v>4</v>
      </c>
      <c r="AU40" s="77">
        <f>BIN2DEC(AQ40)-BIN2DEC(AQ41)</f>
        <v>-1</v>
      </c>
      <c r="AV40" s="77">
        <f>BIN2DEC(AR40)-BIN2DEC(AR41)</f>
        <v>-1</v>
      </c>
      <c r="AW40" s="77">
        <f>BIN2DEC(AS40)-BIN2DEC(AS41)</f>
        <v>-1</v>
      </c>
      <c r="AX40" s="27" t="str">
        <f t="shared" si="42"/>
        <v>1101</v>
      </c>
      <c r="AY40" s="27" t="str">
        <f t="shared" si="43"/>
        <v>1110</v>
      </c>
      <c r="AZ40" s="27" t="str">
        <f t="shared" si="44"/>
        <v>1100</v>
      </c>
      <c r="BA40" s="27" t="str">
        <f t="shared" si="45"/>
        <v>1101</v>
      </c>
      <c r="BB40" s="27" t="str">
        <f t="shared" si="46"/>
        <v>0000</v>
      </c>
      <c r="BC40" s="27" t="str">
        <f t="shared" si="47"/>
        <v>0001</v>
      </c>
      <c r="BD40" s="27" t="str">
        <f t="shared" si="48"/>
        <v>1100</v>
      </c>
      <c r="BE40" s="27" t="str">
        <f t="shared" si="49"/>
        <v>0101</v>
      </c>
      <c r="BF40" s="77">
        <f>BIN2DEC(AX40)-BIN2DEC(AX41)</f>
        <v>0</v>
      </c>
      <c r="BG40" s="77">
        <f t="shared" ref="BG40:BL40" si="269">BIN2DEC(AY40)-BIN2DEC(AY41)</f>
        <v>4</v>
      </c>
      <c r="BH40" s="77">
        <f t="shared" si="269"/>
        <v>0</v>
      </c>
      <c r="BI40" s="77">
        <f t="shared" si="269"/>
        <v>-1</v>
      </c>
      <c r="BJ40" s="77">
        <f t="shared" si="269"/>
        <v>0</v>
      </c>
      <c r="BK40" s="77">
        <f t="shared" si="269"/>
        <v>-1</v>
      </c>
      <c r="BL40" s="77">
        <f t="shared" si="269"/>
        <v>0</v>
      </c>
      <c r="BM40" s="77">
        <f>BIN2DEC(BE40)-BIN2DEC(BE41)</f>
        <v>-1</v>
      </c>
      <c r="BN40" s="26" t="str">
        <f t="shared" si="6"/>
        <v>1101111011001101</v>
      </c>
      <c r="BO40" s="26" t="str">
        <f t="shared" si="7"/>
        <v>0000000111000101</v>
      </c>
      <c r="BP40" s="77">
        <f>MID(BN40,16,1)*POWER(2,0)+MID(BN40,15,1)*POWER(2,1)+MID(BN40,14,1)*POWER(2,2)+MID(BN40,13,1)*POWER(2,3)+MID(BN40,12,1)*POWER(2,4)+MID(BN40,11,1)*POWER(2,5)+MID(BN40,10,1)*POWER(2,6)+MID(BN40,9,1)*POWER(2,7)+MID(BN40,8,1)*POWER(2,8)+MID(BN40,7,1)*POWER(2,9)+MID(BN40,6,1)*POWER(2,10)+MID(BN40,5,1)*POWER(2,11)+MID(BN40,4,1)*POWER(2,12)+MID(BN40,3,1)*POWER(2,13)+MID(BN40,2,1)*POWER(2,14)+MID(BN40,1,1)*POWER(2,15)-(MID(BN41,16,1)*POWER(2,0)+MID(BN41,15,1)*POWER(2,1)+MID(BN41,14,1)*POWER(2,2)+MID(BN41,13,1)*POWER(2,3)+MID(BN41,12,1)*POWER(2,4)+MID(BN41,11,1)*POWER(2,5)+MID(BN41,10,1)*POWER(2,6)+MID(BN41,9,1)*POWER(2,7)+MID(BN41,8,1)*POWER(2,8)+MID(BN41,7,1)*POWER(2,9)+MID(BN41,6,1)*POWER(2,10)+MID(BN41,5,1)*POWER(2,11)+MID(BN41,4,1)*POWER(2,12)+MID(BN41,3,1)*POWER(2,13)+MID(BN41,2,1)*POWER(2,14)+MID(BN41,1,1)*POWER(2,15))</f>
        <v>1023</v>
      </c>
      <c r="BQ40" s="77">
        <f>MID(BO40,16,1)*POWER(2,0)+MID(BO40,15,1)*POWER(2,1)+MID(BO40,14,1)*POWER(2,2)+MID(BO40,13,1)*POWER(2,3)+MID(BO40,12,1)*POWER(2,4)+MID(BO40,11,1)*POWER(2,5)+MID(BO40,10,1)*POWER(2,6)+MID(BO40,9,1)*POWER(2,7)+MID(BO40,8,1)*POWER(2,8)+MID(BO40,7,1)*POWER(2,9)+MID(BO40,6,1)*POWER(2,10)+MID(BO40,5,1)*POWER(2,11)+MID(BO40,4,1)*POWER(2,12)+MID(BO40,3,1)*POWER(2,13)+MID(BO40,2,1)*POWER(2,14)+MID(BO40,1,1)*POWER(2,15)-(MID(BO41,16,1)*POWER(2,0)+MID(BO41,15,1)*POWER(2,1)+MID(BO41,14,1)*POWER(2,2)+MID(BO41,13,1)*POWER(2,3)+MID(BO41,12,1)*POWER(2,4)+MID(BO41,11,1)*POWER(2,5)+MID(BO41,10,1)*POWER(2,6)+MID(BO41,9,1)*POWER(2,7)+MID(BO41,8,1)*POWER(2,8)+MID(BO41,7,1)*POWER(2,9)+MID(BO41,6,1)*POWER(2,10)+MID(BO41,5,1)*POWER(2,11)+MID(BO41,4,1)*POWER(2,12)+MID(BO41,3,1)*POWER(2,13)+MID(BO41,2,1)*POWER(2,14)+MID(BO41,1,1)*POWER(2,15))</f>
        <v>-257</v>
      </c>
      <c r="BR40" s="45" t="str">
        <f>CONCATENATE(MID($L40,1,1)*MID($K40,1,1),MID($L40,2,1)*MID($K40,2,1),MID($L40,3,1)*MID($K40,3,1),MID($L40,4,1)*MID($K40,4,1),MID($L40,5,1)*MID($K40,5,1),MID($L40,6,1)*MID($K40,6,1),MID($L40,7,1)*MID($K40,7,1),MID($L40,8,1)*MID($K40,8,1),MID($L40,9,1)*MID($K40,1,1),MID($L40,10,1)*MID($K40,2,1),MID($L40,11,1)*MID($K40,3,1),MID($L40,12,1)*MID($K40,4,1),MID($L40,13,1)*MID($K40,5,1),MID($L40,14,1)*MID($K40,6,1),MID($L40,15,1)*MID($K40,7,1),MID($L40,16,1)*MID($K40,8,1),MID($L40,17,1)*MID($K40,1,1),MID($L40,18,1)*MID($K40,2,1),MID($L40,19,1)*MID($K40,3,1),MID($L40,20,1)*MID($K40,4,1),MID($L40,21,1)*MID($K40,5,1),MID($L40,22,1)*MID($K40,6,1),MID($L40,23,1)*MID($K40,7,1),MID($L40,24,1)*MID($K40,8,1),MID($L40,25,1)*MID($K40,1,1),MID($L40,26,1)*MID($K40,2,1),MID($L40,27,1)*MID($K40,3,1),MID($L40,28,1)*MID($K40,4,1),MID($L40,29,1)*MID($K40,5,1),MID($L40,30,1)*MID($K40,6,1),MID($L40,31,1)*MID($K40,7,1),MID($L40,32,1)*MID($K40,8,1))</f>
        <v>11011110110011010000000111000101</v>
      </c>
      <c r="BS40" s="26" t="str">
        <f t="shared" si="50"/>
        <v>11011110</v>
      </c>
      <c r="BT40" s="26" t="str">
        <f t="shared" si="51"/>
        <v>11001101</v>
      </c>
      <c r="BU40" s="26" t="str">
        <f t="shared" si="52"/>
        <v>00000001</v>
      </c>
      <c r="BV40" s="26" t="str">
        <f t="shared" si="53"/>
        <v>11000101</v>
      </c>
      <c r="BW40" s="77">
        <f>BIN2DEC(BS40)-BIN2DEC(BS41)</f>
        <v>4</v>
      </c>
      <c r="BX40" s="77">
        <f>BIN2DEC(BT40)-BIN2DEC(BT41)</f>
        <v>-1</v>
      </c>
      <c r="BY40" s="77">
        <f>BIN2DEC(BU40)-BIN2DEC(BU41)</f>
        <v>-1</v>
      </c>
      <c r="BZ40" s="77">
        <f>BIN2DEC(BV40)-BIN2DEC(BV41)</f>
        <v>-1</v>
      </c>
      <c r="CA40" s="27" t="str">
        <f t="shared" si="54"/>
        <v>1101</v>
      </c>
      <c r="CB40" s="27" t="str">
        <f t="shared" si="55"/>
        <v>1110</v>
      </c>
      <c r="CC40" s="27" t="str">
        <f t="shared" si="56"/>
        <v>1100</v>
      </c>
      <c r="CD40" s="27" t="str">
        <f t="shared" si="57"/>
        <v>1101</v>
      </c>
      <c r="CE40" s="27" t="str">
        <f t="shared" si="58"/>
        <v>0000</v>
      </c>
      <c r="CF40" s="27" t="str">
        <f t="shared" si="59"/>
        <v>0001</v>
      </c>
      <c r="CG40" s="27" t="str">
        <f t="shared" si="60"/>
        <v>1100</v>
      </c>
      <c r="CH40" s="27" t="str">
        <f t="shared" si="61"/>
        <v>0101</v>
      </c>
      <c r="CI40" s="77">
        <f>BIN2DEC(CA40)-BIN2DEC(CA41)</f>
        <v>0</v>
      </c>
      <c r="CJ40" s="77">
        <f t="shared" ref="CJ40:CO40" si="270">BIN2DEC(CB40)-BIN2DEC(CB41)</f>
        <v>4</v>
      </c>
      <c r="CK40" s="77">
        <f t="shared" si="270"/>
        <v>0</v>
      </c>
      <c r="CL40" s="77">
        <f t="shared" si="270"/>
        <v>-1</v>
      </c>
      <c r="CM40" s="77">
        <f t="shared" si="270"/>
        <v>0</v>
      </c>
      <c r="CN40" s="77">
        <f t="shared" si="270"/>
        <v>-1</v>
      </c>
      <c r="CO40" s="77">
        <f t="shared" si="270"/>
        <v>0</v>
      </c>
      <c r="CP40" s="77">
        <f>BIN2DEC(CH40)-BIN2DEC(CH41)</f>
        <v>-1</v>
      </c>
      <c r="CQ40" s="26" t="str">
        <f t="shared" si="9"/>
        <v>1101111011001101</v>
      </c>
      <c r="CR40" s="26" t="str">
        <f t="shared" si="10"/>
        <v>0000000111000101</v>
      </c>
      <c r="CS40" s="77">
        <f>MID(CQ40,16,1)*POWER(2,0)+MID(CQ40,15,1)*POWER(2,1)+MID(CQ40,14,1)*POWER(2,2)+MID(CQ40,13,1)*POWER(2,3)+MID(CQ40,12,1)*POWER(2,4)+MID(CQ40,11,1)*POWER(2,5)+MID(CQ40,10,1)*POWER(2,6)+MID(CQ40,9,1)*POWER(2,7)+MID(CQ40,8,1)*POWER(2,8)+MID(CQ40,7,1)*POWER(2,9)+MID(CQ40,6,1)*POWER(2,10)+MID(CQ40,5,1)*POWER(2,11)+MID(CQ40,4,1)*POWER(2,12)+MID(CQ40,3,1)*POWER(2,13)+MID(CQ40,2,1)*POWER(2,14)+MID(CQ40,1,1)*POWER(2,15)-(MID(CQ41,16,1)*POWER(2,0)+MID(CQ41,15,1)*POWER(2,1)+MID(CQ41,14,1)*POWER(2,2)+MID(CQ41,13,1)*POWER(2,3)+MID(CQ41,12,1)*POWER(2,4)+MID(CQ41,11,1)*POWER(2,5)+MID(CQ41,10,1)*POWER(2,6)+MID(CQ41,9,1)*POWER(2,7)+MID(CQ41,8,1)*POWER(2,8)+MID(CQ41,7,1)*POWER(2,9)+MID(CQ41,6,1)*POWER(2,10)+MID(CQ41,5,1)*POWER(2,11)+MID(CQ41,4,1)*POWER(2,12)+MID(CQ41,3,1)*POWER(2,13)+MID(CQ41,2,1)*POWER(2,14)+MID(CQ41,1,1)*POWER(2,15))</f>
        <v>1023</v>
      </c>
      <c r="CT40" s="77">
        <f>MID(CR40,16,1)*POWER(2,0)+MID(CR40,15,1)*POWER(2,1)+MID(CR40,14,1)*POWER(2,2)+MID(CR40,13,1)*POWER(2,3)+MID(CR40,12,1)*POWER(2,4)+MID(CR40,11,1)*POWER(2,5)+MID(CR40,10,1)*POWER(2,6)+MID(CR40,9,1)*POWER(2,7)+MID(CR40,8,1)*POWER(2,8)+MID(CR40,7,1)*POWER(2,9)+MID(CR40,6,1)*POWER(2,10)+MID(CR40,5,1)*POWER(2,11)+MID(CR40,4,1)*POWER(2,12)+MID(CR40,3,1)*POWER(2,13)+MID(CR40,2,1)*POWER(2,14)+MID(CR40,1,1)*POWER(2,15)-(MID(CR41,16,1)*POWER(2,0)+MID(CR41,15,1)*POWER(2,1)+MID(CR41,14,1)*POWER(2,2)+MID(CR41,13,1)*POWER(2,3)+MID(CR41,12,1)*POWER(2,4)+MID(CR41,11,1)*POWER(2,5)+MID(CR41,10,1)*POWER(2,6)+MID(CR41,9,1)*POWER(2,7)+MID(CR41,8,1)*POWER(2,8)+MID(CR41,7,1)*POWER(2,9)+MID(CR41,6,1)*POWER(2,10)+MID(CR41,5,1)*POWER(2,11)+MID(CR41,4,1)*POWER(2,12)+MID(CR41,3,1)*POWER(2,13)+MID(CR41,2,1)*POWER(2,14)+MID(CR41,1,1)*POWER(2,15))</f>
        <v>-257</v>
      </c>
      <c r="CU40" s="45" t="str">
        <f>BR40</f>
        <v>11011110110011010000000111000101</v>
      </c>
      <c r="CV40" s="26" t="str">
        <f t="shared" si="62"/>
        <v>11011110</v>
      </c>
      <c r="CW40" s="26" t="str">
        <f t="shared" si="63"/>
        <v>11001101</v>
      </c>
      <c r="CX40" s="26" t="str">
        <f t="shared" si="64"/>
        <v>00000001</v>
      </c>
      <c r="CY40" s="26" t="str">
        <f t="shared" si="65"/>
        <v>11000101</v>
      </c>
      <c r="CZ40" s="77">
        <f>BIN2DEC(CV40)-BIN2DEC(CV41)</f>
        <v>4</v>
      </c>
      <c r="DA40" s="77">
        <f>BIN2DEC(CW40)-BIN2DEC(CW41)</f>
        <v>-1</v>
      </c>
      <c r="DB40" s="77">
        <f>BIN2DEC(CX40)-BIN2DEC(CX41)</f>
        <v>-1</v>
      </c>
      <c r="DC40" s="77">
        <f>BIN2DEC(CY40)-BIN2DEC(CY41)</f>
        <v>-1</v>
      </c>
      <c r="DD40" s="27" t="str">
        <f t="shared" si="66"/>
        <v>1101</v>
      </c>
      <c r="DE40" s="27" t="str">
        <f t="shared" si="67"/>
        <v>1110</v>
      </c>
      <c r="DF40" s="27" t="str">
        <f t="shared" si="68"/>
        <v>1100</v>
      </c>
      <c r="DG40" s="27" t="str">
        <f t="shared" si="69"/>
        <v>1101</v>
      </c>
      <c r="DH40" s="27" t="str">
        <f t="shared" si="70"/>
        <v>0000</v>
      </c>
      <c r="DI40" s="27" t="str">
        <f t="shared" si="71"/>
        <v>0001</v>
      </c>
      <c r="DJ40" s="27" t="str">
        <f t="shared" si="72"/>
        <v>1100</v>
      </c>
      <c r="DK40" s="27" t="str">
        <f t="shared" si="73"/>
        <v>0101</v>
      </c>
      <c r="DL40" s="77">
        <f>BIN2DEC(DD40)-BIN2DEC(DD41)</f>
        <v>0</v>
      </c>
      <c r="DM40" s="77">
        <f t="shared" ref="DM40:DR40" si="271">BIN2DEC(DE40)-BIN2DEC(DE41)</f>
        <v>4</v>
      </c>
      <c r="DN40" s="77">
        <f t="shared" si="271"/>
        <v>0</v>
      </c>
      <c r="DO40" s="77">
        <f t="shared" si="271"/>
        <v>-1</v>
      </c>
      <c r="DP40" s="77">
        <f t="shared" si="271"/>
        <v>0</v>
      </c>
      <c r="DQ40" s="77">
        <f t="shared" si="271"/>
        <v>-1</v>
      </c>
      <c r="DR40" s="77">
        <f t="shared" si="271"/>
        <v>0</v>
      </c>
      <c r="DS40" s="77">
        <f>BIN2DEC(DK40)-BIN2DEC(DK41)</f>
        <v>-1</v>
      </c>
      <c r="DT40" s="26" t="str">
        <f t="shared" si="12"/>
        <v>1101111011001101</v>
      </c>
      <c r="DU40" s="26" t="str">
        <f t="shared" si="13"/>
        <v>0000000111000101</v>
      </c>
      <c r="DV40" s="77">
        <f>MID(DT40,16,1)*POWER(2,0)+MID(DT40,15,1)*POWER(2,1)+MID(DT40,14,1)*POWER(2,2)+MID(DT40,13,1)*POWER(2,3)+MID(DT40,12,1)*POWER(2,4)+MID(DT40,11,1)*POWER(2,5)+MID(DT40,10,1)*POWER(2,6)+MID(DT40,9,1)*POWER(2,7)+MID(DT40,8,1)*POWER(2,8)+MID(DT40,7,1)*POWER(2,9)+MID(DT40,6,1)*POWER(2,10)+MID(DT40,5,1)*POWER(2,11)+MID(DT40,4,1)*POWER(2,12)+MID(DT40,3,1)*POWER(2,13)+MID(DT40,2,1)*POWER(2,14)+MID(DT40,1,1)*POWER(2,15)-(MID(DT41,16,1)*POWER(2,0)+MID(DT41,15,1)*POWER(2,1)+MID(DT41,14,1)*POWER(2,2)+MID(DT41,13,1)*POWER(2,3)+MID(DT41,12,1)*POWER(2,4)+MID(DT41,11,1)*POWER(2,5)+MID(DT41,10,1)*POWER(2,6)+MID(DT41,9,1)*POWER(2,7)+MID(DT41,8,1)*POWER(2,8)+MID(DT41,7,1)*POWER(2,9)+MID(DT41,6,1)*POWER(2,10)+MID(DT41,5,1)*POWER(2,11)+MID(DT41,4,1)*POWER(2,12)+MID(DT41,3,1)*POWER(2,13)+MID(DT41,2,1)*POWER(2,14)+MID(DT41,1,1)*POWER(2,15))</f>
        <v>1023</v>
      </c>
      <c r="DW40" s="77">
        <f>MID(DU40,16,1)*POWER(2,0)+MID(DU40,15,1)*POWER(2,1)+MID(DU40,14,1)*POWER(2,2)+MID(DU40,13,1)*POWER(2,3)+MID(DU40,12,1)*POWER(2,4)+MID(DU40,11,1)*POWER(2,5)+MID(DU40,10,1)*POWER(2,6)+MID(DU40,9,1)*POWER(2,7)+MID(DU40,8,1)*POWER(2,8)+MID(DU40,7,1)*POWER(2,9)+MID(DU40,6,1)*POWER(2,10)+MID(DU40,5,1)*POWER(2,11)+MID(DU40,4,1)*POWER(2,12)+MID(DU40,3,1)*POWER(2,13)+MID(DU40,2,1)*POWER(2,14)+MID(DU40,1,1)*POWER(2,15)-(MID(DU41,16,1)*POWER(2,0)+MID(DU41,15,1)*POWER(2,1)+MID(DU41,14,1)*POWER(2,2)+MID(DU41,13,1)*POWER(2,3)+MID(DU41,12,1)*POWER(2,4)+MID(DU41,11,1)*POWER(2,5)+MID(DU41,10,1)*POWER(2,6)+MID(DU41,9,1)*POWER(2,7)+MID(DU41,8,1)*POWER(2,8)+MID(DU41,7,1)*POWER(2,9)+MID(DU41,6,1)*POWER(2,10)+MID(DU41,5,1)*POWER(2,11)+MID(DU41,4,1)*POWER(2,12)+MID(DU41,3,1)*POWER(2,13)+MID(DU41,2,1)*POWER(2,14)+MID(DU41,1,1)*POWER(2,15))</f>
        <v>-257</v>
      </c>
      <c r="DX40" s="22"/>
      <c r="DY40" s="43" t="str">
        <f>H40</f>
        <v>11011110110011010000000111000101</v>
      </c>
      <c r="DZ40" s="26" t="str">
        <f t="shared" si="122"/>
        <v>11011110</v>
      </c>
      <c r="EA40" s="26" t="str">
        <f t="shared" si="74"/>
        <v>11001101</v>
      </c>
      <c r="EB40" s="26" t="str">
        <f t="shared" si="75"/>
        <v>00000001</v>
      </c>
      <c r="EC40" s="26" t="str">
        <f t="shared" si="76"/>
        <v>11000101</v>
      </c>
      <c r="ED40" s="77">
        <f>BIN2DEC(DZ40)-BIN2DEC(DZ41)</f>
        <v>4</v>
      </c>
      <c r="EE40" s="77">
        <f>BIN2DEC(EA40)-BIN2DEC(EA41)</f>
        <v>-1</v>
      </c>
      <c r="EF40" s="77">
        <f>BIN2DEC(EB40)-BIN2DEC(EB41)</f>
        <v>-1</v>
      </c>
      <c r="EG40" s="77">
        <f>BIN2DEC(EC40)-BIN2DEC(EC41)</f>
        <v>-1</v>
      </c>
      <c r="EH40" s="27" t="str">
        <f t="shared" si="77"/>
        <v>1101</v>
      </c>
      <c r="EI40" s="27" t="str">
        <f t="shared" si="78"/>
        <v>1110</v>
      </c>
      <c r="EJ40" s="27" t="str">
        <f t="shared" si="79"/>
        <v>1100</v>
      </c>
      <c r="EK40" s="27" t="str">
        <f t="shared" si="80"/>
        <v>1101</v>
      </c>
      <c r="EL40" s="27" t="str">
        <f t="shared" si="81"/>
        <v>0000</v>
      </c>
      <c r="EM40" s="27" t="str">
        <f t="shared" si="82"/>
        <v>0001</v>
      </c>
      <c r="EN40" s="27" t="str">
        <f t="shared" si="83"/>
        <v>1100</v>
      </c>
      <c r="EO40" s="27" t="str">
        <f t="shared" si="84"/>
        <v>0101</v>
      </c>
      <c r="EP40" s="77">
        <f>BIN2DEC(EH40)-BIN2DEC(EH41)</f>
        <v>0</v>
      </c>
      <c r="EQ40" s="77">
        <f t="shared" ref="EQ40:EV40" si="272">BIN2DEC(EI40)-BIN2DEC(EI41)</f>
        <v>4</v>
      </c>
      <c r="ER40" s="77">
        <f t="shared" si="272"/>
        <v>0</v>
      </c>
      <c r="ES40" s="77">
        <f t="shared" si="272"/>
        <v>-1</v>
      </c>
      <c r="ET40" s="77">
        <f t="shared" si="272"/>
        <v>0</v>
      </c>
      <c r="EU40" s="77">
        <f t="shared" si="272"/>
        <v>-1</v>
      </c>
      <c r="EV40" s="77">
        <f t="shared" si="272"/>
        <v>0</v>
      </c>
      <c r="EW40" s="77">
        <f>BIN2DEC(EO40)-BIN2DEC(EO41)</f>
        <v>-1</v>
      </c>
      <c r="EX40" s="26" t="str">
        <f t="shared" si="15"/>
        <v>1101111011001101</v>
      </c>
      <c r="EY40" s="26" t="str">
        <f t="shared" si="16"/>
        <v>0000000111000101</v>
      </c>
      <c r="EZ40" s="77">
        <f>MID(EX40,16,1)*POWER(2,0)+MID(EX40,15,1)*POWER(2,1)+MID(EX40,14,1)*POWER(2,2)+MID(EX40,13,1)*POWER(2,3)+MID(EX40,12,1)*POWER(2,4)+MID(EX40,11,1)*POWER(2,5)+MID(EX40,10,1)*POWER(2,6)+MID(EX40,9,1)*POWER(2,7)+MID(EX40,8,1)*POWER(2,8)+MID(EX40,7,1)*POWER(2,9)+MID(EX40,6,1)*POWER(2,10)+MID(EX40,5,1)*POWER(2,11)+MID(EX40,4,1)*POWER(2,12)+MID(EX40,3,1)*POWER(2,13)+MID(EX40,2,1)*POWER(2,14)+MID(EX40,1,1)*POWER(2,15)-(MID(EX41,16,1)*POWER(2,0)+MID(EX41,15,1)*POWER(2,1)+MID(EX41,14,1)*POWER(2,2)+MID(EX41,13,1)*POWER(2,3)+MID(EX41,12,1)*POWER(2,4)+MID(EX41,11,1)*POWER(2,5)+MID(EX41,10,1)*POWER(2,6)+MID(EX41,9,1)*POWER(2,7)+MID(EX41,8,1)*POWER(2,8)+MID(EX41,7,1)*POWER(2,9)+MID(EX41,6,1)*POWER(2,10)+MID(EX41,5,1)*POWER(2,11)+MID(EX41,4,1)*POWER(2,12)+MID(EX41,3,1)*POWER(2,13)+MID(EX41,2,1)*POWER(2,14)+MID(EX41,1,1)*POWER(2,15))</f>
        <v>1023</v>
      </c>
      <c r="FA40" s="77">
        <f>MID(EY40,16,1)*POWER(2,0)+MID(EY40,15,1)*POWER(2,1)+MID(EY40,14,1)*POWER(2,2)+MID(EY40,13,1)*POWER(2,3)+MID(EY40,12,1)*POWER(2,4)+MID(EY40,11,1)*POWER(2,5)+MID(EY40,10,1)*POWER(2,6)+MID(EY40,9,1)*POWER(2,7)+MID(EY40,8,1)*POWER(2,8)+MID(EY40,7,1)*POWER(2,9)+MID(EY40,6,1)*POWER(2,10)+MID(EY40,5,1)*POWER(2,11)+MID(EY40,4,1)*POWER(2,12)+MID(EY40,3,1)*POWER(2,13)+MID(EY40,2,1)*POWER(2,14)+MID(EY40,1,1)*POWER(2,15)-(MID(EY41,16,1)*POWER(2,0)+MID(EY41,15,1)*POWER(2,1)+MID(EY41,14,1)*POWER(2,2)+MID(EY41,13,1)*POWER(2,3)+MID(EY41,12,1)*POWER(2,4)+MID(EY41,11,1)*POWER(2,5)+MID(EY41,10,1)*POWER(2,6)+MID(EY41,9,1)*POWER(2,7)+MID(EY41,8,1)*POWER(2,8)+MID(EY41,7,1)*POWER(2,9)+MID(EY41,6,1)*POWER(2,10)+MID(EY41,5,1)*POWER(2,11)+MID(EY41,4,1)*POWER(2,12)+MID(EY41,3,1)*POWER(2,13)+MID(EY41,2,1)*POWER(2,14)+MID(EY41,1,1)*POWER(2,15))</f>
        <v>-257</v>
      </c>
      <c r="FB40" s="45" t="str">
        <f>H40</f>
        <v>11011110110011010000000111000101</v>
      </c>
      <c r="FC40" s="26" t="str">
        <f t="shared" si="124"/>
        <v>11011110</v>
      </c>
      <c r="FD40" s="26" t="str">
        <f t="shared" si="85"/>
        <v>11001101</v>
      </c>
      <c r="FE40" s="26" t="str">
        <f t="shared" si="86"/>
        <v>00000001</v>
      </c>
      <c r="FF40" s="26" t="str">
        <f t="shared" si="87"/>
        <v>11000101</v>
      </c>
      <c r="FG40" s="77">
        <f>BIN2DEC(FC40)-BIN2DEC(FC41)</f>
        <v>4</v>
      </c>
      <c r="FH40" s="77">
        <f>BIN2DEC(FD40)-BIN2DEC(FD41)</f>
        <v>-1</v>
      </c>
      <c r="FI40" s="77">
        <f>BIN2DEC(FE40)-BIN2DEC(FE41)</f>
        <v>-1</v>
      </c>
      <c r="FJ40" s="77">
        <f>BIN2DEC(FF40)-BIN2DEC(FF41)</f>
        <v>-1</v>
      </c>
      <c r="FK40" s="27" t="str">
        <f t="shared" si="88"/>
        <v>1101</v>
      </c>
      <c r="FL40" s="27" t="str">
        <f t="shared" si="89"/>
        <v>1110</v>
      </c>
      <c r="FM40" s="27" t="str">
        <f t="shared" si="90"/>
        <v>1100</v>
      </c>
      <c r="FN40" s="27" t="str">
        <f t="shared" si="91"/>
        <v>1101</v>
      </c>
      <c r="FO40" s="27" t="str">
        <f t="shared" si="92"/>
        <v>0000</v>
      </c>
      <c r="FP40" s="27" t="str">
        <f t="shared" si="93"/>
        <v>0001</v>
      </c>
      <c r="FQ40" s="27" t="str">
        <f t="shared" si="94"/>
        <v>1100</v>
      </c>
      <c r="FR40" s="27" t="str">
        <f t="shared" si="95"/>
        <v>0101</v>
      </c>
      <c r="FS40" s="77">
        <f>BIN2DEC(FK40)-BIN2DEC(FK41)</f>
        <v>0</v>
      </c>
      <c r="FT40" s="77">
        <f t="shared" ref="FT40:FY40" si="273">BIN2DEC(FL40)-BIN2DEC(FL41)</f>
        <v>4</v>
      </c>
      <c r="FU40" s="77">
        <f t="shared" si="273"/>
        <v>0</v>
      </c>
      <c r="FV40" s="77">
        <f t="shared" si="273"/>
        <v>-1</v>
      </c>
      <c r="FW40" s="77">
        <f t="shared" si="273"/>
        <v>0</v>
      </c>
      <c r="FX40" s="77">
        <f t="shared" si="273"/>
        <v>-1</v>
      </c>
      <c r="FY40" s="77">
        <f t="shared" si="273"/>
        <v>0</v>
      </c>
      <c r="FZ40" s="77">
        <f>BIN2DEC(FR40)-BIN2DEC(FR41)</f>
        <v>-1</v>
      </c>
      <c r="GA40" s="26" t="str">
        <f t="shared" si="18"/>
        <v>1101111011001101</v>
      </c>
      <c r="GB40" s="26" t="str">
        <f t="shared" si="19"/>
        <v>0000000111000101</v>
      </c>
      <c r="GC40" s="77">
        <f>MID(GA40,16,1)*POWER(2,0)+MID(GA40,15,1)*POWER(2,1)+MID(GA40,14,1)*POWER(2,2)+MID(GA40,13,1)*POWER(2,3)+MID(GA40,12,1)*POWER(2,4)+MID(GA40,11,1)*POWER(2,5)+MID(GA40,10,1)*POWER(2,6)+MID(GA40,9,1)*POWER(2,7)+MID(GA40,8,1)*POWER(2,8)+MID(GA40,7,1)*POWER(2,9)+MID(GA40,6,1)*POWER(2,10)+MID(GA40,5,1)*POWER(2,11)+MID(GA40,4,1)*POWER(2,12)+MID(GA40,3,1)*POWER(2,13)+MID(GA40,2,1)*POWER(2,14)+MID(GA40,1,1)*POWER(2,15)-(MID(GA41,16,1)*POWER(2,0)+MID(GA41,15,1)*POWER(2,1)+MID(GA41,14,1)*POWER(2,2)+MID(GA41,13,1)*POWER(2,3)+MID(GA41,12,1)*POWER(2,4)+MID(GA41,11,1)*POWER(2,5)+MID(GA41,10,1)*POWER(2,6)+MID(GA41,9,1)*POWER(2,7)+MID(GA41,8,1)*POWER(2,8)+MID(GA41,7,1)*POWER(2,9)+MID(GA41,6,1)*POWER(2,10)+MID(GA41,5,1)*POWER(2,11)+MID(GA41,4,1)*POWER(2,12)+MID(GA41,3,1)*POWER(2,13)+MID(GA41,2,1)*POWER(2,14)+MID(GA41,1,1)*POWER(2,15))</f>
        <v>1023</v>
      </c>
      <c r="GD40" s="77">
        <f>MID(GB40,16,1)*POWER(2,0)+MID(GB40,15,1)*POWER(2,1)+MID(GB40,14,1)*POWER(2,2)+MID(GB40,13,1)*POWER(2,3)+MID(GB40,12,1)*POWER(2,4)+MID(GB40,11,1)*POWER(2,5)+MID(GB40,10,1)*POWER(2,6)+MID(GB40,9,1)*POWER(2,7)+MID(GB40,8,1)*POWER(2,8)+MID(GB40,7,1)*POWER(2,9)+MID(GB40,6,1)*POWER(2,10)+MID(GB40,5,1)*POWER(2,11)+MID(GB40,4,1)*POWER(2,12)+MID(GB40,3,1)*POWER(2,13)+MID(GB40,2,1)*POWER(2,14)+MID(GB40,1,1)*POWER(2,15)-(MID(GB41,16,1)*POWER(2,0)+MID(GB41,15,1)*POWER(2,1)+MID(GB41,14,1)*POWER(2,2)+MID(GB41,13,1)*POWER(2,3)+MID(GB41,12,1)*POWER(2,4)+MID(GB41,11,1)*POWER(2,5)+MID(GB41,10,1)*POWER(2,6)+MID(GB41,9,1)*POWER(2,7)+MID(GB41,8,1)*POWER(2,8)+MID(GB41,7,1)*POWER(2,9)+MID(GB41,6,1)*POWER(2,10)+MID(GB41,5,1)*POWER(2,11)+MID(GB41,4,1)*POWER(2,12)+MID(GB41,3,1)*POWER(2,13)+MID(GB41,2,1)*POWER(2,14)+MID(GB41,1,1)*POWER(2,15))</f>
        <v>-257</v>
      </c>
      <c r="GE40" s="47" t="str">
        <f>CU40</f>
        <v>11011110110011010000000111000101</v>
      </c>
      <c r="GF40" s="26" t="str">
        <f t="shared" si="126"/>
        <v>11011110</v>
      </c>
      <c r="GG40" s="26" t="str">
        <f t="shared" si="96"/>
        <v>11001101</v>
      </c>
      <c r="GH40" s="26" t="str">
        <f t="shared" si="97"/>
        <v>00000001</v>
      </c>
      <c r="GI40" s="26" t="str">
        <f t="shared" si="98"/>
        <v>11000101</v>
      </c>
      <c r="GJ40" s="77">
        <f>BIN2DEC(GF40)-BIN2DEC(GF41)</f>
        <v>4</v>
      </c>
      <c r="GK40" s="77">
        <f>BIN2DEC(GG40)-BIN2DEC(GG41)</f>
        <v>-1</v>
      </c>
      <c r="GL40" s="77">
        <f>BIN2DEC(GH40)-BIN2DEC(GH41)</f>
        <v>-1</v>
      </c>
      <c r="GM40" s="77">
        <f>BIN2DEC(GI40)-BIN2DEC(GI41)</f>
        <v>-1</v>
      </c>
      <c r="GN40" s="27" t="str">
        <f t="shared" si="99"/>
        <v>1101</v>
      </c>
      <c r="GO40" s="27" t="str">
        <f t="shared" si="100"/>
        <v>1110</v>
      </c>
      <c r="GP40" s="27" t="str">
        <f t="shared" si="101"/>
        <v>1100</v>
      </c>
      <c r="GQ40" s="27" t="str">
        <f t="shared" si="102"/>
        <v>1101</v>
      </c>
      <c r="GR40" s="27" t="str">
        <f t="shared" si="103"/>
        <v>0000</v>
      </c>
      <c r="GS40" s="27" t="str">
        <f t="shared" si="104"/>
        <v>0001</v>
      </c>
      <c r="GT40" s="27" t="str">
        <f t="shared" si="105"/>
        <v>1100</v>
      </c>
      <c r="GU40" s="27" t="str">
        <f t="shared" si="106"/>
        <v>0101</v>
      </c>
      <c r="GV40" s="77">
        <f>BIN2DEC(GN40)-BIN2DEC(GN41)</f>
        <v>0</v>
      </c>
      <c r="GW40" s="77">
        <f t="shared" ref="GW40:HB40" si="274">BIN2DEC(GO40)-BIN2DEC(GO41)</f>
        <v>4</v>
      </c>
      <c r="GX40" s="77">
        <f t="shared" si="274"/>
        <v>0</v>
      </c>
      <c r="GY40" s="77">
        <f t="shared" si="274"/>
        <v>-1</v>
      </c>
      <c r="GZ40" s="77">
        <f t="shared" si="274"/>
        <v>0</v>
      </c>
      <c r="HA40" s="77">
        <f t="shared" si="274"/>
        <v>-1</v>
      </c>
      <c r="HB40" s="77">
        <f t="shared" si="274"/>
        <v>0</v>
      </c>
      <c r="HC40" s="77">
        <f>BIN2DEC(GU40)-BIN2DEC(GU41)</f>
        <v>-1</v>
      </c>
      <c r="HD40" s="26" t="str">
        <f t="shared" si="21"/>
        <v>1101111011001101</v>
      </c>
      <c r="HE40" s="26" t="str">
        <f t="shared" si="22"/>
        <v>0000000111000101</v>
      </c>
      <c r="HF40" s="77">
        <f>MID(HD40,16,1)*POWER(2,0)+MID(HD40,15,1)*POWER(2,1)+MID(HD40,14,1)*POWER(2,2)+MID(HD40,13,1)*POWER(2,3)+MID(HD40,12,1)*POWER(2,4)+MID(HD40,11,1)*POWER(2,5)+MID(HD40,10,1)*POWER(2,6)+MID(HD40,9,1)*POWER(2,7)+MID(HD40,8,1)*POWER(2,8)+MID(HD40,7,1)*POWER(2,9)+MID(HD40,6,1)*POWER(2,10)+MID(HD40,5,1)*POWER(2,11)+MID(HD40,4,1)*POWER(2,12)+MID(HD40,3,1)*POWER(2,13)+MID(HD40,2,1)*POWER(2,14)+MID(HD40,1,1)*POWER(2,15)-(MID(HD41,16,1)*POWER(2,0)+MID(HD41,15,1)*POWER(2,1)+MID(HD41,14,1)*POWER(2,2)+MID(HD41,13,1)*POWER(2,3)+MID(HD41,12,1)*POWER(2,4)+MID(HD41,11,1)*POWER(2,5)+MID(HD41,10,1)*POWER(2,6)+MID(HD41,9,1)*POWER(2,7)+MID(HD41,8,1)*POWER(2,8)+MID(HD41,7,1)*POWER(2,9)+MID(HD41,6,1)*POWER(2,10)+MID(HD41,5,1)*POWER(2,11)+MID(HD41,4,1)*POWER(2,12)+MID(HD41,3,1)*POWER(2,13)+MID(HD41,2,1)*POWER(2,14)+MID(HD41,1,1)*POWER(2,15))</f>
        <v>1023</v>
      </c>
      <c r="HG40" s="77">
        <f>MID(HE40,16,1)*POWER(2,0)+MID(HE40,15,1)*POWER(2,1)+MID(HE40,14,1)*POWER(2,2)+MID(HE40,13,1)*POWER(2,3)+MID(HE40,12,1)*POWER(2,4)+MID(HE40,11,1)*POWER(2,5)+MID(HE40,10,1)*POWER(2,6)+MID(HE40,9,1)*POWER(2,7)+MID(HE40,8,1)*POWER(2,8)+MID(HE40,7,1)*POWER(2,9)+MID(HE40,6,1)*POWER(2,10)+MID(HE40,5,1)*POWER(2,11)+MID(HE40,4,1)*POWER(2,12)+MID(HE40,3,1)*POWER(2,13)+MID(HE40,2,1)*POWER(2,14)+MID(HE40,1,1)*POWER(2,15)-(MID(HE41,16,1)*POWER(2,0)+MID(HE41,15,1)*POWER(2,1)+MID(HE41,14,1)*POWER(2,2)+MID(HE41,13,1)*POWER(2,3)+MID(HE41,12,1)*POWER(2,4)+MID(HE41,11,1)*POWER(2,5)+MID(HE41,10,1)*POWER(2,6)+MID(HE41,9,1)*POWER(2,7)+MID(HE41,8,1)*POWER(2,8)+MID(HE41,7,1)*POWER(2,9)+MID(HE41,6,1)*POWER(2,10)+MID(HE41,5,1)*POWER(2,11)+MID(HE41,4,1)*POWER(2,12)+MID(HE41,3,1)*POWER(2,13)+MID(HE41,2,1)*POWER(2,14)+MID(HE41,1,1)*POWER(2,15))</f>
        <v>-257</v>
      </c>
      <c r="HH40" s="45" t="str">
        <f>GE40</f>
        <v>11011110110011010000000111000101</v>
      </c>
      <c r="HI40" s="26" t="str">
        <f t="shared" si="128"/>
        <v>11011110</v>
      </c>
      <c r="HJ40" s="26" t="str">
        <f t="shared" si="107"/>
        <v>11001101</v>
      </c>
      <c r="HK40" s="26" t="str">
        <f t="shared" si="108"/>
        <v>00000001</v>
      </c>
      <c r="HL40" s="26" t="str">
        <f t="shared" si="109"/>
        <v>11000101</v>
      </c>
      <c r="HM40" s="77">
        <f>BIN2DEC(HI40)-BIN2DEC(HI41)</f>
        <v>4</v>
      </c>
      <c r="HN40" s="77">
        <f>BIN2DEC(HJ40)-BIN2DEC(HJ41)</f>
        <v>-1</v>
      </c>
      <c r="HO40" s="77">
        <f>BIN2DEC(HK40)-BIN2DEC(HK41)</f>
        <v>-1</v>
      </c>
      <c r="HP40" s="77">
        <f>BIN2DEC(HL40)-BIN2DEC(HL41)</f>
        <v>-1</v>
      </c>
      <c r="HQ40" s="27" t="str">
        <f t="shared" si="110"/>
        <v>1101</v>
      </c>
      <c r="HR40" s="27" t="str">
        <f t="shared" si="111"/>
        <v>1110</v>
      </c>
      <c r="HS40" s="27" t="str">
        <f t="shared" si="112"/>
        <v>1100</v>
      </c>
      <c r="HT40" s="27" t="str">
        <f t="shared" si="113"/>
        <v>1101</v>
      </c>
      <c r="HU40" s="27" t="str">
        <f t="shared" si="114"/>
        <v>0000</v>
      </c>
      <c r="HV40" s="27" t="str">
        <f t="shared" si="115"/>
        <v>0001</v>
      </c>
      <c r="HW40" s="27" t="str">
        <f t="shared" si="116"/>
        <v>1100</v>
      </c>
      <c r="HX40" s="27" t="str">
        <f t="shared" si="117"/>
        <v>0101</v>
      </c>
      <c r="HY40" s="77">
        <f>BIN2DEC(HQ40)-BIN2DEC(HQ41)</f>
        <v>0</v>
      </c>
      <c r="HZ40" s="77">
        <f t="shared" ref="HZ40:IE40" si="275">BIN2DEC(HR40)-BIN2DEC(HR41)</f>
        <v>4</v>
      </c>
      <c r="IA40" s="77">
        <f t="shared" si="275"/>
        <v>0</v>
      </c>
      <c r="IB40" s="77">
        <f t="shared" si="275"/>
        <v>-1</v>
      </c>
      <c r="IC40" s="77">
        <f t="shared" si="275"/>
        <v>0</v>
      </c>
      <c r="ID40" s="77">
        <f t="shared" si="275"/>
        <v>-1</v>
      </c>
      <c r="IE40" s="77">
        <f t="shared" si="275"/>
        <v>0</v>
      </c>
      <c r="IF40" s="77">
        <f>BIN2DEC(HX40)-BIN2DEC(HX41)</f>
        <v>-1</v>
      </c>
      <c r="IG40" s="26" t="str">
        <f t="shared" si="24"/>
        <v>1101111011001101</v>
      </c>
      <c r="IH40" s="26" t="str">
        <f t="shared" si="25"/>
        <v>0000000111000101</v>
      </c>
      <c r="II40" s="77">
        <f>MID(IG40,16,1)*POWER(2,0)+MID(IG40,15,1)*POWER(2,1)+MID(IG40,14,1)*POWER(2,2)+MID(IG40,13,1)*POWER(2,3)+MID(IG40,12,1)*POWER(2,4)+MID(IG40,11,1)*POWER(2,5)+MID(IG40,10,1)*POWER(2,6)+MID(IG40,9,1)*POWER(2,7)+MID(IG40,8,1)*POWER(2,8)+MID(IG40,7,1)*POWER(2,9)+MID(IG40,6,1)*POWER(2,10)+MID(IG40,5,1)*POWER(2,11)+MID(IG40,4,1)*POWER(2,12)+MID(IG40,3,1)*POWER(2,13)+MID(IG40,2,1)*POWER(2,14)+MID(IG40,1,1)*POWER(2,15)-(MID(IG41,16,1)*POWER(2,0)+MID(IG41,15,1)*POWER(2,1)+MID(IG41,14,1)*POWER(2,2)+MID(IG41,13,1)*POWER(2,3)+MID(IG41,12,1)*POWER(2,4)+MID(IG41,11,1)*POWER(2,5)+MID(IG41,10,1)*POWER(2,6)+MID(IG41,9,1)*POWER(2,7)+MID(IG41,8,1)*POWER(2,8)+MID(IG41,7,1)*POWER(2,9)+MID(IG41,6,1)*POWER(2,10)+MID(IG41,5,1)*POWER(2,11)+MID(IG41,4,1)*POWER(2,12)+MID(IG41,3,1)*POWER(2,13)+MID(IG41,2,1)*POWER(2,14)+MID(IG41,1,1)*POWER(2,15))</f>
        <v>1023</v>
      </c>
      <c r="IJ40" s="77">
        <f>MID(IH40,16,1)*POWER(2,0)+MID(IH40,15,1)*POWER(2,1)+MID(IH40,14,1)*POWER(2,2)+MID(IH40,13,1)*POWER(2,3)+MID(IH40,12,1)*POWER(2,4)+MID(IH40,11,1)*POWER(2,5)+MID(IH40,10,1)*POWER(2,6)+MID(IH40,9,1)*POWER(2,7)+MID(IH40,8,1)*POWER(2,8)+MID(IH40,7,1)*POWER(2,9)+MID(IH40,6,1)*POWER(2,10)+MID(IH40,5,1)*POWER(2,11)+MID(IH40,4,1)*POWER(2,12)+MID(IH40,3,1)*POWER(2,13)+MID(IH40,2,1)*POWER(2,14)+MID(IH40,1,1)*POWER(2,15)-(MID(IH41,16,1)*POWER(2,0)+MID(IH41,15,1)*POWER(2,1)+MID(IH41,14,1)*POWER(2,2)+MID(IH41,13,1)*POWER(2,3)+MID(IH41,12,1)*POWER(2,4)+MID(IH41,11,1)*POWER(2,5)+MID(IH41,10,1)*POWER(2,6)+MID(IH41,9,1)*POWER(2,7)+MID(IH41,8,1)*POWER(2,8)+MID(IH41,7,1)*POWER(2,9)+MID(IH41,6,1)*POWER(2,10)+MID(IH41,5,1)*POWER(2,11)+MID(IH41,4,1)*POWER(2,12)+MID(IH41,3,1)*POWER(2,13)+MID(IH41,2,1)*POWER(2,14)+MID(IH41,1,1)*POWER(2,15))</f>
        <v>-257</v>
      </c>
      <c r="IL40" s="26"/>
      <c r="IM40" s="26"/>
      <c r="IN40" s="26"/>
      <c r="IO40" s="26"/>
      <c r="IP40" s="22"/>
      <c r="IQ40" s="22"/>
      <c r="IR40" s="22"/>
      <c r="IS40" s="22"/>
      <c r="JB40" s="22"/>
      <c r="JC40" s="22"/>
      <c r="JD40" s="22"/>
      <c r="JE40" s="22"/>
      <c r="JF40" s="22"/>
      <c r="JG40" s="22"/>
      <c r="JH40" s="22"/>
      <c r="JI40" s="22"/>
      <c r="JJ40" s="26"/>
      <c r="JK40" s="26"/>
      <c r="JL40" s="22"/>
      <c r="JM40" s="22"/>
    </row>
    <row r="41" spans="1:273" s="31" customFormat="1" ht="18.600000000000001" thickBot="1" x14ac:dyDescent="0.4">
      <c r="A41" s="28"/>
      <c r="B41" s="29"/>
      <c r="C41" s="21" t="s">
        <v>6</v>
      </c>
      <c r="D41" s="21" t="s">
        <v>67</v>
      </c>
      <c r="E41" s="21">
        <v>58</v>
      </c>
      <c r="F41" s="21" t="s">
        <v>19</v>
      </c>
      <c r="G41" s="21">
        <v>59</v>
      </c>
      <c r="H41" s="21" t="str">
        <f t="shared" si="186"/>
        <v>11000000010110001101101101011001</v>
      </c>
      <c r="I41" s="21">
        <f t="shared" si="187"/>
        <v>15</v>
      </c>
      <c r="J41" s="21"/>
      <c r="K41" s="21"/>
      <c r="L41" s="44" t="str">
        <f>CONCATENATE(MID(H41,20,5),MID(H41,9,3),MID(H41,28,5),MID(H41,17,3),MID(H41,4,5),MID(H41,25,3),MID(H41,12,5),MID(H41,1,3))</f>
        <v>11011010110011100000001011000110</v>
      </c>
      <c r="M41" s="30" t="str">
        <f t="shared" si="26"/>
        <v>11011010</v>
      </c>
      <c r="N41" s="30" t="str">
        <f t="shared" si="27"/>
        <v>11001110</v>
      </c>
      <c r="O41" s="30" t="str">
        <f t="shared" si="28"/>
        <v>00000010</v>
      </c>
      <c r="P41" s="30" t="str">
        <f t="shared" si="29"/>
        <v>11000110</v>
      </c>
      <c r="Q41" s="78"/>
      <c r="R41" s="78"/>
      <c r="S41" s="78"/>
      <c r="T41" s="78"/>
      <c r="U41" s="31" t="str">
        <f t="shared" si="30"/>
        <v>1101</v>
      </c>
      <c r="V41" s="31" t="str">
        <f t="shared" si="31"/>
        <v>1010</v>
      </c>
      <c r="W41" s="31" t="str">
        <f t="shared" si="32"/>
        <v>1100</v>
      </c>
      <c r="X41" s="31" t="str">
        <f t="shared" si="33"/>
        <v>1110</v>
      </c>
      <c r="Y41" s="31" t="str">
        <f t="shared" si="34"/>
        <v>0000</v>
      </c>
      <c r="Z41" s="31" t="str">
        <f t="shared" si="35"/>
        <v>0010</v>
      </c>
      <c r="AA41" s="31" t="str">
        <f t="shared" si="36"/>
        <v>1100</v>
      </c>
      <c r="AB41" s="31" t="str">
        <f t="shared" si="37"/>
        <v>0110</v>
      </c>
      <c r="AC41" s="78"/>
      <c r="AD41" s="78"/>
      <c r="AE41" s="78"/>
      <c r="AF41" s="78"/>
      <c r="AG41" s="78"/>
      <c r="AH41" s="78"/>
      <c r="AI41" s="78"/>
      <c r="AJ41" s="78"/>
      <c r="AK41" s="30" t="str">
        <f t="shared" si="3"/>
        <v>1101101011001110</v>
      </c>
      <c r="AL41" s="30" t="str">
        <f t="shared" si="4"/>
        <v>0000001011000110</v>
      </c>
      <c r="AM41" s="78"/>
      <c r="AN41" s="78"/>
      <c r="AO41" s="46" t="str">
        <f>CONCATENATE(MID($L41,1,1)*MID($K40,1,1),MID($L41,2,1)*MID($K40,2,1),MID($L41,3,1)*MID($K40,3,1),MID($L41,4,1)*MID($K40,4,1),MID($L41,5,1)*MID($K40,5,1),MID($L41,6,1)*MID($K40,6,1),MID($L41,7,1)*MID($K40,7,1),MID($L41,8,1)*MID($K40,8,1),MID($L41,9,1)*MID($K40,1,1),MID($L41,10,1)*MID($K40,2,1),MID($L41,11,1)*MID($K40,3,1),MID($L41,12,1)*MID($K40,4,1),MID($L41,13,1)*MID($K40,5,1),MID($L41,14,1)*MID($K40,6,1),MID($L41,15,1)*MID($K40,7,1),MID($L41,16,1)*MID($K40,8,1),MID($L41,17,1)*MID($K40,1,1),MID($L41,18,1)*MID($K40,2,1),MID($L41,19,1)*MID($K40,3,1),MID($L41,20,1)*MID($K40,4,1),MID($L41,21,1)*MID($K40,5,1),MID($L41,22,1)*MID($K40,6,1),MID($L41,23,1)*MID($K40,7,1),MID($L41,24,1)*MID($K40,8,1),MID($L41,25,1)*MID($K40,1,1),MID($L41,26,1)*MID($K40,2,1),MID($L41,27,1)*MID($K40,3,1),MID($L41,28,1)*MID($K40,4,1),MID($L41,29,1)*MID($K40,5,1),MID($L41,30,1)*MID($K40,6,1),MID($L41,31,1)*MID($K40,7,1),MID($L41,32,1)*MID($K40,8,1))</f>
        <v>11011010110011100000001011000110</v>
      </c>
      <c r="AP41" s="30" t="str">
        <f t="shared" si="38"/>
        <v>11011010</v>
      </c>
      <c r="AQ41" s="30" t="str">
        <f t="shared" si="39"/>
        <v>11001110</v>
      </c>
      <c r="AR41" s="30" t="str">
        <f t="shared" si="40"/>
        <v>00000010</v>
      </c>
      <c r="AS41" s="30" t="str">
        <f t="shared" si="41"/>
        <v>11000110</v>
      </c>
      <c r="AT41" s="78"/>
      <c r="AU41" s="78"/>
      <c r="AV41" s="78"/>
      <c r="AW41" s="78"/>
      <c r="AX41" s="31" t="str">
        <f t="shared" si="42"/>
        <v>1101</v>
      </c>
      <c r="AY41" s="31" t="str">
        <f t="shared" si="43"/>
        <v>1010</v>
      </c>
      <c r="AZ41" s="31" t="str">
        <f t="shared" si="44"/>
        <v>1100</v>
      </c>
      <c r="BA41" s="31" t="str">
        <f t="shared" si="45"/>
        <v>1110</v>
      </c>
      <c r="BB41" s="31" t="str">
        <f t="shared" si="46"/>
        <v>0000</v>
      </c>
      <c r="BC41" s="31" t="str">
        <f t="shared" si="47"/>
        <v>0010</v>
      </c>
      <c r="BD41" s="31" t="str">
        <f t="shared" si="48"/>
        <v>1100</v>
      </c>
      <c r="BE41" s="31" t="str">
        <f t="shared" si="49"/>
        <v>0110</v>
      </c>
      <c r="BF41" s="78"/>
      <c r="BG41" s="78"/>
      <c r="BH41" s="78"/>
      <c r="BI41" s="78"/>
      <c r="BJ41" s="78"/>
      <c r="BK41" s="78"/>
      <c r="BL41" s="78"/>
      <c r="BM41" s="78"/>
      <c r="BN41" s="30" t="str">
        <f t="shared" si="6"/>
        <v>1101101011001110</v>
      </c>
      <c r="BO41" s="30" t="str">
        <f t="shared" si="7"/>
        <v>0000001011000110</v>
      </c>
      <c r="BP41" s="78"/>
      <c r="BQ41" s="78"/>
      <c r="BR41" s="46" t="str">
        <f>L41</f>
        <v>11011010110011100000001011000110</v>
      </c>
      <c r="BS41" s="30" t="str">
        <f t="shared" si="50"/>
        <v>11011010</v>
      </c>
      <c r="BT41" s="30" t="str">
        <f t="shared" si="51"/>
        <v>11001110</v>
      </c>
      <c r="BU41" s="30" t="str">
        <f t="shared" si="52"/>
        <v>00000010</v>
      </c>
      <c r="BV41" s="30" t="str">
        <f t="shared" si="53"/>
        <v>11000110</v>
      </c>
      <c r="BW41" s="78"/>
      <c r="BX41" s="78"/>
      <c r="BY41" s="78"/>
      <c r="BZ41" s="78"/>
      <c r="CA41" s="31" t="str">
        <f t="shared" si="54"/>
        <v>1101</v>
      </c>
      <c r="CB41" s="31" t="str">
        <f t="shared" si="55"/>
        <v>1010</v>
      </c>
      <c r="CC41" s="31" t="str">
        <f t="shared" si="56"/>
        <v>1100</v>
      </c>
      <c r="CD41" s="31" t="str">
        <f t="shared" si="57"/>
        <v>1110</v>
      </c>
      <c r="CE41" s="31" t="str">
        <f t="shared" si="58"/>
        <v>0000</v>
      </c>
      <c r="CF41" s="31" t="str">
        <f t="shared" si="59"/>
        <v>0010</v>
      </c>
      <c r="CG41" s="31" t="str">
        <f t="shared" si="60"/>
        <v>1100</v>
      </c>
      <c r="CH41" s="31" t="str">
        <f t="shared" si="61"/>
        <v>0110</v>
      </c>
      <c r="CI41" s="78"/>
      <c r="CJ41" s="78"/>
      <c r="CK41" s="78"/>
      <c r="CL41" s="78"/>
      <c r="CM41" s="78"/>
      <c r="CN41" s="78"/>
      <c r="CO41" s="78"/>
      <c r="CP41" s="78"/>
      <c r="CQ41" s="30" t="str">
        <f t="shared" si="9"/>
        <v>1101101011001110</v>
      </c>
      <c r="CR41" s="30" t="str">
        <f t="shared" si="10"/>
        <v>0000001011000110</v>
      </c>
      <c r="CS41" s="78"/>
      <c r="CT41" s="78"/>
      <c r="CU41" s="46" t="str">
        <f>AO41</f>
        <v>11011010110011100000001011000110</v>
      </c>
      <c r="CV41" s="30" t="str">
        <f t="shared" si="62"/>
        <v>11011010</v>
      </c>
      <c r="CW41" s="30" t="str">
        <f t="shared" si="63"/>
        <v>11001110</v>
      </c>
      <c r="CX41" s="30" t="str">
        <f t="shared" si="64"/>
        <v>00000010</v>
      </c>
      <c r="CY41" s="30" t="str">
        <f t="shared" si="65"/>
        <v>11000110</v>
      </c>
      <c r="CZ41" s="78"/>
      <c r="DA41" s="78"/>
      <c r="DB41" s="78"/>
      <c r="DC41" s="78"/>
      <c r="DD41" s="31" t="str">
        <f t="shared" si="66"/>
        <v>1101</v>
      </c>
      <c r="DE41" s="31" t="str">
        <f t="shared" si="67"/>
        <v>1010</v>
      </c>
      <c r="DF41" s="31" t="str">
        <f t="shared" si="68"/>
        <v>1100</v>
      </c>
      <c r="DG41" s="31" t="str">
        <f t="shared" si="69"/>
        <v>1110</v>
      </c>
      <c r="DH41" s="31" t="str">
        <f t="shared" si="70"/>
        <v>0000</v>
      </c>
      <c r="DI41" s="31" t="str">
        <f t="shared" si="71"/>
        <v>0010</v>
      </c>
      <c r="DJ41" s="31" t="str">
        <f t="shared" si="72"/>
        <v>1100</v>
      </c>
      <c r="DK41" s="31" t="str">
        <f t="shared" si="73"/>
        <v>0110</v>
      </c>
      <c r="DL41" s="78"/>
      <c r="DM41" s="78"/>
      <c r="DN41" s="78"/>
      <c r="DO41" s="78"/>
      <c r="DP41" s="78"/>
      <c r="DQ41" s="78"/>
      <c r="DR41" s="78"/>
      <c r="DS41" s="78"/>
      <c r="DT41" s="30" t="str">
        <f t="shared" si="12"/>
        <v>1101101011001110</v>
      </c>
      <c r="DU41" s="30" t="str">
        <f t="shared" si="13"/>
        <v>0000001011000110</v>
      </c>
      <c r="DV41" s="78"/>
      <c r="DW41" s="78"/>
      <c r="DX41" s="23" t="str">
        <f>CONCATENATE(MID($H41,1,1)*MID($K40,1,1),MID($H41,2,1)*MID($K40,2,1),MID($H41,3,1)*MID($K40,3,1),MID($H41,4,1)*MID($K40,4,1),MID($H41,5,1)*MID($K40,5,1),MID($H41,6,1)*MID($K40,6,1),MID($H41,7,1)*MID($K40,7,1),MID($H41,8,1)*MID($K40,8,1),MID($H41,9,1)*MID($K40,1,1),MID($H41,10,1)*MID($K40,2,1),MID($H41,11,1)*MID($K40,3,1),MID($H41,12,1)*MID($K40,4,1),MID($H41,13,1)*MID($K40,5,1),MID($H41,14,1)*MID($K40,6,1),MID($H41,15,1)*MID($K40,7,1),MID($H41,16,1)*MID($K40,8,1),MID($H41,17,1)*MID($K40,1,1),MID($H41,18,1)*MID($K40,2,1),MID($H41,19,1)*MID($K40,3,1),MID($H41,20,1)*MID($K40,4,1),MID($H41,21,1)*MID($K40,5,1),MID($H41,22,1)*MID($K40,6,1),MID($H41,23,1)*MID($K40,7,1),MID($H41,24,1)*MID($K40,8,1),MID($H41,25,1)*MID($K40,1,1),MID($H41,26,1)*MID($K40,2,1),MID($H41,27,1)*MID($K40,3,1),MID($H41,28,1)*MID($K40,4,1),MID($H41,29,1)*MID($K40,5,1),MID($H41,30,1)*MID($K40,6,1),MID($H41,31,1)*MID($K40,7,1),MID($H41,32,1)*MID($K40,8,1))</f>
        <v>11000000010110001101101101011001</v>
      </c>
      <c r="DY41" s="44" t="str">
        <f>CONCATENATE(MID(DX41,20,5),MID(DX41,9,3),MID(DX41,28,5),MID(DX41,17,3),MID(DX41,4,5),MID(DX41,25,3),MID(DX41,12,5),MID(DX41,1,3))</f>
        <v>11011010110011100000001011000110</v>
      </c>
      <c r="DZ41" s="30" t="str">
        <f t="shared" si="122"/>
        <v>11011010</v>
      </c>
      <c r="EA41" s="30" t="str">
        <f t="shared" si="74"/>
        <v>11001110</v>
      </c>
      <c r="EB41" s="30" t="str">
        <f t="shared" si="75"/>
        <v>00000010</v>
      </c>
      <c r="EC41" s="30" t="str">
        <f t="shared" si="76"/>
        <v>11000110</v>
      </c>
      <c r="ED41" s="78"/>
      <c r="EE41" s="78"/>
      <c r="EF41" s="78"/>
      <c r="EG41" s="78"/>
      <c r="EH41" s="31" t="str">
        <f t="shared" si="77"/>
        <v>1101</v>
      </c>
      <c r="EI41" s="31" t="str">
        <f t="shared" si="78"/>
        <v>1010</v>
      </c>
      <c r="EJ41" s="31" t="str">
        <f t="shared" si="79"/>
        <v>1100</v>
      </c>
      <c r="EK41" s="31" t="str">
        <f t="shared" si="80"/>
        <v>1110</v>
      </c>
      <c r="EL41" s="31" t="str">
        <f t="shared" si="81"/>
        <v>0000</v>
      </c>
      <c r="EM41" s="31" t="str">
        <f t="shared" si="82"/>
        <v>0010</v>
      </c>
      <c r="EN41" s="31" t="str">
        <f t="shared" si="83"/>
        <v>1100</v>
      </c>
      <c r="EO41" s="31" t="str">
        <f t="shared" si="84"/>
        <v>0110</v>
      </c>
      <c r="EP41" s="78"/>
      <c r="EQ41" s="78"/>
      <c r="ER41" s="78"/>
      <c r="ES41" s="78"/>
      <c r="ET41" s="78"/>
      <c r="EU41" s="78"/>
      <c r="EV41" s="78"/>
      <c r="EW41" s="78"/>
      <c r="EX41" s="30" t="str">
        <f t="shared" si="15"/>
        <v>1101101011001110</v>
      </c>
      <c r="EY41" s="30" t="str">
        <f t="shared" si="16"/>
        <v>0000001011000110</v>
      </c>
      <c r="EZ41" s="78"/>
      <c r="FA41" s="78"/>
      <c r="FB41" s="46" t="str">
        <f>CONCATENATE(MID(DY41,1,1)*MID($K40,1,1),MID(DY41,2,1)*MID($K40,2,1),MID(DY41,3,1)*MID($K40,3,1),MID(DY41,4,1)*MID($K40,4,1),MID(DY41,5,1)*MID($K40,5,1),MID(DY41,6,1)*MID($K40,6,1),MID(DY41,7,1)*MID($K40,7,1),MID(DY41,8,1)*MID($K40,8,1),MID(DY41,9,1)*MID($K40,1,1),MID(DY41,10,1)*MID($K40,2,1),MID(DY41,11,1)*MID($K40,3,1),MID(DY41,12,1)*MID($K40,4,1),MID(DY41,13,1)*MID($K40,5,1),MID(DY41,14,1)*MID($K40,6,1),MID(DY41,15,1)*MID($K40,7,1),MID(DY41,16,1)*MID($K40,8,1),MID(DY41,17,1)*MID($K40,1,1),MID(DY41,18,1)*MID($K40,2,1),MID(DY41,19,1)*MID($K40,3,1),MID(DY41,20,1)*MID($K40,4,1),MID(DY41,21,1)*MID($K40,5,1),MID(DY41,22,1)*MID($K40,6,1),MID(DY41,23,1)*MID($K40,7,1),MID(DY41,24,1)*MID($K40,8,1),MID(DY41,25,1)*MID($K40,1,1),MID(DY41,26,1)*MID($K40,2,1),MID(DY41,27,1)*MID($K40,3,1),MID(DY41,28,1)*MID($K40,4,1),MID(DY41,29,1)*MID($K40,5,1),MID(DY41,30,1)*MID($K40,6,1),MID(DY41,31,1)*MID($K40,7,1),MID(DY41,32,1)*MID($K40,8,1))</f>
        <v>11011010110011100000001011000110</v>
      </c>
      <c r="FC41" s="30" t="str">
        <f t="shared" si="124"/>
        <v>11011010</v>
      </c>
      <c r="FD41" s="30" t="str">
        <f t="shared" si="85"/>
        <v>11001110</v>
      </c>
      <c r="FE41" s="30" t="str">
        <f t="shared" si="86"/>
        <v>00000010</v>
      </c>
      <c r="FF41" s="30" t="str">
        <f t="shared" si="87"/>
        <v>11000110</v>
      </c>
      <c r="FG41" s="78"/>
      <c r="FH41" s="78"/>
      <c r="FI41" s="78"/>
      <c r="FJ41" s="78"/>
      <c r="FK41" s="31" t="str">
        <f t="shared" si="88"/>
        <v>1101</v>
      </c>
      <c r="FL41" s="31" t="str">
        <f t="shared" si="89"/>
        <v>1010</v>
      </c>
      <c r="FM41" s="31" t="str">
        <f t="shared" si="90"/>
        <v>1100</v>
      </c>
      <c r="FN41" s="31" t="str">
        <f t="shared" si="91"/>
        <v>1110</v>
      </c>
      <c r="FO41" s="31" t="str">
        <f t="shared" si="92"/>
        <v>0000</v>
      </c>
      <c r="FP41" s="31" t="str">
        <f t="shared" si="93"/>
        <v>0010</v>
      </c>
      <c r="FQ41" s="31" t="str">
        <f t="shared" si="94"/>
        <v>1100</v>
      </c>
      <c r="FR41" s="31" t="str">
        <f t="shared" si="95"/>
        <v>0110</v>
      </c>
      <c r="FS41" s="78"/>
      <c r="FT41" s="78"/>
      <c r="FU41" s="78"/>
      <c r="FV41" s="78"/>
      <c r="FW41" s="78"/>
      <c r="FX41" s="78"/>
      <c r="FY41" s="78"/>
      <c r="FZ41" s="78"/>
      <c r="GA41" s="30" t="str">
        <f t="shared" si="18"/>
        <v>1101101011001110</v>
      </c>
      <c r="GB41" s="30" t="str">
        <f t="shared" si="19"/>
        <v>0000001011000110</v>
      </c>
      <c r="GC41" s="78"/>
      <c r="GD41" s="78"/>
      <c r="GE41" s="48" t="str">
        <f>DY41</f>
        <v>11011010110011100000001011000110</v>
      </c>
      <c r="GF41" s="30" t="str">
        <f t="shared" si="126"/>
        <v>11011010</v>
      </c>
      <c r="GG41" s="30" t="str">
        <f t="shared" si="96"/>
        <v>11001110</v>
      </c>
      <c r="GH41" s="30" t="str">
        <f t="shared" si="97"/>
        <v>00000010</v>
      </c>
      <c r="GI41" s="30" t="str">
        <f t="shared" si="98"/>
        <v>11000110</v>
      </c>
      <c r="GJ41" s="78"/>
      <c r="GK41" s="78"/>
      <c r="GL41" s="78"/>
      <c r="GM41" s="78"/>
      <c r="GN41" s="31" t="str">
        <f t="shared" si="99"/>
        <v>1101</v>
      </c>
      <c r="GO41" s="31" t="str">
        <f t="shared" si="100"/>
        <v>1010</v>
      </c>
      <c r="GP41" s="31" t="str">
        <f t="shared" si="101"/>
        <v>1100</v>
      </c>
      <c r="GQ41" s="31" t="str">
        <f t="shared" si="102"/>
        <v>1110</v>
      </c>
      <c r="GR41" s="31" t="str">
        <f t="shared" si="103"/>
        <v>0000</v>
      </c>
      <c r="GS41" s="31" t="str">
        <f t="shared" si="104"/>
        <v>0010</v>
      </c>
      <c r="GT41" s="31" t="str">
        <f t="shared" si="105"/>
        <v>1100</v>
      </c>
      <c r="GU41" s="31" t="str">
        <f t="shared" si="106"/>
        <v>0110</v>
      </c>
      <c r="GV41" s="78"/>
      <c r="GW41" s="78"/>
      <c r="GX41" s="78"/>
      <c r="GY41" s="78"/>
      <c r="GZ41" s="78"/>
      <c r="HA41" s="78"/>
      <c r="HB41" s="78"/>
      <c r="HC41" s="78"/>
      <c r="HD41" s="30" t="str">
        <f t="shared" si="21"/>
        <v>1101101011001110</v>
      </c>
      <c r="HE41" s="30" t="str">
        <f t="shared" si="22"/>
        <v>0000001011000110</v>
      </c>
      <c r="HF41" s="78"/>
      <c r="HG41" s="78"/>
      <c r="HH41" s="48" t="str">
        <f>FB41</f>
        <v>11011010110011100000001011000110</v>
      </c>
      <c r="HI41" s="30" t="str">
        <f t="shared" si="128"/>
        <v>11011010</v>
      </c>
      <c r="HJ41" s="30" t="str">
        <f t="shared" si="107"/>
        <v>11001110</v>
      </c>
      <c r="HK41" s="30" t="str">
        <f t="shared" si="108"/>
        <v>00000010</v>
      </c>
      <c r="HL41" s="30" t="str">
        <f t="shared" si="109"/>
        <v>11000110</v>
      </c>
      <c r="HM41" s="78"/>
      <c r="HN41" s="78"/>
      <c r="HO41" s="78"/>
      <c r="HP41" s="78"/>
      <c r="HQ41" s="31" t="str">
        <f t="shared" si="110"/>
        <v>1101</v>
      </c>
      <c r="HR41" s="31" t="str">
        <f t="shared" si="111"/>
        <v>1010</v>
      </c>
      <c r="HS41" s="31" t="str">
        <f t="shared" si="112"/>
        <v>1100</v>
      </c>
      <c r="HT41" s="31" t="str">
        <f t="shared" si="113"/>
        <v>1110</v>
      </c>
      <c r="HU41" s="31" t="str">
        <f t="shared" si="114"/>
        <v>0000</v>
      </c>
      <c r="HV41" s="31" t="str">
        <f t="shared" si="115"/>
        <v>0010</v>
      </c>
      <c r="HW41" s="31" t="str">
        <f t="shared" si="116"/>
        <v>1100</v>
      </c>
      <c r="HX41" s="31" t="str">
        <f t="shared" si="117"/>
        <v>0110</v>
      </c>
      <c r="HY41" s="78"/>
      <c r="HZ41" s="78"/>
      <c r="IA41" s="78"/>
      <c r="IB41" s="78"/>
      <c r="IC41" s="78"/>
      <c r="ID41" s="78"/>
      <c r="IE41" s="78"/>
      <c r="IF41" s="78"/>
      <c r="IG41" s="30" t="str">
        <f t="shared" si="24"/>
        <v>1101101011001110</v>
      </c>
      <c r="IH41" s="30" t="str">
        <f t="shared" si="25"/>
        <v>0000001011000110</v>
      </c>
      <c r="II41" s="78"/>
      <c r="IJ41" s="78"/>
      <c r="IL41" s="30"/>
      <c r="IM41" s="30"/>
      <c r="IN41" s="30"/>
      <c r="IO41" s="30"/>
      <c r="IP41" s="23"/>
      <c r="IQ41" s="23"/>
      <c r="IR41" s="23"/>
      <c r="IS41" s="23"/>
      <c r="JB41" s="23"/>
      <c r="JC41" s="23"/>
      <c r="JD41" s="23"/>
      <c r="JE41" s="23"/>
      <c r="JF41" s="23"/>
      <c r="JG41" s="23"/>
      <c r="JH41" s="23"/>
      <c r="JI41" s="23"/>
      <c r="JJ41" s="30"/>
      <c r="JK41" s="30"/>
      <c r="JL41" s="23"/>
      <c r="JM41" s="23"/>
    </row>
  </sheetData>
  <mergeCells count="2290">
    <mergeCell ref="DD1:DK1"/>
    <mergeCell ref="DL1:DS1"/>
    <mergeCell ref="DT1:DU1"/>
    <mergeCell ref="DV1:DW1"/>
    <mergeCell ref="BS1:BV1"/>
    <mergeCell ref="BW1:BZ1"/>
    <mergeCell ref="CA1:CH1"/>
    <mergeCell ref="CI1:CP1"/>
    <mergeCell ref="CQ1:CR1"/>
    <mergeCell ref="CS1:CT1"/>
    <mergeCell ref="AP1:AS1"/>
    <mergeCell ref="AT1:AW1"/>
    <mergeCell ref="AX1:BE1"/>
    <mergeCell ref="BF1:BM1"/>
    <mergeCell ref="BN1:BO1"/>
    <mergeCell ref="BP1:BQ1"/>
    <mergeCell ref="M1:P1"/>
    <mergeCell ref="Q1:T1"/>
    <mergeCell ref="U1:AB1"/>
    <mergeCell ref="AC1:AJ1"/>
    <mergeCell ref="AK1:AL1"/>
    <mergeCell ref="AM1:AN1"/>
    <mergeCell ref="J2:J3"/>
    <mergeCell ref="K2:K3"/>
    <mergeCell ref="Q2:Q3"/>
    <mergeCell ref="R2:R3"/>
    <mergeCell ref="S2:S3"/>
    <mergeCell ref="T2:T3"/>
    <mergeCell ref="HI1:HL1"/>
    <mergeCell ref="HM1:HP1"/>
    <mergeCell ref="HQ1:HX1"/>
    <mergeCell ref="HY1:IF1"/>
    <mergeCell ref="IG1:IH1"/>
    <mergeCell ref="II1:IJ1"/>
    <mergeCell ref="GF1:GI1"/>
    <mergeCell ref="GJ1:GM1"/>
    <mergeCell ref="GN1:GU1"/>
    <mergeCell ref="GV1:HC1"/>
    <mergeCell ref="HD1:HE1"/>
    <mergeCell ref="HF1:HG1"/>
    <mergeCell ref="FC1:FF1"/>
    <mergeCell ref="FG1:FJ1"/>
    <mergeCell ref="FK1:FR1"/>
    <mergeCell ref="FS1:FZ1"/>
    <mergeCell ref="GA1:GB1"/>
    <mergeCell ref="GC1:GD1"/>
    <mergeCell ref="DZ1:EC1"/>
    <mergeCell ref="ED1:EG1"/>
    <mergeCell ref="EH1:EO1"/>
    <mergeCell ref="EP1:EW1"/>
    <mergeCell ref="EX1:EY1"/>
    <mergeCell ref="EZ1:FA1"/>
    <mergeCell ref="CV1:CY1"/>
    <mergeCell ref="CZ1:DC1"/>
    <mergeCell ref="AV2:AV3"/>
    <mergeCell ref="AW2:AW3"/>
    <mergeCell ref="BF2:BF3"/>
    <mergeCell ref="BG2:BG3"/>
    <mergeCell ref="BH2:BH3"/>
    <mergeCell ref="BI2:BI3"/>
    <mergeCell ref="AI2:AI3"/>
    <mergeCell ref="AJ2:AJ3"/>
    <mergeCell ref="AM2:AM3"/>
    <mergeCell ref="AN2:AN3"/>
    <mergeCell ref="AT2:AT3"/>
    <mergeCell ref="AU2:AU3"/>
    <mergeCell ref="AC2:AC3"/>
    <mergeCell ref="AD2:AD3"/>
    <mergeCell ref="AE2:AE3"/>
    <mergeCell ref="AF2:AF3"/>
    <mergeCell ref="AG2:AG3"/>
    <mergeCell ref="AH2:AH3"/>
    <mergeCell ref="CK2:CK3"/>
    <mergeCell ref="CL2:CL3"/>
    <mergeCell ref="CM2:CM3"/>
    <mergeCell ref="CN2:CN3"/>
    <mergeCell ref="CO2:CO3"/>
    <mergeCell ref="CP2:CP3"/>
    <mergeCell ref="BW2:BW3"/>
    <mergeCell ref="BX2:BX3"/>
    <mergeCell ref="BY2:BY3"/>
    <mergeCell ref="BZ2:BZ3"/>
    <mergeCell ref="CI2:CI3"/>
    <mergeCell ref="CJ2:CJ3"/>
    <mergeCell ref="BJ2:BJ3"/>
    <mergeCell ref="BK2:BK3"/>
    <mergeCell ref="BL2:BL3"/>
    <mergeCell ref="BM2:BM3"/>
    <mergeCell ref="BP2:BP3"/>
    <mergeCell ref="BQ2:BQ3"/>
    <mergeCell ref="DR2:DR3"/>
    <mergeCell ref="DS2:DS3"/>
    <mergeCell ref="DV2:DV3"/>
    <mergeCell ref="DW2:DW3"/>
    <mergeCell ref="ED2:ED3"/>
    <mergeCell ref="EE2:EE3"/>
    <mergeCell ref="DL2:DL3"/>
    <mergeCell ref="DM2:DM3"/>
    <mergeCell ref="DN2:DN3"/>
    <mergeCell ref="DO2:DO3"/>
    <mergeCell ref="DP2:DP3"/>
    <mergeCell ref="DQ2:DQ3"/>
    <mergeCell ref="CS2:CS3"/>
    <mergeCell ref="CT2:CT3"/>
    <mergeCell ref="CZ2:CZ3"/>
    <mergeCell ref="DA2:DA3"/>
    <mergeCell ref="DB2:DB3"/>
    <mergeCell ref="DC2:DC3"/>
    <mergeCell ref="FG2:FG3"/>
    <mergeCell ref="FH2:FH3"/>
    <mergeCell ref="FI2:FI3"/>
    <mergeCell ref="FJ2:FJ3"/>
    <mergeCell ref="FS2:FS3"/>
    <mergeCell ref="FT2:FT3"/>
    <mergeCell ref="ET2:ET3"/>
    <mergeCell ref="EU2:EU3"/>
    <mergeCell ref="EV2:EV3"/>
    <mergeCell ref="EW2:EW3"/>
    <mergeCell ref="EZ2:EZ3"/>
    <mergeCell ref="FA2:FA3"/>
    <mergeCell ref="EF2:EF3"/>
    <mergeCell ref="EG2:EG3"/>
    <mergeCell ref="EP2:EP3"/>
    <mergeCell ref="EQ2:EQ3"/>
    <mergeCell ref="ER2:ER3"/>
    <mergeCell ref="ES2:ES3"/>
    <mergeCell ref="GV2:GV3"/>
    <mergeCell ref="GW2:GW3"/>
    <mergeCell ref="GX2:GX3"/>
    <mergeCell ref="GY2:GY3"/>
    <mergeCell ref="GZ2:GZ3"/>
    <mergeCell ref="HA2:HA3"/>
    <mergeCell ref="GC2:GC3"/>
    <mergeCell ref="GD2:GD3"/>
    <mergeCell ref="GJ2:GJ3"/>
    <mergeCell ref="GK2:GK3"/>
    <mergeCell ref="GL2:GL3"/>
    <mergeCell ref="GM2:GM3"/>
    <mergeCell ref="FU2:FU3"/>
    <mergeCell ref="FV2:FV3"/>
    <mergeCell ref="FW2:FW3"/>
    <mergeCell ref="FX2:FX3"/>
    <mergeCell ref="FY2:FY3"/>
    <mergeCell ref="FZ2:FZ3"/>
    <mergeCell ref="IC2:IC3"/>
    <mergeCell ref="ID2:ID3"/>
    <mergeCell ref="IE2:IE3"/>
    <mergeCell ref="IF2:IF3"/>
    <mergeCell ref="II2:II3"/>
    <mergeCell ref="IJ2:IJ3"/>
    <mergeCell ref="HO2:HO3"/>
    <mergeCell ref="HP2:HP3"/>
    <mergeCell ref="HY2:HY3"/>
    <mergeCell ref="HZ2:HZ3"/>
    <mergeCell ref="IA2:IA3"/>
    <mergeCell ref="IB2:IB3"/>
    <mergeCell ref="HB2:HB3"/>
    <mergeCell ref="HC2:HC3"/>
    <mergeCell ref="HF2:HF3"/>
    <mergeCell ref="HG2:HG3"/>
    <mergeCell ref="HM2:HM3"/>
    <mergeCell ref="HN2:HN3"/>
    <mergeCell ref="AT4:AT5"/>
    <mergeCell ref="AU4:AU5"/>
    <mergeCell ref="AV4:AV5"/>
    <mergeCell ref="AW4:AW5"/>
    <mergeCell ref="BF4:BF5"/>
    <mergeCell ref="BG4:BG5"/>
    <mergeCell ref="AG4:AG5"/>
    <mergeCell ref="AH4:AH5"/>
    <mergeCell ref="AI4:AI5"/>
    <mergeCell ref="AJ4:AJ5"/>
    <mergeCell ref="AM4:AM5"/>
    <mergeCell ref="AN4:AN5"/>
    <mergeCell ref="Q4:Q5"/>
    <mergeCell ref="R4:R5"/>
    <mergeCell ref="S4:S5"/>
    <mergeCell ref="T4:T5"/>
    <mergeCell ref="AC4:AC5"/>
    <mergeCell ref="AD4:AD5"/>
    <mergeCell ref="AE4:AE5"/>
    <mergeCell ref="AF4:AF5"/>
    <mergeCell ref="CI4:CI5"/>
    <mergeCell ref="CJ4:CJ5"/>
    <mergeCell ref="CK4:CK5"/>
    <mergeCell ref="CL4:CL5"/>
    <mergeCell ref="CM4:CM5"/>
    <mergeCell ref="CN4:CN5"/>
    <mergeCell ref="BP4:BP5"/>
    <mergeCell ref="BQ4:BQ5"/>
    <mergeCell ref="BW4:BW5"/>
    <mergeCell ref="BX4:BX5"/>
    <mergeCell ref="BY4:BY5"/>
    <mergeCell ref="BZ4:BZ5"/>
    <mergeCell ref="BH4:BH5"/>
    <mergeCell ref="BI4:BI5"/>
    <mergeCell ref="BJ4:BJ5"/>
    <mergeCell ref="BK4:BK5"/>
    <mergeCell ref="BL4:BL5"/>
    <mergeCell ref="BM4:BM5"/>
    <mergeCell ref="DP4:DP5"/>
    <mergeCell ref="DQ4:DQ5"/>
    <mergeCell ref="DR4:DR5"/>
    <mergeCell ref="DS4:DS5"/>
    <mergeCell ref="DV4:DV5"/>
    <mergeCell ref="DW4:DW5"/>
    <mergeCell ref="DB4:DB5"/>
    <mergeCell ref="DC4:DC5"/>
    <mergeCell ref="DL4:DL5"/>
    <mergeCell ref="DM4:DM5"/>
    <mergeCell ref="DN4:DN5"/>
    <mergeCell ref="DO4:DO5"/>
    <mergeCell ref="CO4:CO5"/>
    <mergeCell ref="CP4:CP5"/>
    <mergeCell ref="CS4:CS5"/>
    <mergeCell ref="CT4:CT5"/>
    <mergeCell ref="CZ4:CZ5"/>
    <mergeCell ref="DA4:DA5"/>
    <mergeCell ref="EZ4:EZ5"/>
    <mergeCell ref="FA4:FA5"/>
    <mergeCell ref="FG4:FG5"/>
    <mergeCell ref="FH4:FH5"/>
    <mergeCell ref="FI4:FI5"/>
    <mergeCell ref="FJ4:FJ5"/>
    <mergeCell ref="ER4:ER5"/>
    <mergeCell ref="ES4:ES5"/>
    <mergeCell ref="ET4:ET5"/>
    <mergeCell ref="EU4:EU5"/>
    <mergeCell ref="EV4:EV5"/>
    <mergeCell ref="EW4:EW5"/>
    <mergeCell ref="ED4:ED5"/>
    <mergeCell ref="EE4:EE5"/>
    <mergeCell ref="EF4:EF5"/>
    <mergeCell ref="EG4:EG5"/>
    <mergeCell ref="EP4:EP5"/>
    <mergeCell ref="EQ4:EQ5"/>
    <mergeCell ref="GL4:GL5"/>
    <mergeCell ref="GM4:GM5"/>
    <mergeCell ref="GV4:GV5"/>
    <mergeCell ref="GW4:GW5"/>
    <mergeCell ref="GX4:GX5"/>
    <mergeCell ref="GY4:GY5"/>
    <mergeCell ref="FY4:FY5"/>
    <mergeCell ref="FZ4:FZ5"/>
    <mergeCell ref="GC4:GC5"/>
    <mergeCell ref="GD4:GD5"/>
    <mergeCell ref="GJ4:GJ5"/>
    <mergeCell ref="GK4:GK5"/>
    <mergeCell ref="FS4:FS5"/>
    <mergeCell ref="FT4:FT5"/>
    <mergeCell ref="FU4:FU5"/>
    <mergeCell ref="FV4:FV5"/>
    <mergeCell ref="FW4:FW5"/>
    <mergeCell ref="FX4:FX5"/>
    <mergeCell ref="II4:II5"/>
    <mergeCell ref="IJ4:IJ5"/>
    <mergeCell ref="IA4:IA5"/>
    <mergeCell ref="IB4:IB5"/>
    <mergeCell ref="IC4:IC5"/>
    <mergeCell ref="ID4:ID5"/>
    <mergeCell ref="IE4:IE5"/>
    <mergeCell ref="IF4:IF5"/>
    <mergeCell ref="HM4:HM5"/>
    <mergeCell ref="HN4:HN5"/>
    <mergeCell ref="HO4:HO5"/>
    <mergeCell ref="HP4:HP5"/>
    <mergeCell ref="HY4:HY5"/>
    <mergeCell ref="HZ4:HZ5"/>
    <mergeCell ref="GZ4:GZ5"/>
    <mergeCell ref="HA4:HA5"/>
    <mergeCell ref="HB4:HB5"/>
    <mergeCell ref="HC4:HC5"/>
    <mergeCell ref="HF4:HF5"/>
    <mergeCell ref="HG4:HG5"/>
    <mergeCell ref="AM6:AM7"/>
    <mergeCell ref="AN6:AN7"/>
    <mergeCell ref="AT6:AT7"/>
    <mergeCell ref="AU6:AU7"/>
    <mergeCell ref="AV6:AV7"/>
    <mergeCell ref="AW6:AW7"/>
    <mergeCell ref="AE6:AE7"/>
    <mergeCell ref="AF6:AF7"/>
    <mergeCell ref="AG6:AG7"/>
    <mergeCell ref="AH6:AH7"/>
    <mergeCell ref="AI6:AI7"/>
    <mergeCell ref="AJ6:AJ7"/>
    <mergeCell ref="Q6:Q7"/>
    <mergeCell ref="R6:R7"/>
    <mergeCell ref="S6:S7"/>
    <mergeCell ref="T6:T7"/>
    <mergeCell ref="AC6:AC7"/>
    <mergeCell ref="AD6:AD7"/>
    <mergeCell ref="BY6:BY7"/>
    <mergeCell ref="BZ6:BZ7"/>
    <mergeCell ref="CI6:CI7"/>
    <mergeCell ref="CJ6:CJ7"/>
    <mergeCell ref="CK6:CK7"/>
    <mergeCell ref="CL6:CL7"/>
    <mergeCell ref="BL6:BL7"/>
    <mergeCell ref="BM6:BM7"/>
    <mergeCell ref="BP6:BP7"/>
    <mergeCell ref="BQ6:BQ7"/>
    <mergeCell ref="BW6:BW7"/>
    <mergeCell ref="BX6:BX7"/>
    <mergeCell ref="BF6:BF7"/>
    <mergeCell ref="BG6:BG7"/>
    <mergeCell ref="BH6:BH7"/>
    <mergeCell ref="BI6:BI7"/>
    <mergeCell ref="BJ6:BJ7"/>
    <mergeCell ref="BK6:BK7"/>
    <mergeCell ref="DN6:DN7"/>
    <mergeCell ref="DO6:DO7"/>
    <mergeCell ref="DP6:DP7"/>
    <mergeCell ref="DQ6:DQ7"/>
    <mergeCell ref="DR6:DR7"/>
    <mergeCell ref="DS6:DS7"/>
    <mergeCell ref="CZ6:CZ7"/>
    <mergeCell ref="DA6:DA7"/>
    <mergeCell ref="DB6:DB7"/>
    <mergeCell ref="DC6:DC7"/>
    <mergeCell ref="DL6:DL7"/>
    <mergeCell ref="DM6:DM7"/>
    <mergeCell ref="CM6:CM7"/>
    <mergeCell ref="CN6:CN7"/>
    <mergeCell ref="CO6:CO7"/>
    <mergeCell ref="CP6:CP7"/>
    <mergeCell ref="CS6:CS7"/>
    <mergeCell ref="CT6:CT7"/>
    <mergeCell ref="EV6:EV7"/>
    <mergeCell ref="EW6:EW7"/>
    <mergeCell ref="EZ6:EZ7"/>
    <mergeCell ref="FA6:FA7"/>
    <mergeCell ref="FG6:FG7"/>
    <mergeCell ref="FH6:FH7"/>
    <mergeCell ref="EP6:EP7"/>
    <mergeCell ref="EQ6:EQ7"/>
    <mergeCell ref="ER6:ER7"/>
    <mergeCell ref="ES6:ES7"/>
    <mergeCell ref="ET6:ET7"/>
    <mergeCell ref="EU6:EU7"/>
    <mergeCell ref="DV6:DV7"/>
    <mergeCell ref="DW6:DW7"/>
    <mergeCell ref="ED6:ED7"/>
    <mergeCell ref="EE6:EE7"/>
    <mergeCell ref="EF6:EF7"/>
    <mergeCell ref="EG6:EG7"/>
    <mergeCell ref="GJ6:GJ7"/>
    <mergeCell ref="GK6:GK7"/>
    <mergeCell ref="GL6:GL7"/>
    <mergeCell ref="GM6:GM7"/>
    <mergeCell ref="GV6:GV7"/>
    <mergeCell ref="GW6:GW7"/>
    <mergeCell ref="FW6:FW7"/>
    <mergeCell ref="FX6:FX7"/>
    <mergeCell ref="FY6:FY7"/>
    <mergeCell ref="FZ6:FZ7"/>
    <mergeCell ref="GC6:GC7"/>
    <mergeCell ref="GD6:GD7"/>
    <mergeCell ref="FI6:FI7"/>
    <mergeCell ref="FJ6:FJ7"/>
    <mergeCell ref="FS6:FS7"/>
    <mergeCell ref="FT6:FT7"/>
    <mergeCell ref="FU6:FU7"/>
    <mergeCell ref="FV6:FV7"/>
    <mergeCell ref="IE6:IE7"/>
    <mergeCell ref="IF6:IF7"/>
    <mergeCell ref="II6:II7"/>
    <mergeCell ref="IJ6:IJ7"/>
    <mergeCell ref="HY6:HY7"/>
    <mergeCell ref="HZ6:HZ7"/>
    <mergeCell ref="IA6:IA7"/>
    <mergeCell ref="IB6:IB7"/>
    <mergeCell ref="IC6:IC7"/>
    <mergeCell ref="ID6:ID7"/>
    <mergeCell ref="HF6:HF7"/>
    <mergeCell ref="HG6:HG7"/>
    <mergeCell ref="HM6:HM7"/>
    <mergeCell ref="HN6:HN7"/>
    <mergeCell ref="HO6:HO7"/>
    <mergeCell ref="HP6:HP7"/>
    <mergeCell ref="GX6:GX7"/>
    <mergeCell ref="GY6:GY7"/>
    <mergeCell ref="GZ6:GZ7"/>
    <mergeCell ref="HA6:HA7"/>
    <mergeCell ref="HB6:HB7"/>
    <mergeCell ref="HC6:HC7"/>
    <mergeCell ref="AM8:AM9"/>
    <mergeCell ref="AN8:AN9"/>
    <mergeCell ref="AT8:AT9"/>
    <mergeCell ref="AU8:AU9"/>
    <mergeCell ref="AV8:AV9"/>
    <mergeCell ref="AW8:AW9"/>
    <mergeCell ref="AE8:AE9"/>
    <mergeCell ref="AF8:AF9"/>
    <mergeCell ref="AG8:AG9"/>
    <mergeCell ref="AH8:AH9"/>
    <mergeCell ref="AI8:AI9"/>
    <mergeCell ref="AJ8:AJ9"/>
    <mergeCell ref="Q8:Q9"/>
    <mergeCell ref="R8:R9"/>
    <mergeCell ref="S8:S9"/>
    <mergeCell ref="T8:T9"/>
    <mergeCell ref="AC8:AC9"/>
    <mergeCell ref="AD8:AD9"/>
    <mergeCell ref="BY8:BY9"/>
    <mergeCell ref="BZ8:BZ9"/>
    <mergeCell ref="CI8:CI9"/>
    <mergeCell ref="CJ8:CJ9"/>
    <mergeCell ref="CK8:CK9"/>
    <mergeCell ref="CL8:CL9"/>
    <mergeCell ref="BL8:BL9"/>
    <mergeCell ref="BM8:BM9"/>
    <mergeCell ref="BP8:BP9"/>
    <mergeCell ref="BQ8:BQ9"/>
    <mergeCell ref="BW8:BW9"/>
    <mergeCell ref="BX8:BX9"/>
    <mergeCell ref="BF8:BF9"/>
    <mergeCell ref="BG8:BG9"/>
    <mergeCell ref="BH8:BH9"/>
    <mergeCell ref="BI8:BI9"/>
    <mergeCell ref="BJ8:BJ9"/>
    <mergeCell ref="BK8:BK9"/>
    <mergeCell ref="DN8:DN9"/>
    <mergeCell ref="DO8:DO9"/>
    <mergeCell ref="DP8:DP9"/>
    <mergeCell ref="DQ8:DQ9"/>
    <mergeCell ref="DR8:DR9"/>
    <mergeCell ref="DS8:DS9"/>
    <mergeCell ref="CZ8:CZ9"/>
    <mergeCell ref="DA8:DA9"/>
    <mergeCell ref="DB8:DB9"/>
    <mergeCell ref="DC8:DC9"/>
    <mergeCell ref="DL8:DL9"/>
    <mergeCell ref="DM8:DM9"/>
    <mergeCell ref="CM8:CM9"/>
    <mergeCell ref="CN8:CN9"/>
    <mergeCell ref="CO8:CO9"/>
    <mergeCell ref="CP8:CP9"/>
    <mergeCell ref="CS8:CS9"/>
    <mergeCell ref="CT8:CT9"/>
    <mergeCell ref="EV8:EV9"/>
    <mergeCell ref="EW8:EW9"/>
    <mergeCell ref="EZ8:EZ9"/>
    <mergeCell ref="FA8:FA9"/>
    <mergeCell ref="FG8:FG9"/>
    <mergeCell ref="FH8:FH9"/>
    <mergeCell ref="EP8:EP9"/>
    <mergeCell ref="EQ8:EQ9"/>
    <mergeCell ref="ER8:ER9"/>
    <mergeCell ref="ES8:ES9"/>
    <mergeCell ref="ET8:ET9"/>
    <mergeCell ref="EU8:EU9"/>
    <mergeCell ref="DV8:DV9"/>
    <mergeCell ref="DW8:DW9"/>
    <mergeCell ref="ED8:ED9"/>
    <mergeCell ref="EE8:EE9"/>
    <mergeCell ref="EF8:EF9"/>
    <mergeCell ref="EG8:EG9"/>
    <mergeCell ref="GJ8:GJ9"/>
    <mergeCell ref="GK8:GK9"/>
    <mergeCell ref="GL8:GL9"/>
    <mergeCell ref="GM8:GM9"/>
    <mergeCell ref="GV8:GV9"/>
    <mergeCell ref="GW8:GW9"/>
    <mergeCell ref="FW8:FW9"/>
    <mergeCell ref="FX8:FX9"/>
    <mergeCell ref="FY8:FY9"/>
    <mergeCell ref="FZ8:FZ9"/>
    <mergeCell ref="GC8:GC9"/>
    <mergeCell ref="GD8:GD9"/>
    <mergeCell ref="FI8:FI9"/>
    <mergeCell ref="FJ8:FJ9"/>
    <mergeCell ref="FS8:FS9"/>
    <mergeCell ref="FT8:FT9"/>
    <mergeCell ref="FU8:FU9"/>
    <mergeCell ref="FV8:FV9"/>
    <mergeCell ref="IE8:IE9"/>
    <mergeCell ref="IF8:IF9"/>
    <mergeCell ref="II8:II9"/>
    <mergeCell ref="IJ8:IJ9"/>
    <mergeCell ref="HY8:HY9"/>
    <mergeCell ref="HZ8:HZ9"/>
    <mergeCell ref="IA8:IA9"/>
    <mergeCell ref="IB8:IB9"/>
    <mergeCell ref="IC8:IC9"/>
    <mergeCell ref="ID8:ID9"/>
    <mergeCell ref="HF8:HF9"/>
    <mergeCell ref="HG8:HG9"/>
    <mergeCell ref="HM8:HM9"/>
    <mergeCell ref="HN8:HN9"/>
    <mergeCell ref="HO8:HO9"/>
    <mergeCell ref="HP8:HP9"/>
    <mergeCell ref="GX8:GX9"/>
    <mergeCell ref="GY8:GY9"/>
    <mergeCell ref="GZ8:GZ9"/>
    <mergeCell ref="HA8:HA9"/>
    <mergeCell ref="HB8:HB9"/>
    <mergeCell ref="HC8:HC9"/>
    <mergeCell ref="AM10:AM11"/>
    <mergeCell ref="AN10:AN11"/>
    <mergeCell ref="AT10:AT11"/>
    <mergeCell ref="AU10:AU11"/>
    <mergeCell ref="AV10:AV11"/>
    <mergeCell ref="AW10:AW11"/>
    <mergeCell ref="AE10:AE11"/>
    <mergeCell ref="AF10:AF11"/>
    <mergeCell ref="AG10:AG11"/>
    <mergeCell ref="AH10:AH11"/>
    <mergeCell ref="AI10:AI11"/>
    <mergeCell ref="AJ10:AJ11"/>
    <mergeCell ref="Q10:Q11"/>
    <mergeCell ref="R10:R11"/>
    <mergeCell ref="S10:S11"/>
    <mergeCell ref="T10:T11"/>
    <mergeCell ref="AC10:AC11"/>
    <mergeCell ref="AD10:AD11"/>
    <mergeCell ref="BY10:BY11"/>
    <mergeCell ref="BZ10:BZ11"/>
    <mergeCell ref="CI10:CI11"/>
    <mergeCell ref="CJ10:CJ11"/>
    <mergeCell ref="CK10:CK11"/>
    <mergeCell ref="CL10:CL11"/>
    <mergeCell ref="BL10:BL11"/>
    <mergeCell ref="BM10:BM11"/>
    <mergeCell ref="BP10:BP11"/>
    <mergeCell ref="BQ10:BQ11"/>
    <mergeCell ref="BW10:BW11"/>
    <mergeCell ref="BX10:BX11"/>
    <mergeCell ref="BF10:BF11"/>
    <mergeCell ref="BG10:BG11"/>
    <mergeCell ref="BH10:BH11"/>
    <mergeCell ref="BI10:BI11"/>
    <mergeCell ref="BJ10:BJ11"/>
    <mergeCell ref="BK10:BK11"/>
    <mergeCell ref="DN10:DN11"/>
    <mergeCell ref="DO10:DO11"/>
    <mergeCell ref="DP10:DP11"/>
    <mergeCell ref="DQ10:DQ11"/>
    <mergeCell ref="DR10:DR11"/>
    <mergeCell ref="DS10:DS11"/>
    <mergeCell ref="CZ10:CZ11"/>
    <mergeCell ref="DA10:DA11"/>
    <mergeCell ref="DB10:DB11"/>
    <mergeCell ref="DC10:DC11"/>
    <mergeCell ref="DL10:DL11"/>
    <mergeCell ref="DM10:DM11"/>
    <mergeCell ref="CM10:CM11"/>
    <mergeCell ref="CN10:CN11"/>
    <mergeCell ref="CO10:CO11"/>
    <mergeCell ref="CP10:CP11"/>
    <mergeCell ref="CS10:CS11"/>
    <mergeCell ref="CT10:CT11"/>
    <mergeCell ref="EV10:EV11"/>
    <mergeCell ref="EW10:EW11"/>
    <mergeCell ref="EZ10:EZ11"/>
    <mergeCell ref="FA10:FA11"/>
    <mergeCell ref="FG10:FG11"/>
    <mergeCell ref="FH10:FH11"/>
    <mergeCell ref="EP10:EP11"/>
    <mergeCell ref="EQ10:EQ11"/>
    <mergeCell ref="ER10:ER11"/>
    <mergeCell ref="ES10:ES11"/>
    <mergeCell ref="ET10:ET11"/>
    <mergeCell ref="EU10:EU11"/>
    <mergeCell ref="DV10:DV11"/>
    <mergeCell ref="DW10:DW11"/>
    <mergeCell ref="ED10:ED11"/>
    <mergeCell ref="EE10:EE11"/>
    <mergeCell ref="EF10:EF11"/>
    <mergeCell ref="EG10:EG11"/>
    <mergeCell ref="GJ10:GJ11"/>
    <mergeCell ref="GK10:GK11"/>
    <mergeCell ref="GL10:GL11"/>
    <mergeCell ref="GM10:GM11"/>
    <mergeCell ref="GV10:GV11"/>
    <mergeCell ref="GW10:GW11"/>
    <mergeCell ref="FW10:FW11"/>
    <mergeCell ref="FX10:FX11"/>
    <mergeCell ref="FY10:FY11"/>
    <mergeCell ref="FZ10:FZ11"/>
    <mergeCell ref="GC10:GC11"/>
    <mergeCell ref="GD10:GD11"/>
    <mergeCell ref="FI10:FI11"/>
    <mergeCell ref="FJ10:FJ11"/>
    <mergeCell ref="FS10:FS11"/>
    <mergeCell ref="FT10:FT11"/>
    <mergeCell ref="FU10:FU11"/>
    <mergeCell ref="FV10:FV11"/>
    <mergeCell ref="IE10:IE11"/>
    <mergeCell ref="IF10:IF11"/>
    <mergeCell ref="II10:II11"/>
    <mergeCell ref="IJ10:IJ11"/>
    <mergeCell ref="HY10:HY11"/>
    <mergeCell ref="HZ10:HZ11"/>
    <mergeCell ref="IA10:IA11"/>
    <mergeCell ref="IB10:IB11"/>
    <mergeCell ref="IC10:IC11"/>
    <mergeCell ref="ID10:ID11"/>
    <mergeCell ref="HF10:HF11"/>
    <mergeCell ref="HG10:HG11"/>
    <mergeCell ref="HM10:HM11"/>
    <mergeCell ref="HN10:HN11"/>
    <mergeCell ref="HO10:HO11"/>
    <mergeCell ref="HP10:HP11"/>
    <mergeCell ref="GX10:GX11"/>
    <mergeCell ref="GY10:GY11"/>
    <mergeCell ref="GZ10:GZ11"/>
    <mergeCell ref="HA10:HA11"/>
    <mergeCell ref="HB10:HB11"/>
    <mergeCell ref="HC10:HC11"/>
    <mergeCell ref="AM12:AM13"/>
    <mergeCell ref="AN12:AN13"/>
    <mergeCell ref="AT12:AT13"/>
    <mergeCell ref="AU12:AU13"/>
    <mergeCell ref="AV12:AV13"/>
    <mergeCell ref="AW12:AW13"/>
    <mergeCell ref="AE12:AE13"/>
    <mergeCell ref="AF12:AF13"/>
    <mergeCell ref="AG12:AG13"/>
    <mergeCell ref="AH12:AH13"/>
    <mergeCell ref="AI12:AI13"/>
    <mergeCell ref="AJ12:AJ13"/>
    <mergeCell ref="Q12:Q13"/>
    <mergeCell ref="R12:R13"/>
    <mergeCell ref="S12:S13"/>
    <mergeCell ref="T12:T13"/>
    <mergeCell ref="AC12:AC13"/>
    <mergeCell ref="AD12:AD13"/>
    <mergeCell ref="BY12:BY13"/>
    <mergeCell ref="BZ12:BZ13"/>
    <mergeCell ref="CI12:CI13"/>
    <mergeCell ref="CJ12:CJ13"/>
    <mergeCell ref="CK12:CK13"/>
    <mergeCell ref="CL12:CL13"/>
    <mergeCell ref="BL12:BL13"/>
    <mergeCell ref="BM12:BM13"/>
    <mergeCell ref="BP12:BP13"/>
    <mergeCell ref="BQ12:BQ13"/>
    <mergeCell ref="BW12:BW13"/>
    <mergeCell ref="BX12:BX13"/>
    <mergeCell ref="BF12:BF13"/>
    <mergeCell ref="BG12:BG13"/>
    <mergeCell ref="BH12:BH13"/>
    <mergeCell ref="BI12:BI13"/>
    <mergeCell ref="BJ12:BJ13"/>
    <mergeCell ref="BK12:BK13"/>
    <mergeCell ref="DN12:DN13"/>
    <mergeCell ref="DO12:DO13"/>
    <mergeCell ref="DP12:DP13"/>
    <mergeCell ref="DQ12:DQ13"/>
    <mergeCell ref="DR12:DR13"/>
    <mergeCell ref="DS12:DS13"/>
    <mergeCell ref="CZ12:CZ13"/>
    <mergeCell ref="DA12:DA13"/>
    <mergeCell ref="DB12:DB13"/>
    <mergeCell ref="DC12:DC13"/>
    <mergeCell ref="DL12:DL13"/>
    <mergeCell ref="DM12:DM13"/>
    <mergeCell ref="CM12:CM13"/>
    <mergeCell ref="CN12:CN13"/>
    <mergeCell ref="CO12:CO13"/>
    <mergeCell ref="CP12:CP13"/>
    <mergeCell ref="CS12:CS13"/>
    <mergeCell ref="CT12:CT13"/>
    <mergeCell ref="EV12:EV13"/>
    <mergeCell ref="EW12:EW13"/>
    <mergeCell ref="EZ12:EZ13"/>
    <mergeCell ref="FA12:FA13"/>
    <mergeCell ref="FG12:FG13"/>
    <mergeCell ref="FH12:FH13"/>
    <mergeCell ref="EP12:EP13"/>
    <mergeCell ref="EQ12:EQ13"/>
    <mergeCell ref="ER12:ER13"/>
    <mergeCell ref="ES12:ES13"/>
    <mergeCell ref="ET12:ET13"/>
    <mergeCell ref="EU12:EU13"/>
    <mergeCell ref="DV12:DV13"/>
    <mergeCell ref="DW12:DW13"/>
    <mergeCell ref="ED12:ED13"/>
    <mergeCell ref="EE12:EE13"/>
    <mergeCell ref="EF12:EF13"/>
    <mergeCell ref="EG12:EG13"/>
    <mergeCell ref="GJ12:GJ13"/>
    <mergeCell ref="GK12:GK13"/>
    <mergeCell ref="GL12:GL13"/>
    <mergeCell ref="GM12:GM13"/>
    <mergeCell ref="GV12:GV13"/>
    <mergeCell ref="GW12:GW13"/>
    <mergeCell ref="FW12:FW13"/>
    <mergeCell ref="FX12:FX13"/>
    <mergeCell ref="FY12:FY13"/>
    <mergeCell ref="FZ12:FZ13"/>
    <mergeCell ref="GC12:GC13"/>
    <mergeCell ref="GD12:GD13"/>
    <mergeCell ref="FI12:FI13"/>
    <mergeCell ref="FJ12:FJ13"/>
    <mergeCell ref="FS12:FS13"/>
    <mergeCell ref="FT12:FT13"/>
    <mergeCell ref="FU12:FU13"/>
    <mergeCell ref="FV12:FV13"/>
    <mergeCell ref="IE12:IE13"/>
    <mergeCell ref="IF12:IF13"/>
    <mergeCell ref="II12:II13"/>
    <mergeCell ref="IJ12:IJ13"/>
    <mergeCell ref="HY12:HY13"/>
    <mergeCell ref="HZ12:HZ13"/>
    <mergeCell ref="IA12:IA13"/>
    <mergeCell ref="IB12:IB13"/>
    <mergeCell ref="IC12:IC13"/>
    <mergeCell ref="ID12:ID13"/>
    <mergeCell ref="HF12:HF13"/>
    <mergeCell ref="HG12:HG13"/>
    <mergeCell ref="HM12:HM13"/>
    <mergeCell ref="HN12:HN13"/>
    <mergeCell ref="HO12:HO13"/>
    <mergeCell ref="HP12:HP13"/>
    <mergeCell ref="GX12:GX13"/>
    <mergeCell ref="GY12:GY13"/>
    <mergeCell ref="GZ12:GZ13"/>
    <mergeCell ref="HA12:HA13"/>
    <mergeCell ref="HB12:HB13"/>
    <mergeCell ref="HC12:HC13"/>
    <mergeCell ref="AM14:AM15"/>
    <mergeCell ref="AN14:AN15"/>
    <mergeCell ref="AT14:AT15"/>
    <mergeCell ref="AU14:AU15"/>
    <mergeCell ref="AV14:AV15"/>
    <mergeCell ref="AW14:AW15"/>
    <mergeCell ref="AE14:AE15"/>
    <mergeCell ref="AF14:AF15"/>
    <mergeCell ref="AG14:AG15"/>
    <mergeCell ref="AH14:AH15"/>
    <mergeCell ref="AI14:AI15"/>
    <mergeCell ref="AJ14:AJ15"/>
    <mergeCell ref="Q14:Q15"/>
    <mergeCell ref="R14:R15"/>
    <mergeCell ref="S14:S15"/>
    <mergeCell ref="T14:T15"/>
    <mergeCell ref="AC14:AC15"/>
    <mergeCell ref="AD14:AD15"/>
    <mergeCell ref="BY14:BY15"/>
    <mergeCell ref="BZ14:BZ15"/>
    <mergeCell ref="CI14:CI15"/>
    <mergeCell ref="CJ14:CJ15"/>
    <mergeCell ref="CK14:CK15"/>
    <mergeCell ref="CL14:CL15"/>
    <mergeCell ref="BL14:BL15"/>
    <mergeCell ref="BM14:BM15"/>
    <mergeCell ref="BP14:BP15"/>
    <mergeCell ref="BQ14:BQ15"/>
    <mergeCell ref="BW14:BW15"/>
    <mergeCell ref="BX14:BX15"/>
    <mergeCell ref="BF14:BF15"/>
    <mergeCell ref="BG14:BG15"/>
    <mergeCell ref="BH14:BH15"/>
    <mergeCell ref="BI14:BI15"/>
    <mergeCell ref="BJ14:BJ15"/>
    <mergeCell ref="BK14:BK15"/>
    <mergeCell ref="DN14:DN15"/>
    <mergeCell ref="DO14:DO15"/>
    <mergeCell ref="DP14:DP15"/>
    <mergeCell ref="DQ14:DQ15"/>
    <mergeCell ref="DR14:DR15"/>
    <mergeCell ref="DS14:DS15"/>
    <mergeCell ref="CZ14:CZ15"/>
    <mergeCell ref="DA14:DA15"/>
    <mergeCell ref="DB14:DB15"/>
    <mergeCell ref="DC14:DC15"/>
    <mergeCell ref="DL14:DL15"/>
    <mergeCell ref="DM14:DM15"/>
    <mergeCell ref="CM14:CM15"/>
    <mergeCell ref="CN14:CN15"/>
    <mergeCell ref="CO14:CO15"/>
    <mergeCell ref="CP14:CP15"/>
    <mergeCell ref="CS14:CS15"/>
    <mergeCell ref="CT14:CT15"/>
    <mergeCell ref="EV14:EV15"/>
    <mergeCell ref="EW14:EW15"/>
    <mergeCell ref="EZ14:EZ15"/>
    <mergeCell ref="FA14:FA15"/>
    <mergeCell ref="FG14:FG15"/>
    <mergeCell ref="FH14:FH15"/>
    <mergeCell ref="EP14:EP15"/>
    <mergeCell ref="EQ14:EQ15"/>
    <mergeCell ref="ER14:ER15"/>
    <mergeCell ref="ES14:ES15"/>
    <mergeCell ref="ET14:ET15"/>
    <mergeCell ref="EU14:EU15"/>
    <mergeCell ref="DV14:DV15"/>
    <mergeCell ref="DW14:DW15"/>
    <mergeCell ref="ED14:ED15"/>
    <mergeCell ref="EE14:EE15"/>
    <mergeCell ref="EF14:EF15"/>
    <mergeCell ref="EG14:EG15"/>
    <mergeCell ref="GJ14:GJ15"/>
    <mergeCell ref="GK14:GK15"/>
    <mergeCell ref="GL14:GL15"/>
    <mergeCell ref="GM14:GM15"/>
    <mergeCell ref="GV14:GV15"/>
    <mergeCell ref="GW14:GW15"/>
    <mergeCell ref="FW14:FW15"/>
    <mergeCell ref="FX14:FX15"/>
    <mergeCell ref="FY14:FY15"/>
    <mergeCell ref="FZ14:FZ15"/>
    <mergeCell ref="GC14:GC15"/>
    <mergeCell ref="GD14:GD15"/>
    <mergeCell ref="FI14:FI15"/>
    <mergeCell ref="FJ14:FJ15"/>
    <mergeCell ref="FS14:FS15"/>
    <mergeCell ref="FT14:FT15"/>
    <mergeCell ref="FU14:FU15"/>
    <mergeCell ref="FV14:FV15"/>
    <mergeCell ref="IE14:IE15"/>
    <mergeCell ref="IF14:IF15"/>
    <mergeCell ref="II14:II15"/>
    <mergeCell ref="IJ14:IJ15"/>
    <mergeCell ref="HY14:HY15"/>
    <mergeCell ref="HZ14:HZ15"/>
    <mergeCell ref="IA14:IA15"/>
    <mergeCell ref="IB14:IB15"/>
    <mergeCell ref="IC14:IC15"/>
    <mergeCell ref="ID14:ID15"/>
    <mergeCell ref="HF14:HF15"/>
    <mergeCell ref="HG14:HG15"/>
    <mergeCell ref="HM14:HM15"/>
    <mergeCell ref="HN14:HN15"/>
    <mergeCell ref="HO14:HO15"/>
    <mergeCell ref="HP14:HP15"/>
    <mergeCell ref="GX14:GX15"/>
    <mergeCell ref="GY14:GY15"/>
    <mergeCell ref="GZ14:GZ15"/>
    <mergeCell ref="HA14:HA15"/>
    <mergeCell ref="HB14:HB15"/>
    <mergeCell ref="HC14:HC15"/>
    <mergeCell ref="AM16:AM17"/>
    <mergeCell ref="AN16:AN17"/>
    <mergeCell ref="AT16:AT17"/>
    <mergeCell ref="AU16:AU17"/>
    <mergeCell ref="AV16:AV17"/>
    <mergeCell ref="AW16:AW17"/>
    <mergeCell ref="AE16:AE17"/>
    <mergeCell ref="AF16:AF17"/>
    <mergeCell ref="AG16:AG17"/>
    <mergeCell ref="AH16:AH17"/>
    <mergeCell ref="AI16:AI17"/>
    <mergeCell ref="AJ16:AJ17"/>
    <mergeCell ref="Q16:Q17"/>
    <mergeCell ref="R16:R17"/>
    <mergeCell ref="S16:S17"/>
    <mergeCell ref="T16:T17"/>
    <mergeCell ref="AC16:AC17"/>
    <mergeCell ref="AD16:AD17"/>
    <mergeCell ref="BY16:BY17"/>
    <mergeCell ref="BZ16:BZ17"/>
    <mergeCell ref="CI16:CI17"/>
    <mergeCell ref="CJ16:CJ17"/>
    <mergeCell ref="CK16:CK17"/>
    <mergeCell ref="CL16:CL17"/>
    <mergeCell ref="BL16:BL17"/>
    <mergeCell ref="BM16:BM17"/>
    <mergeCell ref="BP16:BP17"/>
    <mergeCell ref="BQ16:BQ17"/>
    <mergeCell ref="BW16:BW17"/>
    <mergeCell ref="BX16:BX17"/>
    <mergeCell ref="BF16:BF17"/>
    <mergeCell ref="BG16:BG17"/>
    <mergeCell ref="BH16:BH17"/>
    <mergeCell ref="BI16:BI17"/>
    <mergeCell ref="BJ16:BJ17"/>
    <mergeCell ref="BK16:BK17"/>
    <mergeCell ref="DN16:DN17"/>
    <mergeCell ref="DO16:DO17"/>
    <mergeCell ref="DP16:DP17"/>
    <mergeCell ref="DQ16:DQ17"/>
    <mergeCell ref="DR16:DR17"/>
    <mergeCell ref="DS16:DS17"/>
    <mergeCell ref="CZ16:CZ17"/>
    <mergeCell ref="DA16:DA17"/>
    <mergeCell ref="DB16:DB17"/>
    <mergeCell ref="DC16:DC17"/>
    <mergeCell ref="DL16:DL17"/>
    <mergeCell ref="DM16:DM17"/>
    <mergeCell ref="CM16:CM17"/>
    <mergeCell ref="CN16:CN17"/>
    <mergeCell ref="CO16:CO17"/>
    <mergeCell ref="CP16:CP17"/>
    <mergeCell ref="CS16:CS17"/>
    <mergeCell ref="CT16:CT17"/>
    <mergeCell ref="EV16:EV17"/>
    <mergeCell ref="EW16:EW17"/>
    <mergeCell ref="EZ16:EZ17"/>
    <mergeCell ref="FA16:FA17"/>
    <mergeCell ref="FG16:FG17"/>
    <mergeCell ref="FH16:FH17"/>
    <mergeCell ref="EP16:EP17"/>
    <mergeCell ref="EQ16:EQ17"/>
    <mergeCell ref="ER16:ER17"/>
    <mergeCell ref="ES16:ES17"/>
    <mergeCell ref="ET16:ET17"/>
    <mergeCell ref="EU16:EU17"/>
    <mergeCell ref="DV16:DV17"/>
    <mergeCell ref="DW16:DW17"/>
    <mergeCell ref="ED16:ED17"/>
    <mergeCell ref="EE16:EE17"/>
    <mergeCell ref="EF16:EF17"/>
    <mergeCell ref="EG16:EG17"/>
    <mergeCell ref="GJ16:GJ17"/>
    <mergeCell ref="GK16:GK17"/>
    <mergeCell ref="GL16:GL17"/>
    <mergeCell ref="GM16:GM17"/>
    <mergeCell ref="GV16:GV17"/>
    <mergeCell ref="GW16:GW17"/>
    <mergeCell ref="FW16:FW17"/>
    <mergeCell ref="FX16:FX17"/>
    <mergeCell ref="FY16:FY17"/>
    <mergeCell ref="FZ16:FZ17"/>
    <mergeCell ref="GC16:GC17"/>
    <mergeCell ref="GD16:GD17"/>
    <mergeCell ref="FI16:FI17"/>
    <mergeCell ref="FJ16:FJ17"/>
    <mergeCell ref="FS16:FS17"/>
    <mergeCell ref="FT16:FT17"/>
    <mergeCell ref="FU16:FU17"/>
    <mergeCell ref="FV16:FV17"/>
    <mergeCell ref="IE16:IE17"/>
    <mergeCell ref="IF16:IF17"/>
    <mergeCell ref="II16:II17"/>
    <mergeCell ref="IJ16:IJ17"/>
    <mergeCell ref="HY16:HY17"/>
    <mergeCell ref="HZ16:HZ17"/>
    <mergeCell ref="IA16:IA17"/>
    <mergeCell ref="IB16:IB17"/>
    <mergeCell ref="IC16:IC17"/>
    <mergeCell ref="ID16:ID17"/>
    <mergeCell ref="HF16:HF17"/>
    <mergeCell ref="HG16:HG17"/>
    <mergeCell ref="HM16:HM17"/>
    <mergeCell ref="HN16:HN17"/>
    <mergeCell ref="HO16:HO17"/>
    <mergeCell ref="HP16:HP17"/>
    <mergeCell ref="GX16:GX17"/>
    <mergeCell ref="GY16:GY17"/>
    <mergeCell ref="GZ16:GZ17"/>
    <mergeCell ref="HA16:HA17"/>
    <mergeCell ref="HB16:HB17"/>
    <mergeCell ref="HC16:HC17"/>
    <mergeCell ref="AM18:AM19"/>
    <mergeCell ref="AN18:AN19"/>
    <mergeCell ref="AT18:AT19"/>
    <mergeCell ref="AU18:AU19"/>
    <mergeCell ref="AV18:AV19"/>
    <mergeCell ref="AW18:AW19"/>
    <mergeCell ref="AE18:AE19"/>
    <mergeCell ref="AF18:AF19"/>
    <mergeCell ref="AG18:AG19"/>
    <mergeCell ref="AH18:AH19"/>
    <mergeCell ref="AI18:AI19"/>
    <mergeCell ref="AJ18:AJ19"/>
    <mergeCell ref="Q18:Q19"/>
    <mergeCell ref="R18:R19"/>
    <mergeCell ref="S18:S19"/>
    <mergeCell ref="T18:T19"/>
    <mergeCell ref="AC18:AC19"/>
    <mergeCell ref="AD18:AD19"/>
    <mergeCell ref="BY18:BY19"/>
    <mergeCell ref="BZ18:BZ19"/>
    <mergeCell ref="CI18:CI19"/>
    <mergeCell ref="CJ18:CJ19"/>
    <mergeCell ref="CK18:CK19"/>
    <mergeCell ref="CL18:CL19"/>
    <mergeCell ref="BL18:BL19"/>
    <mergeCell ref="BM18:BM19"/>
    <mergeCell ref="BP18:BP19"/>
    <mergeCell ref="BQ18:BQ19"/>
    <mergeCell ref="BW18:BW19"/>
    <mergeCell ref="BX18:BX19"/>
    <mergeCell ref="BF18:BF19"/>
    <mergeCell ref="BG18:BG19"/>
    <mergeCell ref="BH18:BH19"/>
    <mergeCell ref="BI18:BI19"/>
    <mergeCell ref="BJ18:BJ19"/>
    <mergeCell ref="BK18:BK19"/>
    <mergeCell ref="DN18:DN19"/>
    <mergeCell ref="DO18:DO19"/>
    <mergeCell ref="DP18:DP19"/>
    <mergeCell ref="DQ18:DQ19"/>
    <mergeCell ref="DR18:DR19"/>
    <mergeCell ref="DS18:DS19"/>
    <mergeCell ref="CZ18:CZ19"/>
    <mergeCell ref="DA18:DA19"/>
    <mergeCell ref="DB18:DB19"/>
    <mergeCell ref="DC18:DC19"/>
    <mergeCell ref="DL18:DL19"/>
    <mergeCell ref="DM18:DM19"/>
    <mergeCell ref="CM18:CM19"/>
    <mergeCell ref="CN18:CN19"/>
    <mergeCell ref="CO18:CO19"/>
    <mergeCell ref="CP18:CP19"/>
    <mergeCell ref="CS18:CS19"/>
    <mergeCell ref="CT18:CT19"/>
    <mergeCell ref="EV18:EV19"/>
    <mergeCell ref="EW18:EW19"/>
    <mergeCell ref="EZ18:EZ19"/>
    <mergeCell ref="FA18:FA19"/>
    <mergeCell ref="FG18:FG19"/>
    <mergeCell ref="FH18:FH19"/>
    <mergeCell ref="EP18:EP19"/>
    <mergeCell ref="EQ18:EQ19"/>
    <mergeCell ref="ER18:ER19"/>
    <mergeCell ref="ES18:ES19"/>
    <mergeCell ref="ET18:ET19"/>
    <mergeCell ref="EU18:EU19"/>
    <mergeCell ref="DV18:DV19"/>
    <mergeCell ref="DW18:DW19"/>
    <mergeCell ref="ED18:ED19"/>
    <mergeCell ref="EE18:EE19"/>
    <mergeCell ref="EF18:EF19"/>
    <mergeCell ref="EG18:EG19"/>
    <mergeCell ref="GJ18:GJ19"/>
    <mergeCell ref="GK18:GK19"/>
    <mergeCell ref="GL18:GL19"/>
    <mergeCell ref="GM18:GM19"/>
    <mergeCell ref="GV18:GV19"/>
    <mergeCell ref="GW18:GW19"/>
    <mergeCell ref="FW18:FW19"/>
    <mergeCell ref="FX18:FX19"/>
    <mergeCell ref="FY18:FY19"/>
    <mergeCell ref="FZ18:FZ19"/>
    <mergeCell ref="GC18:GC19"/>
    <mergeCell ref="GD18:GD19"/>
    <mergeCell ref="FI18:FI19"/>
    <mergeCell ref="FJ18:FJ19"/>
    <mergeCell ref="FS18:FS19"/>
    <mergeCell ref="FT18:FT19"/>
    <mergeCell ref="FU18:FU19"/>
    <mergeCell ref="FV18:FV19"/>
    <mergeCell ref="IE18:IE19"/>
    <mergeCell ref="IF18:IF19"/>
    <mergeCell ref="II18:II19"/>
    <mergeCell ref="IJ18:IJ19"/>
    <mergeCell ref="HY18:HY19"/>
    <mergeCell ref="HZ18:HZ19"/>
    <mergeCell ref="IA18:IA19"/>
    <mergeCell ref="IB18:IB19"/>
    <mergeCell ref="IC18:IC19"/>
    <mergeCell ref="ID18:ID19"/>
    <mergeCell ref="HF18:HF19"/>
    <mergeCell ref="HG18:HG19"/>
    <mergeCell ref="HM18:HM19"/>
    <mergeCell ref="HN18:HN19"/>
    <mergeCell ref="HO18:HO19"/>
    <mergeCell ref="HP18:HP19"/>
    <mergeCell ref="GX18:GX19"/>
    <mergeCell ref="GY18:GY19"/>
    <mergeCell ref="GZ18:GZ19"/>
    <mergeCell ref="HA18:HA19"/>
    <mergeCell ref="HB18:HB19"/>
    <mergeCell ref="HC18:HC19"/>
    <mergeCell ref="AM20:AM21"/>
    <mergeCell ref="AN20:AN21"/>
    <mergeCell ref="AT20:AT21"/>
    <mergeCell ref="AU20:AU21"/>
    <mergeCell ref="AV20:AV21"/>
    <mergeCell ref="AW20:AW21"/>
    <mergeCell ref="AE20:AE21"/>
    <mergeCell ref="AF20:AF21"/>
    <mergeCell ref="AG20:AG21"/>
    <mergeCell ref="AH20:AH21"/>
    <mergeCell ref="AI20:AI21"/>
    <mergeCell ref="AJ20:AJ21"/>
    <mergeCell ref="Q20:Q21"/>
    <mergeCell ref="R20:R21"/>
    <mergeCell ref="S20:S21"/>
    <mergeCell ref="T20:T21"/>
    <mergeCell ref="AC20:AC21"/>
    <mergeCell ref="AD20:AD21"/>
    <mergeCell ref="BY20:BY21"/>
    <mergeCell ref="BZ20:BZ21"/>
    <mergeCell ref="CI20:CI21"/>
    <mergeCell ref="CJ20:CJ21"/>
    <mergeCell ref="CK20:CK21"/>
    <mergeCell ref="CL20:CL21"/>
    <mergeCell ref="BL20:BL21"/>
    <mergeCell ref="BM20:BM21"/>
    <mergeCell ref="BP20:BP21"/>
    <mergeCell ref="BQ20:BQ21"/>
    <mergeCell ref="BW20:BW21"/>
    <mergeCell ref="BX20:BX21"/>
    <mergeCell ref="BF20:BF21"/>
    <mergeCell ref="BG20:BG21"/>
    <mergeCell ref="BH20:BH21"/>
    <mergeCell ref="BI20:BI21"/>
    <mergeCell ref="BJ20:BJ21"/>
    <mergeCell ref="BK20:BK21"/>
    <mergeCell ref="DN20:DN21"/>
    <mergeCell ref="DO20:DO21"/>
    <mergeCell ref="DP20:DP21"/>
    <mergeCell ref="DQ20:DQ21"/>
    <mergeCell ref="DR20:DR21"/>
    <mergeCell ref="DS20:DS21"/>
    <mergeCell ref="CZ20:CZ21"/>
    <mergeCell ref="DA20:DA21"/>
    <mergeCell ref="DB20:DB21"/>
    <mergeCell ref="DC20:DC21"/>
    <mergeCell ref="DL20:DL21"/>
    <mergeCell ref="DM20:DM21"/>
    <mergeCell ref="CM20:CM21"/>
    <mergeCell ref="CN20:CN21"/>
    <mergeCell ref="CO20:CO21"/>
    <mergeCell ref="CP20:CP21"/>
    <mergeCell ref="CS20:CS21"/>
    <mergeCell ref="CT20:CT21"/>
    <mergeCell ref="EV20:EV21"/>
    <mergeCell ref="EW20:EW21"/>
    <mergeCell ref="EZ20:EZ21"/>
    <mergeCell ref="FA20:FA21"/>
    <mergeCell ref="FG20:FG21"/>
    <mergeCell ref="FH20:FH21"/>
    <mergeCell ref="EP20:EP21"/>
    <mergeCell ref="EQ20:EQ21"/>
    <mergeCell ref="ER20:ER21"/>
    <mergeCell ref="ES20:ES21"/>
    <mergeCell ref="ET20:ET21"/>
    <mergeCell ref="EU20:EU21"/>
    <mergeCell ref="DV20:DV21"/>
    <mergeCell ref="DW20:DW21"/>
    <mergeCell ref="ED20:ED21"/>
    <mergeCell ref="EE20:EE21"/>
    <mergeCell ref="EF20:EF21"/>
    <mergeCell ref="EG20:EG21"/>
    <mergeCell ref="GJ20:GJ21"/>
    <mergeCell ref="GK20:GK21"/>
    <mergeCell ref="GL20:GL21"/>
    <mergeCell ref="GM20:GM21"/>
    <mergeCell ref="GV20:GV21"/>
    <mergeCell ref="GW20:GW21"/>
    <mergeCell ref="FW20:FW21"/>
    <mergeCell ref="FX20:FX21"/>
    <mergeCell ref="FY20:FY21"/>
    <mergeCell ref="FZ20:FZ21"/>
    <mergeCell ref="GC20:GC21"/>
    <mergeCell ref="GD20:GD21"/>
    <mergeCell ref="FI20:FI21"/>
    <mergeCell ref="FJ20:FJ21"/>
    <mergeCell ref="FS20:FS21"/>
    <mergeCell ref="FT20:FT21"/>
    <mergeCell ref="FU20:FU21"/>
    <mergeCell ref="FV20:FV21"/>
    <mergeCell ref="IE20:IE21"/>
    <mergeCell ref="IF20:IF21"/>
    <mergeCell ref="II20:II21"/>
    <mergeCell ref="IJ20:IJ21"/>
    <mergeCell ref="HY20:HY21"/>
    <mergeCell ref="HZ20:HZ21"/>
    <mergeCell ref="IA20:IA21"/>
    <mergeCell ref="IB20:IB21"/>
    <mergeCell ref="IC20:IC21"/>
    <mergeCell ref="ID20:ID21"/>
    <mergeCell ref="HF20:HF21"/>
    <mergeCell ref="HG20:HG21"/>
    <mergeCell ref="HM20:HM21"/>
    <mergeCell ref="HN20:HN21"/>
    <mergeCell ref="HO20:HO21"/>
    <mergeCell ref="HP20:HP21"/>
    <mergeCell ref="GX20:GX21"/>
    <mergeCell ref="GY20:GY21"/>
    <mergeCell ref="GZ20:GZ21"/>
    <mergeCell ref="HA20:HA21"/>
    <mergeCell ref="HB20:HB21"/>
    <mergeCell ref="HC20:HC21"/>
    <mergeCell ref="AM22:AM23"/>
    <mergeCell ref="AN22:AN23"/>
    <mergeCell ref="AT22:AT23"/>
    <mergeCell ref="AU22:AU23"/>
    <mergeCell ref="AV22:AV23"/>
    <mergeCell ref="AW22:AW23"/>
    <mergeCell ref="AE22:AE23"/>
    <mergeCell ref="AF22:AF23"/>
    <mergeCell ref="AG22:AG23"/>
    <mergeCell ref="AH22:AH23"/>
    <mergeCell ref="AI22:AI23"/>
    <mergeCell ref="AJ22:AJ23"/>
    <mergeCell ref="Q22:Q23"/>
    <mergeCell ref="R22:R23"/>
    <mergeCell ref="S22:S23"/>
    <mergeCell ref="T22:T23"/>
    <mergeCell ref="AC22:AC23"/>
    <mergeCell ref="AD22:AD23"/>
    <mergeCell ref="BY22:BY23"/>
    <mergeCell ref="BZ22:BZ23"/>
    <mergeCell ref="CI22:CI23"/>
    <mergeCell ref="CJ22:CJ23"/>
    <mergeCell ref="CK22:CK23"/>
    <mergeCell ref="CL22:CL23"/>
    <mergeCell ref="BL22:BL23"/>
    <mergeCell ref="BM22:BM23"/>
    <mergeCell ref="BP22:BP23"/>
    <mergeCell ref="BQ22:BQ23"/>
    <mergeCell ref="BW22:BW23"/>
    <mergeCell ref="BX22:BX23"/>
    <mergeCell ref="BF22:BF23"/>
    <mergeCell ref="BG22:BG23"/>
    <mergeCell ref="BH22:BH23"/>
    <mergeCell ref="BI22:BI23"/>
    <mergeCell ref="BJ22:BJ23"/>
    <mergeCell ref="BK22:BK23"/>
    <mergeCell ref="DN22:DN23"/>
    <mergeCell ref="DO22:DO23"/>
    <mergeCell ref="DP22:DP23"/>
    <mergeCell ref="DQ22:DQ23"/>
    <mergeCell ref="DR22:DR23"/>
    <mergeCell ref="DS22:DS23"/>
    <mergeCell ref="CZ22:CZ23"/>
    <mergeCell ref="DA22:DA23"/>
    <mergeCell ref="DB22:DB23"/>
    <mergeCell ref="DC22:DC23"/>
    <mergeCell ref="DL22:DL23"/>
    <mergeCell ref="DM22:DM23"/>
    <mergeCell ref="CM22:CM23"/>
    <mergeCell ref="CN22:CN23"/>
    <mergeCell ref="CO22:CO23"/>
    <mergeCell ref="CP22:CP23"/>
    <mergeCell ref="CS22:CS23"/>
    <mergeCell ref="CT22:CT23"/>
    <mergeCell ref="EV22:EV23"/>
    <mergeCell ref="EW22:EW23"/>
    <mergeCell ref="EZ22:EZ23"/>
    <mergeCell ref="FA22:FA23"/>
    <mergeCell ref="FG22:FG23"/>
    <mergeCell ref="FH22:FH23"/>
    <mergeCell ref="EP22:EP23"/>
    <mergeCell ref="EQ22:EQ23"/>
    <mergeCell ref="ER22:ER23"/>
    <mergeCell ref="ES22:ES23"/>
    <mergeCell ref="ET22:ET23"/>
    <mergeCell ref="EU22:EU23"/>
    <mergeCell ref="DV22:DV23"/>
    <mergeCell ref="DW22:DW23"/>
    <mergeCell ref="ED22:ED23"/>
    <mergeCell ref="EE22:EE23"/>
    <mergeCell ref="EF22:EF23"/>
    <mergeCell ref="EG22:EG23"/>
    <mergeCell ref="GJ22:GJ23"/>
    <mergeCell ref="GK22:GK23"/>
    <mergeCell ref="GL22:GL23"/>
    <mergeCell ref="GM22:GM23"/>
    <mergeCell ref="GV22:GV23"/>
    <mergeCell ref="GW22:GW23"/>
    <mergeCell ref="FW22:FW23"/>
    <mergeCell ref="FX22:FX23"/>
    <mergeCell ref="FY22:FY23"/>
    <mergeCell ref="FZ22:FZ23"/>
    <mergeCell ref="GC22:GC23"/>
    <mergeCell ref="GD22:GD23"/>
    <mergeCell ref="FI22:FI23"/>
    <mergeCell ref="FJ22:FJ23"/>
    <mergeCell ref="FS22:FS23"/>
    <mergeCell ref="FT22:FT23"/>
    <mergeCell ref="FU22:FU23"/>
    <mergeCell ref="FV22:FV23"/>
    <mergeCell ref="IE22:IE23"/>
    <mergeCell ref="IF22:IF23"/>
    <mergeCell ref="II22:II23"/>
    <mergeCell ref="IJ22:IJ23"/>
    <mergeCell ref="HY22:HY23"/>
    <mergeCell ref="HZ22:HZ23"/>
    <mergeCell ref="IA22:IA23"/>
    <mergeCell ref="IB22:IB23"/>
    <mergeCell ref="IC22:IC23"/>
    <mergeCell ref="ID22:ID23"/>
    <mergeCell ref="HF22:HF23"/>
    <mergeCell ref="HG22:HG23"/>
    <mergeCell ref="HM22:HM23"/>
    <mergeCell ref="HN22:HN23"/>
    <mergeCell ref="HO22:HO23"/>
    <mergeCell ref="HP22:HP23"/>
    <mergeCell ref="GX22:GX23"/>
    <mergeCell ref="GY22:GY23"/>
    <mergeCell ref="GZ22:GZ23"/>
    <mergeCell ref="HA22:HA23"/>
    <mergeCell ref="HB22:HB23"/>
    <mergeCell ref="HC22:HC23"/>
    <mergeCell ref="AM24:AM25"/>
    <mergeCell ref="AN24:AN25"/>
    <mergeCell ref="AT24:AT25"/>
    <mergeCell ref="AU24:AU25"/>
    <mergeCell ref="AV24:AV25"/>
    <mergeCell ref="AW24:AW25"/>
    <mergeCell ref="AE24:AE25"/>
    <mergeCell ref="AF24:AF25"/>
    <mergeCell ref="AG24:AG25"/>
    <mergeCell ref="AH24:AH25"/>
    <mergeCell ref="AI24:AI25"/>
    <mergeCell ref="AJ24:AJ25"/>
    <mergeCell ref="Q24:Q25"/>
    <mergeCell ref="R24:R25"/>
    <mergeCell ref="S24:S25"/>
    <mergeCell ref="T24:T25"/>
    <mergeCell ref="AC24:AC25"/>
    <mergeCell ref="AD24:AD25"/>
    <mergeCell ref="BY24:BY25"/>
    <mergeCell ref="BZ24:BZ25"/>
    <mergeCell ref="CI24:CI25"/>
    <mergeCell ref="CJ24:CJ25"/>
    <mergeCell ref="CK24:CK25"/>
    <mergeCell ref="CL24:CL25"/>
    <mergeCell ref="BL24:BL25"/>
    <mergeCell ref="BM24:BM25"/>
    <mergeCell ref="BP24:BP25"/>
    <mergeCell ref="BQ24:BQ25"/>
    <mergeCell ref="BW24:BW25"/>
    <mergeCell ref="BX24:BX25"/>
    <mergeCell ref="BF24:BF25"/>
    <mergeCell ref="BG24:BG25"/>
    <mergeCell ref="BH24:BH25"/>
    <mergeCell ref="BI24:BI25"/>
    <mergeCell ref="BJ24:BJ25"/>
    <mergeCell ref="BK24:BK25"/>
    <mergeCell ref="DN24:DN25"/>
    <mergeCell ref="DO24:DO25"/>
    <mergeCell ref="DP24:DP25"/>
    <mergeCell ref="DQ24:DQ25"/>
    <mergeCell ref="DR24:DR25"/>
    <mergeCell ref="DS24:DS25"/>
    <mergeCell ref="CZ24:CZ25"/>
    <mergeCell ref="DA24:DA25"/>
    <mergeCell ref="DB24:DB25"/>
    <mergeCell ref="DC24:DC25"/>
    <mergeCell ref="DL24:DL25"/>
    <mergeCell ref="DM24:DM25"/>
    <mergeCell ref="CM24:CM25"/>
    <mergeCell ref="CN24:CN25"/>
    <mergeCell ref="CO24:CO25"/>
    <mergeCell ref="CP24:CP25"/>
    <mergeCell ref="CS24:CS25"/>
    <mergeCell ref="CT24:CT25"/>
    <mergeCell ref="EV24:EV25"/>
    <mergeCell ref="EW24:EW25"/>
    <mergeCell ref="EZ24:EZ25"/>
    <mergeCell ref="FA24:FA25"/>
    <mergeCell ref="FG24:FG25"/>
    <mergeCell ref="FH24:FH25"/>
    <mergeCell ref="EP24:EP25"/>
    <mergeCell ref="EQ24:EQ25"/>
    <mergeCell ref="ER24:ER25"/>
    <mergeCell ref="ES24:ES25"/>
    <mergeCell ref="ET24:ET25"/>
    <mergeCell ref="EU24:EU25"/>
    <mergeCell ref="DV24:DV25"/>
    <mergeCell ref="DW24:DW25"/>
    <mergeCell ref="ED24:ED25"/>
    <mergeCell ref="EE24:EE25"/>
    <mergeCell ref="EF24:EF25"/>
    <mergeCell ref="EG24:EG25"/>
    <mergeCell ref="GJ24:GJ25"/>
    <mergeCell ref="GK24:GK25"/>
    <mergeCell ref="GL24:GL25"/>
    <mergeCell ref="GM24:GM25"/>
    <mergeCell ref="GV24:GV25"/>
    <mergeCell ref="GW24:GW25"/>
    <mergeCell ref="FW24:FW25"/>
    <mergeCell ref="FX24:FX25"/>
    <mergeCell ref="FY24:FY25"/>
    <mergeCell ref="FZ24:FZ25"/>
    <mergeCell ref="GC24:GC25"/>
    <mergeCell ref="GD24:GD25"/>
    <mergeCell ref="FI24:FI25"/>
    <mergeCell ref="FJ24:FJ25"/>
    <mergeCell ref="FS24:FS25"/>
    <mergeCell ref="FT24:FT25"/>
    <mergeCell ref="FU24:FU25"/>
    <mergeCell ref="FV24:FV25"/>
    <mergeCell ref="IE24:IE25"/>
    <mergeCell ref="IF24:IF25"/>
    <mergeCell ref="II24:II25"/>
    <mergeCell ref="IJ24:IJ25"/>
    <mergeCell ref="HY24:HY25"/>
    <mergeCell ref="HZ24:HZ25"/>
    <mergeCell ref="IA24:IA25"/>
    <mergeCell ref="IB24:IB25"/>
    <mergeCell ref="IC24:IC25"/>
    <mergeCell ref="ID24:ID25"/>
    <mergeCell ref="HF24:HF25"/>
    <mergeCell ref="HG24:HG25"/>
    <mergeCell ref="HM24:HM25"/>
    <mergeCell ref="HN24:HN25"/>
    <mergeCell ref="HO24:HO25"/>
    <mergeCell ref="HP24:HP25"/>
    <mergeCell ref="GX24:GX25"/>
    <mergeCell ref="GY24:GY25"/>
    <mergeCell ref="GZ24:GZ25"/>
    <mergeCell ref="HA24:HA25"/>
    <mergeCell ref="HB24:HB25"/>
    <mergeCell ref="HC24:HC25"/>
    <mergeCell ref="AM26:AM27"/>
    <mergeCell ref="AN26:AN27"/>
    <mergeCell ref="AT26:AT27"/>
    <mergeCell ref="AU26:AU27"/>
    <mergeCell ref="AV26:AV27"/>
    <mergeCell ref="AW26:AW27"/>
    <mergeCell ref="AE26:AE27"/>
    <mergeCell ref="AF26:AF27"/>
    <mergeCell ref="AG26:AG27"/>
    <mergeCell ref="AH26:AH27"/>
    <mergeCell ref="AI26:AI27"/>
    <mergeCell ref="AJ26:AJ27"/>
    <mergeCell ref="Q26:Q27"/>
    <mergeCell ref="R26:R27"/>
    <mergeCell ref="S26:S27"/>
    <mergeCell ref="T26:T27"/>
    <mergeCell ref="AC26:AC27"/>
    <mergeCell ref="AD26:AD27"/>
    <mergeCell ref="BY26:BY27"/>
    <mergeCell ref="BZ26:BZ27"/>
    <mergeCell ref="CI26:CI27"/>
    <mergeCell ref="CJ26:CJ27"/>
    <mergeCell ref="CK26:CK27"/>
    <mergeCell ref="CL26:CL27"/>
    <mergeCell ref="BL26:BL27"/>
    <mergeCell ref="BM26:BM27"/>
    <mergeCell ref="BP26:BP27"/>
    <mergeCell ref="BQ26:BQ27"/>
    <mergeCell ref="BW26:BW27"/>
    <mergeCell ref="BX26:BX27"/>
    <mergeCell ref="BF26:BF27"/>
    <mergeCell ref="BG26:BG27"/>
    <mergeCell ref="BH26:BH27"/>
    <mergeCell ref="BI26:BI27"/>
    <mergeCell ref="BJ26:BJ27"/>
    <mergeCell ref="BK26:BK27"/>
    <mergeCell ref="DN26:DN27"/>
    <mergeCell ref="DO26:DO27"/>
    <mergeCell ref="DP26:DP27"/>
    <mergeCell ref="DQ26:DQ27"/>
    <mergeCell ref="DR26:DR27"/>
    <mergeCell ref="DS26:DS27"/>
    <mergeCell ref="CZ26:CZ27"/>
    <mergeCell ref="DA26:DA27"/>
    <mergeCell ref="DB26:DB27"/>
    <mergeCell ref="DC26:DC27"/>
    <mergeCell ref="DL26:DL27"/>
    <mergeCell ref="DM26:DM27"/>
    <mergeCell ref="CM26:CM27"/>
    <mergeCell ref="CN26:CN27"/>
    <mergeCell ref="CO26:CO27"/>
    <mergeCell ref="CP26:CP27"/>
    <mergeCell ref="CS26:CS27"/>
    <mergeCell ref="CT26:CT27"/>
    <mergeCell ref="EV26:EV27"/>
    <mergeCell ref="EW26:EW27"/>
    <mergeCell ref="EZ26:EZ27"/>
    <mergeCell ref="FA26:FA27"/>
    <mergeCell ref="FG26:FG27"/>
    <mergeCell ref="FH26:FH27"/>
    <mergeCell ref="EP26:EP27"/>
    <mergeCell ref="EQ26:EQ27"/>
    <mergeCell ref="ER26:ER27"/>
    <mergeCell ref="ES26:ES27"/>
    <mergeCell ref="ET26:ET27"/>
    <mergeCell ref="EU26:EU27"/>
    <mergeCell ref="DV26:DV27"/>
    <mergeCell ref="DW26:DW27"/>
    <mergeCell ref="ED26:ED27"/>
    <mergeCell ref="EE26:EE27"/>
    <mergeCell ref="EF26:EF27"/>
    <mergeCell ref="EG26:EG27"/>
    <mergeCell ref="GJ26:GJ27"/>
    <mergeCell ref="GK26:GK27"/>
    <mergeCell ref="GL26:GL27"/>
    <mergeCell ref="GM26:GM27"/>
    <mergeCell ref="GV26:GV27"/>
    <mergeCell ref="GW26:GW27"/>
    <mergeCell ref="FW26:FW27"/>
    <mergeCell ref="FX26:FX27"/>
    <mergeCell ref="FY26:FY27"/>
    <mergeCell ref="FZ26:FZ27"/>
    <mergeCell ref="GC26:GC27"/>
    <mergeCell ref="GD26:GD27"/>
    <mergeCell ref="FI26:FI27"/>
    <mergeCell ref="FJ26:FJ27"/>
    <mergeCell ref="FS26:FS27"/>
    <mergeCell ref="FT26:FT27"/>
    <mergeCell ref="FU26:FU27"/>
    <mergeCell ref="FV26:FV27"/>
    <mergeCell ref="IE26:IE27"/>
    <mergeCell ref="IF26:IF27"/>
    <mergeCell ref="II26:II27"/>
    <mergeCell ref="IJ26:IJ27"/>
    <mergeCell ref="HY26:HY27"/>
    <mergeCell ref="HZ26:HZ27"/>
    <mergeCell ref="IA26:IA27"/>
    <mergeCell ref="IB26:IB27"/>
    <mergeCell ref="IC26:IC27"/>
    <mergeCell ref="ID26:ID27"/>
    <mergeCell ref="HF26:HF27"/>
    <mergeCell ref="HG26:HG27"/>
    <mergeCell ref="HM26:HM27"/>
    <mergeCell ref="HN26:HN27"/>
    <mergeCell ref="HO26:HO27"/>
    <mergeCell ref="HP26:HP27"/>
    <mergeCell ref="GX26:GX27"/>
    <mergeCell ref="GY26:GY27"/>
    <mergeCell ref="GZ26:GZ27"/>
    <mergeCell ref="HA26:HA27"/>
    <mergeCell ref="HB26:HB27"/>
    <mergeCell ref="HC26:HC27"/>
    <mergeCell ref="AM28:AM29"/>
    <mergeCell ref="AN28:AN29"/>
    <mergeCell ref="AT28:AT29"/>
    <mergeCell ref="AU28:AU29"/>
    <mergeCell ref="AV28:AV29"/>
    <mergeCell ref="AW28:AW29"/>
    <mergeCell ref="AE28:AE29"/>
    <mergeCell ref="AF28:AF29"/>
    <mergeCell ref="AG28:AG29"/>
    <mergeCell ref="AH28:AH29"/>
    <mergeCell ref="AI28:AI29"/>
    <mergeCell ref="AJ28:AJ29"/>
    <mergeCell ref="Q28:Q29"/>
    <mergeCell ref="R28:R29"/>
    <mergeCell ref="S28:S29"/>
    <mergeCell ref="T28:T29"/>
    <mergeCell ref="AC28:AC29"/>
    <mergeCell ref="AD28:AD29"/>
    <mergeCell ref="BY28:BY29"/>
    <mergeCell ref="BZ28:BZ29"/>
    <mergeCell ref="CI28:CI29"/>
    <mergeCell ref="CJ28:CJ29"/>
    <mergeCell ref="CK28:CK29"/>
    <mergeCell ref="CL28:CL29"/>
    <mergeCell ref="BL28:BL29"/>
    <mergeCell ref="BM28:BM29"/>
    <mergeCell ref="BP28:BP29"/>
    <mergeCell ref="BQ28:BQ29"/>
    <mergeCell ref="BW28:BW29"/>
    <mergeCell ref="BX28:BX29"/>
    <mergeCell ref="BF28:BF29"/>
    <mergeCell ref="BG28:BG29"/>
    <mergeCell ref="BH28:BH29"/>
    <mergeCell ref="BI28:BI29"/>
    <mergeCell ref="BJ28:BJ29"/>
    <mergeCell ref="BK28:BK29"/>
    <mergeCell ref="DN28:DN29"/>
    <mergeCell ref="DO28:DO29"/>
    <mergeCell ref="DP28:DP29"/>
    <mergeCell ref="DQ28:DQ29"/>
    <mergeCell ref="DR28:DR29"/>
    <mergeCell ref="DS28:DS29"/>
    <mergeCell ref="CZ28:CZ29"/>
    <mergeCell ref="DA28:DA29"/>
    <mergeCell ref="DB28:DB29"/>
    <mergeCell ref="DC28:DC29"/>
    <mergeCell ref="DL28:DL29"/>
    <mergeCell ref="DM28:DM29"/>
    <mergeCell ref="CM28:CM29"/>
    <mergeCell ref="CN28:CN29"/>
    <mergeCell ref="CO28:CO29"/>
    <mergeCell ref="CP28:CP29"/>
    <mergeCell ref="CS28:CS29"/>
    <mergeCell ref="CT28:CT29"/>
    <mergeCell ref="EV28:EV29"/>
    <mergeCell ref="EW28:EW29"/>
    <mergeCell ref="EZ28:EZ29"/>
    <mergeCell ref="FA28:FA29"/>
    <mergeCell ref="FG28:FG29"/>
    <mergeCell ref="FH28:FH29"/>
    <mergeCell ref="EP28:EP29"/>
    <mergeCell ref="EQ28:EQ29"/>
    <mergeCell ref="ER28:ER29"/>
    <mergeCell ref="ES28:ES29"/>
    <mergeCell ref="ET28:ET29"/>
    <mergeCell ref="EU28:EU29"/>
    <mergeCell ref="DV28:DV29"/>
    <mergeCell ref="DW28:DW29"/>
    <mergeCell ref="ED28:ED29"/>
    <mergeCell ref="EE28:EE29"/>
    <mergeCell ref="EF28:EF29"/>
    <mergeCell ref="EG28:EG29"/>
    <mergeCell ref="GJ28:GJ29"/>
    <mergeCell ref="GK28:GK29"/>
    <mergeCell ref="GL28:GL29"/>
    <mergeCell ref="GM28:GM29"/>
    <mergeCell ref="GV28:GV29"/>
    <mergeCell ref="GW28:GW29"/>
    <mergeCell ref="FW28:FW29"/>
    <mergeCell ref="FX28:FX29"/>
    <mergeCell ref="FY28:FY29"/>
    <mergeCell ref="FZ28:FZ29"/>
    <mergeCell ref="GC28:GC29"/>
    <mergeCell ref="GD28:GD29"/>
    <mergeCell ref="FI28:FI29"/>
    <mergeCell ref="FJ28:FJ29"/>
    <mergeCell ref="FS28:FS29"/>
    <mergeCell ref="FT28:FT29"/>
    <mergeCell ref="FU28:FU29"/>
    <mergeCell ref="FV28:FV29"/>
    <mergeCell ref="IE28:IE29"/>
    <mergeCell ref="IF28:IF29"/>
    <mergeCell ref="II28:II29"/>
    <mergeCell ref="IJ28:IJ29"/>
    <mergeCell ref="HY28:HY29"/>
    <mergeCell ref="HZ28:HZ29"/>
    <mergeCell ref="IA28:IA29"/>
    <mergeCell ref="IB28:IB29"/>
    <mergeCell ref="IC28:IC29"/>
    <mergeCell ref="ID28:ID29"/>
    <mergeCell ref="HF28:HF29"/>
    <mergeCell ref="HG28:HG29"/>
    <mergeCell ref="HM28:HM29"/>
    <mergeCell ref="HN28:HN29"/>
    <mergeCell ref="HO28:HO29"/>
    <mergeCell ref="HP28:HP29"/>
    <mergeCell ref="GX28:GX29"/>
    <mergeCell ref="GY28:GY29"/>
    <mergeCell ref="GZ28:GZ29"/>
    <mergeCell ref="HA28:HA29"/>
    <mergeCell ref="HB28:HB29"/>
    <mergeCell ref="HC28:HC29"/>
    <mergeCell ref="AM30:AM31"/>
    <mergeCell ref="AN30:AN31"/>
    <mergeCell ref="AT30:AT31"/>
    <mergeCell ref="AU30:AU31"/>
    <mergeCell ref="AV30:AV31"/>
    <mergeCell ref="AW30:AW31"/>
    <mergeCell ref="AE30:AE31"/>
    <mergeCell ref="AF30:AF31"/>
    <mergeCell ref="AG30:AG31"/>
    <mergeCell ref="AH30:AH31"/>
    <mergeCell ref="AI30:AI31"/>
    <mergeCell ref="AJ30:AJ31"/>
    <mergeCell ref="Q30:Q31"/>
    <mergeCell ref="R30:R31"/>
    <mergeCell ref="S30:S31"/>
    <mergeCell ref="T30:T31"/>
    <mergeCell ref="AC30:AC31"/>
    <mergeCell ref="AD30:AD31"/>
    <mergeCell ref="BY30:BY31"/>
    <mergeCell ref="BZ30:BZ31"/>
    <mergeCell ref="CI30:CI31"/>
    <mergeCell ref="CJ30:CJ31"/>
    <mergeCell ref="CK30:CK31"/>
    <mergeCell ref="CL30:CL31"/>
    <mergeCell ref="BL30:BL31"/>
    <mergeCell ref="BM30:BM31"/>
    <mergeCell ref="BP30:BP31"/>
    <mergeCell ref="BQ30:BQ31"/>
    <mergeCell ref="BW30:BW31"/>
    <mergeCell ref="BX30:BX31"/>
    <mergeCell ref="BF30:BF31"/>
    <mergeCell ref="BG30:BG31"/>
    <mergeCell ref="BH30:BH31"/>
    <mergeCell ref="BI30:BI31"/>
    <mergeCell ref="BJ30:BJ31"/>
    <mergeCell ref="BK30:BK31"/>
    <mergeCell ref="DN30:DN31"/>
    <mergeCell ref="DO30:DO31"/>
    <mergeCell ref="DP30:DP31"/>
    <mergeCell ref="DQ30:DQ31"/>
    <mergeCell ref="DR30:DR31"/>
    <mergeCell ref="DS30:DS31"/>
    <mergeCell ref="CZ30:CZ31"/>
    <mergeCell ref="DA30:DA31"/>
    <mergeCell ref="DB30:DB31"/>
    <mergeCell ref="DC30:DC31"/>
    <mergeCell ref="DL30:DL31"/>
    <mergeCell ref="DM30:DM31"/>
    <mergeCell ref="CM30:CM31"/>
    <mergeCell ref="CN30:CN31"/>
    <mergeCell ref="CO30:CO31"/>
    <mergeCell ref="CP30:CP31"/>
    <mergeCell ref="CS30:CS31"/>
    <mergeCell ref="CT30:CT31"/>
    <mergeCell ref="EV30:EV31"/>
    <mergeCell ref="EW30:EW31"/>
    <mergeCell ref="EZ30:EZ31"/>
    <mergeCell ref="FA30:FA31"/>
    <mergeCell ref="FG30:FG31"/>
    <mergeCell ref="FH30:FH31"/>
    <mergeCell ref="EP30:EP31"/>
    <mergeCell ref="EQ30:EQ31"/>
    <mergeCell ref="ER30:ER31"/>
    <mergeCell ref="ES30:ES31"/>
    <mergeCell ref="ET30:ET31"/>
    <mergeCell ref="EU30:EU31"/>
    <mergeCell ref="DV30:DV31"/>
    <mergeCell ref="DW30:DW31"/>
    <mergeCell ref="ED30:ED31"/>
    <mergeCell ref="EE30:EE31"/>
    <mergeCell ref="EF30:EF31"/>
    <mergeCell ref="EG30:EG31"/>
    <mergeCell ref="GJ30:GJ31"/>
    <mergeCell ref="GK30:GK31"/>
    <mergeCell ref="GL30:GL31"/>
    <mergeCell ref="GM30:GM31"/>
    <mergeCell ref="GV30:GV31"/>
    <mergeCell ref="GW30:GW31"/>
    <mergeCell ref="FW30:FW31"/>
    <mergeCell ref="FX30:FX31"/>
    <mergeCell ref="FY30:FY31"/>
    <mergeCell ref="FZ30:FZ31"/>
    <mergeCell ref="GC30:GC31"/>
    <mergeCell ref="GD30:GD31"/>
    <mergeCell ref="FI30:FI31"/>
    <mergeCell ref="FJ30:FJ31"/>
    <mergeCell ref="FS30:FS31"/>
    <mergeCell ref="FT30:FT31"/>
    <mergeCell ref="FU30:FU31"/>
    <mergeCell ref="FV30:FV31"/>
    <mergeCell ref="IE30:IE31"/>
    <mergeCell ref="IF30:IF31"/>
    <mergeCell ref="II30:II31"/>
    <mergeCell ref="IJ30:IJ31"/>
    <mergeCell ref="HY30:HY31"/>
    <mergeCell ref="HZ30:HZ31"/>
    <mergeCell ref="IA30:IA31"/>
    <mergeCell ref="IB30:IB31"/>
    <mergeCell ref="IC30:IC31"/>
    <mergeCell ref="ID30:ID31"/>
    <mergeCell ref="HF30:HF31"/>
    <mergeCell ref="HG30:HG31"/>
    <mergeCell ref="HM30:HM31"/>
    <mergeCell ref="HN30:HN31"/>
    <mergeCell ref="HO30:HO31"/>
    <mergeCell ref="HP30:HP31"/>
    <mergeCell ref="GX30:GX31"/>
    <mergeCell ref="GY30:GY31"/>
    <mergeCell ref="GZ30:GZ31"/>
    <mergeCell ref="HA30:HA31"/>
    <mergeCell ref="HB30:HB31"/>
    <mergeCell ref="HC30:HC31"/>
    <mergeCell ref="AM32:AM33"/>
    <mergeCell ref="AN32:AN33"/>
    <mergeCell ref="AT32:AT33"/>
    <mergeCell ref="AU32:AU33"/>
    <mergeCell ref="AV32:AV33"/>
    <mergeCell ref="AW32:AW33"/>
    <mergeCell ref="AE32:AE33"/>
    <mergeCell ref="AF32:AF33"/>
    <mergeCell ref="AG32:AG33"/>
    <mergeCell ref="AH32:AH33"/>
    <mergeCell ref="AI32:AI33"/>
    <mergeCell ref="AJ32:AJ33"/>
    <mergeCell ref="Q32:Q33"/>
    <mergeCell ref="R32:R33"/>
    <mergeCell ref="S32:S33"/>
    <mergeCell ref="T32:T33"/>
    <mergeCell ref="AC32:AC33"/>
    <mergeCell ref="AD32:AD33"/>
    <mergeCell ref="BY32:BY33"/>
    <mergeCell ref="BZ32:BZ33"/>
    <mergeCell ref="CI32:CI33"/>
    <mergeCell ref="CJ32:CJ33"/>
    <mergeCell ref="CK32:CK33"/>
    <mergeCell ref="CL32:CL33"/>
    <mergeCell ref="BL32:BL33"/>
    <mergeCell ref="BM32:BM33"/>
    <mergeCell ref="BP32:BP33"/>
    <mergeCell ref="BQ32:BQ33"/>
    <mergeCell ref="BW32:BW33"/>
    <mergeCell ref="BX32:BX33"/>
    <mergeCell ref="BF32:BF33"/>
    <mergeCell ref="BG32:BG33"/>
    <mergeCell ref="BH32:BH33"/>
    <mergeCell ref="BI32:BI33"/>
    <mergeCell ref="BJ32:BJ33"/>
    <mergeCell ref="BK32:BK33"/>
    <mergeCell ref="DN32:DN33"/>
    <mergeCell ref="DO32:DO33"/>
    <mergeCell ref="DP32:DP33"/>
    <mergeCell ref="DQ32:DQ33"/>
    <mergeCell ref="DR32:DR33"/>
    <mergeCell ref="DS32:DS33"/>
    <mergeCell ref="CZ32:CZ33"/>
    <mergeCell ref="DA32:DA33"/>
    <mergeCell ref="DB32:DB33"/>
    <mergeCell ref="DC32:DC33"/>
    <mergeCell ref="DL32:DL33"/>
    <mergeCell ref="DM32:DM33"/>
    <mergeCell ref="CM32:CM33"/>
    <mergeCell ref="CN32:CN33"/>
    <mergeCell ref="CO32:CO33"/>
    <mergeCell ref="CP32:CP33"/>
    <mergeCell ref="CS32:CS33"/>
    <mergeCell ref="CT32:CT33"/>
    <mergeCell ref="EV32:EV33"/>
    <mergeCell ref="EW32:EW33"/>
    <mergeCell ref="EZ32:EZ33"/>
    <mergeCell ref="FA32:FA33"/>
    <mergeCell ref="FG32:FG33"/>
    <mergeCell ref="FH32:FH33"/>
    <mergeCell ref="EP32:EP33"/>
    <mergeCell ref="EQ32:EQ33"/>
    <mergeCell ref="ER32:ER33"/>
    <mergeCell ref="ES32:ES33"/>
    <mergeCell ref="ET32:ET33"/>
    <mergeCell ref="EU32:EU33"/>
    <mergeCell ref="DV32:DV33"/>
    <mergeCell ref="DW32:DW33"/>
    <mergeCell ref="ED32:ED33"/>
    <mergeCell ref="EE32:EE33"/>
    <mergeCell ref="EF32:EF33"/>
    <mergeCell ref="EG32:EG33"/>
    <mergeCell ref="GJ32:GJ33"/>
    <mergeCell ref="GK32:GK33"/>
    <mergeCell ref="GL32:GL33"/>
    <mergeCell ref="GM32:GM33"/>
    <mergeCell ref="GV32:GV33"/>
    <mergeCell ref="GW32:GW33"/>
    <mergeCell ref="FW32:FW33"/>
    <mergeCell ref="FX32:FX33"/>
    <mergeCell ref="FY32:FY33"/>
    <mergeCell ref="FZ32:FZ33"/>
    <mergeCell ref="GC32:GC33"/>
    <mergeCell ref="GD32:GD33"/>
    <mergeCell ref="FI32:FI33"/>
    <mergeCell ref="FJ32:FJ33"/>
    <mergeCell ref="FS32:FS33"/>
    <mergeCell ref="FT32:FT33"/>
    <mergeCell ref="FU32:FU33"/>
    <mergeCell ref="FV32:FV33"/>
    <mergeCell ref="IE32:IE33"/>
    <mergeCell ref="IF32:IF33"/>
    <mergeCell ref="II32:II33"/>
    <mergeCell ref="IJ32:IJ33"/>
    <mergeCell ref="HY32:HY33"/>
    <mergeCell ref="HZ32:HZ33"/>
    <mergeCell ref="IA32:IA33"/>
    <mergeCell ref="IB32:IB33"/>
    <mergeCell ref="IC32:IC33"/>
    <mergeCell ref="ID32:ID33"/>
    <mergeCell ref="HF32:HF33"/>
    <mergeCell ref="HG32:HG33"/>
    <mergeCell ref="HM32:HM33"/>
    <mergeCell ref="HN32:HN33"/>
    <mergeCell ref="HO32:HO33"/>
    <mergeCell ref="HP32:HP33"/>
    <mergeCell ref="GX32:GX33"/>
    <mergeCell ref="GY32:GY33"/>
    <mergeCell ref="GZ32:GZ33"/>
    <mergeCell ref="HA32:HA33"/>
    <mergeCell ref="HB32:HB33"/>
    <mergeCell ref="HC32:HC33"/>
    <mergeCell ref="AM34:AM35"/>
    <mergeCell ref="AN34:AN35"/>
    <mergeCell ref="AT34:AT35"/>
    <mergeCell ref="AU34:AU35"/>
    <mergeCell ref="AV34:AV35"/>
    <mergeCell ref="AW34:AW35"/>
    <mergeCell ref="AE34:AE35"/>
    <mergeCell ref="AF34:AF35"/>
    <mergeCell ref="AG34:AG35"/>
    <mergeCell ref="AH34:AH35"/>
    <mergeCell ref="AI34:AI35"/>
    <mergeCell ref="AJ34:AJ35"/>
    <mergeCell ref="Q34:Q35"/>
    <mergeCell ref="R34:R35"/>
    <mergeCell ref="S34:S35"/>
    <mergeCell ref="T34:T35"/>
    <mergeCell ref="AC34:AC35"/>
    <mergeCell ref="AD34:AD35"/>
    <mergeCell ref="BY34:BY35"/>
    <mergeCell ref="BZ34:BZ35"/>
    <mergeCell ref="CI34:CI35"/>
    <mergeCell ref="CJ34:CJ35"/>
    <mergeCell ref="CK34:CK35"/>
    <mergeCell ref="CL34:CL35"/>
    <mergeCell ref="BL34:BL35"/>
    <mergeCell ref="BM34:BM35"/>
    <mergeCell ref="BP34:BP35"/>
    <mergeCell ref="BQ34:BQ35"/>
    <mergeCell ref="BW34:BW35"/>
    <mergeCell ref="BX34:BX35"/>
    <mergeCell ref="BF34:BF35"/>
    <mergeCell ref="BG34:BG35"/>
    <mergeCell ref="BH34:BH35"/>
    <mergeCell ref="BI34:BI35"/>
    <mergeCell ref="BJ34:BJ35"/>
    <mergeCell ref="BK34:BK35"/>
    <mergeCell ref="DN34:DN35"/>
    <mergeCell ref="DO34:DO35"/>
    <mergeCell ref="DP34:DP35"/>
    <mergeCell ref="DQ34:DQ35"/>
    <mergeCell ref="DR34:DR35"/>
    <mergeCell ref="DS34:DS35"/>
    <mergeCell ref="CZ34:CZ35"/>
    <mergeCell ref="DA34:DA35"/>
    <mergeCell ref="DB34:DB35"/>
    <mergeCell ref="DC34:DC35"/>
    <mergeCell ref="DL34:DL35"/>
    <mergeCell ref="DM34:DM35"/>
    <mergeCell ref="CM34:CM35"/>
    <mergeCell ref="CN34:CN35"/>
    <mergeCell ref="CO34:CO35"/>
    <mergeCell ref="CP34:CP35"/>
    <mergeCell ref="CS34:CS35"/>
    <mergeCell ref="CT34:CT35"/>
    <mergeCell ref="EV34:EV35"/>
    <mergeCell ref="EW34:EW35"/>
    <mergeCell ref="EZ34:EZ35"/>
    <mergeCell ref="FA34:FA35"/>
    <mergeCell ref="FG34:FG35"/>
    <mergeCell ref="FH34:FH35"/>
    <mergeCell ref="EP34:EP35"/>
    <mergeCell ref="EQ34:EQ35"/>
    <mergeCell ref="ER34:ER35"/>
    <mergeCell ref="ES34:ES35"/>
    <mergeCell ref="ET34:ET35"/>
    <mergeCell ref="EU34:EU35"/>
    <mergeCell ref="DV34:DV35"/>
    <mergeCell ref="DW34:DW35"/>
    <mergeCell ref="ED34:ED35"/>
    <mergeCell ref="EE34:EE35"/>
    <mergeCell ref="EF34:EF35"/>
    <mergeCell ref="EG34:EG35"/>
    <mergeCell ref="GJ34:GJ35"/>
    <mergeCell ref="GK34:GK35"/>
    <mergeCell ref="GL34:GL35"/>
    <mergeCell ref="GM34:GM35"/>
    <mergeCell ref="GV34:GV35"/>
    <mergeCell ref="GW34:GW35"/>
    <mergeCell ref="FW34:FW35"/>
    <mergeCell ref="FX34:FX35"/>
    <mergeCell ref="FY34:FY35"/>
    <mergeCell ref="FZ34:FZ35"/>
    <mergeCell ref="GC34:GC35"/>
    <mergeCell ref="GD34:GD35"/>
    <mergeCell ref="FI34:FI35"/>
    <mergeCell ref="FJ34:FJ35"/>
    <mergeCell ref="FS34:FS35"/>
    <mergeCell ref="FT34:FT35"/>
    <mergeCell ref="FU34:FU35"/>
    <mergeCell ref="FV34:FV35"/>
    <mergeCell ref="IE34:IE35"/>
    <mergeCell ref="IF34:IF35"/>
    <mergeCell ref="II34:II35"/>
    <mergeCell ref="IJ34:IJ35"/>
    <mergeCell ref="HY34:HY35"/>
    <mergeCell ref="HZ34:HZ35"/>
    <mergeCell ref="IA34:IA35"/>
    <mergeCell ref="IB34:IB35"/>
    <mergeCell ref="IC34:IC35"/>
    <mergeCell ref="ID34:ID35"/>
    <mergeCell ref="HF34:HF35"/>
    <mergeCell ref="HG34:HG35"/>
    <mergeCell ref="HM34:HM35"/>
    <mergeCell ref="HN34:HN35"/>
    <mergeCell ref="HO34:HO35"/>
    <mergeCell ref="HP34:HP35"/>
    <mergeCell ref="GX34:GX35"/>
    <mergeCell ref="GY34:GY35"/>
    <mergeCell ref="GZ34:GZ35"/>
    <mergeCell ref="HA34:HA35"/>
    <mergeCell ref="HB34:HB35"/>
    <mergeCell ref="HC34:HC35"/>
    <mergeCell ref="AM36:AM37"/>
    <mergeCell ref="AN36:AN37"/>
    <mergeCell ref="AT36:AT37"/>
    <mergeCell ref="AU36:AU37"/>
    <mergeCell ref="AV36:AV37"/>
    <mergeCell ref="AW36:AW37"/>
    <mergeCell ref="AE36:AE37"/>
    <mergeCell ref="AF36:AF37"/>
    <mergeCell ref="AG36:AG37"/>
    <mergeCell ref="AH36:AH37"/>
    <mergeCell ref="AI36:AI37"/>
    <mergeCell ref="AJ36:AJ37"/>
    <mergeCell ref="Q36:Q37"/>
    <mergeCell ref="R36:R37"/>
    <mergeCell ref="S36:S37"/>
    <mergeCell ref="T36:T37"/>
    <mergeCell ref="AC36:AC37"/>
    <mergeCell ref="AD36:AD37"/>
    <mergeCell ref="BY36:BY37"/>
    <mergeCell ref="BZ36:BZ37"/>
    <mergeCell ref="CI36:CI37"/>
    <mergeCell ref="CJ36:CJ37"/>
    <mergeCell ref="CK36:CK37"/>
    <mergeCell ref="CL36:CL37"/>
    <mergeCell ref="BL36:BL37"/>
    <mergeCell ref="BM36:BM37"/>
    <mergeCell ref="BP36:BP37"/>
    <mergeCell ref="BQ36:BQ37"/>
    <mergeCell ref="BW36:BW37"/>
    <mergeCell ref="BX36:BX37"/>
    <mergeCell ref="BF36:BF37"/>
    <mergeCell ref="BG36:BG37"/>
    <mergeCell ref="BH36:BH37"/>
    <mergeCell ref="BI36:BI37"/>
    <mergeCell ref="BJ36:BJ37"/>
    <mergeCell ref="BK36:BK37"/>
    <mergeCell ref="DN36:DN37"/>
    <mergeCell ref="DO36:DO37"/>
    <mergeCell ref="DP36:DP37"/>
    <mergeCell ref="DQ36:DQ37"/>
    <mergeCell ref="DR36:DR37"/>
    <mergeCell ref="DS36:DS37"/>
    <mergeCell ref="CZ36:CZ37"/>
    <mergeCell ref="DA36:DA37"/>
    <mergeCell ref="DB36:DB37"/>
    <mergeCell ref="DC36:DC37"/>
    <mergeCell ref="DL36:DL37"/>
    <mergeCell ref="DM36:DM37"/>
    <mergeCell ref="CM36:CM37"/>
    <mergeCell ref="CN36:CN37"/>
    <mergeCell ref="CO36:CO37"/>
    <mergeCell ref="CP36:CP37"/>
    <mergeCell ref="CS36:CS37"/>
    <mergeCell ref="CT36:CT37"/>
    <mergeCell ref="EV36:EV37"/>
    <mergeCell ref="EW36:EW37"/>
    <mergeCell ref="EZ36:EZ37"/>
    <mergeCell ref="FA36:FA37"/>
    <mergeCell ref="FG36:FG37"/>
    <mergeCell ref="FH36:FH37"/>
    <mergeCell ref="EP36:EP37"/>
    <mergeCell ref="EQ36:EQ37"/>
    <mergeCell ref="ER36:ER37"/>
    <mergeCell ref="ES36:ES37"/>
    <mergeCell ref="ET36:ET37"/>
    <mergeCell ref="EU36:EU37"/>
    <mergeCell ref="DV36:DV37"/>
    <mergeCell ref="DW36:DW37"/>
    <mergeCell ref="ED36:ED37"/>
    <mergeCell ref="EE36:EE37"/>
    <mergeCell ref="EF36:EF37"/>
    <mergeCell ref="EG36:EG37"/>
    <mergeCell ref="GJ36:GJ37"/>
    <mergeCell ref="GK36:GK37"/>
    <mergeCell ref="GL36:GL37"/>
    <mergeCell ref="GM36:GM37"/>
    <mergeCell ref="GV36:GV37"/>
    <mergeCell ref="GW36:GW37"/>
    <mergeCell ref="FW36:FW37"/>
    <mergeCell ref="FX36:FX37"/>
    <mergeCell ref="FY36:FY37"/>
    <mergeCell ref="FZ36:FZ37"/>
    <mergeCell ref="GC36:GC37"/>
    <mergeCell ref="GD36:GD37"/>
    <mergeCell ref="FI36:FI37"/>
    <mergeCell ref="FJ36:FJ37"/>
    <mergeCell ref="FS36:FS37"/>
    <mergeCell ref="FT36:FT37"/>
    <mergeCell ref="FU36:FU37"/>
    <mergeCell ref="FV36:FV37"/>
    <mergeCell ref="IE36:IE37"/>
    <mergeCell ref="IF36:IF37"/>
    <mergeCell ref="II36:II37"/>
    <mergeCell ref="IJ36:IJ37"/>
    <mergeCell ref="HY36:HY37"/>
    <mergeCell ref="HZ36:HZ37"/>
    <mergeCell ref="IA36:IA37"/>
    <mergeCell ref="IB36:IB37"/>
    <mergeCell ref="IC36:IC37"/>
    <mergeCell ref="ID36:ID37"/>
    <mergeCell ref="HF36:HF37"/>
    <mergeCell ref="HG36:HG37"/>
    <mergeCell ref="HM36:HM37"/>
    <mergeCell ref="HN36:HN37"/>
    <mergeCell ref="HO36:HO37"/>
    <mergeCell ref="HP36:HP37"/>
    <mergeCell ref="GX36:GX37"/>
    <mergeCell ref="GY36:GY37"/>
    <mergeCell ref="GZ36:GZ37"/>
    <mergeCell ref="HA36:HA37"/>
    <mergeCell ref="HB36:HB37"/>
    <mergeCell ref="HC36:HC37"/>
    <mergeCell ref="AM38:AM39"/>
    <mergeCell ref="AN38:AN39"/>
    <mergeCell ref="AT38:AT39"/>
    <mergeCell ref="AU38:AU39"/>
    <mergeCell ref="AV38:AV39"/>
    <mergeCell ref="AW38:AW39"/>
    <mergeCell ref="AE38:AE39"/>
    <mergeCell ref="AF38:AF39"/>
    <mergeCell ref="AG38:AG39"/>
    <mergeCell ref="AH38:AH39"/>
    <mergeCell ref="AI38:AI39"/>
    <mergeCell ref="AJ38:AJ39"/>
    <mergeCell ref="Q38:Q39"/>
    <mergeCell ref="R38:R39"/>
    <mergeCell ref="S38:S39"/>
    <mergeCell ref="T38:T39"/>
    <mergeCell ref="AC38:AC39"/>
    <mergeCell ref="AD38:AD39"/>
    <mergeCell ref="BY38:BY39"/>
    <mergeCell ref="BZ38:BZ39"/>
    <mergeCell ref="CI38:CI39"/>
    <mergeCell ref="CJ38:CJ39"/>
    <mergeCell ref="CK38:CK39"/>
    <mergeCell ref="CL38:CL39"/>
    <mergeCell ref="BL38:BL39"/>
    <mergeCell ref="BM38:BM39"/>
    <mergeCell ref="BP38:BP39"/>
    <mergeCell ref="BQ38:BQ39"/>
    <mergeCell ref="BW38:BW39"/>
    <mergeCell ref="BX38:BX39"/>
    <mergeCell ref="BF38:BF39"/>
    <mergeCell ref="BG38:BG39"/>
    <mergeCell ref="BH38:BH39"/>
    <mergeCell ref="BI38:BI39"/>
    <mergeCell ref="BJ38:BJ39"/>
    <mergeCell ref="BK38:BK39"/>
    <mergeCell ref="DN38:DN39"/>
    <mergeCell ref="DO38:DO39"/>
    <mergeCell ref="DP38:DP39"/>
    <mergeCell ref="DQ38:DQ39"/>
    <mergeCell ref="DR38:DR39"/>
    <mergeCell ref="DS38:DS39"/>
    <mergeCell ref="CZ38:CZ39"/>
    <mergeCell ref="DA38:DA39"/>
    <mergeCell ref="DB38:DB39"/>
    <mergeCell ref="DC38:DC39"/>
    <mergeCell ref="DL38:DL39"/>
    <mergeCell ref="DM38:DM39"/>
    <mergeCell ref="CM38:CM39"/>
    <mergeCell ref="CN38:CN39"/>
    <mergeCell ref="CO38:CO39"/>
    <mergeCell ref="CP38:CP39"/>
    <mergeCell ref="CS38:CS39"/>
    <mergeCell ref="CT38:CT39"/>
    <mergeCell ref="EV38:EV39"/>
    <mergeCell ref="EW38:EW39"/>
    <mergeCell ref="EZ38:EZ39"/>
    <mergeCell ref="FA38:FA39"/>
    <mergeCell ref="FG38:FG39"/>
    <mergeCell ref="FH38:FH39"/>
    <mergeCell ref="EP38:EP39"/>
    <mergeCell ref="EQ38:EQ39"/>
    <mergeCell ref="ER38:ER39"/>
    <mergeCell ref="ES38:ES39"/>
    <mergeCell ref="ET38:ET39"/>
    <mergeCell ref="EU38:EU39"/>
    <mergeCell ref="DV38:DV39"/>
    <mergeCell ref="DW38:DW39"/>
    <mergeCell ref="ED38:ED39"/>
    <mergeCell ref="EE38:EE39"/>
    <mergeCell ref="EF38:EF39"/>
    <mergeCell ref="EG38:EG39"/>
    <mergeCell ref="GJ38:GJ39"/>
    <mergeCell ref="GK38:GK39"/>
    <mergeCell ref="GL38:GL39"/>
    <mergeCell ref="GM38:GM39"/>
    <mergeCell ref="GV38:GV39"/>
    <mergeCell ref="GW38:GW39"/>
    <mergeCell ref="FW38:FW39"/>
    <mergeCell ref="FX38:FX39"/>
    <mergeCell ref="FY38:FY39"/>
    <mergeCell ref="FZ38:FZ39"/>
    <mergeCell ref="GC38:GC39"/>
    <mergeCell ref="GD38:GD39"/>
    <mergeCell ref="FI38:FI39"/>
    <mergeCell ref="FJ38:FJ39"/>
    <mergeCell ref="FS38:FS39"/>
    <mergeCell ref="FT38:FT39"/>
    <mergeCell ref="FU38:FU39"/>
    <mergeCell ref="FV38:FV39"/>
    <mergeCell ref="IE38:IE39"/>
    <mergeCell ref="IF38:IF39"/>
    <mergeCell ref="II38:II39"/>
    <mergeCell ref="IJ38:IJ39"/>
    <mergeCell ref="HY38:HY39"/>
    <mergeCell ref="HZ38:HZ39"/>
    <mergeCell ref="IA38:IA39"/>
    <mergeCell ref="IB38:IB39"/>
    <mergeCell ref="IC38:IC39"/>
    <mergeCell ref="ID38:ID39"/>
    <mergeCell ref="HF38:HF39"/>
    <mergeCell ref="HG38:HG39"/>
    <mergeCell ref="HM38:HM39"/>
    <mergeCell ref="HN38:HN39"/>
    <mergeCell ref="HO38:HO39"/>
    <mergeCell ref="HP38:HP39"/>
    <mergeCell ref="GX38:GX39"/>
    <mergeCell ref="GY38:GY39"/>
    <mergeCell ref="GZ38:GZ39"/>
    <mergeCell ref="HA38:HA39"/>
    <mergeCell ref="HB38:HB39"/>
    <mergeCell ref="HC38:HC39"/>
    <mergeCell ref="AM40:AM41"/>
    <mergeCell ref="AN40:AN41"/>
    <mergeCell ref="AT40:AT41"/>
    <mergeCell ref="AU40:AU41"/>
    <mergeCell ref="AV40:AV41"/>
    <mergeCell ref="AW40:AW41"/>
    <mergeCell ref="AE40:AE41"/>
    <mergeCell ref="AF40:AF41"/>
    <mergeCell ref="AG40:AG41"/>
    <mergeCell ref="AH40:AH41"/>
    <mergeCell ref="AI40:AI41"/>
    <mergeCell ref="AJ40:AJ41"/>
    <mergeCell ref="Q40:Q41"/>
    <mergeCell ref="R40:R41"/>
    <mergeCell ref="S40:S41"/>
    <mergeCell ref="T40:T41"/>
    <mergeCell ref="AC40:AC41"/>
    <mergeCell ref="AD40:AD41"/>
    <mergeCell ref="BY40:BY41"/>
    <mergeCell ref="BZ40:BZ41"/>
    <mergeCell ref="CI40:CI41"/>
    <mergeCell ref="CJ40:CJ41"/>
    <mergeCell ref="CK40:CK41"/>
    <mergeCell ref="CL40:CL41"/>
    <mergeCell ref="BL40:BL41"/>
    <mergeCell ref="BM40:BM41"/>
    <mergeCell ref="BP40:BP41"/>
    <mergeCell ref="BQ40:BQ41"/>
    <mergeCell ref="BW40:BW41"/>
    <mergeCell ref="BX40:BX41"/>
    <mergeCell ref="BF40:BF41"/>
    <mergeCell ref="BG40:BG41"/>
    <mergeCell ref="BH40:BH41"/>
    <mergeCell ref="BI40:BI41"/>
    <mergeCell ref="BJ40:BJ41"/>
    <mergeCell ref="BK40:BK41"/>
    <mergeCell ref="DN40:DN41"/>
    <mergeCell ref="DO40:DO41"/>
    <mergeCell ref="DP40:DP41"/>
    <mergeCell ref="DQ40:DQ41"/>
    <mergeCell ref="DR40:DR41"/>
    <mergeCell ref="DS40:DS41"/>
    <mergeCell ref="CZ40:CZ41"/>
    <mergeCell ref="DA40:DA41"/>
    <mergeCell ref="DB40:DB41"/>
    <mergeCell ref="DC40:DC41"/>
    <mergeCell ref="DL40:DL41"/>
    <mergeCell ref="DM40:DM41"/>
    <mergeCell ref="CM40:CM41"/>
    <mergeCell ref="CN40:CN41"/>
    <mergeCell ref="CO40:CO41"/>
    <mergeCell ref="CP40:CP41"/>
    <mergeCell ref="CS40:CS41"/>
    <mergeCell ref="CT40:CT41"/>
    <mergeCell ref="EV40:EV41"/>
    <mergeCell ref="EW40:EW41"/>
    <mergeCell ref="EZ40:EZ41"/>
    <mergeCell ref="FA40:FA41"/>
    <mergeCell ref="FG40:FG41"/>
    <mergeCell ref="FH40:FH41"/>
    <mergeCell ref="EP40:EP41"/>
    <mergeCell ref="EQ40:EQ41"/>
    <mergeCell ref="ER40:ER41"/>
    <mergeCell ref="ES40:ES41"/>
    <mergeCell ref="ET40:ET41"/>
    <mergeCell ref="EU40:EU41"/>
    <mergeCell ref="DV40:DV41"/>
    <mergeCell ref="DW40:DW41"/>
    <mergeCell ref="ED40:ED41"/>
    <mergeCell ref="EE40:EE41"/>
    <mergeCell ref="EF40:EF41"/>
    <mergeCell ref="EG40:EG41"/>
    <mergeCell ref="GJ40:GJ41"/>
    <mergeCell ref="GK40:GK41"/>
    <mergeCell ref="GL40:GL41"/>
    <mergeCell ref="GM40:GM41"/>
    <mergeCell ref="GV40:GV41"/>
    <mergeCell ref="GW40:GW41"/>
    <mergeCell ref="FW40:FW41"/>
    <mergeCell ref="FX40:FX41"/>
    <mergeCell ref="FY40:FY41"/>
    <mergeCell ref="FZ40:FZ41"/>
    <mergeCell ref="GC40:GC41"/>
    <mergeCell ref="GD40:GD41"/>
    <mergeCell ref="FI40:FI41"/>
    <mergeCell ref="FJ40:FJ41"/>
    <mergeCell ref="FS40:FS41"/>
    <mergeCell ref="FT40:FT41"/>
    <mergeCell ref="FU40:FU41"/>
    <mergeCell ref="FV40:FV41"/>
    <mergeCell ref="IE40:IE41"/>
    <mergeCell ref="IF40:IF41"/>
    <mergeCell ref="II40:II41"/>
    <mergeCell ref="IJ40:IJ41"/>
    <mergeCell ref="HY40:HY41"/>
    <mergeCell ref="HZ40:HZ41"/>
    <mergeCell ref="IA40:IA41"/>
    <mergeCell ref="IB40:IB41"/>
    <mergeCell ref="IC40:IC41"/>
    <mergeCell ref="ID40:ID41"/>
    <mergeCell ref="HF40:HF41"/>
    <mergeCell ref="HG40:HG41"/>
    <mergeCell ref="HM40:HM41"/>
    <mergeCell ref="HN40:HN41"/>
    <mergeCell ref="HO40:HO41"/>
    <mergeCell ref="HP40:HP41"/>
    <mergeCell ref="GX40:GX41"/>
    <mergeCell ref="GY40:GY41"/>
    <mergeCell ref="GZ40:GZ41"/>
    <mergeCell ref="HA40:HA41"/>
    <mergeCell ref="HB40:HB41"/>
    <mergeCell ref="HC40:HC41"/>
  </mergeCells>
  <conditionalFormatting sqref="I2">
    <cfRule type="expression" dxfId="109" priority="41">
      <formula>I2=I3</formula>
    </cfRule>
  </conditionalFormatting>
  <conditionalFormatting sqref="I3">
    <cfRule type="expression" dxfId="108" priority="40">
      <formula>I3=I2</formula>
    </cfRule>
  </conditionalFormatting>
  <conditionalFormatting sqref="O42:O257">
    <cfRule type="expression" dxfId="107" priority="39">
      <formula>O42=125</formula>
    </cfRule>
  </conditionalFormatting>
  <conditionalFormatting sqref="I4">
    <cfRule type="expression" dxfId="106" priority="38">
      <formula>I4=I5</formula>
    </cfRule>
  </conditionalFormatting>
  <conditionalFormatting sqref="I5">
    <cfRule type="expression" dxfId="105" priority="37">
      <formula>I5=I4</formula>
    </cfRule>
  </conditionalFormatting>
  <conditionalFormatting sqref="I8">
    <cfRule type="expression" dxfId="104" priority="34">
      <formula>I8=I9</formula>
    </cfRule>
  </conditionalFormatting>
  <conditionalFormatting sqref="I9">
    <cfRule type="expression" dxfId="103" priority="33">
      <formula>I9=I8</formula>
    </cfRule>
  </conditionalFormatting>
  <conditionalFormatting sqref="I16">
    <cfRule type="expression" dxfId="102" priority="26">
      <formula>I16=I17</formula>
    </cfRule>
  </conditionalFormatting>
  <conditionalFormatting sqref="I17">
    <cfRule type="expression" dxfId="101" priority="25">
      <formula>I17=I16</formula>
    </cfRule>
  </conditionalFormatting>
  <conditionalFormatting sqref="I24">
    <cfRule type="expression" dxfId="100" priority="18">
      <formula>I24=I25</formula>
    </cfRule>
  </conditionalFormatting>
  <conditionalFormatting sqref="I25">
    <cfRule type="expression" dxfId="99" priority="17">
      <formula>I25=I24</formula>
    </cfRule>
  </conditionalFormatting>
  <conditionalFormatting sqref="I6">
    <cfRule type="expression" dxfId="98" priority="36">
      <formula>I6=I7</formula>
    </cfRule>
  </conditionalFormatting>
  <conditionalFormatting sqref="I7">
    <cfRule type="expression" dxfId="97" priority="35">
      <formula>I7=I6</formula>
    </cfRule>
  </conditionalFormatting>
  <conditionalFormatting sqref="I10">
    <cfRule type="expression" dxfId="96" priority="32">
      <formula>I10=I11</formula>
    </cfRule>
  </conditionalFormatting>
  <conditionalFormatting sqref="I11">
    <cfRule type="expression" dxfId="95" priority="31">
      <formula>I11=I10</formula>
    </cfRule>
  </conditionalFormatting>
  <conditionalFormatting sqref="I12">
    <cfRule type="expression" dxfId="94" priority="30">
      <formula>I12=I13</formula>
    </cfRule>
  </conditionalFormatting>
  <conditionalFormatting sqref="I13">
    <cfRule type="expression" dxfId="93" priority="29">
      <formula>I13=I12</formula>
    </cfRule>
  </conditionalFormatting>
  <conditionalFormatting sqref="I14">
    <cfRule type="expression" dxfId="92" priority="28">
      <formula>I14=I15</formula>
    </cfRule>
  </conditionalFormatting>
  <conditionalFormatting sqref="I15">
    <cfRule type="expression" dxfId="91" priority="27">
      <formula>I15=I14</formula>
    </cfRule>
  </conditionalFormatting>
  <conditionalFormatting sqref="I18">
    <cfRule type="expression" dxfId="90" priority="24">
      <formula>I18=I19</formula>
    </cfRule>
  </conditionalFormatting>
  <conditionalFormatting sqref="I19">
    <cfRule type="expression" dxfId="89" priority="23">
      <formula>I19=I18</formula>
    </cfRule>
  </conditionalFormatting>
  <conditionalFormatting sqref="I20">
    <cfRule type="expression" dxfId="88" priority="22">
      <formula>I20=I21</formula>
    </cfRule>
  </conditionalFormatting>
  <conditionalFormatting sqref="I21">
    <cfRule type="expression" dxfId="87" priority="21">
      <formula>I21=I20</formula>
    </cfRule>
  </conditionalFormatting>
  <conditionalFormatting sqref="I22">
    <cfRule type="expression" dxfId="86" priority="20">
      <formula>I22=I23</formula>
    </cfRule>
  </conditionalFormatting>
  <conditionalFormatting sqref="I23">
    <cfRule type="expression" dxfId="85" priority="19">
      <formula>I23=I22</formula>
    </cfRule>
  </conditionalFormatting>
  <conditionalFormatting sqref="I26">
    <cfRule type="expression" dxfId="84" priority="16">
      <formula>I26=I27</formula>
    </cfRule>
  </conditionalFormatting>
  <conditionalFormatting sqref="I27">
    <cfRule type="expression" dxfId="83" priority="15">
      <formula>I27=I26</formula>
    </cfRule>
  </conditionalFormatting>
  <conditionalFormatting sqref="I28">
    <cfRule type="expression" dxfId="82" priority="14">
      <formula>I28=I29</formula>
    </cfRule>
  </conditionalFormatting>
  <conditionalFormatting sqref="I29">
    <cfRule type="expression" dxfId="81" priority="13">
      <formula>I29=I28</formula>
    </cfRule>
  </conditionalFormatting>
  <conditionalFormatting sqref="I30">
    <cfRule type="expression" dxfId="80" priority="12">
      <formula>I30=I31</formula>
    </cfRule>
  </conditionalFormatting>
  <conditionalFormatting sqref="I31">
    <cfRule type="expression" dxfId="79" priority="11">
      <formula>I31=I30</formula>
    </cfRule>
  </conditionalFormatting>
  <conditionalFormatting sqref="I32">
    <cfRule type="expression" dxfId="78" priority="10">
      <formula>I32=I33</formula>
    </cfRule>
  </conditionalFormatting>
  <conditionalFormatting sqref="I33">
    <cfRule type="expression" dxfId="77" priority="9">
      <formula>I33=I32</formula>
    </cfRule>
  </conditionalFormatting>
  <conditionalFormatting sqref="I34">
    <cfRule type="expression" dxfId="76" priority="8">
      <formula>I34=I35</formula>
    </cfRule>
  </conditionalFormatting>
  <conditionalFormatting sqref="I35">
    <cfRule type="expression" dxfId="75" priority="7">
      <formula>I35=I34</formula>
    </cfRule>
  </conditionalFormatting>
  <conditionalFormatting sqref="I36">
    <cfRule type="expression" dxfId="74" priority="6">
      <formula>I36=I37</formula>
    </cfRule>
  </conditionalFormatting>
  <conditionalFormatting sqref="I37">
    <cfRule type="expression" dxfId="73" priority="5">
      <formula>I37=I36</formula>
    </cfRule>
  </conditionalFormatting>
  <conditionalFormatting sqref="I38">
    <cfRule type="expression" dxfId="72" priority="4">
      <formula>I38=I39</formula>
    </cfRule>
  </conditionalFormatting>
  <conditionalFormatting sqref="I39">
    <cfRule type="expression" dxfId="71" priority="3">
      <formula>I39=I38</formula>
    </cfRule>
  </conditionalFormatting>
  <conditionalFormatting sqref="I40">
    <cfRule type="expression" dxfId="70" priority="2">
      <formula>I40=I41</formula>
    </cfRule>
  </conditionalFormatting>
  <conditionalFormatting sqref="I41">
    <cfRule type="expression" dxfId="69" priority="1">
      <formula>I41=I40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MV41"/>
  <sheetViews>
    <sheetView topLeftCell="LO1" workbookViewId="0">
      <selection activeCell="L19" sqref="L19"/>
    </sheetView>
  </sheetViews>
  <sheetFormatPr defaultRowHeight="18" x14ac:dyDescent="0.35"/>
  <cols>
    <col min="1" max="7" width="8.88671875" style="1"/>
    <col min="8" max="8" width="40.88671875" style="1" bestFit="1" customWidth="1"/>
    <col min="9" max="10" width="8.88671875" style="1"/>
    <col min="11" max="11" width="10.77734375" style="1" bestFit="1" customWidth="1"/>
    <col min="12" max="12" width="40.88671875" style="42" bestFit="1" customWidth="1"/>
    <col min="13" max="16" width="10.77734375" style="1" bestFit="1" customWidth="1"/>
    <col min="17" max="20" width="5.5546875" style="1" bestFit="1" customWidth="1"/>
    <col min="21" max="28" width="5.88671875" style="1" bestFit="1" customWidth="1"/>
    <col min="29" max="30" width="4.33203125" style="1" bestFit="1" customWidth="1"/>
    <col min="31" max="31" width="3.109375" style="1" bestFit="1" customWidth="1"/>
    <col min="32" max="33" width="4.33203125" style="1" bestFit="1" customWidth="1"/>
    <col min="34" max="34" width="3.44140625" style="1" bestFit="1" customWidth="1"/>
    <col min="35" max="35" width="3.109375" style="1" bestFit="1" customWidth="1"/>
    <col min="36" max="36" width="4.33203125" style="1" bestFit="1" customWidth="1"/>
    <col min="37" max="38" width="20.77734375" style="1" bestFit="1" customWidth="1"/>
    <col min="39" max="40" width="8" style="1" bestFit="1" customWidth="1"/>
    <col min="41" max="41" width="46.109375" style="42" bestFit="1" customWidth="1"/>
    <col min="42" max="45" width="10.77734375" style="1" bestFit="1" customWidth="1"/>
    <col min="46" max="49" width="5.5546875" style="1" bestFit="1" customWidth="1"/>
    <col min="50" max="57" width="5.88671875" style="1" bestFit="1" customWidth="1"/>
    <col min="58" max="58" width="4.33203125" style="1" bestFit="1" customWidth="1"/>
    <col min="59" max="59" width="3.109375" style="1" bestFit="1" customWidth="1"/>
    <col min="60" max="60" width="3.44140625" style="1" bestFit="1" customWidth="1"/>
    <col min="61" max="63" width="4.33203125" style="1" bestFit="1" customWidth="1"/>
    <col min="64" max="64" width="3.109375" style="1" bestFit="1" customWidth="1"/>
    <col min="65" max="65" width="4.33203125" style="1" bestFit="1" customWidth="1"/>
    <col min="66" max="67" width="20.77734375" style="1" bestFit="1" customWidth="1"/>
    <col min="68" max="69" width="8" style="1" bestFit="1" customWidth="1"/>
    <col min="70" max="70" width="46.109375" style="42" bestFit="1" customWidth="1"/>
    <col min="71" max="74" width="10.77734375" style="1" bestFit="1" customWidth="1"/>
    <col min="75" max="78" width="5.5546875" style="1" bestFit="1" customWidth="1"/>
    <col min="79" max="86" width="5.88671875" style="1" bestFit="1" customWidth="1"/>
    <col min="87" max="88" width="3.109375" style="1" bestFit="1" customWidth="1"/>
    <col min="89" max="89" width="3.44140625" style="1" bestFit="1" customWidth="1"/>
    <col min="90" max="92" width="4.33203125" style="1" bestFit="1" customWidth="1"/>
    <col min="93" max="93" width="3.109375" style="1" bestFit="1" customWidth="1"/>
    <col min="94" max="94" width="3.44140625" style="1" bestFit="1" customWidth="1"/>
    <col min="95" max="96" width="20.77734375" style="1" bestFit="1" customWidth="1"/>
    <col min="97" max="98" width="8" style="1" bestFit="1" customWidth="1"/>
    <col min="99" max="99" width="51.5546875" style="42" bestFit="1" customWidth="1"/>
    <col min="100" max="103" width="10.77734375" style="1" bestFit="1" customWidth="1"/>
    <col min="104" max="104" width="4.33203125" style="1" bestFit="1" customWidth="1"/>
    <col min="105" max="106" width="4.6640625" style="1" bestFit="1" customWidth="1"/>
    <col min="107" max="107" width="5.5546875" style="1" bestFit="1" customWidth="1"/>
    <col min="108" max="115" width="5.88671875" style="1" bestFit="1" customWidth="1"/>
    <col min="116" max="118" width="3.109375" style="1" bestFit="1" customWidth="1"/>
    <col min="119" max="120" width="4.33203125" style="1" bestFit="1" customWidth="1"/>
    <col min="121" max="121" width="3.44140625" style="1" bestFit="1" customWidth="1"/>
    <col min="122" max="122" width="3.109375" style="1" bestFit="1" customWidth="1"/>
    <col min="123" max="123" width="3.44140625" style="1" bestFit="1" customWidth="1"/>
    <col min="124" max="125" width="20.77734375" style="1" bestFit="1" customWidth="1"/>
    <col min="126" max="127" width="8" style="1" bestFit="1" customWidth="1"/>
    <col min="128" max="128" width="40.88671875" style="1" bestFit="1" customWidth="1"/>
    <col min="129" max="129" width="44.33203125" style="42" bestFit="1" customWidth="1"/>
    <col min="130" max="133" width="10.77734375" style="1" bestFit="1" customWidth="1"/>
    <col min="134" max="137" width="5.5546875" style="1" bestFit="1" customWidth="1"/>
    <col min="138" max="145" width="5.88671875" style="1" bestFit="1" customWidth="1"/>
    <col min="146" max="148" width="3.109375" style="1" bestFit="1" customWidth="1"/>
    <col min="149" max="150" width="4.33203125" style="1" bestFit="1" customWidth="1"/>
    <col min="151" max="151" width="3.44140625" style="1" bestFit="1" customWidth="1"/>
    <col min="152" max="152" width="3.109375" style="1" bestFit="1" customWidth="1"/>
    <col min="153" max="153" width="3.44140625" style="1" bestFit="1" customWidth="1"/>
    <col min="154" max="155" width="20.77734375" style="1" bestFit="1" customWidth="1"/>
    <col min="156" max="157" width="8" style="1" bestFit="1" customWidth="1"/>
    <col min="158" max="158" width="51.21875" style="42" bestFit="1" customWidth="1"/>
    <col min="159" max="162" width="10.77734375" style="1" bestFit="1" customWidth="1"/>
    <col min="163" max="166" width="5.5546875" style="1" bestFit="1" customWidth="1"/>
    <col min="167" max="174" width="5.88671875" style="1" bestFit="1" customWidth="1"/>
    <col min="175" max="177" width="3.109375" style="1" bestFit="1" customWidth="1"/>
    <col min="178" max="179" width="4.33203125" style="1" bestFit="1" customWidth="1"/>
    <col min="180" max="180" width="3.44140625" style="1" bestFit="1" customWidth="1"/>
    <col min="181" max="181" width="3.109375" style="1" bestFit="1" customWidth="1"/>
    <col min="182" max="182" width="3.44140625" style="1" bestFit="1" customWidth="1"/>
    <col min="183" max="184" width="20.77734375" style="1" bestFit="1" customWidth="1"/>
    <col min="185" max="185" width="8.88671875" style="1"/>
    <col min="186" max="186" width="8" style="1" bestFit="1" customWidth="1"/>
    <col min="187" max="187" width="52.5546875" style="42" bestFit="1" customWidth="1"/>
    <col min="188" max="191" width="10.77734375" style="1" bestFit="1" customWidth="1"/>
    <col min="192" max="194" width="5.5546875" style="1" bestFit="1" customWidth="1"/>
    <col min="195" max="195" width="4.6640625" style="1" bestFit="1" customWidth="1"/>
    <col min="196" max="203" width="5.88671875" style="1" bestFit="1" customWidth="1"/>
    <col min="204" max="206" width="3.109375" style="1" bestFit="1" customWidth="1"/>
    <col min="207" max="208" width="4.33203125" style="1" bestFit="1" customWidth="1"/>
    <col min="209" max="209" width="3.44140625" style="1" bestFit="1" customWidth="1"/>
    <col min="210" max="210" width="3.109375" style="1" bestFit="1" customWidth="1"/>
    <col min="211" max="211" width="3.44140625" style="1" bestFit="1" customWidth="1"/>
    <col min="212" max="213" width="20.77734375" style="1" bestFit="1" customWidth="1"/>
    <col min="214" max="215" width="8" style="1" bestFit="1" customWidth="1"/>
    <col min="216" max="216" width="58" style="42" bestFit="1" customWidth="1"/>
    <col min="217" max="220" width="10.77734375" style="1" bestFit="1" customWidth="1"/>
    <col min="221" max="223" width="5.5546875" style="1" bestFit="1" customWidth="1"/>
    <col min="224" max="224" width="4.33203125" style="1" bestFit="1" customWidth="1"/>
    <col min="225" max="232" width="5.88671875" style="1" bestFit="1" customWidth="1"/>
    <col min="233" max="235" width="3.109375" style="1" bestFit="1" customWidth="1"/>
    <col min="236" max="237" width="4.33203125" style="1" bestFit="1" customWidth="1"/>
    <col min="238" max="238" width="3.44140625" style="1" bestFit="1" customWidth="1"/>
    <col min="239" max="239" width="3.109375" style="1" bestFit="1" customWidth="1"/>
    <col min="240" max="240" width="3.44140625" style="1" bestFit="1" customWidth="1"/>
    <col min="241" max="242" width="20.77734375" style="1" bestFit="1" customWidth="1"/>
    <col min="243" max="244" width="8" style="1" bestFit="1" customWidth="1"/>
    <col min="245" max="245" width="44.33203125" style="1" bestFit="1" customWidth="1"/>
    <col min="246" max="249" width="10.77734375" style="1" bestFit="1" customWidth="1"/>
    <col min="250" max="253" width="5.5546875" style="1" bestFit="1" customWidth="1"/>
    <col min="254" max="261" width="5.88671875" style="1" bestFit="1" customWidth="1"/>
    <col min="262" max="262" width="4.33203125" style="1" bestFit="1" customWidth="1"/>
    <col min="263" max="264" width="3.109375" style="1" bestFit="1" customWidth="1"/>
    <col min="265" max="266" width="4.33203125" style="1" bestFit="1" customWidth="1"/>
    <col min="267" max="267" width="3.44140625" style="1" bestFit="1" customWidth="1"/>
    <col min="268" max="268" width="3.109375" style="1" bestFit="1" customWidth="1"/>
    <col min="269" max="269" width="3.44140625" style="1" bestFit="1" customWidth="1"/>
    <col min="270" max="271" width="20.77734375" style="1" bestFit="1" customWidth="1"/>
    <col min="272" max="273" width="8" style="1" bestFit="1" customWidth="1"/>
    <col min="274" max="274" width="51.21875" style="1" bestFit="1" customWidth="1"/>
    <col min="275" max="278" width="10.77734375" style="1" bestFit="1" customWidth="1"/>
    <col min="279" max="282" width="5.5546875" style="1" bestFit="1" customWidth="1"/>
    <col min="283" max="290" width="5.88671875" style="1" bestFit="1" customWidth="1"/>
    <col min="291" max="292" width="4.33203125" style="1" bestFit="1" customWidth="1"/>
    <col min="293" max="294" width="3.44140625" style="1" bestFit="1" customWidth="1"/>
    <col min="295" max="295" width="3.109375" style="1" bestFit="1" customWidth="1"/>
    <col min="296" max="296" width="4.33203125" style="1" bestFit="1" customWidth="1"/>
    <col min="297" max="297" width="3.44140625" style="1" bestFit="1" customWidth="1"/>
    <col min="298" max="298" width="4.33203125" style="1" bestFit="1" customWidth="1"/>
    <col min="299" max="300" width="20.77734375" style="1" bestFit="1" customWidth="1"/>
    <col min="301" max="302" width="8" style="1" bestFit="1" customWidth="1"/>
    <col min="303" max="303" width="52.5546875" style="1" bestFit="1" customWidth="1"/>
    <col min="304" max="307" width="10.77734375" style="1" bestFit="1" customWidth="1"/>
    <col min="308" max="308" width="4.33203125" style="1" bestFit="1" customWidth="1"/>
    <col min="309" max="309" width="5.5546875" style="1" bestFit="1" customWidth="1"/>
    <col min="310" max="311" width="4.33203125" style="1" bestFit="1" customWidth="1"/>
    <col min="312" max="319" width="5.88671875" style="1" bestFit="1" customWidth="1"/>
    <col min="320" max="321" width="4.33203125" style="1" bestFit="1" customWidth="1"/>
    <col min="322" max="323" width="3.44140625" style="1" bestFit="1" customWidth="1"/>
    <col min="324" max="324" width="3.109375" style="1" bestFit="1" customWidth="1"/>
    <col min="325" max="325" width="4.33203125" style="1" bestFit="1" customWidth="1"/>
    <col min="326" max="326" width="3.44140625" style="1" bestFit="1" customWidth="1"/>
    <col min="327" max="327" width="4.33203125" style="1" bestFit="1" customWidth="1"/>
    <col min="328" max="329" width="20.77734375" style="1" bestFit="1" customWidth="1"/>
    <col min="330" max="330" width="8" style="1" bestFit="1" customWidth="1"/>
    <col min="331" max="331" width="7.109375" style="1" bestFit="1" customWidth="1"/>
    <col min="332" max="332" width="58" style="1" bestFit="1" customWidth="1"/>
    <col min="333" max="336" width="10.77734375" style="1" bestFit="1" customWidth="1"/>
    <col min="337" max="340" width="4.33203125" style="1" bestFit="1" customWidth="1"/>
    <col min="341" max="348" width="5.88671875" style="1" bestFit="1" customWidth="1"/>
    <col min="349" max="350" width="4.33203125" style="1" bestFit="1" customWidth="1"/>
    <col min="351" max="352" width="3.44140625" style="1" bestFit="1" customWidth="1"/>
    <col min="353" max="353" width="3.109375" style="1" bestFit="1" customWidth="1"/>
    <col min="354" max="354" width="4.33203125" style="1" bestFit="1" customWidth="1"/>
    <col min="355" max="355" width="3.44140625" style="1" bestFit="1" customWidth="1"/>
    <col min="356" max="356" width="4.33203125" style="1" bestFit="1" customWidth="1"/>
    <col min="357" max="358" width="20.77734375" style="1" bestFit="1" customWidth="1"/>
    <col min="359" max="360" width="7.109375" style="1" bestFit="1" customWidth="1"/>
    <col min="361" max="16384" width="8.88671875" style="1"/>
  </cols>
  <sheetData>
    <row r="1" spans="1:360" ht="18.600000000000001" thickBot="1" x14ac:dyDescent="0.4">
      <c r="L1" s="42" t="s">
        <v>236</v>
      </c>
      <c r="M1" s="94" t="s">
        <v>215</v>
      </c>
      <c r="N1" s="94"/>
      <c r="O1" s="94"/>
      <c r="P1" s="94"/>
      <c r="Q1" s="94" t="s">
        <v>219</v>
      </c>
      <c r="R1" s="94"/>
      <c r="S1" s="94"/>
      <c r="T1" s="94"/>
      <c r="U1" s="94" t="s">
        <v>216</v>
      </c>
      <c r="V1" s="94"/>
      <c r="W1" s="94"/>
      <c r="X1" s="94"/>
      <c r="Y1" s="94"/>
      <c r="Z1" s="94"/>
      <c r="AA1" s="94"/>
      <c r="AB1" s="94"/>
      <c r="AC1" s="94" t="s">
        <v>219</v>
      </c>
      <c r="AD1" s="94"/>
      <c r="AE1" s="94"/>
      <c r="AF1" s="94"/>
      <c r="AG1" s="94"/>
      <c r="AH1" s="94"/>
      <c r="AI1" s="94"/>
      <c r="AJ1" s="94"/>
      <c r="AK1" s="98" t="s">
        <v>217</v>
      </c>
      <c r="AL1" s="98"/>
      <c r="AM1" s="99" t="s">
        <v>219</v>
      </c>
      <c r="AN1" s="99"/>
      <c r="AO1" s="42" t="s">
        <v>237</v>
      </c>
      <c r="AP1" s="94" t="s">
        <v>215</v>
      </c>
      <c r="AQ1" s="94"/>
      <c r="AR1" s="94"/>
      <c r="AS1" s="94"/>
      <c r="AT1" s="94" t="s">
        <v>219</v>
      </c>
      <c r="AU1" s="94"/>
      <c r="AV1" s="94"/>
      <c r="AW1" s="94"/>
      <c r="AX1" s="94" t="s">
        <v>216</v>
      </c>
      <c r="AY1" s="94"/>
      <c r="AZ1" s="94"/>
      <c r="BA1" s="94"/>
      <c r="BB1" s="94"/>
      <c r="BC1" s="94"/>
      <c r="BD1" s="94"/>
      <c r="BE1" s="94"/>
      <c r="BF1" s="94" t="s">
        <v>219</v>
      </c>
      <c r="BG1" s="94"/>
      <c r="BH1" s="94"/>
      <c r="BI1" s="94"/>
      <c r="BJ1" s="94"/>
      <c r="BK1" s="94"/>
      <c r="BL1" s="94"/>
      <c r="BM1" s="94"/>
      <c r="BN1" s="98" t="s">
        <v>217</v>
      </c>
      <c r="BO1" s="98"/>
      <c r="BP1" s="99" t="s">
        <v>219</v>
      </c>
      <c r="BQ1" s="99"/>
      <c r="BR1" s="42" t="s">
        <v>238</v>
      </c>
      <c r="BS1" s="94" t="s">
        <v>215</v>
      </c>
      <c r="BT1" s="94"/>
      <c r="BU1" s="94"/>
      <c r="BV1" s="94"/>
      <c r="BW1" s="94" t="s">
        <v>219</v>
      </c>
      <c r="BX1" s="94"/>
      <c r="BY1" s="94"/>
      <c r="BZ1" s="94"/>
      <c r="CA1" s="94" t="s">
        <v>216</v>
      </c>
      <c r="CB1" s="94"/>
      <c r="CC1" s="94"/>
      <c r="CD1" s="94"/>
      <c r="CE1" s="94"/>
      <c r="CF1" s="94"/>
      <c r="CG1" s="94"/>
      <c r="CH1" s="94"/>
      <c r="CI1" s="94" t="s">
        <v>219</v>
      </c>
      <c r="CJ1" s="94"/>
      <c r="CK1" s="94"/>
      <c r="CL1" s="94"/>
      <c r="CM1" s="94"/>
      <c r="CN1" s="94"/>
      <c r="CO1" s="94"/>
      <c r="CP1" s="94"/>
      <c r="CQ1" s="98" t="s">
        <v>217</v>
      </c>
      <c r="CR1" s="98"/>
      <c r="CS1" s="99" t="s">
        <v>219</v>
      </c>
      <c r="CT1" s="99"/>
      <c r="CU1" s="42" t="s">
        <v>239</v>
      </c>
      <c r="CV1" s="94" t="s">
        <v>215</v>
      </c>
      <c r="CW1" s="94"/>
      <c r="CX1" s="94"/>
      <c r="CY1" s="94"/>
      <c r="CZ1" s="94" t="s">
        <v>219</v>
      </c>
      <c r="DA1" s="94"/>
      <c r="DB1" s="94"/>
      <c r="DC1" s="94"/>
      <c r="DD1" s="94" t="s">
        <v>216</v>
      </c>
      <c r="DE1" s="94"/>
      <c r="DF1" s="94"/>
      <c r="DG1" s="94"/>
      <c r="DH1" s="94"/>
      <c r="DI1" s="94"/>
      <c r="DJ1" s="94"/>
      <c r="DK1" s="94"/>
      <c r="DL1" s="94" t="s">
        <v>219</v>
      </c>
      <c r="DM1" s="94"/>
      <c r="DN1" s="94"/>
      <c r="DO1" s="94"/>
      <c r="DP1" s="94"/>
      <c r="DQ1" s="94"/>
      <c r="DR1" s="94"/>
      <c r="DS1" s="94"/>
      <c r="DT1" s="98" t="s">
        <v>217</v>
      </c>
      <c r="DU1" s="98"/>
      <c r="DV1" s="99" t="s">
        <v>219</v>
      </c>
      <c r="DW1" s="99"/>
      <c r="DX1" s="1" t="s">
        <v>240</v>
      </c>
      <c r="DY1" s="42" t="s">
        <v>241</v>
      </c>
      <c r="DZ1" s="94" t="s">
        <v>215</v>
      </c>
      <c r="EA1" s="94"/>
      <c r="EB1" s="94"/>
      <c r="EC1" s="94"/>
      <c r="ED1" s="94" t="s">
        <v>219</v>
      </c>
      <c r="EE1" s="94"/>
      <c r="EF1" s="94"/>
      <c r="EG1" s="94"/>
      <c r="EH1" s="94" t="s">
        <v>216</v>
      </c>
      <c r="EI1" s="94"/>
      <c r="EJ1" s="94"/>
      <c r="EK1" s="94"/>
      <c r="EL1" s="94"/>
      <c r="EM1" s="94"/>
      <c r="EN1" s="94"/>
      <c r="EO1" s="94"/>
      <c r="EP1" s="94" t="s">
        <v>219</v>
      </c>
      <c r="EQ1" s="94"/>
      <c r="ER1" s="94"/>
      <c r="ES1" s="94"/>
      <c r="ET1" s="94"/>
      <c r="EU1" s="94"/>
      <c r="EV1" s="94"/>
      <c r="EW1" s="94"/>
      <c r="EX1" s="98" t="s">
        <v>217</v>
      </c>
      <c r="EY1" s="98"/>
      <c r="EZ1" s="99" t="s">
        <v>219</v>
      </c>
      <c r="FA1" s="99"/>
      <c r="FB1" s="42" t="s">
        <v>242</v>
      </c>
      <c r="FC1" s="94" t="s">
        <v>215</v>
      </c>
      <c r="FD1" s="94"/>
      <c r="FE1" s="94"/>
      <c r="FF1" s="94"/>
      <c r="FG1" s="94" t="s">
        <v>219</v>
      </c>
      <c r="FH1" s="94"/>
      <c r="FI1" s="94"/>
      <c r="FJ1" s="94"/>
      <c r="FK1" s="94" t="s">
        <v>216</v>
      </c>
      <c r="FL1" s="94"/>
      <c r="FM1" s="94"/>
      <c r="FN1" s="94"/>
      <c r="FO1" s="94"/>
      <c r="FP1" s="94"/>
      <c r="FQ1" s="94"/>
      <c r="FR1" s="94"/>
      <c r="FS1" s="94" t="s">
        <v>219</v>
      </c>
      <c r="FT1" s="94"/>
      <c r="FU1" s="94"/>
      <c r="FV1" s="94"/>
      <c r="FW1" s="94"/>
      <c r="FX1" s="94"/>
      <c r="FY1" s="94"/>
      <c r="FZ1" s="94"/>
      <c r="GA1" s="98" t="s">
        <v>217</v>
      </c>
      <c r="GB1" s="98"/>
      <c r="GC1" s="99" t="s">
        <v>219</v>
      </c>
      <c r="GD1" s="99"/>
      <c r="GE1" s="42" t="s">
        <v>244</v>
      </c>
      <c r="GF1" s="94" t="s">
        <v>215</v>
      </c>
      <c r="GG1" s="94"/>
      <c r="GH1" s="94"/>
      <c r="GI1" s="94"/>
      <c r="GJ1" s="94" t="s">
        <v>219</v>
      </c>
      <c r="GK1" s="94"/>
      <c r="GL1" s="94"/>
      <c r="GM1" s="94"/>
      <c r="GN1" s="94" t="s">
        <v>216</v>
      </c>
      <c r="GO1" s="94"/>
      <c r="GP1" s="94"/>
      <c r="GQ1" s="94"/>
      <c r="GR1" s="94"/>
      <c r="GS1" s="94"/>
      <c r="GT1" s="94"/>
      <c r="GU1" s="94"/>
      <c r="GV1" s="94" t="s">
        <v>219</v>
      </c>
      <c r="GW1" s="94"/>
      <c r="GX1" s="94"/>
      <c r="GY1" s="94"/>
      <c r="GZ1" s="94"/>
      <c r="HA1" s="94"/>
      <c r="HB1" s="94"/>
      <c r="HC1" s="94"/>
      <c r="HD1" s="98" t="s">
        <v>217</v>
      </c>
      <c r="HE1" s="98"/>
      <c r="HF1" s="99" t="s">
        <v>219</v>
      </c>
      <c r="HG1" s="99"/>
      <c r="HH1" s="42" t="s">
        <v>243</v>
      </c>
      <c r="HI1" s="94" t="s">
        <v>215</v>
      </c>
      <c r="HJ1" s="94"/>
      <c r="HK1" s="94"/>
      <c r="HL1" s="94"/>
      <c r="HM1" s="94" t="s">
        <v>219</v>
      </c>
      <c r="HN1" s="94"/>
      <c r="HO1" s="94"/>
      <c r="HP1" s="94"/>
      <c r="HQ1" s="94" t="s">
        <v>216</v>
      </c>
      <c r="HR1" s="94"/>
      <c r="HS1" s="94"/>
      <c r="HT1" s="94"/>
      <c r="HU1" s="94"/>
      <c r="HV1" s="94"/>
      <c r="HW1" s="94"/>
      <c r="HX1" s="94"/>
      <c r="HY1" s="94" t="s">
        <v>219</v>
      </c>
      <c r="HZ1" s="94"/>
      <c r="IA1" s="94"/>
      <c r="IB1" s="94"/>
      <c r="IC1" s="94"/>
      <c r="ID1" s="94"/>
      <c r="IE1" s="94"/>
      <c r="IF1" s="94"/>
      <c r="IG1" s="98" t="s">
        <v>217</v>
      </c>
      <c r="IH1" s="98"/>
      <c r="II1" s="99" t="s">
        <v>219</v>
      </c>
      <c r="IJ1" s="99"/>
      <c r="IK1" s="42" t="s">
        <v>245</v>
      </c>
      <c r="IL1" s="94" t="s">
        <v>215</v>
      </c>
      <c r="IM1" s="94"/>
      <c r="IN1" s="94"/>
      <c r="IO1" s="94"/>
      <c r="IP1" s="94" t="s">
        <v>219</v>
      </c>
      <c r="IQ1" s="94"/>
      <c r="IR1" s="94"/>
      <c r="IS1" s="94"/>
      <c r="IT1" s="94" t="s">
        <v>216</v>
      </c>
      <c r="IU1" s="94"/>
      <c r="IV1" s="94"/>
      <c r="IW1" s="94"/>
      <c r="IX1" s="94"/>
      <c r="IY1" s="94"/>
      <c r="IZ1" s="94"/>
      <c r="JA1" s="94"/>
      <c r="JB1" s="94" t="s">
        <v>219</v>
      </c>
      <c r="JC1" s="94"/>
      <c r="JD1" s="94"/>
      <c r="JE1" s="94"/>
      <c r="JF1" s="94"/>
      <c r="JG1" s="94"/>
      <c r="JH1" s="94"/>
      <c r="JI1" s="94"/>
      <c r="JJ1" s="98" t="s">
        <v>217</v>
      </c>
      <c r="JK1" s="98"/>
      <c r="JL1" s="99" t="s">
        <v>219</v>
      </c>
      <c r="JM1" s="99"/>
      <c r="JN1" s="42" t="s">
        <v>246</v>
      </c>
      <c r="JO1" s="94" t="s">
        <v>215</v>
      </c>
      <c r="JP1" s="94"/>
      <c r="JQ1" s="94"/>
      <c r="JR1" s="94"/>
      <c r="JS1" s="94" t="s">
        <v>219</v>
      </c>
      <c r="JT1" s="94"/>
      <c r="JU1" s="94"/>
      <c r="JV1" s="94"/>
      <c r="JW1" s="94" t="s">
        <v>216</v>
      </c>
      <c r="JX1" s="94"/>
      <c r="JY1" s="94"/>
      <c r="JZ1" s="94"/>
      <c r="KA1" s="94"/>
      <c r="KB1" s="94"/>
      <c r="KC1" s="94"/>
      <c r="KD1" s="94"/>
      <c r="KE1" s="94" t="s">
        <v>219</v>
      </c>
      <c r="KF1" s="94"/>
      <c r="KG1" s="94"/>
      <c r="KH1" s="94"/>
      <c r="KI1" s="94"/>
      <c r="KJ1" s="94"/>
      <c r="KK1" s="94"/>
      <c r="KL1" s="94"/>
      <c r="KM1" s="98" t="s">
        <v>217</v>
      </c>
      <c r="KN1" s="98"/>
      <c r="KO1" s="99" t="s">
        <v>219</v>
      </c>
      <c r="KP1" s="99"/>
      <c r="KQ1" s="42" t="s">
        <v>247</v>
      </c>
      <c r="KR1" s="94" t="s">
        <v>215</v>
      </c>
      <c r="KS1" s="94"/>
      <c r="KT1" s="94"/>
      <c r="KU1" s="94"/>
      <c r="KV1" s="94" t="s">
        <v>219</v>
      </c>
      <c r="KW1" s="94"/>
      <c r="KX1" s="94"/>
      <c r="KY1" s="94"/>
      <c r="KZ1" s="94" t="s">
        <v>216</v>
      </c>
      <c r="LA1" s="94"/>
      <c r="LB1" s="94"/>
      <c r="LC1" s="94"/>
      <c r="LD1" s="94"/>
      <c r="LE1" s="94"/>
      <c r="LF1" s="94"/>
      <c r="LG1" s="94"/>
      <c r="LH1" s="94" t="s">
        <v>219</v>
      </c>
      <c r="LI1" s="94"/>
      <c r="LJ1" s="94"/>
      <c r="LK1" s="94"/>
      <c r="LL1" s="94"/>
      <c r="LM1" s="94"/>
      <c r="LN1" s="94"/>
      <c r="LO1" s="94"/>
      <c r="LP1" s="98" t="s">
        <v>217</v>
      </c>
      <c r="LQ1" s="98"/>
      <c r="LR1" s="99" t="s">
        <v>219</v>
      </c>
      <c r="LS1" s="99"/>
      <c r="LT1" s="42" t="s">
        <v>248</v>
      </c>
      <c r="LU1" s="94" t="s">
        <v>215</v>
      </c>
      <c r="LV1" s="94"/>
      <c r="LW1" s="94"/>
      <c r="LX1" s="94"/>
      <c r="LY1" s="94" t="s">
        <v>219</v>
      </c>
      <c r="LZ1" s="94"/>
      <c r="MA1" s="94"/>
      <c r="MB1" s="94"/>
      <c r="MC1" s="94" t="s">
        <v>216</v>
      </c>
      <c r="MD1" s="94"/>
      <c r="ME1" s="94"/>
      <c r="MF1" s="94"/>
      <c r="MG1" s="94"/>
      <c r="MH1" s="94"/>
      <c r="MI1" s="94"/>
      <c r="MJ1" s="94"/>
      <c r="MK1" s="94" t="s">
        <v>219</v>
      </c>
      <c r="ML1" s="94"/>
      <c r="MM1" s="94"/>
      <c r="MN1" s="94"/>
      <c r="MO1" s="94"/>
      <c r="MP1" s="94"/>
      <c r="MQ1" s="94"/>
      <c r="MR1" s="94"/>
      <c r="MS1" s="98" t="s">
        <v>217</v>
      </c>
      <c r="MT1" s="98"/>
      <c r="MU1" s="99" t="s">
        <v>219</v>
      </c>
      <c r="MV1" s="99"/>
    </row>
    <row r="2" spans="1:360" s="27" customFormat="1" ht="18.600000000000001" thickBot="1" x14ac:dyDescent="0.4">
      <c r="A2" s="24"/>
      <c r="B2" s="25"/>
      <c r="C2" s="20" t="s">
        <v>0</v>
      </c>
      <c r="D2" s="20" t="s">
        <v>133</v>
      </c>
      <c r="E2" s="20" t="s">
        <v>99</v>
      </c>
      <c r="F2" s="20">
        <v>23</v>
      </c>
      <c r="G2" s="20" t="s">
        <v>136</v>
      </c>
      <c r="H2" s="20" t="str">
        <f t="shared" ref="H2:H15" si="0">CONCATENATE(HEX2BIN(D2,8),HEX2BIN(E2,8),HEX2BIN(F2,8),HEX2BIN(G2,8))</f>
        <v>11000111101000100010001101001111</v>
      </c>
      <c r="I2" s="20">
        <f t="shared" ref="I2:I15" si="1">MID(H2,1,1)+MID(H2,2,1)+MID(H2,3,1)+MID(H2,4,1)+MID(H2,5,1)+MID(H2,6,1)+MID(H2,7,1)+MID(H2,8,1)+MID(H2,9,1)+MID(H2,10,1)+MID(H2,11,1)+MID(H2,12,1)+MID(H2,13,1)+MID(H2,14,1)+MID(H2,15,1)+MID(H2,16,1)+MID(H2,17,1)+MID(H2,18,1)+MID(H2,19,1)+MID(H2,20,1)+MID(H2,21,1)+MID(H2,22,1)+MID(H2,23,1)+MID(H2,24,1)+MID(H2,25,1)+MID(H2,26,1)+MID(H2,27,1)+MID(H2,28,1)+MID(H2,29,1)+MID(H2,30,1)+MID(H2,31,1)+MID(H2,32,1)</f>
        <v>16</v>
      </c>
      <c r="J2" s="77">
        <v>64</v>
      </c>
      <c r="K2" s="77" t="str">
        <f>HEX2BIN(J2,8)</f>
        <v>01100100</v>
      </c>
      <c r="L2" s="43" t="str">
        <f>CONCATENATE(MID(H2,17,16),MID(H2,1,16))</f>
        <v>00100011010011111100011110100010</v>
      </c>
      <c r="M2" s="26" t="str">
        <f>MID(L2,1,5)</f>
        <v>00100</v>
      </c>
      <c r="N2" s="26" t="str">
        <f>MID(L2,9,5)</f>
        <v>01001</v>
      </c>
      <c r="O2" s="26" t="str">
        <f>MID(L2,17,5)</f>
        <v>11000</v>
      </c>
      <c r="P2" s="26" t="str">
        <f>MID(L2,25,5)</f>
        <v>10100</v>
      </c>
      <c r="Q2" s="77">
        <f>BIN2DEC(M2)-BIN2DEC(M3)</f>
        <v>-25</v>
      </c>
      <c r="R2" s="77">
        <f>BIN2DEC(N2)-BIN2DEC(N3)</f>
        <v>-13</v>
      </c>
      <c r="S2" s="77">
        <f>BIN2DEC(O2)-BIN2DEC(O3)</f>
        <v>14</v>
      </c>
      <c r="T2" s="77">
        <f>BIN2DEC(P2)-BIN2DEC(P3)</f>
        <v>-6</v>
      </c>
      <c r="U2" s="27" t="str">
        <f>MID($L2,1,4)</f>
        <v>0010</v>
      </c>
      <c r="V2" s="27" t="str">
        <f>MID($L2,5,4)</f>
        <v>0011</v>
      </c>
      <c r="W2" s="27" t="str">
        <f>MID($L2,9,4)</f>
        <v>0100</v>
      </c>
      <c r="X2" s="27" t="str">
        <f>MID($L2,13,4)</f>
        <v>1111</v>
      </c>
      <c r="Y2" s="27" t="str">
        <f>MID($L2,17,4)</f>
        <v>1100</v>
      </c>
      <c r="Z2" s="27" t="str">
        <f>MID($L2,21,4)</f>
        <v>0111</v>
      </c>
      <c r="AA2" s="27" t="str">
        <f>MID($L2,25,4)</f>
        <v>1010</v>
      </c>
      <c r="AB2" s="27" t="str">
        <f>MID($L2,29,4)</f>
        <v>0010</v>
      </c>
      <c r="AC2" s="77">
        <f>BIN2DEC(U2)-BIN2DEC(U3)</f>
        <v>-12</v>
      </c>
      <c r="AD2" s="77">
        <f t="shared" ref="AD2:AI2" si="2">BIN2DEC(V2)-BIN2DEC(V3)</f>
        <v>-9</v>
      </c>
      <c r="AE2" s="77">
        <f t="shared" si="2"/>
        <v>-7</v>
      </c>
      <c r="AF2" s="77">
        <f t="shared" si="2"/>
        <v>12</v>
      </c>
      <c r="AG2" s="77">
        <f t="shared" si="2"/>
        <v>7</v>
      </c>
      <c r="AH2" s="77">
        <f t="shared" si="2"/>
        <v>0</v>
      </c>
      <c r="AI2" s="77">
        <f t="shared" si="2"/>
        <v>-3</v>
      </c>
      <c r="AJ2" s="77">
        <f>BIN2DEC(AB2)-BIN2DEC(AB3)</f>
        <v>2</v>
      </c>
      <c r="AK2" s="26" t="str">
        <f t="shared" ref="AK2:AK41" si="3">MID(L2,1,16)</f>
        <v>0010001101001111</v>
      </c>
      <c r="AL2" s="26" t="str">
        <f t="shared" ref="AL2:AL41" si="4">MID(L2,17,16)</f>
        <v>1100011110100010</v>
      </c>
      <c r="AM2" s="77">
        <f>MID(AK2,16,1)*POWER(2,0)+MID(AK2,15,1)*POWER(2,1)+MID(AK2,14,1)*POWER(2,2)+MID(AK2,13,1)*POWER(2,3)+MID(AK2,12,1)*POWER(2,4)+MID(AK2,11,1)*POWER(2,5)+MID(AK2,10,1)*POWER(2,6)+MID(AK2,9,1)*POWER(2,7)+MID(AK2,8,1)*POWER(2,8)+MID(AK2,7,1)*POWER(2,9)+MID(AK2,6,1)*POWER(2,10)+MID(AK2,5,1)*POWER(2,11)+MID(AK2,4,1)*POWER(2,12)+MID(AK2,3,1)*POWER(2,13)+MID(AK2,2,1)*POWER(2,14)+MID(AK2,1,1)*POWER(2,15)-(MID(AK3,16,1)*POWER(2,0)+MID(AK3,15,1)*POWER(2,1)+MID(AK3,14,1)*POWER(2,2)+MID(AK3,13,1)*POWER(2,3)+MID(AK3,12,1)*POWER(2,4)+MID(AK3,11,1)*POWER(2,5)+MID(AK3,10,1)*POWER(2,6)+MID(AK3,9,1)*POWER(2,7)+MID(AK3,8,1)*POWER(2,8)+MID(AK3,7,1)*POWER(2,9)+MID(AK3,6,1)*POWER(2,10)+MID(AK3,5,1)*POWER(2,11)+MID(AK3,4,1)*POWER(2,12)+MID(AK3,3,1)*POWER(2,13)+MID(AK3,2,1)*POWER(2,14)+MID(AK3,1,1)*POWER(2,15))</f>
        <v>-51556</v>
      </c>
      <c r="AN2" s="77">
        <f>MID(AL2,16,1)*POWER(2,0)+MID(AL2,15,1)*POWER(2,1)+MID(AL2,14,1)*POWER(2,2)+MID(AL2,13,1)*POWER(2,3)+MID(AL2,12,1)*POWER(2,4)+MID(AL2,11,1)*POWER(2,5)+MID(AL2,10,1)*POWER(2,6)+MID(AL2,9,1)*POWER(2,7)+MID(AL2,8,1)*POWER(2,8)+MID(AL2,7,1)*POWER(2,9)+MID(AL2,6,1)*POWER(2,10)+MID(AL2,5,1)*POWER(2,11)+MID(AL2,4,1)*POWER(2,12)+MID(AL2,3,1)*POWER(2,13)+MID(AL2,2,1)*POWER(2,14)+MID(AL2,1,1)*POWER(2,15)-(MID(AL3,16,1)*POWER(2,0)+MID(AL3,15,1)*POWER(2,1)+MID(AL3,14,1)*POWER(2,2)+MID(AL3,13,1)*POWER(2,3)+MID(AL3,12,1)*POWER(2,4)+MID(AL3,11,1)*POWER(2,5)+MID(AL3,10,1)*POWER(2,6)+MID(AL3,9,1)*POWER(2,7)+MID(AL3,8,1)*POWER(2,8)+MID(AL3,7,1)*POWER(2,9)+MID(AL3,6,1)*POWER(2,10)+MID(AL3,5,1)*POWER(2,11)+MID(AL3,4,1)*POWER(2,12)+MID(AL3,3,1)*POWER(2,13)+MID(AL3,2,1)*POWER(2,14)+MID(AL3,1,1)*POWER(2,15))</f>
        <v>28626</v>
      </c>
      <c r="AO2" s="45" t="str">
        <f>L2</f>
        <v>00100011010011111100011110100010</v>
      </c>
      <c r="AP2" s="26" t="str">
        <f>MID(AO2,1,8)</f>
        <v>00100011</v>
      </c>
      <c r="AQ2" s="26" t="str">
        <f>MID(AO2,9,8)</f>
        <v>01001111</v>
      </c>
      <c r="AR2" s="26" t="str">
        <f>MID(AO2,17,8)</f>
        <v>11000111</v>
      </c>
      <c r="AS2" s="26" t="str">
        <f>MID(AO2,25,8)</f>
        <v>10100010</v>
      </c>
      <c r="AT2" s="77">
        <f>BIN2DEC(AP2)-BIN2DEC(AP3)</f>
        <v>-65</v>
      </c>
      <c r="AU2" s="77">
        <f>BIN2DEC(AQ2)-BIN2DEC(AQ3)</f>
        <v>47</v>
      </c>
      <c r="AV2" s="77">
        <f>BIN2DEC(AR2)-BIN2DEC(AR3)</f>
        <v>131</v>
      </c>
      <c r="AW2" s="77">
        <f>BIN2DEC(AS2)-BIN2DEC(AS3)</f>
        <v>98</v>
      </c>
      <c r="AX2" s="27" t="str">
        <f>MID($L2,1,4)</f>
        <v>0010</v>
      </c>
      <c r="AY2" s="27" t="str">
        <f>MID($L2,5,4)</f>
        <v>0011</v>
      </c>
      <c r="AZ2" s="27" t="str">
        <f>MID($L2,9,4)</f>
        <v>0100</v>
      </c>
      <c r="BA2" s="27" t="str">
        <f>MID($L2,13,4)</f>
        <v>1111</v>
      </c>
      <c r="BB2" s="27" t="str">
        <f>MID($L2,17,4)</f>
        <v>1100</v>
      </c>
      <c r="BC2" s="27" t="str">
        <f>MID($L2,21,4)</f>
        <v>0111</v>
      </c>
      <c r="BD2" s="27" t="str">
        <f>MID($L2,25,4)</f>
        <v>1010</v>
      </c>
      <c r="BE2" s="27" t="str">
        <f>MID($L2,29,4)</f>
        <v>0010</v>
      </c>
      <c r="BF2" s="77">
        <f>BIN2DEC(AX2)-BIN2DEC(AX3)</f>
        <v>-12</v>
      </c>
      <c r="BG2" s="77">
        <f t="shared" ref="BG2:BL2" si="5">BIN2DEC(AY2)-BIN2DEC(AY3)</f>
        <v>-9</v>
      </c>
      <c r="BH2" s="77">
        <f t="shared" si="5"/>
        <v>-7</v>
      </c>
      <c r="BI2" s="77">
        <f t="shared" si="5"/>
        <v>12</v>
      </c>
      <c r="BJ2" s="77">
        <f t="shared" si="5"/>
        <v>7</v>
      </c>
      <c r="BK2" s="77">
        <f t="shared" si="5"/>
        <v>0</v>
      </c>
      <c r="BL2" s="77">
        <f t="shared" si="5"/>
        <v>-3</v>
      </c>
      <c r="BM2" s="77">
        <f>BIN2DEC(BE2)-BIN2DEC(BE3)</f>
        <v>2</v>
      </c>
      <c r="BN2" s="26" t="str">
        <f t="shared" ref="BN2:BN41" si="6">MID(AO2,1,16)</f>
        <v>0010001101001111</v>
      </c>
      <c r="BO2" s="26" t="str">
        <f t="shared" ref="BO2:BO41" si="7">MID(AO2,17,16)</f>
        <v>1100011110100010</v>
      </c>
      <c r="BP2" s="77">
        <f>MID(BN2,16,1)*POWER(2,0)+MID(BN2,15,1)*POWER(2,1)+MID(BN2,14,1)*POWER(2,2)+MID(BN2,13,1)*POWER(2,3)+MID(BN2,12,1)*POWER(2,4)+MID(BN2,11,1)*POWER(2,5)+MID(BN2,10,1)*POWER(2,6)+MID(BN2,9,1)*POWER(2,7)+MID(BN2,8,1)*POWER(2,8)+MID(BN2,7,1)*POWER(2,9)+MID(BN2,6,1)*POWER(2,10)+MID(BN2,5,1)*POWER(2,11)+MID(BN2,4,1)*POWER(2,12)+MID(BN2,3,1)*POWER(2,13)+MID(BN2,2,1)*POWER(2,14)+MID(BN2,1,1)*POWER(2,15)-(MID(BN3,16,1)*POWER(2,0)+MID(BN3,15,1)*POWER(2,1)+MID(BN3,14,1)*POWER(2,2)+MID(BN3,13,1)*POWER(2,3)+MID(BN3,12,1)*POWER(2,4)+MID(BN3,11,1)*POWER(2,5)+MID(BN3,10,1)*POWER(2,6)+MID(BN3,9,1)*POWER(2,7)+MID(BN3,8,1)*POWER(2,8)+MID(BN3,7,1)*POWER(2,9)+MID(BN3,6,1)*POWER(2,10)+MID(BN3,5,1)*POWER(2,11)+MID(BN3,4,1)*POWER(2,12)+MID(BN3,3,1)*POWER(2,13)+MID(BN3,2,1)*POWER(2,14)+MID(BN3,1,1)*POWER(2,15))</f>
        <v>-16593</v>
      </c>
      <c r="BQ2" s="77">
        <f>MID(BO2,16,1)*POWER(2,0)+MID(BO2,15,1)*POWER(2,1)+MID(BO2,14,1)*POWER(2,2)+MID(BO2,13,1)*POWER(2,3)+MID(BO2,12,1)*POWER(2,4)+MID(BO2,11,1)*POWER(2,5)+MID(BO2,10,1)*POWER(2,6)+MID(BO2,9,1)*POWER(2,7)+MID(BO2,8,1)*POWER(2,8)+MID(BO2,7,1)*POWER(2,9)+MID(BO2,6,1)*POWER(2,10)+MID(BO2,5,1)*POWER(2,11)+MID(BO2,4,1)*POWER(2,12)+MID(BO2,3,1)*POWER(2,13)+MID(BO2,2,1)*POWER(2,14)+MID(BO2,1,1)*POWER(2,15)-(MID(BO3,16,1)*POWER(2,0)+MID(BO3,15,1)*POWER(2,1)+MID(BO3,14,1)*POWER(2,2)+MID(BO3,13,1)*POWER(2,3)+MID(BO3,12,1)*POWER(2,4)+MID(BO3,11,1)*POWER(2,5)+MID(BO3,10,1)*POWER(2,6)+MID(BO3,9,1)*POWER(2,7)+MID(BO3,8,1)*POWER(2,8)+MID(BO3,7,1)*POWER(2,9)+MID(BO3,6,1)*POWER(2,10)+MID(BO3,5,1)*POWER(2,11)+MID(BO3,4,1)*POWER(2,12)+MID(BO3,3,1)*POWER(2,13)+MID(BO3,2,1)*POWER(2,14)+MID(BO3,1,1)*POWER(2,15))</f>
        <v>33634</v>
      </c>
      <c r="BR2" s="45" t="str">
        <f>CONCATENATE(MID($L2,1,1)*MID($K2,1,1),MID($L2,2,1)*MID($K2,2,1),MID($L2,3,1)*MID($K2,3,1),MID($L2,4,1)*MID($K2,4,1),MID($L2,5,1)*MID($K2,5,1),MID($L2,6,1)*MID($K2,6,1),MID($L2,7,1)*MID($K2,7,1),MID($L2,8,1)*MID($K2,8,1),MID($L2,9,1)*MID($K2,1,1),MID($L2,10,1)*MID($K2,2,1),MID($L2,11,1)*MID($K2,3,1),MID($L2,12,1)*MID($K2,4,1),MID($L2,13,1)*MID($K2,5,1),MID($L2,14,1)*MID($K2,6,1),MID($L2,15,1)*MID($K2,7,1),MID($L2,16,1)*MID($K2,8,1),MID($L2,17,1)*MID($K2,1,1),MID($L2,18,1)*MID($K2,2,1),MID($L2,19,1)*MID($K2,3,1),MID($L2,20,1)*MID($K2,4,1),MID($L2,21,1)*MID($K2,5,1),MID($L2,22,1)*MID($K2,6,1),MID($L2,23,1)*MID($K2,7,1),MID($L2,24,1)*MID($K2,8,1),MID($L2,25,1)*MID($K2,1,1),MID($L2,26,1)*MID($K2,2,1),MID($L2,27,1)*MID($K2,3,1),MID($L2,28,1)*MID($K2,4,1),MID($L2,29,1)*MID($K2,5,1),MID($L2,30,1)*MID($K2,6,1),MID($L2,31,1)*MID($K2,7,1),MID($L2,32,1)*MID($K2,8,1))</f>
        <v>00100000010001000100010000100000</v>
      </c>
      <c r="BS2" s="26" t="str">
        <f>MID(BR2,1,8)</f>
        <v>00100000</v>
      </c>
      <c r="BT2" s="26" t="str">
        <f>MID(BR2,9,8)</f>
        <v>01000100</v>
      </c>
      <c r="BU2" s="26" t="str">
        <f>MID(BR2,17,8)</f>
        <v>01000100</v>
      </c>
      <c r="BV2" s="26" t="str">
        <f>MID(BR2,25,8)</f>
        <v>00100000</v>
      </c>
      <c r="BW2" s="77">
        <f>BIN2DEC(BS2)-BIN2DEC(BS3)</f>
        <v>-204</v>
      </c>
      <c r="BX2" s="77">
        <f>BIN2DEC(BT2)-BIN2DEC(BT3)</f>
        <v>-111</v>
      </c>
      <c r="BY2" s="77">
        <f>BIN2DEC(BU2)-BIN2DEC(BU3)</f>
        <v>-19</v>
      </c>
      <c r="BZ2" s="77">
        <f>BIN2DEC(BV2)-BIN2DEC(BV3)</f>
        <v>-176</v>
      </c>
      <c r="CA2" s="27" t="str">
        <f>MID($L2,1,4)</f>
        <v>0010</v>
      </c>
      <c r="CB2" s="27" t="str">
        <f>MID($L2,5,4)</f>
        <v>0011</v>
      </c>
      <c r="CC2" s="27" t="str">
        <f>MID($L2,9,4)</f>
        <v>0100</v>
      </c>
      <c r="CD2" s="27" t="str">
        <f>MID($L2,13,4)</f>
        <v>1111</v>
      </c>
      <c r="CE2" s="27" t="str">
        <f>MID($L2,17,4)</f>
        <v>1100</v>
      </c>
      <c r="CF2" s="27" t="str">
        <f>MID($L2,21,4)</f>
        <v>0111</v>
      </c>
      <c r="CG2" s="27" t="str">
        <f>MID($L2,25,4)</f>
        <v>1010</v>
      </c>
      <c r="CH2" s="27" t="str">
        <f>MID($L2,29,4)</f>
        <v>0010</v>
      </c>
      <c r="CI2" s="77">
        <f>BIN2DEC(CA2)-BIN2DEC(CA3)</f>
        <v>-12</v>
      </c>
      <c r="CJ2" s="77">
        <f t="shared" ref="CJ2:CO2" si="8">BIN2DEC(CB2)-BIN2DEC(CB3)</f>
        <v>-9</v>
      </c>
      <c r="CK2" s="77">
        <f t="shared" si="8"/>
        <v>-7</v>
      </c>
      <c r="CL2" s="77">
        <f t="shared" si="8"/>
        <v>12</v>
      </c>
      <c r="CM2" s="77">
        <f t="shared" si="8"/>
        <v>7</v>
      </c>
      <c r="CN2" s="77">
        <f t="shared" si="8"/>
        <v>0</v>
      </c>
      <c r="CO2" s="77">
        <f t="shared" si="8"/>
        <v>-3</v>
      </c>
      <c r="CP2" s="77">
        <f>BIN2DEC(CH2)-BIN2DEC(CH3)</f>
        <v>2</v>
      </c>
      <c r="CQ2" s="26" t="str">
        <f t="shared" ref="CQ2:CQ41" si="9">MID(BR2,1,16)</f>
        <v>0010000001000100</v>
      </c>
      <c r="CR2" s="26" t="str">
        <f t="shared" ref="CR2:CR41" si="10">MID(BR2,17,16)</f>
        <v>0100010000100000</v>
      </c>
      <c r="CS2" s="77">
        <f>MID(CQ2,16,1)*POWER(2,0)+MID(CQ2,15,1)*POWER(2,1)+MID(CQ2,14,1)*POWER(2,2)+MID(CQ2,13,1)*POWER(2,3)+MID(CQ2,12,1)*POWER(2,4)+MID(CQ2,11,1)*POWER(2,5)+MID(CQ2,10,1)*POWER(2,6)+MID(CQ2,9,1)*POWER(2,7)+MID(CQ2,8,1)*POWER(2,8)+MID(CQ2,7,1)*POWER(2,9)+MID(CQ2,6,1)*POWER(2,10)+MID(CQ2,5,1)*POWER(2,11)+MID(CQ2,4,1)*POWER(2,12)+MID(CQ2,3,1)*POWER(2,13)+MID(CQ2,2,1)*POWER(2,14)+MID(CQ2,1,1)*POWER(2,15)-(MID(CQ3,16,1)*POWER(2,0)+MID(CQ3,15,1)*POWER(2,1)+MID(CQ3,14,1)*POWER(2,2)+MID(CQ3,13,1)*POWER(2,3)+MID(CQ3,12,1)*POWER(2,4)+MID(CQ3,11,1)*POWER(2,5)+MID(CQ3,10,1)*POWER(2,6)+MID(CQ3,9,1)*POWER(2,7)+MID(CQ3,8,1)*POWER(2,8)+MID(CQ3,7,1)*POWER(2,9)+MID(CQ3,6,1)*POWER(2,10)+MID(CQ3,5,1)*POWER(2,11)+MID(CQ3,4,1)*POWER(2,12)+MID(CQ3,3,1)*POWER(2,13)+MID(CQ3,2,1)*POWER(2,14)+MID(CQ3,1,1)*POWER(2,15))</f>
        <v>-52335</v>
      </c>
      <c r="CT2" s="77">
        <f>MID(CR2,16,1)*POWER(2,0)+MID(CR2,15,1)*POWER(2,1)+MID(CR2,14,1)*POWER(2,2)+MID(CR2,13,1)*POWER(2,3)+MID(CR2,12,1)*POWER(2,4)+MID(CR2,11,1)*POWER(2,5)+MID(CR2,10,1)*POWER(2,6)+MID(CR2,9,1)*POWER(2,7)+MID(CR2,8,1)*POWER(2,8)+MID(CR2,7,1)*POWER(2,9)+MID(CR2,6,1)*POWER(2,10)+MID(CR2,5,1)*POWER(2,11)+MID(CR2,4,1)*POWER(2,12)+MID(CR2,3,1)*POWER(2,13)+MID(CR2,2,1)*POWER(2,14)+MID(CR2,1,1)*POWER(2,15)-(MID(CR3,16,1)*POWER(2,0)+MID(CR3,15,1)*POWER(2,1)+MID(CR3,14,1)*POWER(2,2)+MID(CR3,13,1)*POWER(2,3)+MID(CR3,12,1)*POWER(2,4)+MID(CR3,11,1)*POWER(2,5)+MID(CR3,10,1)*POWER(2,6)+MID(CR3,9,1)*POWER(2,7)+MID(CR3,8,1)*POWER(2,8)+MID(CR3,7,1)*POWER(2,9)+MID(CR3,6,1)*POWER(2,10)+MID(CR3,5,1)*POWER(2,11)+MID(CR3,4,1)*POWER(2,12)+MID(CR3,3,1)*POWER(2,13)+MID(CR3,2,1)*POWER(2,14)+MID(CR3,1,1)*POWER(2,15))</f>
        <v>-5040</v>
      </c>
      <c r="CU2" s="45" t="str">
        <f>BR2</f>
        <v>00100000010001000100010000100000</v>
      </c>
      <c r="CV2" s="26" t="str">
        <f>MID(CU2,1,8)</f>
        <v>00100000</v>
      </c>
      <c r="CW2" s="26" t="str">
        <f>MID(CU2,9,8)</f>
        <v>01000100</v>
      </c>
      <c r="CX2" s="26" t="str">
        <f>MID(CU2,17,8)</f>
        <v>01000100</v>
      </c>
      <c r="CY2" s="26" t="str">
        <f>MID(CU2,25,8)</f>
        <v>00100000</v>
      </c>
      <c r="CZ2" s="77">
        <f>BIN2DEC(CV2)-BIN2DEC(CV3)</f>
        <v>-68</v>
      </c>
      <c r="DA2" s="77">
        <f>BIN2DEC(CW2)-BIN2DEC(CW3)</f>
        <v>36</v>
      </c>
      <c r="DB2" s="77">
        <f>BIN2DEC(CX2)-BIN2DEC(CX3)</f>
        <v>0</v>
      </c>
      <c r="DC2" s="77">
        <f>BIN2DEC(CY2)-BIN2DEC(CY3)</f>
        <v>-32</v>
      </c>
      <c r="DD2" s="27" t="str">
        <f>MID($L2,1,4)</f>
        <v>0010</v>
      </c>
      <c r="DE2" s="27" t="str">
        <f>MID($L2,5,4)</f>
        <v>0011</v>
      </c>
      <c r="DF2" s="27" t="str">
        <f>MID($L2,9,4)</f>
        <v>0100</v>
      </c>
      <c r="DG2" s="27" t="str">
        <f>MID($L2,13,4)</f>
        <v>1111</v>
      </c>
      <c r="DH2" s="27" t="str">
        <f>MID($L2,17,4)</f>
        <v>1100</v>
      </c>
      <c r="DI2" s="27" t="str">
        <f>MID($L2,21,4)</f>
        <v>0111</v>
      </c>
      <c r="DJ2" s="27" t="str">
        <f>MID($L2,25,4)</f>
        <v>1010</v>
      </c>
      <c r="DK2" s="27" t="str">
        <f>MID($L2,29,4)</f>
        <v>0010</v>
      </c>
      <c r="DL2" s="77">
        <f>BIN2DEC(DD2)-BIN2DEC(DD3)</f>
        <v>-12</v>
      </c>
      <c r="DM2" s="77">
        <f t="shared" ref="DM2:DR2" si="11">BIN2DEC(DE2)-BIN2DEC(DE3)</f>
        <v>-9</v>
      </c>
      <c r="DN2" s="77">
        <f t="shared" si="11"/>
        <v>-7</v>
      </c>
      <c r="DO2" s="77">
        <f t="shared" si="11"/>
        <v>12</v>
      </c>
      <c r="DP2" s="77">
        <f t="shared" si="11"/>
        <v>7</v>
      </c>
      <c r="DQ2" s="77">
        <f t="shared" si="11"/>
        <v>0</v>
      </c>
      <c r="DR2" s="77">
        <f t="shared" si="11"/>
        <v>-3</v>
      </c>
      <c r="DS2" s="77">
        <f>BIN2DEC(DK2)-BIN2DEC(DK3)</f>
        <v>2</v>
      </c>
      <c r="DT2" s="26" t="str">
        <f t="shared" ref="DT2:DT41" si="12">MID(CU2,1,16)</f>
        <v>0010000001000100</v>
      </c>
      <c r="DU2" s="26" t="str">
        <f t="shared" ref="DU2:DU41" si="13">MID(CU2,17,16)</f>
        <v>0100010000100000</v>
      </c>
      <c r="DV2" s="77">
        <f>MID(DT2,16,1)*POWER(2,0)+MID(DT2,15,1)*POWER(2,1)+MID(DT2,14,1)*POWER(2,2)+MID(DT2,13,1)*POWER(2,3)+MID(DT2,12,1)*POWER(2,4)+MID(DT2,11,1)*POWER(2,5)+MID(DT2,10,1)*POWER(2,6)+MID(DT2,9,1)*POWER(2,7)+MID(DT2,8,1)*POWER(2,8)+MID(DT2,7,1)*POWER(2,9)+MID(DT2,6,1)*POWER(2,10)+MID(DT2,5,1)*POWER(2,11)+MID(DT2,4,1)*POWER(2,12)+MID(DT2,3,1)*POWER(2,13)+MID(DT2,2,1)*POWER(2,14)+MID(DT2,1,1)*POWER(2,15)-(MID(DT3,16,1)*POWER(2,0)+MID(DT3,15,1)*POWER(2,1)+MID(DT3,14,1)*POWER(2,2)+MID(DT3,13,1)*POWER(2,3)+MID(DT3,12,1)*POWER(2,4)+MID(DT3,11,1)*POWER(2,5)+MID(DT3,10,1)*POWER(2,6)+MID(DT3,9,1)*POWER(2,7)+MID(DT3,8,1)*POWER(2,8)+MID(DT3,7,1)*POWER(2,9)+MID(DT3,6,1)*POWER(2,10)+MID(DT3,5,1)*POWER(2,11)+MID(DT3,4,1)*POWER(2,12)+MID(DT3,3,1)*POWER(2,13)+MID(DT3,2,1)*POWER(2,14)+MID(DT3,1,1)*POWER(2,15))</f>
        <v>-17372</v>
      </c>
      <c r="DW2" s="77">
        <f>MID(DU2,16,1)*POWER(2,0)+MID(DU2,15,1)*POWER(2,1)+MID(DU2,14,1)*POWER(2,2)+MID(DU2,13,1)*POWER(2,3)+MID(DU2,12,1)*POWER(2,4)+MID(DU2,11,1)*POWER(2,5)+MID(DU2,10,1)*POWER(2,6)+MID(DU2,9,1)*POWER(2,7)+MID(DU2,8,1)*POWER(2,8)+MID(DU2,7,1)*POWER(2,9)+MID(DU2,6,1)*POWER(2,10)+MID(DU2,5,1)*POWER(2,11)+MID(DU2,4,1)*POWER(2,12)+MID(DU2,3,1)*POWER(2,13)+MID(DU2,2,1)*POWER(2,14)+MID(DU2,1,1)*POWER(2,15)-(MID(DU3,16,1)*POWER(2,0)+MID(DU3,15,1)*POWER(2,1)+MID(DU3,14,1)*POWER(2,2)+MID(DU3,13,1)*POWER(2,3)+MID(DU3,12,1)*POWER(2,4)+MID(DU3,11,1)*POWER(2,5)+MID(DU3,10,1)*POWER(2,6)+MID(DU3,9,1)*POWER(2,7)+MID(DU3,8,1)*POWER(2,8)+MID(DU3,7,1)*POWER(2,9)+MID(DU3,6,1)*POWER(2,10)+MID(DU3,5,1)*POWER(2,11)+MID(DU3,4,1)*POWER(2,12)+MID(DU3,3,1)*POWER(2,13)+MID(DU3,2,1)*POWER(2,14)+MID(DU3,1,1)*POWER(2,15))</f>
        <v>-32</v>
      </c>
      <c r="DX2" s="22" t="str">
        <f>CONCATENATE(MID($H2,1,1)*MID($K2,1,1),MID($H2,2,1)*MID($K2,2,1),MID($H2,3,1)*MID($K2,3,1),MID($H2,4,1)*MID($K2,4,1),MID($H2,5,1)*MID($K2,5,1),MID($H2,6,1)*MID($K2,6,1),MID($H2,7,1)*MID($K2,7,1),MID($H2,8,1)*MID($K2,8,1),MID($H2,9,1)*MID($K2,1,1),MID($H2,10,1)*MID($K2,2,1),MID($H2,11,1)*MID($K2,3,1),MID($H2,12,1)*MID($K2,4,1),MID($H2,13,1)*MID($K2,5,1),MID($H2,14,1)*MID($K2,6,1),MID($H2,15,1)*MID($K2,7,1),MID($H2,16,1)*MID($K2,8,1),MID($H2,17,1)*MID($K2,1,1),MID($H2,18,1)*MID($K2,2,1),MID($H2,19,1)*MID($K2,3,1),MID($H2,20,1)*MID($K2,4,1),MID($H2,21,1)*MID($K2,5,1),MID($H2,22,1)*MID($K2,6,1),MID($H2,23,1)*MID($K2,7,1),MID($H2,24,1)*MID($K2,8,1),MID($H2,25,1)*MID($K2,1,1),MID($H2,26,1)*MID($K2,2,1),MID($H2,27,1)*MID($K2,3,1),MID($H2,28,1)*MID($K2,4,1),MID($H2,29,1)*MID($K2,5,1),MID($H2,30,1)*MID($K2,6,1),MID($H2,31,1)*MID($K2,7,1),MID($H2,32,1)*MID($K2,8,1))</f>
        <v>01000100001000000010000001000100</v>
      </c>
      <c r="DY2" s="43" t="str">
        <f>L2</f>
        <v>00100011010011111100011110100010</v>
      </c>
      <c r="DZ2" s="26" t="str">
        <f>MID(DY2,1,8)</f>
        <v>00100011</v>
      </c>
      <c r="EA2" s="26" t="str">
        <f>MID(DY2,9,8)</f>
        <v>01001111</v>
      </c>
      <c r="EB2" s="26" t="str">
        <f>MID(DY2,17,8)</f>
        <v>11000111</v>
      </c>
      <c r="EC2" s="26" t="str">
        <f>MID(DY2,25,8)</f>
        <v>10100010</v>
      </c>
      <c r="ED2" s="77">
        <f>BIN2DEC(DZ2)-BIN2DEC(DZ3)</f>
        <v>3</v>
      </c>
      <c r="EE2" s="77">
        <f>BIN2DEC(EA2)-BIN2DEC(EA3)</f>
        <v>44</v>
      </c>
      <c r="EF2" s="77">
        <f>BIN2DEC(EB2)-BIN2DEC(EB3)</f>
        <v>196</v>
      </c>
      <c r="EG2" s="77">
        <f>BIN2DEC(EC2)-BIN2DEC(EC3)</f>
        <v>162</v>
      </c>
      <c r="EH2" s="27" t="str">
        <f>MID($L2,1,4)</f>
        <v>0010</v>
      </c>
      <c r="EI2" s="27" t="str">
        <f>MID($L2,5,4)</f>
        <v>0011</v>
      </c>
      <c r="EJ2" s="27" t="str">
        <f>MID($L2,9,4)</f>
        <v>0100</v>
      </c>
      <c r="EK2" s="27" t="str">
        <f>MID($L2,13,4)</f>
        <v>1111</v>
      </c>
      <c r="EL2" s="27" t="str">
        <f>MID($L2,17,4)</f>
        <v>1100</v>
      </c>
      <c r="EM2" s="27" t="str">
        <f>MID($L2,21,4)</f>
        <v>0111</v>
      </c>
      <c r="EN2" s="27" t="str">
        <f>MID($L2,25,4)</f>
        <v>1010</v>
      </c>
      <c r="EO2" s="27" t="str">
        <f>MID($L2,29,4)</f>
        <v>0010</v>
      </c>
      <c r="EP2" s="77">
        <f>BIN2DEC(EH2)-BIN2DEC(EH3)</f>
        <v>-12</v>
      </c>
      <c r="EQ2" s="77">
        <f t="shared" ref="EQ2:EV2" si="14">BIN2DEC(EI2)-BIN2DEC(EI3)</f>
        <v>-9</v>
      </c>
      <c r="ER2" s="77">
        <f t="shared" si="14"/>
        <v>-7</v>
      </c>
      <c r="ES2" s="77">
        <f t="shared" si="14"/>
        <v>12</v>
      </c>
      <c r="ET2" s="77">
        <f t="shared" si="14"/>
        <v>7</v>
      </c>
      <c r="EU2" s="77">
        <f t="shared" si="14"/>
        <v>0</v>
      </c>
      <c r="EV2" s="77">
        <f t="shared" si="14"/>
        <v>-3</v>
      </c>
      <c r="EW2" s="77">
        <f>BIN2DEC(EO2)-BIN2DEC(EO3)</f>
        <v>2</v>
      </c>
      <c r="EX2" s="26" t="str">
        <f t="shared" ref="EX2:EX41" si="15">MID(DY2,1,16)</f>
        <v>0010001101001111</v>
      </c>
      <c r="EY2" s="26" t="str">
        <f t="shared" ref="EY2:EY41" si="16">MID(DY2,17,16)</f>
        <v>1100011110100010</v>
      </c>
      <c r="EZ2" s="77">
        <f>MID(EX2,16,1)*POWER(2,0)+MID(EX2,15,1)*POWER(2,1)+MID(EX2,14,1)*POWER(2,2)+MID(EX2,13,1)*POWER(2,3)+MID(EX2,12,1)*POWER(2,4)+MID(EX2,11,1)*POWER(2,5)+MID(EX2,10,1)*POWER(2,6)+MID(EX2,9,1)*POWER(2,7)+MID(EX2,8,1)*POWER(2,8)+MID(EX2,7,1)*POWER(2,9)+MID(EX2,6,1)*POWER(2,10)+MID(EX2,5,1)*POWER(2,11)+MID(EX2,4,1)*POWER(2,12)+MID(EX2,3,1)*POWER(2,13)+MID(EX2,2,1)*POWER(2,14)+MID(EX2,1,1)*POWER(2,15)-(MID(EX3,16,1)*POWER(2,0)+MID(EX3,15,1)*POWER(2,1)+MID(EX3,14,1)*POWER(2,2)+MID(EX3,13,1)*POWER(2,3)+MID(EX3,12,1)*POWER(2,4)+MID(EX3,11,1)*POWER(2,5)+MID(EX3,10,1)*POWER(2,6)+MID(EX3,9,1)*POWER(2,7)+MID(EX3,8,1)*POWER(2,8)+MID(EX3,7,1)*POWER(2,9)+MID(EX3,6,1)*POWER(2,10)+MID(EX3,5,1)*POWER(2,11)+MID(EX3,4,1)*POWER(2,12)+MID(EX3,3,1)*POWER(2,13)+MID(EX3,2,1)*POWER(2,14)+MID(EX3,1,1)*POWER(2,15))</f>
        <v>812</v>
      </c>
      <c r="FA2" s="77">
        <f>MID(EY2,16,1)*POWER(2,0)+MID(EY2,15,1)*POWER(2,1)+MID(EY2,14,1)*POWER(2,2)+MID(EY2,13,1)*POWER(2,3)+MID(EY2,12,1)*POWER(2,4)+MID(EY2,11,1)*POWER(2,5)+MID(EY2,10,1)*POWER(2,6)+MID(EY2,9,1)*POWER(2,7)+MID(EY2,8,1)*POWER(2,8)+MID(EY2,7,1)*POWER(2,9)+MID(EY2,6,1)*POWER(2,10)+MID(EY2,5,1)*POWER(2,11)+MID(EY2,4,1)*POWER(2,12)+MID(EY2,3,1)*POWER(2,13)+MID(EY2,2,1)*POWER(2,14)+MID(EY2,1,1)*POWER(2,15)-(MID(EY3,16,1)*POWER(2,0)+MID(EY3,15,1)*POWER(2,1)+MID(EY3,14,1)*POWER(2,2)+MID(EY3,13,1)*POWER(2,3)+MID(EY3,12,1)*POWER(2,4)+MID(EY3,11,1)*POWER(2,5)+MID(EY3,10,1)*POWER(2,6)+MID(EY3,9,1)*POWER(2,7)+MID(EY3,8,1)*POWER(2,8)+MID(EY3,7,1)*POWER(2,9)+MID(EY3,6,1)*POWER(2,10)+MID(EY3,5,1)*POWER(2,11)+MID(EY3,4,1)*POWER(2,12)+MID(EY3,3,1)*POWER(2,13)+MID(EY3,2,1)*POWER(2,14)+MID(EY3,1,1)*POWER(2,15))</f>
        <v>50338</v>
      </c>
      <c r="FB2" s="45" t="str">
        <f>L2</f>
        <v>00100011010011111100011110100010</v>
      </c>
      <c r="FC2" s="26" t="str">
        <f>MID(FB2,1,8)</f>
        <v>00100011</v>
      </c>
      <c r="FD2" s="26" t="str">
        <f>MID(FB2,9,8)</f>
        <v>01001111</v>
      </c>
      <c r="FE2" s="26" t="str">
        <f>MID(FB2,17,8)</f>
        <v>11000111</v>
      </c>
      <c r="FF2" s="26" t="str">
        <f>MID(FB2,25,8)</f>
        <v>10100010</v>
      </c>
      <c r="FG2" s="77">
        <f>BIN2DEC(FC2)-BIN2DEC(FC3)</f>
        <v>3</v>
      </c>
      <c r="FH2" s="77">
        <f>BIN2DEC(FD2)-BIN2DEC(FD3)</f>
        <v>47</v>
      </c>
      <c r="FI2" s="77">
        <f>BIN2DEC(FE2)-BIN2DEC(FE3)</f>
        <v>199</v>
      </c>
      <c r="FJ2" s="77">
        <f>BIN2DEC(FF2)-BIN2DEC(FF3)</f>
        <v>162</v>
      </c>
      <c r="FK2" s="27" t="str">
        <f>MID($L2,1,4)</f>
        <v>0010</v>
      </c>
      <c r="FL2" s="27" t="str">
        <f>MID($L2,5,4)</f>
        <v>0011</v>
      </c>
      <c r="FM2" s="27" t="str">
        <f>MID($L2,9,4)</f>
        <v>0100</v>
      </c>
      <c r="FN2" s="27" t="str">
        <f>MID($L2,13,4)</f>
        <v>1111</v>
      </c>
      <c r="FO2" s="27" t="str">
        <f>MID($L2,17,4)</f>
        <v>1100</v>
      </c>
      <c r="FP2" s="27" t="str">
        <f>MID($L2,21,4)</f>
        <v>0111</v>
      </c>
      <c r="FQ2" s="27" t="str">
        <f>MID($L2,25,4)</f>
        <v>1010</v>
      </c>
      <c r="FR2" s="27" t="str">
        <f>MID($L2,29,4)</f>
        <v>0010</v>
      </c>
      <c r="FS2" s="77">
        <f>BIN2DEC(FK2)-BIN2DEC(FK3)</f>
        <v>-12</v>
      </c>
      <c r="FT2" s="77">
        <f t="shared" ref="FT2:FY2" si="17">BIN2DEC(FL2)-BIN2DEC(FL3)</f>
        <v>-9</v>
      </c>
      <c r="FU2" s="77">
        <f t="shared" si="17"/>
        <v>-7</v>
      </c>
      <c r="FV2" s="77">
        <f t="shared" si="17"/>
        <v>12</v>
      </c>
      <c r="FW2" s="77">
        <f t="shared" si="17"/>
        <v>7</v>
      </c>
      <c r="FX2" s="77">
        <f t="shared" si="17"/>
        <v>0</v>
      </c>
      <c r="FY2" s="77">
        <f t="shared" si="17"/>
        <v>-3</v>
      </c>
      <c r="FZ2" s="77">
        <f>BIN2DEC(FR2)-BIN2DEC(FR3)</f>
        <v>2</v>
      </c>
      <c r="GA2" s="26" t="str">
        <f t="shared" ref="GA2:GA41" si="18">MID(FB2,1,16)</f>
        <v>0010001101001111</v>
      </c>
      <c r="GB2" s="26" t="str">
        <f t="shared" ref="GB2:GB41" si="19">MID(FB2,17,16)</f>
        <v>1100011110100010</v>
      </c>
      <c r="GC2" s="77">
        <f>MID(GA2,16,1)*POWER(2,0)+MID(GA2,15,1)*POWER(2,1)+MID(GA2,14,1)*POWER(2,2)+MID(GA2,13,1)*POWER(2,3)+MID(GA2,12,1)*POWER(2,4)+MID(GA2,11,1)*POWER(2,5)+MID(GA2,10,1)*POWER(2,6)+MID(GA2,9,1)*POWER(2,7)+MID(GA2,8,1)*POWER(2,8)+MID(GA2,7,1)*POWER(2,9)+MID(GA2,6,1)*POWER(2,10)+MID(GA2,5,1)*POWER(2,11)+MID(GA2,4,1)*POWER(2,12)+MID(GA2,3,1)*POWER(2,13)+MID(GA2,2,1)*POWER(2,14)+MID(GA2,1,1)*POWER(2,15)-(MID(GA3,16,1)*POWER(2,0)+MID(GA3,15,1)*POWER(2,1)+MID(GA3,14,1)*POWER(2,2)+MID(GA3,13,1)*POWER(2,3)+MID(GA3,12,1)*POWER(2,4)+MID(GA3,11,1)*POWER(2,5)+MID(GA3,10,1)*POWER(2,6)+MID(GA3,9,1)*POWER(2,7)+MID(GA3,8,1)*POWER(2,8)+MID(GA3,7,1)*POWER(2,9)+MID(GA3,6,1)*POWER(2,10)+MID(GA3,5,1)*POWER(2,11)+MID(GA3,4,1)*POWER(2,12)+MID(GA3,3,1)*POWER(2,13)+MID(GA3,2,1)*POWER(2,14)+MID(GA3,1,1)*POWER(2,15))</f>
        <v>815</v>
      </c>
      <c r="GD2" s="77">
        <f>MID(GB2,16,1)*POWER(2,0)+MID(GB2,15,1)*POWER(2,1)+MID(GB2,14,1)*POWER(2,2)+MID(GB2,13,1)*POWER(2,3)+MID(GB2,12,1)*POWER(2,4)+MID(GB2,11,1)*POWER(2,5)+MID(GB2,10,1)*POWER(2,6)+MID(GB2,9,1)*POWER(2,7)+MID(GB2,8,1)*POWER(2,8)+MID(GB2,7,1)*POWER(2,9)+MID(GB2,6,1)*POWER(2,10)+MID(GB2,5,1)*POWER(2,11)+MID(GB2,4,1)*POWER(2,12)+MID(GB2,3,1)*POWER(2,13)+MID(GB2,2,1)*POWER(2,14)+MID(GB2,1,1)*POWER(2,15)-(MID(GB3,16,1)*POWER(2,0)+MID(GB3,15,1)*POWER(2,1)+MID(GB3,14,1)*POWER(2,2)+MID(GB3,13,1)*POWER(2,3)+MID(GB3,12,1)*POWER(2,4)+MID(GB3,11,1)*POWER(2,5)+MID(GB3,10,1)*POWER(2,6)+MID(GB3,9,1)*POWER(2,7)+MID(GB3,8,1)*POWER(2,8)+MID(GB3,7,1)*POWER(2,9)+MID(GB3,6,1)*POWER(2,10)+MID(GB3,5,1)*POWER(2,11)+MID(GB3,4,1)*POWER(2,12)+MID(GB3,3,1)*POWER(2,13)+MID(GB3,2,1)*POWER(2,14)+MID(GB3,1,1)*POWER(2,15))</f>
        <v>51106</v>
      </c>
      <c r="GE2" s="47" t="str">
        <f>CU2</f>
        <v>00100000010001000100010000100000</v>
      </c>
      <c r="GF2" s="26" t="str">
        <f>MID(GE2,1,8)</f>
        <v>00100000</v>
      </c>
      <c r="GG2" s="26" t="str">
        <f>MID(GE2,9,8)</f>
        <v>01000100</v>
      </c>
      <c r="GH2" s="26" t="str">
        <f>MID(GE2,17,8)</f>
        <v>01000100</v>
      </c>
      <c r="GI2" s="26" t="str">
        <f>MID(GE2,25,8)</f>
        <v>00100000</v>
      </c>
      <c r="GJ2" s="77">
        <f>BIN2DEC(GF2)-BIN2DEC(GF3)</f>
        <v>0</v>
      </c>
      <c r="GK2" s="77">
        <f>BIN2DEC(GG2)-BIN2DEC(GG3)</f>
        <v>33</v>
      </c>
      <c r="GL2" s="77">
        <f>BIN2DEC(GH2)-BIN2DEC(GH3)</f>
        <v>65</v>
      </c>
      <c r="GM2" s="77">
        <f>BIN2DEC(GI2)-BIN2DEC(GI3)</f>
        <v>32</v>
      </c>
      <c r="GN2" s="27" t="str">
        <f>MID($L2,1,4)</f>
        <v>0010</v>
      </c>
      <c r="GO2" s="27" t="str">
        <f>MID($L2,5,4)</f>
        <v>0011</v>
      </c>
      <c r="GP2" s="27" t="str">
        <f>MID($L2,9,4)</f>
        <v>0100</v>
      </c>
      <c r="GQ2" s="27" t="str">
        <f>MID($L2,13,4)</f>
        <v>1111</v>
      </c>
      <c r="GR2" s="27" t="str">
        <f>MID($L2,17,4)</f>
        <v>1100</v>
      </c>
      <c r="GS2" s="27" t="str">
        <f>MID($L2,21,4)</f>
        <v>0111</v>
      </c>
      <c r="GT2" s="27" t="str">
        <f>MID($L2,25,4)</f>
        <v>1010</v>
      </c>
      <c r="GU2" s="27" t="str">
        <f>MID($L2,29,4)</f>
        <v>0010</v>
      </c>
      <c r="GV2" s="77">
        <f>BIN2DEC(GN2)-BIN2DEC(GN3)</f>
        <v>-12</v>
      </c>
      <c r="GW2" s="77">
        <f t="shared" ref="GW2:HB2" si="20">BIN2DEC(GO2)-BIN2DEC(GO3)</f>
        <v>-9</v>
      </c>
      <c r="GX2" s="77">
        <f t="shared" si="20"/>
        <v>-7</v>
      </c>
      <c r="GY2" s="77">
        <f t="shared" si="20"/>
        <v>12</v>
      </c>
      <c r="GZ2" s="77">
        <f t="shared" si="20"/>
        <v>7</v>
      </c>
      <c r="HA2" s="77">
        <f t="shared" si="20"/>
        <v>0</v>
      </c>
      <c r="HB2" s="77">
        <f t="shared" si="20"/>
        <v>-3</v>
      </c>
      <c r="HC2" s="77">
        <f>BIN2DEC(GU2)-BIN2DEC(GU3)</f>
        <v>2</v>
      </c>
      <c r="HD2" s="26" t="str">
        <f t="shared" ref="HD2:HD41" si="21">MID(GE2,1,16)</f>
        <v>0010000001000100</v>
      </c>
      <c r="HE2" s="26" t="str">
        <f t="shared" ref="HE2:HE41" si="22">MID(GE2,17,16)</f>
        <v>0100010000100000</v>
      </c>
      <c r="HF2" s="77">
        <f>MID(HD2,16,1)*POWER(2,0)+MID(HD2,15,1)*POWER(2,1)+MID(HD2,14,1)*POWER(2,2)+MID(HD2,13,1)*POWER(2,3)+MID(HD2,12,1)*POWER(2,4)+MID(HD2,11,1)*POWER(2,5)+MID(HD2,10,1)*POWER(2,6)+MID(HD2,9,1)*POWER(2,7)+MID(HD2,8,1)*POWER(2,8)+MID(HD2,7,1)*POWER(2,9)+MID(HD2,6,1)*POWER(2,10)+MID(HD2,5,1)*POWER(2,11)+MID(HD2,4,1)*POWER(2,12)+MID(HD2,3,1)*POWER(2,13)+MID(HD2,2,1)*POWER(2,14)+MID(HD2,1,1)*POWER(2,15)-(MID(HD3,16,1)*POWER(2,0)+MID(HD3,15,1)*POWER(2,1)+MID(HD3,14,1)*POWER(2,2)+MID(HD3,13,1)*POWER(2,3)+MID(HD3,12,1)*POWER(2,4)+MID(HD3,11,1)*POWER(2,5)+MID(HD3,10,1)*POWER(2,6)+MID(HD3,9,1)*POWER(2,7)+MID(HD3,8,1)*POWER(2,8)+MID(HD3,7,1)*POWER(2,9)+MID(HD3,6,1)*POWER(2,10)+MID(HD3,5,1)*POWER(2,11)+MID(HD3,4,1)*POWER(2,12)+MID(HD3,3,1)*POWER(2,13)+MID(HD3,2,1)*POWER(2,14)+MID(HD3,1,1)*POWER(2,15))</f>
        <v>33</v>
      </c>
      <c r="HG2" s="77">
        <f>MID(HE2,16,1)*POWER(2,0)+MID(HE2,15,1)*POWER(2,1)+MID(HE2,14,1)*POWER(2,2)+MID(HE2,13,1)*POWER(2,3)+MID(HE2,12,1)*POWER(2,4)+MID(HE2,11,1)*POWER(2,5)+MID(HE2,10,1)*POWER(2,6)+MID(HE2,9,1)*POWER(2,7)+MID(HE2,8,1)*POWER(2,8)+MID(HE2,7,1)*POWER(2,9)+MID(HE2,6,1)*POWER(2,10)+MID(HE2,5,1)*POWER(2,11)+MID(HE2,4,1)*POWER(2,12)+MID(HE2,3,1)*POWER(2,13)+MID(HE2,2,1)*POWER(2,14)+MID(HE2,1,1)*POWER(2,15)-(MID(HE3,16,1)*POWER(2,0)+MID(HE3,15,1)*POWER(2,1)+MID(HE3,14,1)*POWER(2,2)+MID(HE3,13,1)*POWER(2,3)+MID(HE3,12,1)*POWER(2,4)+MID(HE3,11,1)*POWER(2,5)+MID(HE3,10,1)*POWER(2,6)+MID(HE3,9,1)*POWER(2,7)+MID(HE3,8,1)*POWER(2,8)+MID(HE3,7,1)*POWER(2,9)+MID(HE3,6,1)*POWER(2,10)+MID(HE3,5,1)*POWER(2,11)+MID(HE3,4,1)*POWER(2,12)+MID(HE3,3,1)*POWER(2,13)+MID(HE3,2,1)*POWER(2,14)+MID(HE3,1,1)*POWER(2,15))</f>
        <v>16672</v>
      </c>
      <c r="HH2" s="43" t="str">
        <f>CONCATENATE(MID(DX2,17,16),MID(DX2,1,16))</f>
        <v>00100000010001000100010000100000</v>
      </c>
      <c r="HI2" s="26" t="str">
        <f>MID(HH2,1,8)</f>
        <v>00100000</v>
      </c>
      <c r="HJ2" s="26" t="str">
        <f>MID(HH2,9,8)</f>
        <v>01000100</v>
      </c>
      <c r="HK2" s="26" t="str">
        <f>MID(HH2,17,8)</f>
        <v>01000100</v>
      </c>
      <c r="HL2" s="26" t="str">
        <f>MID(HH2,25,8)</f>
        <v>00100000</v>
      </c>
      <c r="HM2" s="77">
        <f>BIN2DEC(HI2)-BIN2DEC(HI3)</f>
        <v>0</v>
      </c>
      <c r="HN2" s="77">
        <f>BIN2DEC(HJ2)-BIN2DEC(HJ3)</f>
        <v>36</v>
      </c>
      <c r="HO2" s="77">
        <f>BIN2DEC(HK2)-BIN2DEC(HK3)</f>
        <v>68</v>
      </c>
      <c r="HP2" s="77">
        <f>BIN2DEC(HL2)-BIN2DEC(HL3)</f>
        <v>32</v>
      </c>
      <c r="HQ2" s="27" t="str">
        <f>MID($L2,1,4)</f>
        <v>0010</v>
      </c>
      <c r="HR2" s="27" t="str">
        <f>MID($L2,5,4)</f>
        <v>0011</v>
      </c>
      <c r="HS2" s="27" t="str">
        <f>MID($L2,9,4)</f>
        <v>0100</v>
      </c>
      <c r="HT2" s="27" t="str">
        <f>MID($L2,13,4)</f>
        <v>1111</v>
      </c>
      <c r="HU2" s="27" t="str">
        <f>MID($L2,17,4)</f>
        <v>1100</v>
      </c>
      <c r="HV2" s="27" t="str">
        <f>MID($L2,21,4)</f>
        <v>0111</v>
      </c>
      <c r="HW2" s="27" t="str">
        <f>MID($L2,25,4)</f>
        <v>1010</v>
      </c>
      <c r="HX2" s="27" t="str">
        <f>MID($L2,29,4)</f>
        <v>0010</v>
      </c>
      <c r="HY2" s="77">
        <f>BIN2DEC(HQ2)-BIN2DEC(HQ3)</f>
        <v>-12</v>
      </c>
      <c r="HZ2" s="77">
        <f t="shared" ref="HZ2:IE2" si="23">BIN2DEC(HR2)-BIN2DEC(HR3)</f>
        <v>-9</v>
      </c>
      <c r="IA2" s="77">
        <f t="shared" si="23"/>
        <v>-7</v>
      </c>
      <c r="IB2" s="77">
        <f t="shared" si="23"/>
        <v>12</v>
      </c>
      <c r="IC2" s="77">
        <f t="shared" si="23"/>
        <v>7</v>
      </c>
      <c r="ID2" s="77">
        <f t="shared" si="23"/>
        <v>0</v>
      </c>
      <c r="IE2" s="77">
        <f t="shared" si="23"/>
        <v>-3</v>
      </c>
      <c r="IF2" s="77">
        <f>BIN2DEC(HX2)-BIN2DEC(HX3)</f>
        <v>2</v>
      </c>
      <c r="IG2" s="26" t="str">
        <f t="shared" ref="IG2:IG41" si="24">MID(HH2,1,16)</f>
        <v>0010000001000100</v>
      </c>
      <c r="IH2" s="26" t="str">
        <f t="shared" ref="IH2:IH41" si="25">MID(HH2,17,16)</f>
        <v>0100010000100000</v>
      </c>
      <c r="II2" s="77">
        <f>MID(IG2,16,1)*POWER(2,0)+MID(IG2,15,1)*POWER(2,1)+MID(IG2,14,1)*POWER(2,2)+MID(IG2,13,1)*POWER(2,3)+MID(IG2,12,1)*POWER(2,4)+MID(IG2,11,1)*POWER(2,5)+MID(IG2,10,1)*POWER(2,6)+MID(IG2,9,1)*POWER(2,7)+MID(IG2,8,1)*POWER(2,8)+MID(IG2,7,1)*POWER(2,9)+MID(IG2,6,1)*POWER(2,10)+MID(IG2,5,1)*POWER(2,11)+MID(IG2,4,1)*POWER(2,12)+MID(IG2,3,1)*POWER(2,13)+MID(IG2,2,1)*POWER(2,14)+MID(IG2,1,1)*POWER(2,15)-(MID(IG3,16,1)*POWER(2,0)+MID(IG3,15,1)*POWER(2,1)+MID(IG3,14,1)*POWER(2,2)+MID(IG3,13,1)*POWER(2,3)+MID(IG3,12,1)*POWER(2,4)+MID(IG3,11,1)*POWER(2,5)+MID(IG3,10,1)*POWER(2,6)+MID(IG3,9,1)*POWER(2,7)+MID(IG3,8,1)*POWER(2,8)+MID(IG3,7,1)*POWER(2,9)+MID(IG3,6,1)*POWER(2,10)+MID(IG3,5,1)*POWER(2,11)+MID(IG3,4,1)*POWER(2,12)+MID(IG3,3,1)*POWER(2,13)+MID(IG3,2,1)*POWER(2,14)+MID(IG3,1,1)*POWER(2,15))</f>
        <v>36</v>
      </c>
      <c r="IJ2" s="77">
        <f>MID(IH2,16,1)*POWER(2,0)+MID(IH2,15,1)*POWER(2,1)+MID(IH2,14,1)*POWER(2,2)+MID(IH2,13,1)*POWER(2,3)+MID(IH2,12,1)*POWER(2,4)+MID(IH2,11,1)*POWER(2,5)+MID(IH2,10,1)*POWER(2,6)+MID(IH2,9,1)*POWER(2,7)+MID(IH2,8,1)*POWER(2,8)+MID(IH2,7,1)*POWER(2,9)+MID(IH2,6,1)*POWER(2,10)+MID(IH2,5,1)*POWER(2,11)+MID(IH2,4,1)*POWER(2,12)+MID(IH2,3,1)*POWER(2,13)+MID(IH2,2,1)*POWER(2,14)+MID(IH2,1,1)*POWER(2,15)-(MID(IH3,16,1)*POWER(2,0)+MID(IH3,15,1)*POWER(2,1)+MID(IH3,14,1)*POWER(2,2)+MID(IH3,13,1)*POWER(2,3)+MID(IH3,12,1)*POWER(2,4)+MID(IH3,11,1)*POWER(2,5)+MID(IH3,10,1)*POWER(2,6)+MID(IH3,9,1)*POWER(2,7)+MID(IH3,8,1)*POWER(2,8)+MID(IH3,7,1)*POWER(2,9)+MID(IH3,6,1)*POWER(2,10)+MID(IH3,5,1)*POWER(2,11)+MID(IH3,4,1)*POWER(2,12)+MID(IH3,3,1)*POWER(2,13)+MID(IH3,2,1)*POWER(2,14)+MID(IH3,1,1)*POWER(2,15))</f>
        <v>17440</v>
      </c>
      <c r="IK2" s="43" t="str">
        <f>HH2</f>
        <v>00100000010001000100010000100000</v>
      </c>
      <c r="IL2" s="26" t="str">
        <f>MID(IK2,1,8)</f>
        <v>00100000</v>
      </c>
      <c r="IM2" s="26" t="str">
        <f>MID(IK2,9,8)</f>
        <v>01000100</v>
      </c>
      <c r="IN2" s="26" t="str">
        <f>MID(IK2,17,8)</f>
        <v>01000100</v>
      </c>
      <c r="IO2" s="26" t="str">
        <f>MID(IK2,25,8)</f>
        <v>00100000</v>
      </c>
      <c r="IP2" s="77">
        <f>BIN2DEC(IL2)-BIN2DEC(IL3)</f>
        <v>-204</v>
      </c>
      <c r="IQ2" s="77">
        <f>BIN2DEC(IM2)-BIN2DEC(IM3)</f>
        <v>-111</v>
      </c>
      <c r="IR2" s="77">
        <f>BIN2DEC(IN2)-BIN2DEC(IN3)</f>
        <v>-19</v>
      </c>
      <c r="IS2" s="77">
        <f>BIN2DEC(IO2)-BIN2DEC(IO3)</f>
        <v>-176</v>
      </c>
      <c r="IT2" s="27" t="str">
        <f>MID($L2,1,4)</f>
        <v>0010</v>
      </c>
      <c r="IU2" s="27" t="str">
        <f>MID($L2,5,4)</f>
        <v>0011</v>
      </c>
      <c r="IV2" s="27" t="str">
        <f>MID($L2,9,4)</f>
        <v>0100</v>
      </c>
      <c r="IW2" s="27" t="str">
        <f>MID($L2,13,4)</f>
        <v>1111</v>
      </c>
      <c r="IX2" s="27" t="str">
        <f>MID($L2,17,4)</f>
        <v>1100</v>
      </c>
      <c r="IY2" s="27" t="str">
        <f>MID($L2,21,4)</f>
        <v>0111</v>
      </c>
      <c r="IZ2" s="27" t="str">
        <f>MID($L2,25,4)</f>
        <v>1010</v>
      </c>
      <c r="JA2" s="27" t="str">
        <f>MID($L2,29,4)</f>
        <v>0010</v>
      </c>
      <c r="JB2" s="77">
        <f t="shared" ref="JB2:JI2" si="26">BIN2DEC(IT2)-BIN2DEC(IT3)</f>
        <v>-12</v>
      </c>
      <c r="JC2" s="77">
        <f t="shared" si="26"/>
        <v>-9</v>
      </c>
      <c r="JD2" s="77">
        <f t="shared" si="26"/>
        <v>-7</v>
      </c>
      <c r="JE2" s="77">
        <f t="shared" si="26"/>
        <v>12</v>
      </c>
      <c r="JF2" s="77">
        <f t="shared" si="26"/>
        <v>7</v>
      </c>
      <c r="JG2" s="77">
        <f t="shared" si="26"/>
        <v>0</v>
      </c>
      <c r="JH2" s="77">
        <f t="shared" si="26"/>
        <v>-3</v>
      </c>
      <c r="JI2" s="77">
        <f t="shared" si="26"/>
        <v>2</v>
      </c>
      <c r="JJ2" s="26" t="str">
        <f t="shared" ref="JJ2:JJ41" si="27">MID(IK2,1,16)</f>
        <v>0010000001000100</v>
      </c>
      <c r="JK2" s="26" t="str">
        <f t="shared" ref="JK2:JK41" si="28">MID(IK2,17,16)</f>
        <v>0100010000100000</v>
      </c>
      <c r="JL2" s="77">
        <f>MID(JJ2,16,1)*POWER(2,0)+MID(JJ2,15,1)*POWER(2,1)+MID(JJ2,14,1)*POWER(2,2)+MID(JJ2,13,1)*POWER(2,3)+MID(JJ2,12,1)*POWER(2,4)+MID(JJ2,11,1)*POWER(2,5)+MID(JJ2,10,1)*POWER(2,6)+MID(JJ2,9,1)*POWER(2,7)+MID(JJ2,8,1)*POWER(2,8)+MID(JJ2,7,1)*POWER(2,9)+MID(JJ2,6,1)*POWER(2,10)+MID(JJ2,5,1)*POWER(2,11)+MID(JJ2,4,1)*POWER(2,12)+MID(JJ2,3,1)*POWER(2,13)+MID(JJ2,2,1)*POWER(2,14)+MID(JJ2,1,1)*POWER(2,15)-(MID(JJ3,16,1)*POWER(2,0)+MID(JJ3,15,1)*POWER(2,1)+MID(JJ3,14,1)*POWER(2,2)+MID(JJ3,13,1)*POWER(2,3)+MID(JJ3,12,1)*POWER(2,4)+MID(JJ3,11,1)*POWER(2,5)+MID(JJ3,10,1)*POWER(2,6)+MID(JJ3,9,1)*POWER(2,7)+MID(JJ3,8,1)*POWER(2,8)+MID(JJ3,7,1)*POWER(2,9)+MID(JJ3,6,1)*POWER(2,10)+MID(JJ3,5,1)*POWER(2,11)+MID(JJ3,4,1)*POWER(2,12)+MID(JJ3,3,1)*POWER(2,13)+MID(JJ3,2,1)*POWER(2,14)+MID(JJ3,1,1)*POWER(2,15))</f>
        <v>-52335</v>
      </c>
      <c r="JM2" s="77">
        <f>MID(JK2,16,1)*POWER(2,0)+MID(JK2,15,1)*POWER(2,1)+MID(JK2,14,1)*POWER(2,2)+MID(JK2,13,1)*POWER(2,3)+MID(JK2,12,1)*POWER(2,4)+MID(JK2,11,1)*POWER(2,5)+MID(JK2,10,1)*POWER(2,6)+MID(JK2,9,1)*POWER(2,7)+MID(JK2,8,1)*POWER(2,8)+MID(JK2,7,1)*POWER(2,9)+MID(JK2,6,1)*POWER(2,10)+MID(JK2,5,1)*POWER(2,11)+MID(JK2,4,1)*POWER(2,12)+MID(JK2,3,1)*POWER(2,13)+MID(JK2,2,1)*POWER(2,14)+MID(JK2,1,1)*POWER(2,15)-(MID(JK3,16,1)*POWER(2,0)+MID(JK3,15,1)*POWER(2,1)+MID(JK3,14,1)*POWER(2,2)+MID(JK3,13,1)*POWER(2,3)+MID(JK3,12,1)*POWER(2,4)+MID(JK3,11,1)*POWER(2,5)+MID(JK3,10,1)*POWER(2,6)+MID(JK3,9,1)*POWER(2,7)+MID(JK3,8,1)*POWER(2,8)+MID(JK3,7,1)*POWER(2,9)+MID(JK3,6,1)*POWER(2,10)+MID(JK3,5,1)*POWER(2,11)+MID(JK3,4,1)*POWER(2,12)+MID(JK3,3,1)*POWER(2,13)+MID(JK3,2,1)*POWER(2,14)+MID(JK3,1,1)*POWER(2,15))</f>
        <v>-5040</v>
      </c>
      <c r="JN2" s="45" t="str">
        <f>CONCATENATE(MID(IK2,1,1)*MID($K2,1,1),MID(IK2,2,1)*MID($K2,2,1),MID(IK2,3,1)*MID($K2,3,1),MID(IK2,4,1)*MID($K2,4,1),MID(IK2,5,1)*MID($K2,5,1),MID(IK2,6,1)*MID($K2,6,1),MID(IK2,7,1)*MID($K2,7,1),MID(IK2,8,1)*MID($K2,8,1),MID(IK2,9,1)*MID($K2,1,1),MID(IK2,10,1)*MID($K2,2,1),MID(IK2,11,1)*MID($K2,3,1),MID(IK2,12,1)*MID($K2,4,1),MID(IK2,13,1)*MID($K2,5,1),MID(IK2,14,1)*MID($K2,6,1),MID(IK2,15,1)*MID($K2,7,1),MID(IK2,16,1)*MID($K2,8,1),MID(IK2,17,1)*MID($K2,1,1),MID(IK2,18,1)*MID($K2,2,1),MID(IK2,19,1)*MID($K2,3,1),MID(IK2,20,1)*MID($K2,4,1),MID(IK2,21,1)*MID($K2,5,1),MID(IK2,22,1)*MID($K2,6,1),MID(IK2,23,1)*MID($K2,7,1),MID(IK2,24,1)*MID($K2,8,1),MID(IK2,25,1)*MID($K2,1,1),MID(IK2,26,1)*MID($K2,2,1),MID(IK2,27,1)*MID($K2,3,1),MID(IK2,28,1)*MID($K2,4,1),MID(IK2,29,1)*MID($K2,5,1),MID(IK2,30,1)*MID($K2,6,1),MID(IK2,31,1)*MID($K2,7,1),MID(IK2,32,1)*MID($K2,8,1))</f>
        <v>00100000010001000100010000100000</v>
      </c>
      <c r="JO2" s="26" t="str">
        <f>MID(JN2,1,8)</f>
        <v>00100000</v>
      </c>
      <c r="JP2" s="26" t="str">
        <f>MID(JN2,9,8)</f>
        <v>01000100</v>
      </c>
      <c r="JQ2" s="26" t="str">
        <f>MID(JN2,17,8)</f>
        <v>01000100</v>
      </c>
      <c r="JR2" s="26" t="str">
        <f>MID(JN2,25,8)</f>
        <v>00100000</v>
      </c>
      <c r="JS2" s="77">
        <f>BIN2DEC(JO2)-BIN2DEC(JO3)</f>
        <v>-204</v>
      </c>
      <c r="JT2" s="77">
        <f>BIN2DEC(JP2)-BIN2DEC(JP3)</f>
        <v>-111</v>
      </c>
      <c r="JU2" s="77">
        <f>BIN2DEC(JQ2)-BIN2DEC(JQ3)</f>
        <v>-19</v>
      </c>
      <c r="JV2" s="77">
        <f>BIN2DEC(JR2)-BIN2DEC(JR3)</f>
        <v>-176</v>
      </c>
      <c r="JW2" s="27" t="str">
        <f>MID($L2,1,4)</f>
        <v>0010</v>
      </c>
      <c r="JX2" s="27" t="str">
        <f>MID($L2,5,4)</f>
        <v>0011</v>
      </c>
      <c r="JY2" s="27" t="str">
        <f>MID($L2,9,4)</f>
        <v>0100</v>
      </c>
      <c r="JZ2" s="27" t="str">
        <f>MID($L2,13,4)</f>
        <v>1111</v>
      </c>
      <c r="KA2" s="27" t="str">
        <f>MID($L2,17,4)</f>
        <v>1100</v>
      </c>
      <c r="KB2" s="27" t="str">
        <f>MID($L2,21,4)</f>
        <v>0111</v>
      </c>
      <c r="KC2" s="27" t="str">
        <f>MID($L2,25,4)</f>
        <v>1010</v>
      </c>
      <c r="KD2" s="27" t="str">
        <f>MID($L2,29,4)</f>
        <v>0010</v>
      </c>
      <c r="KE2" s="77">
        <f t="shared" ref="KE2:KL2" si="29">BIN2DEC(JW2)-BIN2DEC(JW3)</f>
        <v>-12</v>
      </c>
      <c r="KF2" s="77">
        <f t="shared" si="29"/>
        <v>-9</v>
      </c>
      <c r="KG2" s="77">
        <f t="shared" si="29"/>
        <v>-7</v>
      </c>
      <c r="KH2" s="77">
        <f t="shared" si="29"/>
        <v>12</v>
      </c>
      <c r="KI2" s="77">
        <f t="shared" si="29"/>
        <v>7</v>
      </c>
      <c r="KJ2" s="77">
        <f t="shared" si="29"/>
        <v>0</v>
      </c>
      <c r="KK2" s="77">
        <f t="shared" si="29"/>
        <v>-3</v>
      </c>
      <c r="KL2" s="77">
        <f t="shared" si="29"/>
        <v>2</v>
      </c>
      <c r="KM2" s="26" t="str">
        <f t="shared" ref="KM2:KM41" si="30">MID(JN2,1,16)</f>
        <v>0010000001000100</v>
      </c>
      <c r="KN2" s="26" t="str">
        <f t="shared" ref="KN2:KN41" si="31">MID(JN2,17,16)</f>
        <v>0100010000100000</v>
      </c>
      <c r="KO2" s="77">
        <f>MID(KM2,16,1)*POWER(2,0)+MID(KM2,15,1)*POWER(2,1)+MID(KM2,14,1)*POWER(2,2)+MID(KM2,13,1)*POWER(2,3)+MID(KM2,12,1)*POWER(2,4)+MID(KM2,11,1)*POWER(2,5)+MID(KM2,10,1)*POWER(2,6)+MID(KM2,9,1)*POWER(2,7)+MID(KM2,8,1)*POWER(2,8)+MID(KM2,7,1)*POWER(2,9)+MID(KM2,6,1)*POWER(2,10)+MID(KM2,5,1)*POWER(2,11)+MID(KM2,4,1)*POWER(2,12)+MID(KM2,3,1)*POWER(2,13)+MID(KM2,2,1)*POWER(2,14)+MID(KM2,1,1)*POWER(2,15)-(MID(KM3,16,1)*POWER(2,0)+MID(KM3,15,1)*POWER(2,1)+MID(KM3,14,1)*POWER(2,2)+MID(KM3,13,1)*POWER(2,3)+MID(KM3,12,1)*POWER(2,4)+MID(KM3,11,1)*POWER(2,5)+MID(KM3,10,1)*POWER(2,6)+MID(KM3,9,1)*POWER(2,7)+MID(KM3,8,1)*POWER(2,8)+MID(KM3,7,1)*POWER(2,9)+MID(KM3,6,1)*POWER(2,10)+MID(KM3,5,1)*POWER(2,11)+MID(KM3,4,1)*POWER(2,12)+MID(KM3,3,1)*POWER(2,13)+MID(KM3,2,1)*POWER(2,14)+MID(KM3,1,1)*POWER(2,15))</f>
        <v>-52335</v>
      </c>
      <c r="KP2" s="77">
        <f>MID(KN2,16,1)*POWER(2,0)+MID(KN2,15,1)*POWER(2,1)+MID(KN2,14,1)*POWER(2,2)+MID(KN2,13,1)*POWER(2,3)+MID(KN2,12,1)*POWER(2,4)+MID(KN2,11,1)*POWER(2,5)+MID(KN2,10,1)*POWER(2,6)+MID(KN2,9,1)*POWER(2,7)+MID(KN2,8,1)*POWER(2,8)+MID(KN2,7,1)*POWER(2,9)+MID(KN2,6,1)*POWER(2,10)+MID(KN2,5,1)*POWER(2,11)+MID(KN2,4,1)*POWER(2,12)+MID(KN2,3,1)*POWER(2,13)+MID(KN2,2,1)*POWER(2,14)+MID(KN2,1,1)*POWER(2,15)-(MID(KN3,16,1)*POWER(2,0)+MID(KN3,15,1)*POWER(2,1)+MID(KN3,14,1)*POWER(2,2)+MID(KN3,13,1)*POWER(2,3)+MID(KN3,12,1)*POWER(2,4)+MID(KN3,11,1)*POWER(2,5)+MID(KN3,10,1)*POWER(2,6)+MID(KN3,9,1)*POWER(2,7)+MID(KN3,8,1)*POWER(2,8)+MID(KN3,7,1)*POWER(2,9)+MID(KN3,6,1)*POWER(2,10)+MID(KN3,5,1)*POWER(2,11)+MID(KN3,4,1)*POWER(2,12)+MID(KN3,3,1)*POWER(2,13)+MID(KN3,2,1)*POWER(2,14)+MID(KN3,1,1)*POWER(2,15))</f>
        <v>-5040</v>
      </c>
      <c r="KQ2" s="47" t="str">
        <f>IK2</f>
        <v>00100000010001000100010000100000</v>
      </c>
      <c r="KR2" s="26" t="str">
        <f>MID(KQ2,1,8)</f>
        <v>00100000</v>
      </c>
      <c r="KS2" s="26" t="str">
        <f>MID(KQ2,9,8)</f>
        <v>01000100</v>
      </c>
      <c r="KT2" s="26" t="str">
        <f>MID(KQ2,17,8)</f>
        <v>01000100</v>
      </c>
      <c r="KU2" s="26" t="str">
        <f>MID(KQ2,25,8)</f>
        <v>00100000</v>
      </c>
      <c r="KV2" s="77">
        <f>BIN2DEC(KR2)-BIN2DEC(KR3)</f>
        <v>-68</v>
      </c>
      <c r="KW2" s="77">
        <f>BIN2DEC(KS2)-BIN2DEC(KS3)</f>
        <v>36</v>
      </c>
      <c r="KX2" s="77">
        <f>BIN2DEC(KT2)-BIN2DEC(KT3)</f>
        <v>0</v>
      </c>
      <c r="KY2" s="77">
        <f>BIN2DEC(KU2)-BIN2DEC(KU3)</f>
        <v>-32</v>
      </c>
      <c r="KZ2" s="27" t="str">
        <f>MID($L2,1,4)</f>
        <v>0010</v>
      </c>
      <c r="LA2" s="27" t="str">
        <f>MID($L2,5,4)</f>
        <v>0011</v>
      </c>
      <c r="LB2" s="27" t="str">
        <f>MID($L2,9,4)</f>
        <v>0100</v>
      </c>
      <c r="LC2" s="27" t="str">
        <f>MID($L2,13,4)</f>
        <v>1111</v>
      </c>
      <c r="LD2" s="27" t="str">
        <f>MID($L2,17,4)</f>
        <v>1100</v>
      </c>
      <c r="LE2" s="27" t="str">
        <f>MID($L2,21,4)</f>
        <v>0111</v>
      </c>
      <c r="LF2" s="27" t="str">
        <f>MID($L2,25,4)</f>
        <v>1010</v>
      </c>
      <c r="LG2" s="27" t="str">
        <f>MID($L2,29,4)</f>
        <v>0010</v>
      </c>
      <c r="LH2" s="77">
        <f t="shared" ref="LH2:LO2" si="32">BIN2DEC(KZ2)-BIN2DEC(KZ3)</f>
        <v>-12</v>
      </c>
      <c r="LI2" s="77">
        <f t="shared" si="32"/>
        <v>-9</v>
      </c>
      <c r="LJ2" s="77">
        <f t="shared" si="32"/>
        <v>-7</v>
      </c>
      <c r="LK2" s="77">
        <f t="shared" si="32"/>
        <v>12</v>
      </c>
      <c r="LL2" s="77">
        <f t="shared" si="32"/>
        <v>7</v>
      </c>
      <c r="LM2" s="77">
        <f t="shared" si="32"/>
        <v>0</v>
      </c>
      <c r="LN2" s="77">
        <f t="shared" si="32"/>
        <v>-3</v>
      </c>
      <c r="LO2" s="77">
        <f t="shared" si="32"/>
        <v>2</v>
      </c>
      <c r="LP2" s="26" t="str">
        <f t="shared" ref="LP2:LP41" si="33">MID(KQ2,1,16)</f>
        <v>0010000001000100</v>
      </c>
      <c r="LQ2" s="26" t="str">
        <f t="shared" ref="LQ2:LQ41" si="34">MID(KQ2,17,16)</f>
        <v>0100010000100000</v>
      </c>
      <c r="LR2" s="77">
        <f>MID(LP2,16,1)*POWER(2,0)+MID(LP2,15,1)*POWER(2,1)+MID(LP2,14,1)*POWER(2,2)+MID(LP2,13,1)*POWER(2,3)+MID(LP2,12,1)*POWER(2,4)+MID(LP2,11,1)*POWER(2,5)+MID(LP2,10,1)*POWER(2,6)+MID(LP2,9,1)*POWER(2,7)+MID(LP2,8,1)*POWER(2,8)+MID(LP2,7,1)*POWER(2,9)+MID(LP2,6,1)*POWER(2,10)+MID(LP2,5,1)*POWER(2,11)+MID(LP2,4,1)*POWER(2,12)+MID(LP2,3,1)*POWER(2,13)+MID(LP2,2,1)*POWER(2,14)+MID(LP2,1,1)*POWER(2,15)-(MID(LP3,16,1)*POWER(2,0)+MID(LP3,15,1)*POWER(2,1)+MID(LP3,14,1)*POWER(2,2)+MID(LP3,13,1)*POWER(2,3)+MID(LP3,12,1)*POWER(2,4)+MID(LP3,11,1)*POWER(2,5)+MID(LP3,10,1)*POWER(2,6)+MID(LP3,9,1)*POWER(2,7)+MID(LP3,8,1)*POWER(2,8)+MID(LP3,7,1)*POWER(2,9)+MID(LP3,6,1)*POWER(2,10)+MID(LP3,5,1)*POWER(2,11)+MID(LP3,4,1)*POWER(2,12)+MID(LP3,3,1)*POWER(2,13)+MID(LP3,2,1)*POWER(2,14)+MID(LP3,1,1)*POWER(2,15))</f>
        <v>-17372</v>
      </c>
      <c r="LS2" s="77">
        <f>MID(LQ2,16,1)*POWER(2,0)+MID(LQ2,15,1)*POWER(2,1)+MID(LQ2,14,1)*POWER(2,2)+MID(LQ2,13,1)*POWER(2,3)+MID(LQ2,12,1)*POWER(2,4)+MID(LQ2,11,1)*POWER(2,5)+MID(LQ2,10,1)*POWER(2,6)+MID(LQ2,9,1)*POWER(2,7)+MID(LQ2,8,1)*POWER(2,8)+MID(LQ2,7,1)*POWER(2,9)+MID(LQ2,6,1)*POWER(2,10)+MID(LQ2,5,1)*POWER(2,11)+MID(LQ2,4,1)*POWER(2,12)+MID(LQ2,3,1)*POWER(2,13)+MID(LQ2,2,1)*POWER(2,14)+MID(LQ2,1,1)*POWER(2,15)-(MID(LQ3,16,1)*POWER(2,0)+MID(LQ3,15,1)*POWER(2,1)+MID(LQ3,14,1)*POWER(2,2)+MID(LQ3,13,1)*POWER(2,3)+MID(LQ3,12,1)*POWER(2,4)+MID(LQ3,11,1)*POWER(2,5)+MID(LQ3,10,1)*POWER(2,6)+MID(LQ3,9,1)*POWER(2,7)+MID(LQ3,8,1)*POWER(2,8)+MID(LQ3,7,1)*POWER(2,9)+MID(LQ3,6,1)*POWER(2,10)+MID(LQ3,5,1)*POWER(2,11)+MID(LQ3,4,1)*POWER(2,12)+MID(LQ3,3,1)*POWER(2,13)+MID(LQ3,2,1)*POWER(2,14)+MID(LQ3,1,1)*POWER(2,15))</f>
        <v>-32</v>
      </c>
      <c r="LT2" s="43" t="str">
        <f>JN2</f>
        <v>00100000010001000100010000100000</v>
      </c>
      <c r="LU2" s="26" t="str">
        <f>MID(LT2,1,8)</f>
        <v>00100000</v>
      </c>
      <c r="LV2" s="26" t="str">
        <f>MID(LT2,9,8)</f>
        <v>01000100</v>
      </c>
      <c r="LW2" s="26" t="str">
        <f>MID(LT2,17,8)</f>
        <v>01000100</v>
      </c>
      <c r="LX2" s="26" t="str">
        <f>MID(LT2,25,8)</f>
        <v>00100000</v>
      </c>
      <c r="LY2" s="77">
        <f>BIN2DEC(LU2)-BIN2DEC(LU3)</f>
        <v>0</v>
      </c>
      <c r="LZ2" s="77">
        <f>BIN2DEC(LV2)-BIN2DEC(LV3)</f>
        <v>33</v>
      </c>
      <c r="MA2" s="77">
        <f>BIN2DEC(LW2)-BIN2DEC(LW3)</f>
        <v>65</v>
      </c>
      <c r="MB2" s="77">
        <f>BIN2DEC(LX2)-BIN2DEC(LX3)</f>
        <v>32</v>
      </c>
      <c r="MC2" s="27" t="str">
        <f>MID($L2,1,4)</f>
        <v>0010</v>
      </c>
      <c r="MD2" s="27" t="str">
        <f>MID($L2,5,4)</f>
        <v>0011</v>
      </c>
      <c r="ME2" s="27" t="str">
        <f>MID($L2,9,4)</f>
        <v>0100</v>
      </c>
      <c r="MF2" s="27" t="str">
        <f>MID($L2,13,4)</f>
        <v>1111</v>
      </c>
      <c r="MG2" s="27" t="str">
        <f>MID($L2,17,4)</f>
        <v>1100</v>
      </c>
      <c r="MH2" s="27" t="str">
        <f>MID($L2,21,4)</f>
        <v>0111</v>
      </c>
      <c r="MI2" s="27" t="str">
        <f>MID($L2,25,4)</f>
        <v>1010</v>
      </c>
      <c r="MJ2" s="27" t="str">
        <f>MID($L2,29,4)</f>
        <v>0010</v>
      </c>
      <c r="MK2" s="77">
        <f t="shared" ref="MK2:MR2" si="35">BIN2DEC(MC2)-BIN2DEC(MC3)</f>
        <v>-12</v>
      </c>
      <c r="ML2" s="77">
        <f t="shared" si="35"/>
        <v>-9</v>
      </c>
      <c r="MM2" s="77">
        <f t="shared" si="35"/>
        <v>-7</v>
      </c>
      <c r="MN2" s="77">
        <f t="shared" si="35"/>
        <v>12</v>
      </c>
      <c r="MO2" s="77">
        <f t="shared" si="35"/>
        <v>7</v>
      </c>
      <c r="MP2" s="77">
        <f t="shared" si="35"/>
        <v>0</v>
      </c>
      <c r="MQ2" s="77">
        <f t="shared" si="35"/>
        <v>-3</v>
      </c>
      <c r="MR2" s="77">
        <f t="shared" si="35"/>
        <v>2</v>
      </c>
      <c r="MS2" s="26" t="str">
        <f t="shared" ref="MS2:MS41" si="36">MID(LT2,1,16)</f>
        <v>0010000001000100</v>
      </c>
      <c r="MT2" s="26" t="str">
        <f t="shared" ref="MT2:MT41" si="37">MID(LT2,17,16)</f>
        <v>0100010000100000</v>
      </c>
      <c r="MU2" s="77">
        <f>MID(MS2,16,1)*POWER(2,0)+MID(MS2,15,1)*POWER(2,1)+MID(MS2,14,1)*POWER(2,2)+MID(MS2,13,1)*POWER(2,3)+MID(MS2,12,1)*POWER(2,4)+MID(MS2,11,1)*POWER(2,5)+MID(MS2,10,1)*POWER(2,6)+MID(MS2,9,1)*POWER(2,7)+MID(MS2,8,1)*POWER(2,8)+MID(MS2,7,1)*POWER(2,9)+MID(MS2,6,1)*POWER(2,10)+MID(MS2,5,1)*POWER(2,11)+MID(MS2,4,1)*POWER(2,12)+MID(MS2,3,1)*POWER(2,13)+MID(MS2,2,1)*POWER(2,14)+MID(MS2,1,1)*POWER(2,15)-(MID(MS3,16,1)*POWER(2,0)+MID(MS3,15,1)*POWER(2,1)+MID(MS3,14,1)*POWER(2,2)+MID(MS3,13,1)*POWER(2,3)+MID(MS3,12,1)*POWER(2,4)+MID(MS3,11,1)*POWER(2,5)+MID(MS3,10,1)*POWER(2,6)+MID(MS3,9,1)*POWER(2,7)+MID(MS3,8,1)*POWER(2,8)+MID(MS3,7,1)*POWER(2,9)+MID(MS3,6,1)*POWER(2,10)+MID(MS3,5,1)*POWER(2,11)+MID(MS3,4,1)*POWER(2,12)+MID(MS3,3,1)*POWER(2,13)+MID(MS3,2,1)*POWER(2,14)+MID(MS3,1,1)*POWER(2,15))</f>
        <v>33</v>
      </c>
      <c r="MV2" s="77">
        <f>MID(MT2,16,1)*POWER(2,0)+MID(MT2,15,1)*POWER(2,1)+MID(MT2,14,1)*POWER(2,2)+MID(MT2,13,1)*POWER(2,3)+MID(MT2,12,1)*POWER(2,4)+MID(MT2,11,1)*POWER(2,5)+MID(MT2,10,1)*POWER(2,6)+MID(MT2,9,1)*POWER(2,7)+MID(MT2,8,1)*POWER(2,8)+MID(MT2,7,1)*POWER(2,9)+MID(MT2,6,1)*POWER(2,10)+MID(MT2,5,1)*POWER(2,11)+MID(MT2,4,1)*POWER(2,12)+MID(MT2,3,1)*POWER(2,13)+MID(MT2,2,1)*POWER(2,14)+MID(MT2,1,1)*POWER(2,15)-(MID(MT3,16,1)*POWER(2,0)+MID(MT3,15,1)*POWER(2,1)+MID(MT3,14,1)*POWER(2,2)+MID(MT3,13,1)*POWER(2,3)+MID(MT3,12,1)*POWER(2,4)+MID(MT3,11,1)*POWER(2,5)+MID(MT3,10,1)*POWER(2,6)+MID(MT3,9,1)*POWER(2,7)+MID(MT3,8,1)*POWER(2,8)+MID(MT3,7,1)*POWER(2,9)+MID(MT3,6,1)*POWER(2,10)+MID(MT3,5,1)*POWER(2,11)+MID(MT3,4,1)*POWER(2,12)+MID(MT3,3,1)*POWER(2,13)+MID(MT3,2,1)*POWER(2,14)+MID(MT3,1,1)*POWER(2,15))</f>
        <v>16672</v>
      </c>
    </row>
    <row r="3" spans="1:360" s="31" customFormat="1" ht="18.600000000000001" thickBot="1" x14ac:dyDescent="0.4">
      <c r="A3" s="28"/>
      <c r="B3" s="29"/>
      <c r="C3" s="21" t="s">
        <v>6</v>
      </c>
      <c r="D3" s="21" t="s">
        <v>28</v>
      </c>
      <c r="E3" s="21" t="s">
        <v>63</v>
      </c>
      <c r="F3" s="21" t="s">
        <v>20</v>
      </c>
      <c r="G3" s="21" t="s">
        <v>137</v>
      </c>
      <c r="H3" s="21" t="str">
        <f t="shared" si="0"/>
        <v>01111101111101100000101010011010</v>
      </c>
      <c r="I3" s="21">
        <f t="shared" si="1"/>
        <v>18</v>
      </c>
      <c r="J3" s="78"/>
      <c r="K3" s="78"/>
      <c r="L3" s="44" t="str">
        <f>CONCATENATE(MID(H3,4,5),MID(H3,25,3),MID(H3,12,5),MID(H3,1,3),MID(H3,20,5),MID(H3,9,3),MID(H3,28,5),MID(H3,17,3))</f>
        <v>11101100101100110101011111010000</v>
      </c>
      <c r="M3" s="26" t="str">
        <f t="shared" ref="M3:M41" si="38">MID(L3,1,5)</f>
        <v>11101</v>
      </c>
      <c r="N3" s="26" t="str">
        <f t="shared" ref="N3:N41" si="39">MID(L3,9,5)</f>
        <v>10110</v>
      </c>
      <c r="O3" s="26" t="str">
        <f t="shared" ref="O3:O41" si="40">MID(L3,17,5)</f>
        <v>01010</v>
      </c>
      <c r="P3" s="26" t="str">
        <f t="shared" ref="P3:P41" si="41">MID(L3,25,5)</f>
        <v>11010</v>
      </c>
      <c r="Q3" s="78"/>
      <c r="R3" s="78"/>
      <c r="S3" s="78"/>
      <c r="T3" s="78"/>
      <c r="U3" s="31" t="str">
        <f t="shared" ref="U3:U41" si="42">MID($L3,1,4)</f>
        <v>1110</v>
      </c>
      <c r="V3" s="31" t="str">
        <f t="shared" ref="V3:V41" si="43">MID($L3,5,4)</f>
        <v>1100</v>
      </c>
      <c r="W3" s="31" t="str">
        <f t="shared" ref="W3:W41" si="44">MID($L3,9,4)</f>
        <v>1011</v>
      </c>
      <c r="X3" s="31" t="str">
        <f t="shared" ref="X3:X41" si="45">MID($L3,13,4)</f>
        <v>0011</v>
      </c>
      <c r="Y3" s="31" t="str">
        <f t="shared" ref="Y3:Y41" si="46">MID($L3,17,4)</f>
        <v>0101</v>
      </c>
      <c r="Z3" s="31" t="str">
        <f t="shared" ref="Z3:Z41" si="47">MID($L3,21,4)</f>
        <v>0111</v>
      </c>
      <c r="AA3" s="31" t="str">
        <f t="shared" ref="AA3:AA41" si="48">MID($L3,25,4)</f>
        <v>1101</v>
      </c>
      <c r="AB3" s="31" t="str">
        <f t="shared" ref="AB3:AB41" si="49">MID($L3,29,4)</f>
        <v>0000</v>
      </c>
      <c r="AC3" s="78"/>
      <c r="AD3" s="78"/>
      <c r="AE3" s="78"/>
      <c r="AF3" s="78"/>
      <c r="AG3" s="78"/>
      <c r="AH3" s="78"/>
      <c r="AI3" s="78"/>
      <c r="AJ3" s="78"/>
      <c r="AK3" s="30" t="str">
        <f t="shared" si="3"/>
        <v>1110110010110011</v>
      </c>
      <c r="AL3" s="30" t="str">
        <f t="shared" si="4"/>
        <v>0101011111010000</v>
      </c>
      <c r="AM3" s="78"/>
      <c r="AN3" s="78"/>
      <c r="AO3" s="46" t="str">
        <f>CONCATENATE(MID($L3,1,1)*MID($K2,1,1),MID($L3,2,1)*MID($K2,2,1),MID($L3,3,1)*MID($K2,3,1),MID($L3,4,1)*MID($K2,4,1),MID($L3,5,1)*MID($K2,5,1),MID($L3,6,1)*MID($K2,6,1),MID($L3,7,1)*MID($K2,7,1),MID($L3,8,1)*MID($K2,8,1),MID($L3,9,1)*MID($K2,1,1),MID($L3,10,1)*MID($K2,2,1),MID($L3,11,1)*MID($K2,3,1),MID($L3,12,1)*MID($K2,4,1),MID($L3,13,1)*MID($K2,5,1),MID($L3,14,1)*MID($K2,6,1),MID($L3,15,1)*MID($K2,7,1),MID($L3,16,1)*MID($K2,8,1),MID($L3,17,1)*MID($K2,1,1),MID($L3,18,1)*MID($K2,2,1),MID($L3,19,1)*MID($K2,3,1),MID($L3,20,1)*MID($K2,4,1),MID($L3,21,1)*MID($K2,5,1),MID($L3,22,1)*MID($K2,6,1),MID($L3,23,1)*MID($K2,7,1),MID($L3,24,1)*MID($K2,8,1),MID($L3,25,1)*MID($K2,1,1),MID($L3,26,1)*MID($K2,2,1),MID($L3,27,1)*MID($K2,3,1),MID($L3,28,1)*MID($K2,4,1),MID($L3,29,1)*MID($K2,5,1),MID($L3,30,1)*MID($K2,6,1),MID($L3,31,1)*MID($K2,7,1),MID($L3,32,1)*MID($K2,8,1))</f>
        <v>01100100001000000100010001000000</v>
      </c>
      <c r="AP3" s="30" t="str">
        <f t="shared" ref="AP3:AP41" si="50">MID(AO3,1,8)</f>
        <v>01100100</v>
      </c>
      <c r="AQ3" s="30" t="str">
        <f t="shared" ref="AQ3:AQ41" si="51">MID(AO3,9,8)</f>
        <v>00100000</v>
      </c>
      <c r="AR3" s="30" t="str">
        <f t="shared" ref="AR3:AR41" si="52">MID(AO3,17,8)</f>
        <v>01000100</v>
      </c>
      <c r="AS3" s="30" t="str">
        <f t="shared" ref="AS3:AS41" si="53">MID(AO3,25,8)</f>
        <v>01000000</v>
      </c>
      <c r="AT3" s="78"/>
      <c r="AU3" s="78"/>
      <c r="AV3" s="78"/>
      <c r="AW3" s="78"/>
      <c r="AX3" s="31" t="str">
        <f t="shared" ref="AX3:AX41" si="54">MID($L3,1,4)</f>
        <v>1110</v>
      </c>
      <c r="AY3" s="31" t="str">
        <f t="shared" ref="AY3:AY41" si="55">MID($L3,5,4)</f>
        <v>1100</v>
      </c>
      <c r="AZ3" s="31" t="str">
        <f t="shared" ref="AZ3:AZ41" si="56">MID($L3,9,4)</f>
        <v>1011</v>
      </c>
      <c r="BA3" s="31" t="str">
        <f t="shared" ref="BA3:BA41" si="57">MID($L3,13,4)</f>
        <v>0011</v>
      </c>
      <c r="BB3" s="31" t="str">
        <f t="shared" ref="BB3:BB41" si="58">MID($L3,17,4)</f>
        <v>0101</v>
      </c>
      <c r="BC3" s="31" t="str">
        <f t="shared" ref="BC3:BC41" si="59">MID($L3,21,4)</f>
        <v>0111</v>
      </c>
      <c r="BD3" s="31" t="str">
        <f t="shared" ref="BD3:BD41" si="60">MID($L3,25,4)</f>
        <v>1101</v>
      </c>
      <c r="BE3" s="31" t="str">
        <f t="shared" ref="BE3:BE41" si="61">MID($L3,29,4)</f>
        <v>0000</v>
      </c>
      <c r="BF3" s="78"/>
      <c r="BG3" s="78"/>
      <c r="BH3" s="78"/>
      <c r="BI3" s="78"/>
      <c r="BJ3" s="78"/>
      <c r="BK3" s="78"/>
      <c r="BL3" s="78"/>
      <c r="BM3" s="78"/>
      <c r="BN3" s="30" t="str">
        <f t="shared" si="6"/>
        <v>0110010000100000</v>
      </c>
      <c r="BO3" s="30" t="str">
        <f t="shared" si="7"/>
        <v>0100010001000000</v>
      </c>
      <c r="BP3" s="78"/>
      <c r="BQ3" s="78"/>
      <c r="BR3" s="46" t="str">
        <f>L3</f>
        <v>11101100101100110101011111010000</v>
      </c>
      <c r="BS3" s="30" t="str">
        <f t="shared" ref="BS3:BS41" si="62">MID(BR3,1,8)</f>
        <v>11101100</v>
      </c>
      <c r="BT3" s="30" t="str">
        <f t="shared" ref="BT3:BT41" si="63">MID(BR3,9,8)</f>
        <v>10110011</v>
      </c>
      <c r="BU3" s="30" t="str">
        <f t="shared" ref="BU3:BU41" si="64">MID(BR3,17,8)</f>
        <v>01010111</v>
      </c>
      <c r="BV3" s="30" t="str">
        <f t="shared" ref="BV3:BV41" si="65">MID(BR3,25,8)</f>
        <v>11010000</v>
      </c>
      <c r="BW3" s="78"/>
      <c r="BX3" s="78"/>
      <c r="BY3" s="78"/>
      <c r="BZ3" s="78"/>
      <c r="CA3" s="31" t="str">
        <f t="shared" ref="CA3:CA41" si="66">MID($L3,1,4)</f>
        <v>1110</v>
      </c>
      <c r="CB3" s="31" t="str">
        <f t="shared" ref="CB3:CB41" si="67">MID($L3,5,4)</f>
        <v>1100</v>
      </c>
      <c r="CC3" s="31" t="str">
        <f t="shared" ref="CC3:CC41" si="68">MID($L3,9,4)</f>
        <v>1011</v>
      </c>
      <c r="CD3" s="31" t="str">
        <f t="shared" ref="CD3:CD41" si="69">MID($L3,13,4)</f>
        <v>0011</v>
      </c>
      <c r="CE3" s="31" t="str">
        <f t="shared" ref="CE3:CE41" si="70">MID($L3,17,4)</f>
        <v>0101</v>
      </c>
      <c r="CF3" s="31" t="str">
        <f t="shared" ref="CF3:CF41" si="71">MID($L3,21,4)</f>
        <v>0111</v>
      </c>
      <c r="CG3" s="31" t="str">
        <f t="shared" ref="CG3:CG41" si="72">MID($L3,25,4)</f>
        <v>1101</v>
      </c>
      <c r="CH3" s="31" t="str">
        <f t="shared" ref="CH3:CH41" si="73">MID($L3,29,4)</f>
        <v>0000</v>
      </c>
      <c r="CI3" s="78"/>
      <c r="CJ3" s="78"/>
      <c r="CK3" s="78"/>
      <c r="CL3" s="78"/>
      <c r="CM3" s="78"/>
      <c r="CN3" s="78"/>
      <c r="CO3" s="78"/>
      <c r="CP3" s="78"/>
      <c r="CQ3" s="30" t="str">
        <f t="shared" si="9"/>
        <v>1110110010110011</v>
      </c>
      <c r="CR3" s="30" t="str">
        <f t="shared" si="10"/>
        <v>0101011111010000</v>
      </c>
      <c r="CS3" s="78"/>
      <c r="CT3" s="78"/>
      <c r="CU3" s="46" t="str">
        <f>AO3</f>
        <v>01100100001000000100010001000000</v>
      </c>
      <c r="CV3" s="30" t="str">
        <f t="shared" ref="CV3:CV41" si="74">MID(CU3,1,8)</f>
        <v>01100100</v>
      </c>
      <c r="CW3" s="30" t="str">
        <f t="shared" ref="CW3:CW41" si="75">MID(CU3,9,8)</f>
        <v>00100000</v>
      </c>
      <c r="CX3" s="30" t="str">
        <f t="shared" ref="CX3:CX41" si="76">MID(CU3,17,8)</f>
        <v>01000100</v>
      </c>
      <c r="CY3" s="30" t="str">
        <f t="shared" ref="CY3:CY41" si="77">MID(CU3,25,8)</f>
        <v>01000000</v>
      </c>
      <c r="CZ3" s="78"/>
      <c r="DA3" s="78"/>
      <c r="DB3" s="78"/>
      <c r="DC3" s="78"/>
      <c r="DD3" s="31" t="str">
        <f t="shared" ref="DD3:DD41" si="78">MID($L3,1,4)</f>
        <v>1110</v>
      </c>
      <c r="DE3" s="31" t="str">
        <f t="shared" ref="DE3:DE41" si="79">MID($L3,5,4)</f>
        <v>1100</v>
      </c>
      <c r="DF3" s="31" t="str">
        <f t="shared" ref="DF3:DF41" si="80">MID($L3,9,4)</f>
        <v>1011</v>
      </c>
      <c r="DG3" s="31" t="str">
        <f t="shared" ref="DG3:DG41" si="81">MID($L3,13,4)</f>
        <v>0011</v>
      </c>
      <c r="DH3" s="31" t="str">
        <f t="shared" ref="DH3:DH41" si="82">MID($L3,17,4)</f>
        <v>0101</v>
      </c>
      <c r="DI3" s="31" t="str">
        <f t="shared" ref="DI3:DI41" si="83">MID($L3,21,4)</f>
        <v>0111</v>
      </c>
      <c r="DJ3" s="31" t="str">
        <f t="shared" ref="DJ3:DJ41" si="84">MID($L3,25,4)</f>
        <v>1101</v>
      </c>
      <c r="DK3" s="31" t="str">
        <f t="shared" ref="DK3:DK41" si="85">MID($L3,29,4)</f>
        <v>0000</v>
      </c>
      <c r="DL3" s="78"/>
      <c r="DM3" s="78"/>
      <c r="DN3" s="78"/>
      <c r="DO3" s="78"/>
      <c r="DP3" s="78"/>
      <c r="DQ3" s="78"/>
      <c r="DR3" s="78"/>
      <c r="DS3" s="78"/>
      <c r="DT3" s="30" t="str">
        <f t="shared" si="12"/>
        <v>0110010000100000</v>
      </c>
      <c r="DU3" s="30" t="str">
        <f t="shared" si="13"/>
        <v>0100010001000000</v>
      </c>
      <c r="DV3" s="78"/>
      <c r="DW3" s="78"/>
      <c r="DX3" s="23" t="str">
        <f>CONCATENATE(MID($H3,1,1)*MID($K2,1,1),MID($H3,2,1)*MID($K2,2,1),MID($H3,3,1)*MID($K2,3,1),MID($H3,4,1)*MID($K2,4,1),MID($H3,5,1)*MID($K2,5,1),MID($H3,6,1)*MID($K2,6,1),MID($H3,7,1)*MID($K2,7,1),MID($H3,8,1)*MID($K2,8,1),MID($H3,9,1)*MID($K2,1,1),MID($H3,10,1)*MID($K2,2,1),MID($H3,11,1)*MID($K2,3,1),MID($H3,12,1)*MID($K2,4,1),MID($H3,13,1)*MID($K2,5,1),MID($H3,14,1)*MID($K2,6,1),MID($H3,15,1)*MID($K2,7,1),MID($H3,16,1)*MID($K2,8,1),MID($H3,17,1)*MID($K2,1,1),MID($H3,18,1)*MID($K2,2,1),MID($H3,19,1)*MID($K2,3,1),MID($H3,20,1)*MID($K2,4,1),MID($H3,21,1)*MID($K2,5,1),MID($H3,22,1)*MID($K2,6,1),MID($H3,23,1)*MID($K2,7,1),MID($H3,24,1)*MID($K2,8,1),MID($H3,25,1)*MID($K2,1,1),MID($H3,26,1)*MID($K2,2,1),MID($H3,27,1)*MID($K2,3,1),MID($H3,28,1)*MID($K2,4,1),MID($H3,29,1)*MID($K2,5,1),MID($H3,30,1)*MID($K2,6,1),MID($H3,31,1)*MID($K2,7,1),MID($H3,32,1)*MID($K2,8,1))</f>
        <v>01100100011001000000000000000000</v>
      </c>
      <c r="DY3" s="44" t="str">
        <f>CONCATENATE(MID(DX3,4,5),MID(DX3,25,3),MID(DX3,12,5),MID(DX3,1,3),MID(DX3,20,5),MID(DX3,9,3),MID(DX3,28,5),MID(DX3,17,3))</f>
        <v>00100000001000110000001100000000</v>
      </c>
      <c r="DZ3" s="30" t="str">
        <f>MID(DY3,1,8)</f>
        <v>00100000</v>
      </c>
      <c r="EA3" s="30" t="str">
        <f t="shared" ref="EA3:EA41" si="86">MID(DY3,9,8)</f>
        <v>00100011</v>
      </c>
      <c r="EB3" s="30" t="str">
        <f t="shared" ref="EB3:EB41" si="87">MID(DY3,17,8)</f>
        <v>00000011</v>
      </c>
      <c r="EC3" s="30" t="str">
        <f t="shared" ref="EC3:EC41" si="88">MID(DY3,25,8)</f>
        <v>00000000</v>
      </c>
      <c r="ED3" s="78"/>
      <c r="EE3" s="78"/>
      <c r="EF3" s="78"/>
      <c r="EG3" s="78"/>
      <c r="EH3" s="31" t="str">
        <f t="shared" ref="EH3:EH41" si="89">MID($L3,1,4)</f>
        <v>1110</v>
      </c>
      <c r="EI3" s="31" t="str">
        <f t="shared" ref="EI3:EI41" si="90">MID($L3,5,4)</f>
        <v>1100</v>
      </c>
      <c r="EJ3" s="31" t="str">
        <f t="shared" ref="EJ3:EJ41" si="91">MID($L3,9,4)</f>
        <v>1011</v>
      </c>
      <c r="EK3" s="31" t="str">
        <f t="shared" ref="EK3:EK41" si="92">MID($L3,13,4)</f>
        <v>0011</v>
      </c>
      <c r="EL3" s="31" t="str">
        <f t="shared" ref="EL3:EL41" si="93">MID($L3,17,4)</f>
        <v>0101</v>
      </c>
      <c r="EM3" s="31" t="str">
        <f t="shared" ref="EM3:EM41" si="94">MID($L3,21,4)</f>
        <v>0111</v>
      </c>
      <c r="EN3" s="31" t="str">
        <f t="shared" ref="EN3:EN41" si="95">MID($L3,25,4)</f>
        <v>1101</v>
      </c>
      <c r="EO3" s="31" t="str">
        <f t="shared" ref="EO3:EO41" si="96">MID($L3,29,4)</f>
        <v>0000</v>
      </c>
      <c r="EP3" s="78"/>
      <c r="EQ3" s="78"/>
      <c r="ER3" s="78"/>
      <c r="ES3" s="78"/>
      <c r="ET3" s="78"/>
      <c r="EU3" s="78"/>
      <c r="EV3" s="78"/>
      <c r="EW3" s="78"/>
      <c r="EX3" s="30" t="str">
        <f t="shared" si="15"/>
        <v>0010000000100011</v>
      </c>
      <c r="EY3" s="30" t="str">
        <f t="shared" si="16"/>
        <v>0000001100000000</v>
      </c>
      <c r="EZ3" s="78"/>
      <c r="FA3" s="78"/>
      <c r="FB3" s="46" t="str">
        <f>CONCATENATE(MID(DY3,1,1)*MID($K2,1,1),MID(DY3,2,1)*MID($K2,2,1),MID(DY3,3,1)*MID($K2,3,1),MID(DY3,4,1)*MID($K2,4,1),MID(DY3,5,1)*MID($K2,5,1),MID(DY3,6,1)*MID($K2,6,1),MID(DY3,7,1)*MID($K2,7,1),MID(DY3,8,1)*MID($K2,8,1),MID(DY3,9,1)*MID($K2,1,1),MID(DY3,10,1)*MID($K2,2,1),MID(DY3,11,1)*MID($K2,3,1),MID(DY3,12,1)*MID($K2,4,1),MID(DY3,13,1)*MID($K2,5,1),MID(DY3,14,1)*MID($K2,6,1),MID(DY3,15,1)*MID($K2,7,1),MID(DY3,16,1)*MID($K2,8,1),MID(DY3,17,1)*MID($K2,1,1),MID(DY3,18,1)*MID($K2,2,1),MID(DY3,19,1)*MID($K2,3,1),MID(DY3,20,1)*MID($K2,4,1),MID(DY3,21,1)*MID($K2,5,1),MID(DY3,22,1)*MID($K2,6,1),MID(DY3,23,1)*MID($K2,7,1),MID(DY3,24,1)*MID($K2,8,1),MID(DY3,25,1)*MID($K2,1,1),MID(DY3,26,1)*MID($K2,2,1),MID(DY3,27,1)*MID($K2,3,1),MID(DY3,28,1)*MID($K2,4,1),MID(DY3,29,1)*MID($K2,5,1),MID(DY3,30,1)*MID($K2,6,1),MID(DY3,31,1)*MID($K2,7,1),MID(DY3,32,1)*MID($K2,8,1))</f>
        <v>00100000001000000000000000000000</v>
      </c>
      <c r="FC3" s="30" t="str">
        <f>MID(FB3,1,8)</f>
        <v>00100000</v>
      </c>
      <c r="FD3" s="30" t="str">
        <f t="shared" ref="FD3:FD41" si="97">MID(FB3,9,8)</f>
        <v>00100000</v>
      </c>
      <c r="FE3" s="30" t="str">
        <f t="shared" ref="FE3:FE41" si="98">MID(FB3,17,8)</f>
        <v>00000000</v>
      </c>
      <c r="FF3" s="30" t="str">
        <f t="shared" ref="FF3:FF41" si="99">MID(FB3,25,8)</f>
        <v>00000000</v>
      </c>
      <c r="FG3" s="78"/>
      <c r="FH3" s="78"/>
      <c r="FI3" s="78"/>
      <c r="FJ3" s="78"/>
      <c r="FK3" s="31" t="str">
        <f t="shared" ref="FK3:FK41" si="100">MID($L3,1,4)</f>
        <v>1110</v>
      </c>
      <c r="FL3" s="31" t="str">
        <f t="shared" ref="FL3:FL41" si="101">MID($L3,5,4)</f>
        <v>1100</v>
      </c>
      <c r="FM3" s="31" t="str">
        <f t="shared" ref="FM3:FM41" si="102">MID($L3,9,4)</f>
        <v>1011</v>
      </c>
      <c r="FN3" s="31" t="str">
        <f t="shared" ref="FN3:FN41" si="103">MID($L3,13,4)</f>
        <v>0011</v>
      </c>
      <c r="FO3" s="31" t="str">
        <f t="shared" ref="FO3:FO41" si="104">MID($L3,17,4)</f>
        <v>0101</v>
      </c>
      <c r="FP3" s="31" t="str">
        <f t="shared" ref="FP3:FP41" si="105">MID($L3,21,4)</f>
        <v>0111</v>
      </c>
      <c r="FQ3" s="31" t="str">
        <f t="shared" ref="FQ3:FQ41" si="106">MID($L3,25,4)</f>
        <v>1101</v>
      </c>
      <c r="FR3" s="31" t="str">
        <f t="shared" ref="FR3:FR41" si="107">MID($L3,29,4)</f>
        <v>0000</v>
      </c>
      <c r="FS3" s="78"/>
      <c r="FT3" s="78"/>
      <c r="FU3" s="78"/>
      <c r="FV3" s="78"/>
      <c r="FW3" s="78"/>
      <c r="FX3" s="78"/>
      <c r="FY3" s="78"/>
      <c r="FZ3" s="78"/>
      <c r="GA3" s="30" t="str">
        <f t="shared" si="18"/>
        <v>0010000000100000</v>
      </c>
      <c r="GB3" s="30" t="str">
        <f t="shared" si="19"/>
        <v>0000000000000000</v>
      </c>
      <c r="GC3" s="78"/>
      <c r="GD3" s="78"/>
      <c r="GE3" s="48" t="str">
        <f>DY3</f>
        <v>00100000001000110000001100000000</v>
      </c>
      <c r="GF3" s="30" t="str">
        <f>MID(GE3,1,8)</f>
        <v>00100000</v>
      </c>
      <c r="GG3" s="30" t="str">
        <f t="shared" ref="GG3:GG41" si="108">MID(GE3,9,8)</f>
        <v>00100011</v>
      </c>
      <c r="GH3" s="30" t="str">
        <f t="shared" ref="GH3:GH41" si="109">MID(GE3,17,8)</f>
        <v>00000011</v>
      </c>
      <c r="GI3" s="30" t="str">
        <f t="shared" ref="GI3:GI41" si="110">MID(GE3,25,8)</f>
        <v>00000000</v>
      </c>
      <c r="GJ3" s="78"/>
      <c r="GK3" s="78"/>
      <c r="GL3" s="78"/>
      <c r="GM3" s="78"/>
      <c r="GN3" s="31" t="str">
        <f t="shared" ref="GN3:GN41" si="111">MID($L3,1,4)</f>
        <v>1110</v>
      </c>
      <c r="GO3" s="31" t="str">
        <f t="shared" ref="GO3:GO41" si="112">MID($L3,5,4)</f>
        <v>1100</v>
      </c>
      <c r="GP3" s="31" t="str">
        <f t="shared" ref="GP3:GP41" si="113">MID($L3,9,4)</f>
        <v>1011</v>
      </c>
      <c r="GQ3" s="31" t="str">
        <f t="shared" ref="GQ3:GQ41" si="114">MID($L3,13,4)</f>
        <v>0011</v>
      </c>
      <c r="GR3" s="31" t="str">
        <f t="shared" ref="GR3:GR41" si="115">MID($L3,17,4)</f>
        <v>0101</v>
      </c>
      <c r="GS3" s="31" t="str">
        <f t="shared" ref="GS3:GS41" si="116">MID($L3,21,4)</f>
        <v>0111</v>
      </c>
      <c r="GT3" s="31" t="str">
        <f t="shared" ref="GT3:GT41" si="117">MID($L3,25,4)</f>
        <v>1101</v>
      </c>
      <c r="GU3" s="31" t="str">
        <f t="shared" ref="GU3:GU41" si="118">MID($L3,29,4)</f>
        <v>0000</v>
      </c>
      <c r="GV3" s="78"/>
      <c r="GW3" s="78"/>
      <c r="GX3" s="78"/>
      <c r="GY3" s="78"/>
      <c r="GZ3" s="78"/>
      <c r="HA3" s="78"/>
      <c r="HB3" s="78"/>
      <c r="HC3" s="78"/>
      <c r="HD3" s="30" t="str">
        <f t="shared" si="21"/>
        <v>0010000000100011</v>
      </c>
      <c r="HE3" s="30" t="str">
        <f t="shared" si="22"/>
        <v>0000001100000000</v>
      </c>
      <c r="HF3" s="78"/>
      <c r="HG3" s="78"/>
      <c r="HH3" s="48" t="str">
        <f>FB3</f>
        <v>00100000001000000000000000000000</v>
      </c>
      <c r="HI3" s="30" t="str">
        <f>MID(HH3,1,8)</f>
        <v>00100000</v>
      </c>
      <c r="HJ3" s="30" t="str">
        <f t="shared" ref="HJ3:HJ41" si="119">MID(HH3,9,8)</f>
        <v>00100000</v>
      </c>
      <c r="HK3" s="30" t="str">
        <f t="shared" ref="HK3:HK41" si="120">MID(HH3,17,8)</f>
        <v>00000000</v>
      </c>
      <c r="HL3" s="30" t="str">
        <f t="shared" ref="HL3:HL41" si="121">MID(HH3,25,8)</f>
        <v>00000000</v>
      </c>
      <c r="HM3" s="78"/>
      <c r="HN3" s="78"/>
      <c r="HO3" s="78"/>
      <c r="HP3" s="78"/>
      <c r="HQ3" s="31" t="str">
        <f t="shared" ref="HQ3:HQ41" si="122">MID($L3,1,4)</f>
        <v>1110</v>
      </c>
      <c r="HR3" s="31" t="str">
        <f t="shared" ref="HR3:HR41" si="123">MID($L3,5,4)</f>
        <v>1100</v>
      </c>
      <c r="HS3" s="31" t="str">
        <f t="shared" ref="HS3:HS41" si="124">MID($L3,9,4)</f>
        <v>1011</v>
      </c>
      <c r="HT3" s="31" t="str">
        <f t="shared" ref="HT3:HT41" si="125">MID($L3,13,4)</f>
        <v>0011</v>
      </c>
      <c r="HU3" s="31" t="str">
        <f t="shared" ref="HU3:HU41" si="126">MID($L3,17,4)</f>
        <v>0101</v>
      </c>
      <c r="HV3" s="31" t="str">
        <f t="shared" ref="HV3:HV41" si="127">MID($L3,21,4)</f>
        <v>0111</v>
      </c>
      <c r="HW3" s="31" t="str">
        <f t="shared" ref="HW3:HW41" si="128">MID($L3,25,4)</f>
        <v>1101</v>
      </c>
      <c r="HX3" s="31" t="str">
        <f t="shared" ref="HX3:HX41" si="129">MID($L3,29,4)</f>
        <v>0000</v>
      </c>
      <c r="HY3" s="78"/>
      <c r="HZ3" s="78"/>
      <c r="IA3" s="78"/>
      <c r="IB3" s="78"/>
      <c r="IC3" s="78"/>
      <c r="ID3" s="78"/>
      <c r="IE3" s="78"/>
      <c r="IF3" s="78"/>
      <c r="IG3" s="30" t="str">
        <f t="shared" si="24"/>
        <v>0010000000100000</v>
      </c>
      <c r="IH3" s="30" t="str">
        <f t="shared" si="25"/>
        <v>0000000000000000</v>
      </c>
      <c r="II3" s="78"/>
      <c r="IJ3" s="78"/>
      <c r="IK3" s="44" t="str">
        <f>L3</f>
        <v>11101100101100110101011111010000</v>
      </c>
      <c r="IL3" s="30" t="str">
        <f>MID(IK3,1,8)</f>
        <v>11101100</v>
      </c>
      <c r="IM3" s="30" t="str">
        <f t="shared" ref="IM3:IM41" si="130">MID(IK3,9,8)</f>
        <v>10110011</v>
      </c>
      <c r="IN3" s="30" t="str">
        <f t="shared" ref="IN3:IN41" si="131">MID(IK3,17,8)</f>
        <v>01010111</v>
      </c>
      <c r="IO3" s="30" t="str">
        <f t="shared" ref="IO3:IO41" si="132">MID(IK3,25,8)</f>
        <v>11010000</v>
      </c>
      <c r="IP3" s="78"/>
      <c r="IQ3" s="78"/>
      <c r="IR3" s="78"/>
      <c r="IS3" s="78"/>
      <c r="IT3" s="31" t="str">
        <f t="shared" ref="IT3:IT41" si="133">MID($L3,1,4)</f>
        <v>1110</v>
      </c>
      <c r="IU3" s="31" t="str">
        <f t="shared" ref="IU3:IU41" si="134">MID($L3,5,4)</f>
        <v>1100</v>
      </c>
      <c r="IV3" s="31" t="str">
        <f t="shared" ref="IV3:IV41" si="135">MID($L3,9,4)</f>
        <v>1011</v>
      </c>
      <c r="IW3" s="31" t="str">
        <f t="shared" ref="IW3:IW41" si="136">MID($L3,13,4)</f>
        <v>0011</v>
      </c>
      <c r="IX3" s="31" t="str">
        <f t="shared" ref="IX3:IX41" si="137">MID($L3,17,4)</f>
        <v>0101</v>
      </c>
      <c r="IY3" s="31" t="str">
        <f t="shared" ref="IY3:IY41" si="138">MID($L3,21,4)</f>
        <v>0111</v>
      </c>
      <c r="IZ3" s="31" t="str">
        <f t="shared" ref="IZ3:IZ41" si="139">MID($L3,25,4)</f>
        <v>1101</v>
      </c>
      <c r="JA3" s="31" t="str">
        <f t="shared" ref="JA3:JA41" si="140">MID($L3,29,4)</f>
        <v>0000</v>
      </c>
      <c r="JB3" s="78"/>
      <c r="JC3" s="78"/>
      <c r="JD3" s="78"/>
      <c r="JE3" s="78"/>
      <c r="JF3" s="78"/>
      <c r="JG3" s="78"/>
      <c r="JH3" s="78"/>
      <c r="JI3" s="78"/>
      <c r="JJ3" s="30" t="str">
        <f t="shared" si="27"/>
        <v>1110110010110011</v>
      </c>
      <c r="JK3" s="30" t="str">
        <f t="shared" si="28"/>
        <v>0101011111010000</v>
      </c>
      <c r="JL3" s="78"/>
      <c r="JM3" s="78"/>
      <c r="JN3" s="46" t="str">
        <f>L3</f>
        <v>11101100101100110101011111010000</v>
      </c>
      <c r="JO3" s="30" t="str">
        <f>MID(JN3,1,8)</f>
        <v>11101100</v>
      </c>
      <c r="JP3" s="30" t="str">
        <f t="shared" ref="JP3:JP41" si="141">MID(JN3,9,8)</f>
        <v>10110011</v>
      </c>
      <c r="JQ3" s="30" t="str">
        <f t="shared" ref="JQ3:JQ41" si="142">MID(JN3,17,8)</f>
        <v>01010111</v>
      </c>
      <c r="JR3" s="30" t="str">
        <f t="shared" ref="JR3:JR41" si="143">MID(JN3,25,8)</f>
        <v>11010000</v>
      </c>
      <c r="JS3" s="78"/>
      <c r="JT3" s="78"/>
      <c r="JU3" s="78"/>
      <c r="JV3" s="78"/>
      <c r="JW3" s="31" t="str">
        <f t="shared" ref="JW3:JW41" si="144">MID($L3,1,4)</f>
        <v>1110</v>
      </c>
      <c r="JX3" s="31" t="str">
        <f t="shared" ref="JX3:JX41" si="145">MID($L3,5,4)</f>
        <v>1100</v>
      </c>
      <c r="JY3" s="31" t="str">
        <f t="shared" ref="JY3:JY41" si="146">MID($L3,9,4)</f>
        <v>1011</v>
      </c>
      <c r="JZ3" s="31" t="str">
        <f t="shared" ref="JZ3:JZ41" si="147">MID($L3,13,4)</f>
        <v>0011</v>
      </c>
      <c r="KA3" s="31" t="str">
        <f t="shared" ref="KA3:KA41" si="148">MID($L3,17,4)</f>
        <v>0101</v>
      </c>
      <c r="KB3" s="31" t="str">
        <f t="shared" ref="KB3:KB41" si="149">MID($L3,21,4)</f>
        <v>0111</v>
      </c>
      <c r="KC3" s="31" t="str">
        <f t="shared" ref="KC3:KC41" si="150">MID($L3,25,4)</f>
        <v>1101</v>
      </c>
      <c r="KD3" s="31" t="str">
        <f t="shared" ref="KD3:KD41" si="151">MID($L3,29,4)</f>
        <v>0000</v>
      </c>
      <c r="KE3" s="78"/>
      <c r="KF3" s="78"/>
      <c r="KG3" s="78"/>
      <c r="KH3" s="78"/>
      <c r="KI3" s="78"/>
      <c r="KJ3" s="78"/>
      <c r="KK3" s="78"/>
      <c r="KL3" s="78"/>
      <c r="KM3" s="30" t="str">
        <f t="shared" si="30"/>
        <v>1110110010110011</v>
      </c>
      <c r="KN3" s="30" t="str">
        <f t="shared" si="31"/>
        <v>0101011111010000</v>
      </c>
      <c r="KO3" s="78"/>
      <c r="KP3" s="78"/>
      <c r="KQ3" s="48" t="str">
        <f>AO3</f>
        <v>01100100001000000100010001000000</v>
      </c>
      <c r="KR3" s="30" t="str">
        <f>MID(KQ3,1,8)</f>
        <v>01100100</v>
      </c>
      <c r="KS3" s="30" t="str">
        <f t="shared" ref="KS3:KS41" si="152">MID(KQ3,9,8)</f>
        <v>00100000</v>
      </c>
      <c r="KT3" s="30" t="str">
        <f t="shared" ref="KT3:KT41" si="153">MID(KQ3,17,8)</f>
        <v>01000100</v>
      </c>
      <c r="KU3" s="30" t="str">
        <f t="shared" ref="KU3:KU41" si="154">MID(KQ3,25,8)</f>
        <v>01000000</v>
      </c>
      <c r="KV3" s="78"/>
      <c r="KW3" s="78"/>
      <c r="KX3" s="78"/>
      <c r="KY3" s="78"/>
      <c r="KZ3" s="31" t="str">
        <f t="shared" ref="KZ3:KZ41" si="155">MID($L3,1,4)</f>
        <v>1110</v>
      </c>
      <c r="LA3" s="31" t="str">
        <f t="shared" ref="LA3:LA41" si="156">MID($L3,5,4)</f>
        <v>1100</v>
      </c>
      <c r="LB3" s="31" t="str">
        <f t="shared" ref="LB3:LB41" si="157">MID($L3,9,4)</f>
        <v>1011</v>
      </c>
      <c r="LC3" s="31" t="str">
        <f t="shared" ref="LC3:LC41" si="158">MID($L3,13,4)</f>
        <v>0011</v>
      </c>
      <c r="LD3" s="31" t="str">
        <f t="shared" ref="LD3:LD41" si="159">MID($L3,17,4)</f>
        <v>0101</v>
      </c>
      <c r="LE3" s="31" t="str">
        <f t="shared" ref="LE3:LE41" si="160">MID($L3,21,4)</f>
        <v>0111</v>
      </c>
      <c r="LF3" s="31" t="str">
        <f t="shared" ref="LF3:LF41" si="161">MID($L3,25,4)</f>
        <v>1101</v>
      </c>
      <c r="LG3" s="31" t="str">
        <f t="shared" ref="LG3:LG41" si="162">MID($L3,29,4)</f>
        <v>0000</v>
      </c>
      <c r="LH3" s="78"/>
      <c r="LI3" s="78"/>
      <c r="LJ3" s="78"/>
      <c r="LK3" s="78"/>
      <c r="LL3" s="78"/>
      <c r="LM3" s="78"/>
      <c r="LN3" s="78"/>
      <c r="LO3" s="78"/>
      <c r="LP3" s="30" t="str">
        <f t="shared" si="33"/>
        <v>0110010000100000</v>
      </c>
      <c r="LQ3" s="30" t="str">
        <f t="shared" si="34"/>
        <v>0100010001000000</v>
      </c>
      <c r="LR3" s="78"/>
      <c r="LS3" s="78"/>
      <c r="LT3" s="48" t="str">
        <f>GE3</f>
        <v>00100000001000110000001100000000</v>
      </c>
      <c r="LU3" s="30" t="str">
        <f>MID(LT3,1,8)</f>
        <v>00100000</v>
      </c>
      <c r="LV3" s="30" t="str">
        <f t="shared" ref="LV3:LV41" si="163">MID(LT3,9,8)</f>
        <v>00100011</v>
      </c>
      <c r="LW3" s="30" t="str">
        <f t="shared" ref="LW3:LW41" si="164">MID(LT3,17,8)</f>
        <v>00000011</v>
      </c>
      <c r="LX3" s="30" t="str">
        <f t="shared" ref="LX3:LX41" si="165">MID(LT3,25,8)</f>
        <v>00000000</v>
      </c>
      <c r="LY3" s="78"/>
      <c r="LZ3" s="78"/>
      <c r="MA3" s="78"/>
      <c r="MB3" s="78"/>
      <c r="MC3" s="31" t="str">
        <f t="shared" ref="MC3:MC41" si="166">MID($L3,1,4)</f>
        <v>1110</v>
      </c>
      <c r="MD3" s="31" t="str">
        <f t="shared" ref="MD3:MD41" si="167">MID($L3,5,4)</f>
        <v>1100</v>
      </c>
      <c r="ME3" s="31" t="str">
        <f t="shared" ref="ME3:ME41" si="168">MID($L3,9,4)</f>
        <v>1011</v>
      </c>
      <c r="MF3" s="31" t="str">
        <f t="shared" ref="MF3:MF41" si="169">MID($L3,13,4)</f>
        <v>0011</v>
      </c>
      <c r="MG3" s="31" t="str">
        <f t="shared" ref="MG3:MG41" si="170">MID($L3,17,4)</f>
        <v>0101</v>
      </c>
      <c r="MH3" s="31" t="str">
        <f t="shared" ref="MH3:MH41" si="171">MID($L3,21,4)</f>
        <v>0111</v>
      </c>
      <c r="MI3" s="31" t="str">
        <f t="shared" ref="MI3:MI41" si="172">MID($L3,25,4)</f>
        <v>1101</v>
      </c>
      <c r="MJ3" s="31" t="str">
        <f t="shared" ref="MJ3:MJ41" si="173">MID($L3,29,4)</f>
        <v>0000</v>
      </c>
      <c r="MK3" s="78"/>
      <c r="ML3" s="78"/>
      <c r="MM3" s="78"/>
      <c r="MN3" s="78"/>
      <c r="MO3" s="78"/>
      <c r="MP3" s="78"/>
      <c r="MQ3" s="78"/>
      <c r="MR3" s="78"/>
      <c r="MS3" s="30" t="str">
        <f t="shared" si="36"/>
        <v>0010000000100011</v>
      </c>
      <c r="MT3" s="30" t="str">
        <f t="shared" si="37"/>
        <v>0000001100000000</v>
      </c>
      <c r="MU3" s="78"/>
      <c r="MV3" s="78"/>
    </row>
    <row r="4" spans="1:360" s="27" customFormat="1" ht="18.600000000000001" thickBot="1" x14ac:dyDescent="0.4">
      <c r="A4" s="24"/>
      <c r="B4" s="25"/>
      <c r="C4" s="20" t="s">
        <v>0</v>
      </c>
      <c r="D4" s="20" t="s">
        <v>93</v>
      </c>
      <c r="E4" s="20">
        <v>82</v>
      </c>
      <c r="F4" s="20">
        <v>4</v>
      </c>
      <c r="G4" s="20" t="s">
        <v>58</v>
      </c>
      <c r="H4" s="20" t="str">
        <f t="shared" si="0"/>
        <v>00001101100000100000010001011100</v>
      </c>
      <c r="I4" s="20">
        <f t="shared" si="1"/>
        <v>10</v>
      </c>
      <c r="J4" s="20">
        <v>64</v>
      </c>
      <c r="K4" s="20" t="str">
        <f>HEX2BIN(J4,8)</f>
        <v>01100100</v>
      </c>
      <c r="L4" s="43" t="str">
        <f>CONCATENATE(MID(H4,17,16),MID(H4,1,16))</f>
        <v>00000100010111000000110110000010</v>
      </c>
      <c r="M4" s="26" t="str">
        <f t="shared" si="38"/>
        <v>00000</v>
      </c>
      <c r="N4" s="26" t="str">
        <f t="shared" si="39"/>
        <v>01011</v>
      </c>
      <c r="O4" s="26" t="str">
        <f t="shared" si="40"/>
        <v>00001</v>
      </c>
      <c r="P4" s="26" t="str">
        <f t="shared" si="41"/>
        <v>10000</v>
      </c>
      <c r="Q4" s="77">
        <f>BIN2DEC(M4)-BIN2DEC(M5)</f>
        <v>-25</v>
      </c>
      <c r="R4" s="77">
        <f>BIN2DEC(N4)-BIN2DEC(N5)</f>
        <v>-13</v>
      </c>
      <c r="S4" s="77">
        <f>BIN2DEC(O4)-BIN2DEC(O5)</f>
        <v>-18</v>
      </c>
      <c r="T4" s="77">
        <f>BIN2DEC(P4)-BIN2DEC(P5)</f>
        <v>-5</v>
      </c>
      <c r="U4" s="27" t="str">
        <f t="shared" si="42"/>
        <v>0000</v>
      </c>
      <c r="V4" s="27" t="str">
        <f t="shared" si="43"/>
        <v>0100</v>
      </c>
      <c r="W4" s="27" t="str">
        <f t="shared" si="44"/>
        <v>0101</v>
      </c>
      <c r="X4" s="27" t="str">
        <f t="shared" si="45"/>
        <v>1100</v>
      </c>
      <c r="Y4" s="27" t="str">
        <f t="shared" si="46"/>
        <v>0000</v>
      </c>
      <c r="Z4" s="27" t="str">
        <f t="shared" si="47"/>
        <v>1101</v>
      </c>
      <c r="AA4" s="27" t="str">
        <f t="shared" si="48"/>
        <v>1000</v>
      </c>
      <c r="AB4" s="27" t="str">
        <f t="shared" si="49"/>
        <v>0010</v>
      </c>
      <c r="AC4" s="77">
        <f>BIN2DEC(U4)-BIN2DEC(U5)</f>
        <v>-12</v>
      </c>
      <c r="AD4" s="77">
        <f t="shared" ref="AD4:AI4" si="174">BIN2DEC(V4)-BIN2DEC(V5)</f>
        <v>-9</v>
      </c>
      <c r="AE4" s="77">
        <f t="shared" si="174"/>
        <v>-7</v>
      </c>
      <c r="AF4" s="77">
        <f t="shared" si="174"/>
        <v>12</v>
      </c>
      <c r="AG4" s="77">
        <f t="shared" si="174"/>
        <v>-9</v>
      </c>
      <c r="AH4" s="77">
        <f t="shared" si="174"/>
        <v>0</v>
      </c>
      <c r="AI4" s="77">
        <f t="shared" si="174"/>
        <v>-2</v>
      </c>
      <c r="AJ4" s="77">
        <f>BIN2DEC(AB4)-BIN2DEC(AB5)</f>
        <v>-13</v>
      </c>
      <c r="AK4" s="26" t="str">
        <f t="shared" si="3"/>
        <v>0000010001011100</v>
      </c>
      <c r="AL4" s="26" t="str">
        <f t="shared" si="4"/>
        <v>0000110110000010</v>
      </c>
      <c r="AM4" s="77">
        <f>MID(AK4,16,1)*POWER(2,0)+MID(AK4,15,1)*POWER(2,1)+MID(AK4,14,1)*POWER(2,2)+MID(AK4,13,1)*POWER(2,3)+MID(AK4,12,1)*POWER(2,4)+MID(AK4,11,1)*POWER(2,5)+MID(AK4,10,1)*POWER(2,6)+MID(AK4,9,1)*POWER(2,7)+MID(AK4,8,1)*POWER(2,8)+MID(AK4,7,1)*POWER(2,9)+MID(AK4,6,1)*POWER(2,10)+MID(AK4,5,1)*POWER(2,11)+MID(AK4,4,1)*POWER(2,12)+MID(AK4,3,1)*POWER(2,13)+MID(AK4,2,1)*POWER(2,14)+MID(AK4,1,1)*POWER(2,15)-(MID(AK5,16,1)*POWER(2,0)+MID(AK5,15,1)*POWER(2,1)+MID(AK5,14,1)*POWER(2,2)+MID(AK5,13,1)*POWER(2,3)+MID(AK5,12,1)*POWER(2,4)+MID(AK5,11,1)*POWER(2,5)+MID(AK5,10,1)*POWER(2,6)+MID(AK5,9,1)*POWER(2,7)+MID(AK5,8,1)*POWER(2,8)+MID(AK5,7,1)*POWER(2,9)+MID(AK5,6,1)*POWER(2,10)+MID(AK5,5,1)*POWER(2,11)+MID(AK5,4,1)*POWER(2,12)+MID(AK5,3,1)*POWER(2,13)+MID(AK5,2,1)*POWER(2,14)+MID(AK5,1,1)*POWER(2,15))</f>
        <v>-51556</v>
      </c>
      <c r="AN4" s="77">
        <f>MID(AL4,16,1)*POWER(2,0)+MID(AL4,15,1)*POWER(2,1)+MID(AL4,14,1)*POWER(2,2)+MID(AL4,13,1)*POWER(2,3)+MID(AL4,12,1)*POWER(2,4)+MID(AL4,11,1)*POWER(2,5)+MID(AL4,10,1)*POWER(2,6)+MID(AL4,9,1)*POWER(2,7)+MID(AL4,8,1)*POWER(2,8)+MID(AL4,7,1)*POWER(2,9)+MID(AL4,6,1)*POWER(2,10)+MID(AL4,5,1)*POWER(2,11)+MID(AL4,4,1)*POWER(2,12)+MID(AL4,3,1)*POWER(2,13)+MID(AL4,2,1)*POWER(2,14)+MID(AL4,1,1)*POWER(2,15)-(MID(AL5,16,1)*POWER(2,0)+MID(AL5,15,1)*POWER(2,1)+MID(AL5,14,1)*POWER(2,2)+MID(AL5,13,1)*POWER(2,3)+MID(AL5,12,1)*POWER(2,4)+MID(AL5,11,1)*POWER(2,5)+MID(AL5,10,1)*POWER(2,6)+MID(AL5,9,1)*POWER(2,7)+MID(AL5,8,1)*POWER(2,8)+MID(AL5,7,1)*POWER(2,9)+MID(AL5,6,1)*POWER(2,10)+MID(AL5,5,1)*POWER(2,11)+MID(AL5,4,1)*POWER(2,12)+MID(AL5,3,1)*POWER(2,13)+MID(AL5,2,1)*POWER(2,14)+MID(AL5,1,1)*POWER(2,15))</f>
        <v>-36909</v>
      </c>
      <c r="AO4" s="45" t="str">
        <f>L4</f>
        <v>00000100010111000000110110000010</v>
      </c>
      <c r="AP4" s="26" t="str">
        <f t="shared" si="50"/>
        <v>00000100</v>
      </c>
      <c r="AQ4" s="26" t="str">
        <f t="shared" si="51"/>
        <v>01011100</v>
      </c>
      <c r="AR4" s="26" t="str">
        <f t="shared" si="52"/>
        <v>00001101</v>
      </c>
      <c r="AS4" s="26" t="str">
        <f t="shared" si="53"/>
        <v>10000010</v>
      </c>
      <c r="AT4" s="77">
        <f>BIN2DEC(AP4)-BIN2DEC(AP5)</f>
        <v>-64</v>
      </c>
      <c r="AU4" s="77">
        <f>BIN2DEC(AQ4)-BIN2DEC(AQ5)</f>
        <v>28</v>
      </c>
      <c r="AV4" s="77">
        <f>BIN2DEC(AR4)-BIN2DEC(AR5)</f>
        <v>9</v>
      </c>
      <c r="AW4" s="77">
        <f>BIN2DEC(AS4)-BIN2DEC(AS5)</f>
        <v>94</v>
      </c>
      <c r="AX4" s="27" t="str">
        <f t="shared" si="54"/>
        <v>0000</v>
      </c>
      <c r="AY4" s="27" t="str">
        <f t="shared" si="55"/>
        <v>0100</v>
      </c>
      <c r="AZ4" s="27" t="str">
        <f t="shared" si="56"/>
        <v>0101</v>
      </c>
      <c r="BA4" s="27" t="str">
        <f t="shared" si="57"/>
        <v>1100</v>
      </c>
      <c r="BB4" s="27" t="str">
        <f t="shared" si="58"/>
        <v>0000</v>
      </c>
      <c r="BC4" s="27" t="str">
        <f t="shared" si="59"/>
        <v>1101</v>
      </c>
      <c r="BD4" s="27" t="str">
        <f t="shared" si="60"/>
        <v>1000</v>
      </c>
      <c r="BE4" s="27" t="str">
        <f t="shared" si="61"/>
        <v>0010</v>
      </c>
      <c r="BF4" s="77">
        <f>BIN2DEC(AX4)-BIN2DEC(AX5)</f>
        <v>-12</v>
      </c>
      <c r="BG4" s="77">
        <f t="shared" ref="BG4:BL4" si="175">BIN2DEC(AY4)-BIN2DEC(AY5)</f>
        <v>-9</v>
      </c>
      <c r="BH4" s="77">
        <f t="shared" si="175"/>
        <v>-7</v>
      </c>
      <c r="BI4" s="77">
        <f t="shared" si="175"/>
        <v>12</v>
      </c>
      <c r="BJ4" s="77">
        <f t="shared" si="175"/>
        <v>-9</v>
      </c>
      <c r="BK4" s="77">
        <f t="shared" si="175"/>
        <v>0</v>
      </c>
      <c r="BL4" s="77">
        <f t="shared" si="175"/>
        <v>-2</v>
      </c>
      <c r="BM4" s="77">
        <f>BIN2DEC(BE4)-BIN2DEC(BE5)</f>
        <v>-13</v>
      </c>
      <c r="BN4" s="26" t="str">
        <f t="shared" si="6"/>
        <v>0000010001011100</v>
      </c>
      <c r="BO4" s="26" t="str">
        <f t="shared" si="7"/>
        <v>0000110110000010</v>
      </c>
      <c r="BP4" s="77">
        <f>MID(BN4,16,1)*POWER(2,0)+MID(BN4,15,1)*POWER(2,1)+MID(BN4,14,1)*POWER(2,2)+MID(BN4,13,1)*POWER(2,3)+MID(BN4,12,1)*POWER(2,4)+MID(BN4,11,1)*POWER(2,5)+MID(BN4,10,1)*POWER(2,6)+MID(BN4,9,1)*POWER(2,7)+MID(BN4,8,1)*POWER(2,8)+MID(BN4,7,1)*POWER(2,9)+MID(BN4,6,1)*POWER(2,10)+MID(BN4,5,1)*POWER(2,11)+MID(BN4,4,1)*POWER(2,12)+MID(BN4,3,1)*POWER(2,13)+MID(BN4,2,1)*POWER(2,14)+MID(BN4,1,1)*POWER(2,15)-(MID(BN5,16,1)*POWER(2,0)+MID(BN5,15,1)*POWER(2,1)+MID(BN5,14,1)*POWER(2,2)+MID(BN5,13,1)*POWER(2,3)+MID(BN5,12,1)*POWER(2,4)+MID(BN5,11,1)*POWER(2,5)+MID(BN5,10,1)*POWER(2,6)+MID(BN5,9,1)*POWER(2,7)+MID(BN5,8,1)*POWER(2,8)+MID(BN5,7,1)*POWER(2,9)+MID(BN5,6,1)*POWER(2,10)+MID(BN5,5,1)*POWER(2,11)+MID(BN5,4,1)*POWER(2,12)+MID(BN5,3,1)*POWER(2,13)+MID(BN5,2,1)*POWER(2,14)+MID(BN5,1,1)*POWER(2,15))</f>
        <v>-16356</v>
      </c>
      <c r="BQ4" s="77">
        <f>MID(BO4,16,1)*POWER(2,0)+MID(BO4,15,1)*POWER(2,1)+MID(BO4,14,1)*POWER(2,2)+MID(BO4,13,1)*POWER(2,3)+MID(BO4,12,1)*POWER(2,4)+MID(BO4,11,1)*POWER(2,5)+MID(BO4,10,1)*POWER(2,6)+MID(BO4,9,1)*POWER(2,7)+MID(BO4,8,1)*POWER(2,8)+MID(BO4,7,1)*POWER(2,9)+MID(BO4,6,1)*POWER(2,10)+MID(BO4,5,1)*POWER(2,11)+MID(BO4,4,1)*POWER(2,12)+MID(BO4,3,1)*POWER(2,13)+MID(BO4,2,1)*POWER(2,14)+MID(BO4,1,1)*POWER(2,15)-(MID(BO5,16,1)*POWER(2,0)+MID(BO5,15,1)*POWER(2,1)+MID(BO5,14,1)*POWER(2,2)+MID(BO5,13,1)*POWER(2,3)+MID(BO5,12,1)*POWER(2,4)+MID(BO5,11,1)*POWER(2,5)+MID(BO5,10,1)*POWER(2,6)+MID(BO5,9,1)*POWER(2,7)+MID(BO5,8,1)*POWER(2,8)+MID(BO5,7,1)*POWER(2,9)+MID(BO5,6,1)*POWER(2,10)+MID(BO5,5,1)*POWER(2,11)+MID(BO5,4,1)*POWER(2,12)+MID(BO5,3,1)*POWER(2,13)+MID(BO5,2,1)*POWER(2,14)+MID(BO5,1,1)*POWER(2,15))</f>
        <v>2398</v>
      </c>
      <c r="BR4" s="45" t="str">
        <f>CONCATENATE(MID($L4,1,1)*MID($K4,1,1),MID($L4,2,1)*MID($K4,2,1),MID($L4,3,1)*MID($K4,3,1),MID($L4,4,1)*MID($K4,4,1),MID($L4,5,1)*MID($K4,5,1),MID($L4,6,1)*MID($K4,6,1),MID($L4,7,1)*MID($K4,7,1),MID($L4,8,1)*MID($K4,8,1),MID($L4,9,1)*MID($K4,1,1),MID($L4,10,1)*MID($K4,2,1),MID($L4,11,1)*MID($K4,3,1),MID($L4,12,1)*MID($K4,4,1),MID($L4,13,1)*MID($K4,5,1),MID($L4,14,1)*MID($K4,6,1),MID($L4,15,1)*MID($K4,7,1),MID($L4,16,1)*MID($K4,8,1),MID($L4,17,1)*MID($K4,1,1),MID($L4,18,1)*MID($K4,2,1),MID($L4,19,1)*MID($K4,3,1),MID($L4,20,1)*MID($K4,4,1),MID($L4,21,1)*MID($K4,5,1),MID($L4,22,1)*MID($K4,6,1),MID($L4,23,1)*MID($K4,7,1),MID($L4,24,1)*MID($K4,8,1),MID($L4,25,1)*MID($K4,1,1),MID($L4,26,1)*MID($K4,2,1),MID($L4,27,1)*MID($K4,3,1),MID($L4,28,1)*MID($K4,4,1),MID($L4,29,1)*MID($K4,5,1),MID($L4,30,1)*MID($K4,6,1),MID($L4,31,1)*MID($K4,7,1),MID($L4,32,1)*MID($K4,8,1))</f>
        <v>00000100010001000000010000000000</v>
      </c>
      <c r="BS4" s="26" t="str">
        <f t="shared" si="62"/>
        <v>00000100</v>
      </c>
      <c r="BT4" s="26" t="str">
        <f t="shared" si="63"/>
        <v>01000100</v>
      </c>
      <c r="BU4" s="26" t="str">
        <f t="shared" si="64"/>
        <v>00000100</v>
      </c>
      <c r="BV4" s="26" t="str">
        <f t="shared" si="65"/>
        <v>00000000</v>
      </c>
      <c r="BW4" s="77">
        <f>BIN2DEC(BS4)-BIN2DEC(BS5)</f>
        <v>-201</v>
      </c>
      <c r="BX4" s="77">
        <f>BIN2DEC(BT4)-BIN2DEC(BT5)</f>
        <v>-124</v>
      </c>
      <c r="BY4" s="77">
        <f>BIN2DEC(BU4)-BIN2DEC(BU5)</f>
        <v>-153</v>
      </c>
      <c r="BZ4" s="77">
        <f>BIN2DEC(BV4)-BIN2DEC(BV5)</f>
        <v>-175</v>
      </c>
      <c r="CA4" s="27" t="str">
        <f t="shared" si="66"/>
        <v>0000</v>
      </c>
      <c r="CB4" s="27" t="str">
        <f t="shared" si="67"/>
        <v>0100</v>
      </c>
      <c r="CC4" s="27" t="str">
        <f t="shared" si="68"/>
        <v>0101</v>
      </c>
      <c r="CD4" s="27" t="str">
        <f t="shared" si="69"/>
        <v>1100</v>
      </c>
      <c r="CE4" s="27" t="str">
        <f t="shared" si="70"/>
        <v>0000</v>
      </c>
      <c r="CF4" s="27" t="str">
        <f t="shared" si="71"/>
        <v>1101</v>
      </c>
      <c r="CG4" s="27" t="str">
        <f t="shared" si="72"/>
        <v>1000</v>
      </c>
      <c r="CH4" s="27" t="str">
        <f t="shared" si="73"/>
        <v>0010</v>
      </c>
      <c r="CI4" s="77">
        <f>BIN2DEC(CA4)-BIN2DEC(CA5)</f>
        <v>-12</v>
      </c>
      <c r="CJ4" s="77">
        <f t="shared" ref="CJ4:CO4" si="176">BIN2DEC(CB4)-BIN2DEC(CB5)</f>
        <v>-9</v>
      </c>
      <c r="CK4" s="77">
        <f t="shared" si="176"/>
        <v>-7</v>
      </c>
      <c r="CL4" s="77">
        <f t="shared" si="176"/>
        <v>12</v>
      </c>
      <c r="CM4" s="77">
        <f t="shared" si="176"/>
        <v>-9</v>
      </c>
      <c r="CN4" s="77">
        <f t="shared" si="176"/>
        <v>0</v>
      </c>
      <c r="CO4" s="77">
        <f t="shared" si="176"/>
        <v>-2</v>
      </c>
      <c r="CP4" s="77">
        <f>BIN2DEC(CH4)-BIN2DEC(CH5)</f>
        <v>-13</v>
      </c>
      <c r="CQ4" s="26" t="str">
        <f t="shared" si="9"/>
        <v>0000010001000100</v>
      </c>
      <c r="CR4" s="26" t="str">
        <f t="shared" si="10"/>
        <v>0000010000000000</v>
      </c>
      <c r="CS4" s="77">
        <f>MID(CQ4,16,1)*POWER(2,0)+MID(CQ4,15,1)*POWER(2,1)+MID(CQ4,14,1)*POWER(2,2)+MID(CQ4,13,1)*POWER(2,3)+MID(CQ4,12,1)*POWER(2,4)+MID(CQ4,11,1)*POWER(2,5)+MID(CQ4,10,1)*POWER(2,6)+MID(CQ4,9,1)*POWER(2,7)+MID(CQ4,8,1)*POWER(2,8)+MID(CQ4,7,1)*POWER(2,9)+MID(CQ4,6,1)*POWER(2,10)+MID(CQ4,5,1)*POWER(2,11)+MID(CQ4,4,1)*POWER(2,12)+MID(CQ4,3,1)*POWER(2,13)+MID(CQ4,2,1)*POWER(2,14)+MID(CQ4,1,1)*POWER(2,15)-(MID(CQ5,16,1)*POWER(2,0)+MID(CQ5,15,1)*POWER(2,1)+MID(CQ5,14,1)*POWER(2,2)+MID(CQ5,13,1)*POWER(2,3)+MID(CQ5,12,1)*POWER(2,4)+MID(CQ5,11,1)*POWER(2,5)+MID(CQ5,10,1)*POWER(2,6)+MID(CQ5,9,1)*POWER(2,7)+MID(CQ5,8,1)*POWER(2,8)+MID(CQ5,7,1)*POWER(2,9)+MID(CQ5,6,1)*POWER(2,10)+MID(CQ5,5,1)*POWER(2,11)+MID(CQ5,4,1)*POWER(2,12)+MID(CQ5,3,1)*POWER(2,13)+MID(CQ5,2,1)*POWER(2,14)+MID(CQ5,1,1)*POWER(2,15))</f>
        <v>-51580</v>
      </c>
      <c r="CT4" s="77">
        <f>MID(CR4,16,1)*POWER(2,0)+MID(CR4,15,1)*POWER(2,1)+MID(CR4,14,1)*POWER(2,2)+MID(CR4,13,1)*POWER(2,3)+MID(CR4,12,1)*POWER(2,4)+MID(CR4,11,1)*POWER(2,5)+MID(CR4,10,1)*POWER(2,6)+MID(CR4,9,1)*POWER(2,7)+MID(CR4,8,1)*POWER(2,8)+MID(CR4,7,1)*POWER(2,9)+MID(CR4,6,1)*POWER(2,10)+MID(CR4,5,1)*POWER(2,11)+MID(CR4,4,1)*POWER(2,12)+MID(CR4,3,1)*POWER(2,13)+MID(CR4,2,1)*POWER(2,14)+MID(CR4,1,1)*POWER(2,15)-(MID(CR5,16,1)*POWER(2,0)+MID(CR5,15,1)*POWER(2,1)+MID(CR5,14,1)*POWER(2,2)+MID(CR5,13,1)*POWER(2,3)+MID(CR5,12,1)*POWER(2,4)+MID(CR5,11,1)*POWER(2,5)+MID(CR5,10,1)*POWER(2,6)+MID(CR5,9,1)*POWER(2,7)+MID(CR5,8,1)*POWER(2,8)+MID(CR5,7,1)*POWER(2,9)+MID(CR5,6,1)*POWER(2,10)+MID(CR5,5,1)*POWER(2,11)+MID(CR5,4,1)*POWER(2,12)+MID(CR5,3,1)*POWER(2,13)+MID(CR5,2,1)*POWER(2,14)+MID(CR5,1,1)*POWER(2,15))</f>
        <v>-39343</v>
      </c>
      <c r="CU4" s="45" t="str">
        <f>BR4</f>
        <v>00000100010001000000010000000000</v>
      </c>
      <c r="CV4" s="26" t="str">
        <f t="shared" si="74"/>
        <v>00000100</v>
      </c>
      <c r="CW4" s="26" t="str">
        <f t="shared" si="75"/>
        <v>01000100</v>
      </c>
      <c r="CX4" s="26" t="str">
        <f t="shared" si="76"/>
        <v>00000100</v>
      </c>
      <c r="CY4" s="26" t="str">
        <f t="shared" si="77"/>
        <v>00000000</v>
      </c>
      <c r="CZ4" s="77">
        <f>BIN2DEC(CV4)-BIN2DEC(CV5)</f>
        <v>-64</v>
      </c>
      <c r="DA4" s="77">
        <f>BIN2DEC(CW4)-BIN2DEC(CW5)</f>
        <v>4</v>
      </c>
      <c r="DB4" s="77">
        <f>BIN2DEC(CX4)-BIN2DEC(CX5)</f>
        <v>0</v>
      </c>
      <c r="DC4" s="77">
        <f>BIN2DEC(CY4)-BIN2DEC(CY5)</f>
        <v>-36</v>
      </c>
      <c r="DD4" s="27" t="str">
        <f t="shared" si="78"/>
        <v>0000</v>
      </c>
      <c r="DE4" s="27" t="str">
        <f t="shared" si="79"/>
        <v>0100</v>
      </c>
      <c r="DF4" s="27" t="str">
        <f t="shared" si="80"/>
        <v>0101</v>
      </c>
      <c r="DG4" s="27" t="str">
        <f t="shared" si="81"/>
        <v>1100</v>
      </c>
      <c r="DH4" s="27" t="str">
        <f t="shared" si="82"/>
        <v>0000</v>
      </c>
      <c r="DI4" s="27" t="str">
        <f t="shared" si="83"/>
        <v>1101</v>
      </c>
      <c r="DJ4" s="27" t="str">
        <f t="shared" si="84"/>
        <v>1000</v>
      </c>
      <c r="DK4" s="27" t="str">
        <f t="shared" si="85"/>
        <v>0010</v>
      </c>
      <c r="DL4" s="77">
        <f>BIN2DEC(DD4)-BIN2DEC(DD5)</f>
        <v>-12</v>
      </c>
      <c r="DM4" s="77">
        <f t="shared" ref="DM4:DR4" si="177">BIN2DEC(DE4)-BIN2DEC(DE5)</f>
        <v>-9</v>
      </c>
      <c r="DN4" s="77">
        <f t="shared" si="177"/>
        <v>-7</v>
      </c>
      <c r="DO4" s="77">
        <f t="shared" si="177"/>
        <v>12</v>
      </c>
      <c r="DP4" s="77">
        <f t="shared" si="177"/>
        <v>-9</v>
      </c>
      <c r="DQ4" s="77">
        <f t="shared" si="177"/>
        <v>0</v>
      </c>
      <c r="DR4" s="77">
        <f t="shared" si="177"/>
        <v>-2</v>
      </c>
      <c r="DS4" s="77">
        <f>BIN2DEC(DK4)-BIN2DEC(DK5)</f>
        <v>-13</v>
      </c>
      <c r="DT4" s="26" t="str">
        <f t="shared" si="12"/>
        <v>0000010001000100</v>
      </c>
      <c r="DU4" s="26" t="str">
        <f t="shared" si="13"/>
        <v>0000010000000000</v>
      </c>
      <c r="DV4" s="77">
        <f>MID(DT4,16,1)*POWER(2,0)+MID(DT4,15,1)*POWER(2,1)+MID(DT4,14,1)*POWER(2,2)+MID(DT4,13,1)*POWER(2,3)+MID(DT4,12,1)*POWER(2,4)+MID(DT4,11,1)*POWER(2,5)+MID(DT4,10,1)*POWER(2,6)+MID(DT4,9,1)*POWER(2,7)+MID(DT4,8,1)*POWER(2,8)+MID(DT4,7,1)*POWER(2,9)+MID(DT4,6,1)*POWER(2,10)+MID(DT4,5,1)*POWER(2,11)+MID(DT4,4,1)*POWER(2,12)+MID(DT4,3,1)*POWER(2,13)+MID(DT4,2,1)*POWER(2,14)+MID(DT4,1,1)*POWER(2,15)-(MID(DT5,16,1)*POWER(2,0)+MID(DT5,15,1)*POWER(2,1)+MID(DT5,14,1)*POWER(2,2)+MID(DT5,13,1)*POWER(2,3)+MID(DT5,12,1)*POWER(2,4)+MID(DT5,11,1)*POWER(2,5)+MID(DT5,10,1)*POWER(2,6)+MID(DT5,9,1)*POWER(2,7)+MID(DT5,8,1)*POWER(2,8)+MID(DT5,7,1)*POWER(2,9)+MID(DT5,6,1)*POWER(2,10)+MID(DT5,5,1)*POWER(2,11)+MID(DT5,4,1)*POWER(2,12)+MID(DT5,3,1)*POWER(2,13)+MID(DT5,2,1)*POWER(2,14)+MID(DT5,1,1)*POWER(2,15))</f>
        <v>-16380</v>
      </c>
      <c r="DW4" s="77">
        <f>MID(DU4,16,1)*POWER(2,0)+MID(DU4,15,1)*POWER(2,1)+MID(DU4,14,1)*POWER(2,2)+MID(DU4,13,1)*POWER(2,3)+MID(DU4,12,1)*POWER(2,4)+MID(DU4,11,1)*POWER(2,5)+MID(DU4,10,1)*POWER(2,6)+MID(DU4,9,1)*POWER(2,7)+MID(DU4,8,1)*POWER(2,8)+MID(DU4,7,1)*POWER(2,9)+MID(DU4,6,1)*POWER(2,10)+MID(DU4,5,1)*POWER(2,11)+MID(DU4,4,1)*POWER(2,12)+MID(DU4,3,1)*POWER(2,13)+MID(DU4,2,1)*POWER(2,14)+MID(DU4,1,1)*POWER(2,15)-(MID(DU5,16,1)*POWER(2,0)+MID(DU5,15,1)*POWER(2,1)+MID(DU5,14,1)*POWER(2,2)+MID(DU5,13,1)*POWER(2,3)+MID(DU5,12,1)*POWER(2,4)+MID(DU5,11,1)*POWER(2,5)+MID(DU5,10,1)*POWER(2,6)+MID(DU5,9,1)*POWER(2,7)+MID(DU5,8,1)*POWER(2,8)+MID(DU5,7,1)*POWER(2,9)+MID(DU5,6,1)*POWER(2,10)+MID(DU5,5,1)*POWER(2,11)+MID(DU5,4,1)*POWER(2,12)+MID(DU5,3,1)*POWER(2,13)+MID(DU5,2,1)*POWER(2,14)+MID(DU5,1,1)*POWER(2,15))</f>
        <v>-36</v>
      </c>
      <c r="DX4" s="22" t="str">
        <f>CONCATENATE(MID($H4,1,1)*MID($K4,1,1),MID($H4,2,1)*MID($K4,2,1),MID($H4,3,1)*MID($K4,3,1),MID($H4,4,1)*MID($K4,4,1),MID($H4,5,1)*MID($K4,5,1),MID($H4,6,1)*MID($K4,6,1),MID($H4,7,1)*MID($K4,7,1),MID($H4,8,1)*MID($K4,8,1),MID($H4,9,1)*MID($K4,1,1),MID($H4,10,1)*MID($K4,2,1),MID($H4,11,1)*MID($K4,3,1),MID($H4,12,1)*MID($K4,4,1),MID($H4,13,1)*MID($K4,5,1),MID($H4,14,1)*MID($K4,6,1),MID($H4,15,1)*MID($K4,7,1),MID($H4,16,1)*MID($K4,8,1),MID($H4,17,1)*MID($K4,1,1),MID($H4,18,1)*MID($K4,2,1),MID($H4,19,1)*MID($K4,3,1),MID($H4,20,1)*MID($K4,4,1),MID($H4,21,1)*MID($K4,5,1),MID($H4,22,1)*MID($K4,6,1),MID($H4,23,1)*MID($K4,7,1),MID($H4,24,1)*MID($K4,8,1),MID($H4,25,1)*MID($K4,1,1),MID($H4,26,1)*MID($K4,2,1),MID($H4,27,1)*MID($K4,3,1),MID($H4,28,1)*MID($K4,4,1),MID($H4,29,1)*MID($K4,5,1),MID($H4,30,1)*MID($K4,6,1),MID($H4,31,1)*MID($K4,7,1),MID($H4,32,1)*MID($K4,8,1))</f>
        <v>00000100000000000000010001000100</v>
      </c>
      <c r="DY4" s="43" t="str">
        <f>L4</f>
        <v>00000100010111000000110110000010</v>
      </c>
      <c r="DZ4" s="26" t="str">
        <f t="shared" ref="DZ4:DZ41" si="178">MID(DY4,1,8)</f>
        <v>00000100</v>
      </c>
      <c r="EA4" s="26" t="str">
        <f t="shared" si="86"/>
        <v>01011100</v>
      </c>
      <c r="EB4" s="26" t="str">
        <f t="shared" si="87"/>
        <v>00001101</v>
      </c>
      <c r="EC4" s="26" t="str">
        <f t="shared" si="88"/>
        <v>10000010</v>
      </c>
      <c r="ED4" s="77">
        <f>BIN2DEC(DZ4)-BIN2DEC(DZ5)</f>
        <v>3</v>
      </c>
      <c r="EE4" s="77">
        <f>BIN2DEC(EA4)-BIN2DEC(EA5)</f>
        <v>92</v>
      </c>
      <c r="EF4" s="77">
        <f>BIN2DEC(EB4)-BIN2DEC(EB5)</f>
        <v>12</v>
      </c>
      <c r="EG4" s="77">
        <f>BIN2DEC(EC4)-BIN2DEC(EC5)</f>
        <v>95</v>
      </c>
      <c r="EH4" s="27" t="str">
        <f t="shared" si="89"/>
        <v>0000</v>
      </c>
      <c r="EI4" s="27" t="str">
        <f t="shared" si="90"/>
        <v>0100</v>
      </c>
      <c r="EJ4" s="27" t="str">
        <f t="shared" si="91"/>
        <v>0101</v>
      </c>
      <c r="EK4" s="27" t="str">
        <f t="shared" si="92"/>
        <v>1100</v>
      </c>
      <c r="EL4" s="27" t="str">
        <f t="shared" si="93"/>
        <v>0000</v>
      </c>
      <c r="EM4" s="27" t="str">
        <f t="shared" si="94"/>
        <v>1101</v>
      </c>
      <c r="EN4" s="27" t="str">
        <f t="shared" si="95"/>
        <v>1000</v>
      </c>
      <c r="EO4" s="27" t="str">
        <f t="shared" si="96"/>
        <v>0010</v>
      </c>
      <c r="EP4" s="77">
        <f>BIN2DEC(EH4)-BIN2DEC(EH5)</f>
        <v>-12</v>
      </c>
      <c r="EQ4" s="77">
        <f t="shared" ref="EQ4:EV4" si="179">BIN2DEC(EI4)-BIN2DEC(EI5)</f>
        <v>-9</v>
      </c>
      <c r="ER4" s="77">
        <f t="shared" si="179"/>
        <v>-7</v>
      </c>
      <c r="ES4" s="77">
        <f t="shared" si="179"/>
        <v>12</v>
      </c>
      <c r="ET4" s="77">
        <f t="shared" si="179"/>
        <v>-9</v>
      </c>
      <c r="EU4" s="77">
        <f t="shared" si="179"/>
        <v>0</v>
      </c>
      <c r="EV4" s="77">
        <f t="shared" si="179"/>
        <v>-2</v>
      </c>
      <c r="EW4" s="77">
        <f>BIN2DEC(EO4)-BIN2DEC(EO5)</f>
        <v>-13</v>
      </c>
      <c r="EX4" s="26" t="str">
        <f t="shared" si="15"/>
        <v>0000010001011100</v>
      </c>
      <c r="EY4" s="26" t="str">
        <f t="shared" si="16"/>
        <v>0000110110000010</v>
      </c>
      <c r="EZ4" s="77">
        <f>MID(EX4,16,1)*POWER(2,0)+MID(EX4,15,1)*POWER(2,1)+MID(EX4,14,1)*POWER(2,2)+MID(EX4,13,1)*POWER(2,3)+MID(EX4,12,1)*POWER(2,4)+MID(EX4,11,1)*POWER(2,5)+MID(EX4,10,1)*POWER(2,6)+MID(EX4,9,1)*POWER(2,7)+MID(EX4,8,1)*POWER(2,8)+MID(EX4,7,1)*POWER(2,9)+MID(EX4,6,1)*POWER(2,10)+MID(EX4,5,1)*POWER(2,11)+MID(EX4,4,1)*POWER(2,12)+MID(EX4,3,1)*POWER(2,13)+MID(EX4,2,1)*POWER(2,14)+MID(EX4,1,1)*POWER(2,15)-(MID(EX5,16,1)*POWER(2,0)+MID(EX5,15,1)*POWER(2,1)+MID(EX5,14,1)*POWER(2,2)+MID(EX5,13,1)*POWER(2,3)+MID(EX5,12,1)*POWER(2,4)+MID(EX5,11,1)*POWER(2,5)+MID(EX5,10,1)*POWER(2,6)+MID(EX5,9,1)*POWER(2,7)+MID(EX5,8,1)*POWER(2,8)+MID(EX5,7,1)*POWER(2,9)+MID(EX5,6,1)*POWER(2,10)+MID(EX5,5,1)*POWER(2,11)+MID(EX5,4,1)*POWER(2,12)+MID(EX5,3,1)*POWER(2,13)+MID(EX5,2,1)*POWER(2,14)+MID(EX5,1,1)*POWER(2,15))</f>
        <v>860</v>
      </c>
      <c r="FA4" s="77">
        <f>MID(EY4,16,1)*POWER(2,0)+MID(EY4,15,1)*POWER(2,1)+MID(EY4,14,1)*POWER(2,2)+MID(EY4,13,1)*POWER(2,3)+MID(EY4,12,1)*POWER(2,4)+MID(EY4,11,1)*POWER(2,5)+MID(EY4,10,1)*POWER(2,6)+MID(EY4,9,1)*POWER(2,7)+MID(EY4,8,1)*POWER(2,8)+MID(EY4,7,1)*POWER(2,9)+MID(EY4,6,1)*POWER(2,10)+MID(EY4,5,1)*POWER(2,11)+MID(EY4,4,1)*POWER(2,12)+MID(EY4,3,1)*POWER(2,13)+MID(EY4,2,1)*POWER(2,14)+MID(EY4,1,1)*POWER(2,15)-(MID(EY5,16,1)*POWER(2,0)+MID(EY5,15,1)*POWER(2,1)+MID(EY5,14,1)*POWER(2,2)+MID(EY5,13,1)*POWER(2,3)+MID(EY5,12,1)*POWER(2,4)+MID(EY5,11,1)*POWER(2,5)+MID(EY5,10,1)*POWER(2,6)+MID(EY5,9,1)*POWER(2,7)+MID(EY5,8,1)*POWER(2,8)+MID(EY5,7,1)*POWER(2,9)+MID(EY5,6,1)*POWER(2,10)+MID(EY5,5,1)*POWER(2,11)+MID(EY5,4,1)*POWER(2,12)+MID(EY5,3,1)*POWER(2,13)+MID(EY5,2,1)*POWER(2,14)+MID(EY5,1,1)*POWER(2,15))</f>
        <v>3167</v>
      </c>
      <c r="FB4" s="45" t="str">
        <f>L4</f>
        <v>00000100010111000000110110000010</v>
      </c>
      <c r="FC4" s="26" t="str">
        <f t="shared" ref="FC4:FC41" si="180">MID(FB4,1,8)</f>
        <v>00000100</v>
      </c>
      <c r="FD4" s="26" t="str">
        <f t="shared" si="97"/>
        <v>01011100</v>
      </c>
      <c r="FE4" s="26" t="str">
        <f t="shared" si="98"/>
        <v>00001101</v>
      </c>
      <c r="FF4" s="26" t="str">
        <f t="shared" si="99"/>
        <v>10000010</v>
      </c>
      <c r="FG4" s="77">
        <f>BIN2DEC(FC4)-BIN2DEC(FC5)</f>
        <v>4</v>
      </c>
      <c r="FH4" s="77">
        <f>BIN2DEC(FD4)-BIN2DEC(FD5)</f>
        <v>92</v>
      </c>
      <c r="FI4" s="77">
        <f>BIN2DEC(FE4)-BIN2DEC(FE5)</f>
        <v>13</v>
      </c>
      <c r="FJ4" s="77">
        <f>BIN2DEC(FF4)-BIN2DEC(FF5)</f>
        <v>98</v>
      </c>
      <c r="FK4" s="27" t="str">
        <f t="shared" si="100"/>
        <v>0000</v>
      </c>
      <c r="FL4" s="27" t="str">
        <f t="shared" si="101"/>
        <v>0100</v>
      </c>
      <c r="FM4" s="27" t="str">
        <f t="shared" si="102"/>
        <v>0101</v>
      </c>
      <c r="FN4" s="27" t="str">
        <f t="shared" si="103"/>
        <v>1100</v>
      </c>
      <c r="FO4" s="27" t="str">
        <f t="shared" si="104"/>
        <v>0000</v>
      </c>
      <c r="FP4" s="27" t="str">
        <f t="shared" si="105"/>
        <v>1101</v>
      </c>
      <c r="FQ4" s="27" t="str">
        <f t="shared" si="106"/>
        <v>1000</v>
      </c>
      <c r="FR4" s="27" t="str">
        <f t="shared" si="107"/>
        <v>0010</v>
      </c>
      <c r="FS4" s="77">
        <f>BIN2DEC(FK4)-BIN2DEC(FK5)</f>
        <v>-12</v>
      </c>
      <c r="FT4" s="77">
        <f t="shared" ref="FT4:FY4" si="181">BIN2DEC(FL4)-BIN2DEC(FL5)</f>
        <v>-9</v>
      </c>
      <c r="FU4" s="77">
        <f t="shared" si="181"/>
        <v>-7</v>
      </c>
      <c r="FV4" s="77">
        <f t="shared" si="181"/>
        <v>12</v>
      </c>
      <c r="FW4" s="77">
        <f t="shared" si="181"/>
        <v>-9</v>
      </c>
      <c r="FX4" s="77">
        <f t="shared" si="181"/>
        <v>0</v>
      </c>
      <c r="FY4" s="77">
        <f t="shared" si="181"/>
        <v>-2</v>
      </c>
      <c r="FZ4" s="77">
        <f>BIN2DEC(FR4)-BIN2DEC(FR5)</f>
        <v>-13</v>
      </c>
      <c r="GA4" s="26" t="str">
        <f t="shared" si="18"/>
        <v>0000010001011100</v>
      </c>
      <c r="GB4" s="26" t="str">
        <f t="shared" si="19"/>
        <v>0000110110000010</v>
      </c>
      <c r="GC4" s="77">
        <f>MID(GA4,16,1)*POWER(2,0)+MID(GA4,15,1)*POWER(2,1)+MID(GA4,14,1)*POWER(2,2)+MID(GA4,13,1)*POWER(2,3)+MID(GA4,12,1)*POWER(2,4)+MID(GA4,11,1)*POWER(2,5)+MID(GA4,10,1)*POWER(2,6)+MID(GA4,9,1)*POWER(2,7)+MID(GA4,8,1)*POWER(2,8)+MID(GA4,7,1)*POWER(2,9)+MID(GA4,6,1)*POWER(2,10)+MID(GA4,5,1)*POWER(2,11)+MID(GA4,4,1)*POWER(2,12)+MID(GA4,3,1)*POWER(2,13)+MID(GA4,2,1)*POWER(2,14)+MID(GA4,1,1)*POWER(2,15)-(MID(GA5,16,1)*POWER(2,0)+MID(GA5,15,1)*POWER(2,1)+MID(GA5,14,1)*POWER(2,2)+MID(GA5,13,1)*POWER(2,3)+MID(GA5,12,1)*POWER(2,4)+MID(GA5,11,1)*POWER(2,5)+MID(GA5,10,1)*POWER(2,6)+MID(GA5,9,1)*POWER(2,7)+MID(GA5,8,1)*POWER(2,8)+MID(GA5,7,1)*POWER(2,9)+MID(GA5,6,1)*POWER(2,10)+MID(GA5,5,1)*POWER(2,11)+MID(GA5,4,1)*POWER(2,12)+MID(GA5,3,1)*POWER(2,13)+MID(GA5,2,1)*POWER(2,14)+MID(GA5,1,1)*POWER(2,15))</f>
        <v>1116</v>
      </c>
      <c r="GD4" s="77">
        <f>MID(GB4,16,1)*POWER(2,0)+MID(GB4,15,1)*POWER(2,1)+MID(GB4,14,1)*POWER(2,2)+MID(GB4,13,1)*POWER(2,3)+MID(GB4,12,1)*POWER(2,4)+MID(GB4,11,1)*POWER(2,5)+MID(GB4,10,1)*POWER(2,6)+MID(GB4,9,1)*POWER(2,7)+MID(GB4,8,1)*POWER(2,8)+MID(GB4,7,1)*POWER(2,9)+MID(GB4,6,1)*POWER(2,10)+MID(GB4,5,1)*POWER(2,11)+MID(GB4,4,1)*POWER(2,12)+MID(GB4,3,1)*POWER(2,13)+MID(GB4,2,1)*POWER(2,14)+MID(GB4,1,1)*POWER(2,15)-(MID(GB5,16,1)*POWER(2,0)+MID(GB5,15,1)*POWER(2,1)+MID(GB5,14,1)*POWER(2,2)+MID(GB5,13,1)*POWER(2,3)+MID(GB5,12,1)*POWER(2,4)+MID(GB5,11,1)*POWER(2,5)+MID(GB5,10,1)*POWER(2,6)+MID(GB5,9,1)*POWER(2,7)+MID(GB5,8,1)*POWER(2,8)+MID(GB5,7,1)*POWER(2,9)+MID(GB5,6,1)*POWER(2,10)+MID(GB5,5,1)*POWER(2,11)+MID(GB5,4,1)*POWER(2,12)+MID(GB5,3,1)*POWER(2,13)+MID(GB5,2,1)*POWER(2,14)+MID(GB5,1,1)*POWER(2,15))</f>
        <v>3426</v>
      </c>
      <c r="GE4" s="47" t="str">
        <f>CU4</f>
        <v>00000100010001000000010000000000</v>
      </c>
      <c r="GF4" s="26" t="str">
        <f t="shared" ref="GF4:GF41" si="182">MID(GE4,1,8)</f>
        <v>00000100</v>
      </c>
      <c r="GG4" s="26" t="str">
        <f t="shared" si="108"/>
        <v>01000100</v>
      </c>
      <c r="GH4" s="26" t="str">
        <f t="shared" si="109"/>
        <v>00000100</v>
      </c>
      <c r="GI4" s="26" t="str">
        <f t="shared" si="110"/>
        <v>00000000</v>
      </c>
      <c r="GJ4" s="77">
        <f>BIN2DEC(GF4)-BIN2DEC(GF5)</f>
        <v>3</v>
      </c>
      <c r="GK4" s="77">
        <f>BIN2DEC(GG4)-BIN2DEC(GG5)</f>
        <v>68</v>
      </c>
      <c r="GL4" s="77">
        <f>BIN2DEC(GH4)-BIN2DEC(GH5)</f>
        <v>3</v>
      </c>
      <c r="GM4" s="77">
        <f>BIN2DEC(GI4)-BIN2DEC(GI5)</f>
        <v>-35</v>
      </c>
      <c r="GN4" s="27" t="str">
        <f t="shared" si="111"/>
        <v>0000</v>
      </c>
      <c r="GO4" s="27" t="str">
        <f t="shared" si="112"/>
        <v>0100</v>
      </c>
      <c r="GP4" s="27" t="str">
        <f t="shared" si="113"/>
        <v>0101</v>
      </c>
      <c r="GQ4" s="27" t="str">
        <f t="shared" si="114"/>
        <v>1100</v>
      </c>
      <c r="GR4" s="27" t="str">
        <f t="shared" si="115"/>
        <v>0000</v>
      </c>
      <c r="GS4" s="27" t="str">
        <f t="shared" si="116"/>
        <v>1101</v>
      </c>
      <c r="GT4" s="27" t="str">
        <f t="shared" si="117"/>
        <v>1000</v>
      </c>
      <c r="GU4" s="27" t="str">
        <f t="shared" si="118"/>
        <v>0010</v>
      </c>
      <c r="GV4" s="77">
        <f>BIN2DEC(GN4)-BIN2DEC(GN5)</f>
        <v>-12</v>
      </c>
      <c r="GW4" s="77">
        <f t="shared" ref="GW4:HB4" si="183">BIN2DEC(GO4)-BIN2DEC(GO5)</f>
        <v>-9</v>
      </c>
      <c r="GX4" s="77">
        <f t="shared" si="183"/>
        <v>-7</v>
      </c>
      <c r="GY4" s="77">
        <f t="shared" si="183"/>
        <v>12</v>
      </c>
      <c r="GZ4" s="77">
        <f t="shared" si="183"/>
        <v>-9</v>
      </c>
      <c r="HA4" s="77">
        <f t="shared" si="183"/>
        <v>0</v>
      </c>
      <c r="HB4" s="77">
        <f t="shared" si="183"/>
        <v>-2</v>
      </c>
      <c r="HC4" s="77">
        <f>BIN2DEC(GU4)-BIN2DEC(GU5)</f>
        <v>-13</v>
      </c>
      <c r="HD4" s="26" t="str">
        <f t="shared" si="21"/>
        <v>0000010001000100</v>
      </c>
      <c r="HE4" s="26" t="str">
        <f t="shared" si="22"/>
        <v>0000010000000000</v>
      </c>
      <c r="HF4" s="77">
        <f>MID(HD4,16,1)*POWER(2,0)+MID(HD4,15,1)*POWER(2,1)+MID(HD4,14,1)*POWER(2,2)+MID(HD4,13,1)*POWER(2,3)+MID(HD4,12,1)*POWER(2,4)+MID(HD4,11,1)*POWER(2,5)+MID(HD4,10,1)*POWER(2,6)+MID(HD4,9,1)*POWER(2,7)+MID(HD4,8,1)*POWER(2,8)+MID(HD4,7,1)*POWER(2,9)+MID(HD4,6,1)*POWER(2,10)+MID(HD4,5,1)*POWER(2,11)+MID(HD4,4,1)*POWER(2,12)+MID(HD4,3,1)*POWER(2,13)+MID(HD4,2,1)*POWER(2,14)+MID(HD4,1,1)*POWER(2,15)-(MID(HD5,16,1)*POWER(2,0)+MID(HD5,15,1)*POWER(2,1)+MID(HD5,14,1)*POWER(2,2)+MID(HD5,13,1)*POWER(2,3)+MID(HD5,12,1)*POWER(2,4)+MID(HD5,11,1)*POWER(2,5)+MID(HD5,10,1)*POWER(2,6)+MID(HD5,9,1)*POWER(2,7)+MID(HD5,8,1)*POWER(2,8)+MID(HD5,7,1)*POWER(2,9)+MID(HD5,6,1)*POWER(2,10)+MID(HD5,5,1)*POWER(2,11)+MID(HD5,4,1)*POWER(2,12)+MID(HD5,3,1)*POWER(2,13)+MID(HD5,2,1)*POWER(2,14)+MID(HD5,1,1)*POWER(2,15))</f>
        <v>836</v>
      </c>
      <c r="HG4" s="77">
        <f>MID(HE4,16,1)*POWER(2,0)+MID(HE4,15,1)*POWER(2,1)+MID(HE4,14,1)*POWER(2,2)+MID(HE4,13,1)*POWER(2,3)+MID(HE4,12,1)*POWER(2,4)+MID(HE4,11,1)*POWER(2,5)+MID(HE4,10,1)*POWER(2,6)+MID(HE4,9,1)*POWER(2,7)+MID(HE4,8,1)*POWER(2,8)+MID(HE4,7,1)*POWER(2,9)+MID(HE4,6,1)*POWER(2,10)+MID(HE4,5,1)*POWER(2,11)+MID(HE4,4,1)*POWER(2,12)+MID(HE4,3,1)*POWER(2,13)+MID(HE4,2,1)*POWER(2,14)+MID(HE4,1,1)*POWER(2,15)-(MID(HE5,16,1)*POWER(2,0)+MID(HE5,15,1)*POWER(2,1)+MID(HE5,14,1)*POWER(2,2)+MID(HE5,13,1)*POWER(2,3)+MID(HE5,12,1)*POWER(2,4)+MID(HE5,11,1)*POWER(2,5)+MID(HE5,10,1)*POWER(2,6)+MID(HE5,9,1)*POWER(2,7)+MID(HE5,8,1)*POWER(2,8)+MID(HE5,7,1)*POWER(2,9)+MID(HE5,6,1)*POWER(2,10)+MID(HE5,5,1)*POWER(2,11)+MID(HE5,4,1)*POWER(2,12)+MID(HE5,3,1)*POWER(2,13)+MID(HE5,2,1)*POWER(2,14)+MID(HE5,1,1)*POWER(2,15))</f>
        <v>733</v>
      </c>
      <c r="HH4" s="43" t="str">
        <f>CONCATENATE(MID(DX4,17,16),MID(DX4,1,16))</f>
        <v>00000100010001000000010000000000</v>
      </c>
      <c r="HI4" s="26" t="str">
        <f t="shared" ref="HI4:HI41" si="184">MID(HH4,1,8)</f>
        <v>00000100</v>
      </c>
      <c r="HJ4" s="26" t="str">
        <f t="shared" si="119"/>
        <v>01000100</v>
      </c>
      <c r="HK4" s="26" t="str">
        <f t="shared" si="120"/>
        <v>00000100</v>
      </c>
      <c r="HL4" s="26" t="str">
        <f t="shared" si="121"/>
        <v>00000000</v>
      </c>
      <c r="HM4" s="77">
        <f>BIN2DEC(HI4)-BIN2DEC(HI5)</f>
        <v>4</v>
      </c>
      <c r="HN4" s="77">
        <f>BIN2DEC(HJ4)-BIN2DEC(HJ5)</f>
        <v>68</v>
      </c>
      <c r="HO4" s="77">
        <f>BIN2DEC(HK4)-BIN2DEC(HK5)</f>
        <v>4</v>
      </c>
      <c r="HP4" s="77">
        <f>BIN2DEC(HL4)-BIN2DEC(HL5)</f>
        <v>-32</v>
      </c>
      <c r="HQ4" s="27" t="str">
        <f t="shared" si="122"/>
        <v>0000</v>
      </c>
      <c r="HR4" s="27" t="str">
        <f t="shared" si="123"/>
        <v>0100</v>
      </c>
      <c r="HS4" s="27" t="str">
        <f t="shared" si="124"/>
        <v>0101</v>
      </c>
      <c r="HT4" s="27" t="str">
        <f t="shared" si="125"/>
        <v>1100</v>
      </c>
      <c r="HU4" s="27" t="str">
        <f t="shared" si="126"/>
        <v>0000</v>
      </c>
      <c r="HV4" s="27" t="str">
        <f t="shared" si="127"/>
        <v>1101</v>
      </c>
      <c r="HW4" s="27" t="str">
        <f t="shared" si="128"/>
        <v>1000</v>
      </c>
      <c r="HX4" s="27" t="str">
        <f t="shared" si="129"/>
        <v>0010</v>
      </c>
      <c r="HY4" s="77">
        <f>BIN2DEC(HQ4)-BIN2DEC(HQ5)</f>
        <v>-12</v>
      </c>
      <c r="HZ4" s="77">
        <f t="shared" ref="HZ4:IE4" si="185">BIN2DEC(HR4)-BIN2DEC(HR5)</f>
        <v>-9</v>
      </c>
      <c r="IA4" s="77">
        <f t="shared" si="185"/>
        <v>-7</v>
      </c>
      <c r="IB4" s="77">
        <f t="shared" si="185"/>
        <v>12</v>
      </c>
      <c r="IC4" s="77">
        <f t="shared" si="185"/>
        <v>-9</v>
      </c>
      <c r="ID4" s="77">
        <f t="shared" si="185"/>
        <v>0</v>
      </c>
      <c r="IE4" s="77">
        <f t="shared" si="185"/>
        <v>-2</v>
      </c>
      <c r="IF4" s="77">
        <f>BIN2DEC(HX4)-BIN2DEC(HX5)</f>
        <v>-13</v>
      </c>
      <c r="IG4" s="26" t="str">
        <f t="shared" si="24"/>
        <v>0000010001000100</v>
      </c>
      <c r="IH4" s="26" t="str">
        <f t="shared" si="25"/>
        <v>0000010000000000</v>
      </c>
      <c r="II4" s="77">
        <f>MID(IG4,16,1)*POWER(2,0)+MID(IG4,15,1)*POWER(2,1)+MID(IG4,14,1)*POWER(2,2)+MID(IG4,13,1)*POWER(2,3)+MID(IG4,12,1)*POWER(2,4)+MID(IG4,11,1)*POWER(2,5)+MID(IG4,10,1)*POWER(2,6)+MID(IG4,9,1)*POWER(2,7)+MID(IG4,8,1)*POWER(2,8)+MID(IG4,7,1)*POWER(2,9)+MID(IG4,6,1)*POWER(2,10)+MID(IG4,5,1)*POWER(2,11)+MID(IG4,4,1)*POWER(2,12)+MID(IG4,3,1)*POWER(2,13)+MID(IG4,2,1)*POWER(2,14)+MID(IG4,1,1)*POWER(2,15)-(MID(IG5,16,1)*POWER(2,0)+MID(IG5,15,1)*POWER(2,1)+MID(IG5,14,1)*POWER(2,2)+MID(IG5,13,1)*POWER(2,3)+MID(IG5,12,1)*POWER(2,4)+MID(IG5,11,1)*POWER(2,5)+MID(IG5,10,1)*POWER(2,6)+MID(IG5,9,1)*POWER(2,7)+MID(IG5,8,1)*POWER(2,8)+MID(IG5,7,1)*POWER(2,9)+MID(IG5,6,1)*POWER(2,10)+MID(IG5,5,1)*POWER(2,11)+MID(IG5,4,1)*POWER(2,12)+MID(IG5,3,1)*POWER(2,13)+MID(IG5,2,1)*POWER(2,14)+MID(IG5,1,1)*POWER(2,15))</f>
        <v>1092</v>
      </c>
      <c r="IJ4" s="77">
        <f>MID(IH4,16,1)*POWER(2,0)+MID(IH4,15,1)*POWER(2,1)+MID(IH4,14,1)*POWER(2,2)+MID(IH4,13,1)*POWER(2,3)+MID(IH4,12,1)*POWER(2,4)+MID(IH4,11,1)*POWER(2,5)+MID(IH4,10,1)*POWER(2,6)+MID(IH4,9,1)*POWER(2,7)+MID(IH4,8,1)*POWER(2,8)+MID(IH4,7,1)*POWER(2,9)+MID(IH4,6,1)*POWER(2,10)+MID(IH4,5,1)*POWER(2,11)+MID(IH4,4,1)*POWER(2,12)+MID(IH4,3,1)*POWER(2,13)+MID(IH4,2,1)*POWER(2,14)+MID(IH4,1,1)*POWER(2,15)-(MID(IH5,16,1)*POWER(2,0)+MID(IH5,15,1)*POWER(2,1)+MID(IH5,14,1)*POWER(2,2)+MID(IH5,13,1)*POWER(2,3)+MID(IH5,12,1)*POWER(2,4)+MID(IH5,11,1)*POWER(2,5)+MID(IH5,10,1)*POWER(2,6)+MID(IH5,9,1)*POWER(2,7)+MID(IH5,8,1)*POWER(2,8)+MID(IH5,7,1)*POWER(2,9)+MID(IH5,6,1)*POWER(2,10)+MID(IH5,5,1)*POWER(2,11)+MID(IH5,4,1)*POWER(2,12)+MID(IH5,3,1)*POWER(2,13)+MID(IH5,2,1)*POWER(2,14)+MID(IH5,1,1)*POWER(2,15))</f>
        <v>992</v>
      </c>
      <c r="IK4" s="43" t="str">
        <f>HH4</f>
        <v>00000100010001000000010000000000</v>
      </c>
      <c r="IL4" s="26" t="str">
        <f t="shared" ref="IL4:IL41" si="186">MID(IK4,1,8)</f>
        <v>00000100</v>
      </c>
      <c r="IM4" s="26" t="str">
        <f t="shared" si="130"/>
        <v>01000100</v>
      </c>
      <c r="IN4" s="26" t="str">
        <f t="shared" si="131"/>
        <v>00000100</v>
      </c>
      <c r="IO4" s="26" t="str">
        <f t="shared" si="132"/>
        <v>00000000</v>
      </c>
      <c r="IP4" s="77">
        <f>BIN2DEC(IL4)-BIN2DEC(IL5)</f>
        <v>-201</v>
      </c>
      <c r="IQ4" s="77">
        <f>BIN2DEC(IM4)-BIN2DEC(IM5)</f>
        <v>-124</v>
      </c>
      <c r="IR4" s="77">
        <f>BIN2DEC(IN4)-BIN2DEC(IN5)</f>
        <v>-153</v>
      </c>
      <c r="IS4" s="77">
        <f>BIN2DEC(IO4)-BIN2DEC(IO5)</f>
        <v>-175</v>
      </c>
      <c r="IT4" s="27" t="str">
        <f t="shared" si="133"/>
        <v>0000</v>
      </c>
      <c r="IU4" s="27" t="str">
        <f t="shared" si="134"/>
        <v>0100</v>
      </c>
      <c r="IV4" s="27" t="str">
        <f t="shared" si="135"/>
        <v>0101</v>
      </c>
      <c r="IW4" s="27" t="str">
        <f t="shared" si="136"/>
        <v>1100</v>
      </c>
      <c r="IX4" s="27" t="str">
        <f t="shared" si="137"/>
        <v>0000</v>
      </c>
      <c r="IY4" s="27" t="str">
        <f t="shared" si="138"/>
        <v>1101</v>
      </c>
      <c r="IZ4" s="27" t="str">
        <f t="shared" si="139"/>
        <v>1000</v>
      </c>
      <c r="JA4" s="27" t="str">
        <f t="shared" si="140"/>
        <v>0010</v>
      </c>
      <c r="JB4" s="77">
        <f t="shared" ref="JB4:JI4" si="187">BIN2DEC(IT4)-BIN2DEC(IT5)</f>
        <v>-12</v>
      </c>
      <c r="JC4" s="77">
        <f t="shared" si="187"/>
        <v>-9</v>
      </c>
      <c r="JD4" s="77">
        <f t="shared" si="187"/>
        <v>-7</v>
      </c>
      <c r="JE4" s="77">
        <f t="shared" si="187"/>
        <v>12</v>
      </c>
      <c r="JF4" s="77">
        <f t="shared" si="187"/>
        <v>-9</v>
      </c>
      <c r="JG4" s="77">
        <f t="shared" si="187"/>
        <v>0</v>
      </c>
      <c r="JH4" s="77">
        <f t="shared" si="187"/>
        <v>-2</v>
      </c>
      <c r="JI4" s="77">
        <f t="shared" si="187"/>
        <v>-13</v>
      </c>
      <c r="JJ4" s="26" t="str">
        <f t="shared" si="27"/>
        <v>0000010001000100</v>
      </c>
      <c r="JK4" s="26" t="str">
        <f t="shared" si="28"/>
        <v>0000010000000000</v>
      </c>
      <c r="JL4" s="77">
        <f>MID(JJ4,16,1)*POWER(2,0)+MID(JJ4,15,1)*POWER(2,1)+MID(JJ4,14,1)*POWER(2,2)+MID(JJ4,13,1)*POWER(2,3)+MID(JJ4,12,1)*POWER(2,4)+MID(JJ4,11,1)*POWER(2,5)+MID(JJ4,10,1)*POWER(2,6)+MID(JJ4,9,1)*POWER(2,7)+MID(JJ4,8,1)*POWER(2,8)+MID(JJ4,7,1)*POWER(2,9)+MID(JJ4,6,1)*POWER(2,10)+MID(JJ4,5,1)*POWER(2,11)+MID(JJ4,4,1)*POWER(2,12)+MID(JJ4,3,1)*POWER(2,13)+MID(JJ4,2,1)*POWER(2,14)+MID(JJ4,1,1)*POWER(2,15)-(MID(JJ5,16,1)*POWER(2,0)+MID(JJ5,15,1)*POWER(2,1)+MID(JJ5,14,1)*POWER(2,2)+MID(JJ5,13,1)*POWER(2,3)+MID(JJ5,12,1)*POWER(2,4)+MID(JJ5,11,1)*POWER(2,5)+MID(JJ5,10,1)*POWER(2,6)+MID(JJ5,9,1)*POWER(2,7)+MID(JJ5,8,1)*POWER(2,8)+MID(JJ5,7,1)*POWER(2,9)+MID(JJ5,6,1)*POWER(2,10)+MID(JJ5,5,1)*POWER(2,11)+MID(JJ5,4,1)*POWER(2,12)+MID(JJ5,3,1)*POWER(2,13)+MID(JJ5,2,1)*POWER(2,14)+MID(JJ5,1,1)*POWER(2,15))</f>
        <v>-51580</v>
      </c>
      <c r="JM4" s="77">
        <f>MID(JK4,16,1)*POWER(2,0)+MID(JK4,15,1)*POWER(2,1)+MID(JK4,14,1)*POWER(2,2)+MID(JK4,13,1)*POWER(2,3)+MID(JK4,12,1)*POWER(2,4)+MID(JK4,11,1)*POWER(2,5)+MID(JK4,10,1)*POWER(2,6)+MID(JK4,9,1)*POWER(2,7)+MID(JK4,8,1)*POWER(2,8)+MID(JK4,7,1)*POWER(2,9)+MID(JK4,6,1)*POWER(2,10)+MID(JK4,5,1)*POWER(2,11)+MID(JK4,4,1)*POWER(2,12)+MID(JK4,3,1)*POWER(2,13)+MID(JK4,2,1)*POWER(2,14)+MID(JK4,1,1)*POWER(2,15)-(MID(JK5,16,1)*POWER(2,0)+MID(JK5,15,1)*POWER(2,1)+MID(JK5,14,1)*POWER(2,2)+MID(JK5,13,1)*POWER(2,3)+MID(JK5,12,1)*POWER(2,4)+MID(JK5,11,1)*POWER(2,5)+MID(JK5,10,1)*POWER(2,6)+MID(JK5,9,1)*POWER(2,7)+MID(JK5,8,1)*POWER(2,8)+MID(JK5,7,1)*POWER(2,9)+MID(JK5,6,1)*POWER(2,10)+MID(JK5,5,1)*POWER(2,11)+MID(JK5,4,1)*POWER(2,12)+MID(JK5,3,1)*POWER(2,13)+MID(JK5,2,1)*POWER(2,14)+MID(JK5,1,1)*POWER(2,15))</f>
        <v>-39343</v>
      </c>
      <c r="JN4" s="45" t="str">
        <f>CONCATENATE(MID(IK4,1,1)*MID($K4,1,1),MID(IK4,2,1)*MID($K4,2,1),MID(IK4,3,1)*MID($K4,3,1),MID(IK4,4,1)*MID($K4,4,1),MID(IK4,5,1)*MID($K4,5,1),MID(IK4,6,1)*MID($K4,6,1),MID(IK4,7,1)*MID($K4,7,1),MID(IK4,8,1)*MID($K4,8,1),MID(IK4,9,1)*MID($K4,1,1),MID(IK4,10,1)*MID($K4,2,1),MID(IK4,11,1)*MID($K4,3,1),MID(IK4,12,1)*MID($K4,4,1),MID(IK4,13,1)*MID($K4,5,1),MID(IK4,14,1)*MID($K4,6,1),MID(IK4,15,1)*MID($K4,7,1),MID(IK4,16,1)*MID($K4,8,1),MID(IK4,17,1)*MID($K4,1,1),MID(IK4,18,1)*MID($K4,2,1),MID(IK4,19,1)*MID($K4,3,1),MID(IK4,20,1)*MID($K4,4,1),MID(IK4,21,1)*MID($K4,5,1),MID(IK4,22,1)*MID($K4,6,1),MID(IK4,23,1)*MID($K4,7,1),MID(IK4,24,1)*MID($K4,8,1),MID(IK4,25,1)*MID($K4,1,1),MID(IK4,26,1)*MID($K4,2,1),MID(IK4,27,1)*MID($K4,3,1),MID(IK4,28,1)*MID($K4,4,1),MID(IK4,29,1)*MID($K4,5,1),MID(IK4,30,1)*MID($K4,6,1),MID(IK4,31,1)*MID($K4,7,1),MID(IK4,32,1)*MID($K4,8,1))</f>
        <v>00000100010001000000010000000000</v>
      </c>
      <c r="JO4" s="26" t="str">
        <f t="shared" ref="JO4:JO41" si="188">MID(JN4,1,8)</f>
        <v>00000100</v>
      </c>
      <c r="JP4" s="26" t="str">
        <f t="shared" si="141"/>
        <v>01000100</v>
      </c>
      <c r="JQ4" s="26" t="str">
        <f t="shared" si="142"/>
        <v>00000100</v>
      </c>
      <c r="JR4" s="26" t="str">
        <f t="shared" si="143"/>
        <v>00000000</v>
      </c>
      <c r="JS4" s="77">
        <f>BIN2DEC(JO4)-BIN2DEC(JO5)</f>
        <v>-201</v>
      </c>
      <c r="JT4" s="77">
        <f>BIN2DEC(JP4)-BIN2DEC(JP5)</f>
        <v>-124</v>
      </c>
      <c r="JU4" s="77">
        <f>BIN2DEC(JQ4)-BIN2DEC(JQ5)</f>
        <v>-153</v>
      </c>
      <c r="JV4" s="77">
        <f>BIN2DEC(JR4)-BIN2DEC(JR5)</f>
        <v>-175</v>
      </c>
      <c r="JW4" s="27" t="str">
        <f t="shared" si="144"/>
        <v>0000</v>
      </c>
      <c r="JX4" s="27" t="str">
        <f t="shared" si="145"/>
        <v>0100</v>
      </c>
      <c r="JY4" s="27" t="str">
        <f t="shared" si="146"/>
        <v>0101</v>
      </c>
      <c r="JZ4" s="27" t="str">
        <f t="shared" si="147"/>
        <v>1100</v>
      </c>
      <c r="KA4" s="27" t="str">
        <f t="shared" si="148"/>
        <v>0000</v>
      </c>
      <c r="KB4" s="27" t="str">
        <f t="shared" si="149"/>
        <v>1101</v>
      </c>
      <c r="KC4" s="27" t="str">
        <f t="shared" si="150"/>
        <v>1000</v>
      </c>
      <c r="KD4" s="27" t="str">
        <f t="shared" si="151"/>
        <v>0010</v>
      </c>
      <c r="KE4" s="77">
        <f t="shared" ref="KE4:KL4" si="189">BIN2DEC(JW4)-BIN2DEC(JW5)</f>
        <v>-12</v>
      </c>
      <c r="KF4" s="77">
        <f t="shared" si="189"/>
        <v>-9</v>
      </c>
      <c r="KG4" s="77">
        <f t="shared" si="189"/>
        <v>-7</v>
      </c>
      <c r="KH4" s="77">
        <f t="shared" si="189"/>
        <v>12</v>
      </c>
      <c r="KI4" s="77">
        <f t="shared" si="189"/>
        <v>-9</v>
      </c>
      <c r="KJ4" s="77">
        <f t="shared" si="189"/>
        <v>0</v>
      </c>
      <c r="KK4" s="77">
        <f t="shared" si="189"/>
        <v>-2</v>
      </c>
      <c r="KL4" s="77">
        <f t="shared" si="189"/>
        <v>-13</v>
      </c>
      <c r="KM4" s="26" t="str">
        <f t="shared" si="30"/>
        <v>0000010001000100</v>
      </c>
      <c r="KN4" s="26" t="str">
        <f t="shared" si="31"/>
        <v>0000010000000000</v>
      </c>
      <c r="KO4" s="77">
        <f>MID(KM4,16,1)*POWER(2,0)+MID(KM4,15,1)*POWER(2,1)+MID(KM4,14,1)*POWER(2,2)+MID(KM4,13,1)*POWER(2,3)+MID(KM4,12,1)*POWER(2,4)+MID(KM4,11,1)*POWER(2,5)+MID(KM4,10,1)*POWER(2,6)+MID(KM4,9,1)*POWER(2,7)+MID(KM4,8,1)*POWER(2,8)+MID(KM4,7,1)*POWER(2,9)+MID(KM4,6,1)*POWER(2,10)+MID(KM4,5,1)*POWER(2,11)+MID(KM4,4,1)*POWER(2,12)+MID(KM4,3,1)*POWER(2,13)+MID(KM4,2,1)*POWER(2,14)+MID(KM4,1,1)*POWER(2,15)-(MID(KM5,16,1)*POWER(2,0)+MID(KM5,15,1)*POWER(2,1)+MID(KM5,14,1)*POWER(2,2)+MID(KM5,13,1)*POWER(2,3)+MID(KM5,12,1)*POWER(2,4)+MID(KM5,11,1)*POWER(2,5)+MID(KM5,10,1)*POWER(2,6)+MID(KM5,9,1)*POWER(2,7)+MID(KM5,8,1)*POWER(2,8)+MID(KM5,7,1)*POWER(2,9)+MID(KM5,6,1)*POWER(2,10)+MID(KM5,5,1)*POWER(2,11)+MID(KM5,4,1)*POWER(2,12)+MID(KM5,3,1)*POWER(2,13)+MID(KM5,2,1)*POWER(2,14)+MID(KM5,1,1)*POWER(2,15))</f>
        <v>-51580</v>
      </c>
      <c r="KP4" s="77">
        <f>MID(KN4,16,1)*POWER(2,0)+MID(KN4,15,1)*POWER(2,1)+MID(KN4,14,1)*POWER(2,2)+MID(KN4,13,1)*POWER(2,3)+MID(KN4,12,1)*POWER(2,4)+MID(KN4,11,1)*POWER(2,5)+MID(KN4,10,1)*POWER(2,6)+MID(KN4,9,1)*POWER(2,7)+MID(KN4,8,1)*POWER(2,8)+MID(KN4,7,1)*POWER(2,9)+MID(KN4,6,1)*POWER(2,10)+MID(KN4,5,1)*POWER(2,11)+MID(KN4,4,1)*POWER(2,12)+MID(KN4,3,1)*POWER(2,13)+MID(KN4,2,1)*POWER(2,14)+MID(KN4,1,1)*POWER(2,15)-(MID(KN5,16,1)*POWER(2,0)+MID(KN5,15,1)*POWER(2,1)+MID(KN5,14,1)*POWER(2,2)+MID(KN5,13,1)*POWER(2,3)+MID(KN5,12,1)*POWER(2,4)+MID(KN5,11,1)*POWER(2,5)+MID(KN5,10,1)*POWER(2,6)+MID(KN5,9,1)*POWER(2,7)+MID(KN5,8,1)*POWER(2,8)+MID(KN5,7,1)*POWER(2,9)+MID(KN5,6,1)*POWER(2,10)+MID(KN5,5,1)*POWER(2,11)+MID(KN5,4,1)*POWER(2,12)+MID(KN5,3,1)*POWER(2,13)+MID(KN5,2,1)*POWER(2,14)+MID(KN5,1,1)*POWER(2,15))</f>
        <v>-39343</v>
      </c>
      <c r="KQ4" s="47" t="str">
        <f>IK4</f>
        <v>00000100010001000000010000000000</v>
      </c>
      <c r="KR4" s="26" t="str">
        <f t="shared" ref="KR4:KR41" si="190">MID(KQ4,1,8)</f>
        <v>00000100</v>
      </c>
      <c r="KS4" s="26" t="str">
        <f t="shared" si="152"/>
        <v>01000100</v>
      </c>
      <c r="KT4" s="26" t="str">
        <f t="shared" si="153"/>
        <v>00000100</v>
      </c>
      <c r="KU4" s="26" t="str">
        <f t="shared" si="154"/>
        <v>00000000</v>
      </c>
      <c r="KV4" s="77">
        <f>BIN2DEC(KR4)-BIN2DEC(KR5)</f>
        <v>-64</v>
      </c>
      <c r="KW4" s="77">
        <f>BIN2DEC(KS4)-BIN2DEC(KS5)</f>
        <v>4</v>
      </c>
      <c r="KX4" s="77">
        <f>BIN2DEC(KT4)-BIN2DEC(KT5)</f>
        <v>0</v>
      </c>
      <c r="KY4" s="77">
        <f>BIN2DEC(KU4)-BIN2DEC(KU5)</f>
        <v>-36</v>
      </c>
      <c r="KZ4" s="27" t="str">
        <f t="shared" si="155"/>
        <v>0000</v>
      </c>
      <c r="LA4" s="27" t="str">
        <f t="shared" si="156"/>
        <v>0100</v>
      </c>
      <c r="LB4" s="27" t="str">
        <f t="shared" si="157"/>
        <v>0101</v>
      </c>
      <c r="LC4" s="27" t="str">
        <f t="shared" si="158"/>
        <v>1100</v>
      </c>
      <c r="LD4" s="27" t="str">
        <f t="shared" si="159"/>
        <v>0000</v>
      </c>
      <c r="LE4" s="27" t="str">
        <f t="shared" si="160"/>
        <v>1101</v>
      </c>
      <c r="LF4" s="27" t="str">
        <f t="shared" si="161"/>
        <v>1000</v>
      </c>
      <c r="LG4" s="27" t="str">
        <f t="shared" si="162"/>
        <v>0010</v>
      </c>
      <c r="LH4" s="77">
        <f t="shared" ref="LH4:LO4" si="191">BIN2DEC(KZ4)-BIN2DEC(KZ5)</f>
        <v>-12</v>
      </c>
      <c r="LI4" s="77">
        <f t="shared" si="191"/>
        <v>-9</v>
      </c>
      <c r="LJ4" s="77">
        <f t="shared" si="191"/>
        <v>-7</v>
      </c>
      <c r="LK4" s="77">
        <f t="shared" si="191"/>
        <v>12</v>
      </c>
      <c r="LL4" s="77">
        <f t="shared" si="191"/>
        <v>-9</v>
      </c>
      <c r="LM4" s="77">
        <f t="shared" si="191"/>
        <v>0</v>
      </c>
      <c r="LN4" s="77">
        <f t="shared" si="191"/>
        <v>-2</v>
      </c>
      <c r="LO4" s="77">
        <f t="shared" si="191"/>
        <v>-13</v>
      </c>
      <c r="LP4" s="26" t="str">
        <f t="shared" si="33"/>
        <v>0000010001000100</v>
      </c>
      <c r="LQ4" s="26" t="str">
        <f t="shared" si="34"/>
        <v>0000010000000000</v>
      </c>
      <c r="LR4" s="77">
        <f>MID(LP4,16,1)*POWER(2,0)+MID(LP4,15,1)*POWER(2,1)+MID(LP4,14,1)*POWER(2,2)+MID(LP4,13,1)*POWER(2,3)+MID(LP4,12,1)*POWER(2,4)+MID(LP4,11,1)*POWER(2,5)+MID(LP4,10,1)*POWER(2,6)+MID(LP4,9,1)*POWER(2,7)+MID(LP4,8,1)*POWER(2,8)+MID(LP4,7,1)*POWER(2,9)+MID(LP4,6,1)*POWER(2,10)+MID(LP4,5,1)*POWER(2,11)+MID(LP4,4,1)*POWER(2,12)+MID(LP4,3,1)*POWER(2,13)+MID(LP4,2,1)*POWER(2,14)+MID(LP4,1,1)*POWER(2,15)-(MID(LP5,16,1)*POWER(2,0)+MID(LP5,15,1)*POWER(2,1)+MID(LP5,14,1)*POWER(2,2)+MID(LP5,13,1)*POWER(2,3)+MID(LP5,12,1)*POWER(2,4)+MID(LP5,11,1)*POWER(2,5)+MID(LP5,10,1)*POWER(2,6)+MID(LP5,9,1)*POWER(2,7)+MID(LP5,8,1)*POWER(2,8)+MID(LP5,7,1)*POWER(2,9)+MID(LP5,6,1)*POWER(2,10)+MID(LP5,5,1)*POWER(2,11)+MID(LP5,4,1)*POWER(2,12)+MID(LP5,3,1)*POWER(2,13)+MID(LP5,2,1)*POWER(2,14)+MID(LP5,1,1)*POWER(2,15))</f>
        <v>-16380</v>
      </c>
      <c r="LS4" s="77">
        <f>MID(LQ4,16,1)*POWER(2,0)+MID(LQ4,15,1)*POWER(2,1)+MID(LQ4,14,1)*POWER(2,2)+MID(LQ4,13,1)*POWER(2,3)+MID(LQ4,12,1)*POWER(2,4)+MID(LQ4,11,1)*POWER(2,5)+MID(LQ4,10,1)*POWER(2,6)+MID(LQ4,9,1)*POWER(2,7)+MID(LQ4,8,1)*POWER(2,8)+MID(LQ4,7,1)*POWER(2,9)+MID(LQ4,6,1)*POWER(2,10)+MID(LQ4,5,1)*POWER(2,11)+MID(LQ4,4,1)*POWER(2,12)+MID(LQ4,3,1)*POWER(2,13)+MID(LQ4,2,1)*POWER(2,14)+MID(LQ4,1,1)*POWER(2,15)-(MID(LQ5,16,1)*POWER(2,0)+MID(LQ5,15,1)*POWER(2,1)+MID(LQ5,14,1)*POWER(2,2)+MID(LQ5,13,1)*POWER(2,3)+MID(LQ5,12,1)*POWER(2,4)+MID(LQ5,11,1)*POWER(2,5)+MID(LQ5,10,1)*POWER(2,6)+MID(LQ5,9,1)*POWER(2,7)+MID(LQ5,8,1)*POWER(2,8)+MID(LQ5,7,1)*POWER(2,9)+MID(LQ5,6,1)*POWER(2,10)+MID(LQ5,5,1)*POWER(2,11)+MID(LQ5,4,1)*POWER(2,12)+MID(LQ5,3,1)*POWER(2,13)+MID(LQ5,2,1)*POWER(2,14)+MID(LQ5,1,1)*POWER(2,15))</f>
        <v>-36</v>
      </c>
      <c r="LT4" s="43" t="str">
        <f>JN4</f>
        <v>00000100010001000000010000000000</v>
      </c>
      <c r="LU4" s="26" t="str">
        <f t="shared" ref="LU4:LU41" si="192">MID(LT4,1,8)</f>
        <v>00000100</v>
      </c>
      <c r="LV4" s="26" t="str">
        <f t="shared" si="163"/>
        <v>01000100</v>
      </c>
      <c r="LW4" s="26" t="str">
        <f t="shared" si="164"/>
        <v>00000100</v>
      </c>
      <c r="LX4" s="26" t="str">
        <f t="shared" si="165"/>
        <v>00000000</v>
      </c>
      <c r="LY4" s="77">
        <f>BIN2DEC(LU4)-BIN2DEC(LU5)</f>
        <v>3</v>
      </c>
      <c r="LZ4" s="77">
        <f>BIN2DEC(LV4)-BIN2DEC(LV5)</f>
        <v>68</v>
      </c>
      <c r="MA4" s="77">
        <f>BIN2DEC(LW4)-BIN2DEC(LW5)</f>
        <v>3</v>
      </c>
      <c r="MB4" s="77">
        <f>BIN2DEC(LX4)-BIN2DEC(LX5)</f>
        <v>-35</v>
      </c>
      <c r="MC4" s="27" t="str">
        <f t="shared" si="166"/>
        <v>0000</v>
      </c>
      <c r="MD4" s="27" t="str">
        <f t="shared" si="167"/>
        <v>0100</v>
      </c>
      <c r="ME4" s="27" t="str">
        <f t="shared" si="168"/>
        <v>0101</v>
      </c>
      <c r="MF4" s="27" t="str">
        <f t="shared" si="169"/>
        <v>1100</v>
      </c>
      <c r="MG4" s="27" t="str">
        <f t="shared" si="170"/>
        <v>0000</v>
      </c>
      <c r="MH4" s="27" t="str">
        <f t="shared" si="171"/>
        <v>1101</v>
      </c>
      <c r="MI4" s="27" t="str">
        <f t="shared" si="172"/>
        <v>1000</v>
      </c>
      <c r="MJ4" s="27" t="str">
        <f t="shared" si="173"/>
        <v>0010</v>
      </c>
      <c r="MK4" s="77">
        <f t="shared" ref="MK4:MR4" si="193">BIN2DEC(MC4)-BIN2DEC(MC5)</f>
        <v>-12</v>
      </c>
      <c r="ML4" s="77">
        <f t="shared" si="193"/>
        <v>-9</v>
      </c>
      <c r="MM4" s="77">
        <f t="shared" si="193"/>
        <v>-7</v>
      </c>
      <c r="MN4" s="77">
        <f t="shared" si="193"/>
        <v>12</v>
      </c>
      <c r="MO4" s="77">
        <f t="shared" si="193"/>
        <v>-9</v>
      </c>
      <c r="MP4" s="77">
        <f t="shared" si="193"/>
        <v>0</v>
      </c>
      <c r="MQ4" s="77">
        <f t="shared" si="193"/>
        <v>-2</v>
      </c>
      <c r="MR4" s="77">
        <f t="shared" si="193"/>
        <v>-13</v>
      </c>
      <c r="MS4" s="26" t="str">
        <f t="shared" si="36"/>
        <v>0000010001000100</v>
      </c>
      <c r="MT4" s="26" t="str">
        <f t="shared" si="37"/>
        <v>0000010000000000</v>
      </c>
      <c r="MU4" s="77">
        <f>MID(MS4,16,1)*POWER(2,0)+MID(MS4,15,1)*POWER(2,1)+MID(MS4,14,1)*POWER(2,2)+MID(MS4,13,1)*POWER(2,3)+MID(MS4,12,1)*POWER(2,4)+MID(MS4,11,1)*POWER(2,5)+MID(MS4,10,1)*POWER(2,6)+MID(MS4,9,1)*POWER(2,7)+MID(MS4,8,1)*POWER(2,8)+MID(MS4,7,1)*POWER(2,9)+MID(MS4,6,1)*POWER(2,10)+MID(MS4,5,1)*POWER(2,11)+MID(MS4,4,1)*POWER(2,12)+MID(MS4,3,1)*POWER(2,13)+MID(MS4,2,1)*POWER(2,14)+MID(MS4,1,1)*POWER(2,15)-(MID(MS5,16,1)*POWER(2,0)+MID(MS5,15,1)*POWER(2,1)+MID(MS5,14,1)*POWER(2,2)+MID(MS5,13,1)*POWER(2,3)+MID(MS5,12,1)*POWER(2,4)+MID(MS5,11,1)*POWER(2,5)+MID(MS5,10,1)*POWER(2,6)+MID(MS5,9,1)*POWER(2,7)+MID(MS5,8,1)*POWER(2,8)+MID(MS5,7,1)*POWER(2,9)+MID(MS5,6,1)*POWER(2,10)+MID(MS5,5,1)*POWER(2,11)+MID(MS5,4,1)*POWER(2,12)+MID(MS5,3,1)*POWER(2,13)+MID(MS5,2,1)*POWER(2,14)+MID(MS5,1,1)*POWER(2,15))</f>
        <v>836</v>
      </c>
      <c r="MV4" s="77">
        <f>MID(MT4,16,1)*POWER(2,0)+MID(MT4,15,1)*POWER(2,1)+MID(MT4,14,1)*POWER(2,2)+MID(MT4,13,1)*POWER(2,3)+MID(MT4,12,1)*POWER(2,4)+MID(MT4,11,1)*POWER(2,5)+MID(MT4,10,1)*POWER(2,6)+MID(MT4,9,1)*POWER(2,7)+MID(MT4,8,1)*POWER(2,8)+MID(MT4,7,1)*POWER(2,9)+MID(MT4,6,1)*POWER(2,10)+MID(MT4,5,1)*POWER(2,11)+MID(MT4,4,1)*POWER(2,12)+MID(MT4,3,1)*POWER(2,13)+MID(MT4,2,1)*POWER(2,14)+MID(MT4,1,1)*POWER(2,15)-(MID(MT5,16,1)*POWER(2,0)+MID(MT5,15,1)*POWER(2,1)+MID(MT5,14,1)*POWER(2,2)+MID(MT5,13,1)*POWER(2,3)+MID(MT5,12,1)*POWER(2,4)+MID(MT5,11,1)*POWER(2,5)+MID(MT5,10,1)*POWER(2,6)+MID(MT5,9,1)*POWER(2,7)+MID(MT5,8,1)*POWER(2,8)+MID(MT5,7,1)*POWER(2,9)+MID(MT5,6,1)*POWER(2,10)+MID(MT5,5,1)*POWER(2,11)+MID(MT5,4,1)*POWER(2,12)+MID(MT5,3,1)*POWER(2,13)+MID(MT5,2,1)*POWER(2,14)+MID(MT5,1,1)*POWER(2,15))</f>
        <v>733</v>
      </c>
    </row>
    <row r="5" spans="1:360" s="31" customFormat="1" ht="18.600000000000001" thickBot="1" x14ac:dyDescent="0.4">
      <c r="A5" s="28"/>
      <c r="B5" s="29"/>
      <c r="C5" s="21" t="s">
        <v>6</v>
      </c>
      <c r="D5" s="21">
        <v>19</v>
      </c>
      <c r="E5" s="21" t="s">
        <v>11</v>
      </c>
      <c r="F5" s="21" t="s">
        <v>62</v>
      </c>
      <c r="G5" s="21" t="s">
        <v>24</v>
      </c>
      <c r="H5" s="21" t="str">
        <f t="shared" si="0"/>
        <v>00011001101110001111001110110101</v>
      </c>
      <c r="I5" s="21">
        <f t="shared" si="1"/>
        <v>18</v>
      </c>
      <c r="J5" s="21"/>
      <c r="K5" s="21"/>
      <c r="L5" s="44" t="str">
        <f>CONCATENATE(MID(H5,4,5),MID(H5,25,3),MID(H5,12,5),MID(H5,1,3),MID(H5,20,5),MID(H5,9,3),MID(H5,28,5),MID(H5,17,3))</f>
        <v>11001101110000001001110110101111</v>
      </c>
      <c r="M5" s="26" t="str">
        <f t="shared" si="38"/>
        <v>11001</v>
      </c>
      <c r="N5" s="26" t="str">
        <f t="shared" si="39"/>
        <v>11000</v>
      </c>
      <c r="O5" s="26" t="str">
        <f t="shared" si="40"/>
        <v>10011</v>
      </c>
      <c r="P5" s="26" t="str">
        <f t="shared" si="41"/>
        <v>10101</v>
      </c>
      <c r="Q5" s="78"/>
      <c r="R5" s="78"/>
      <c r="S5" s="78"/>
      <c r="T5" s="78"/>
      <c r="U5" s="31" t="str">
        <f t="shared" si="42"/>
        <v>1100</v>
      </c>
      <c r="V5" s="31" t="str">
        <f t="shared" si="43"/>
        <v>1101</v>
      </c>
      <c r="W5" s="31" t="str">
        <f t="shared" si="44"/>
        <v>1100</v>
      </c>
      <c r="X5" s="31" t="str">
        <f t="shared" si="45"/>
        <v>0000</v>
      </c>
      <c r="Y5" s="31" t="str">
        <f t="shared" si="46"/>
        <v>1001</v>
      </c>
      <c r="Z5" s="31" t="str">
        <f t="shared" si="47"/>
        <v>1101</v>
      </c>
      <c r="AA5" s="31" t="str">
        <f t="shared" si="48"/>
        <v>1010</v>
      </c>
      <c r="AB5" s="31" t="str">
        <f t="shared" si="49"/>
        <v>1111</v>
      </c>
      <c r="AC5" s="78"/>
      <c r="AD5" s="78"/>
      <c r="AE5" s="78"/>
      <c r="AF5" s="78"/>
      <c r="AG5" s="78"/>
      <c r="AH5" s="78"/>
      <c r="AI5" s="78"/>
      <c r="AJ5" s="78"/>
      <c r="AK5" s="30" t="str">
        <f t="shared" si="3"/>
        <v>1100110111000000</v>
      </c>
      <c r="AL5" s="30" t="str">
        <f t="shared" si="4"/>
        <v>1001110110101111</v>
      </c>
      <c r="AM5" s="78"/>
      <c r="AN5" s="78"/>
      <c r="AO5" s="46" t="str">
        <f>CONCATENATE(MID($L5,1,1)*MID($K4,1,1),MID($L5,2,1)*MID($K4,2,1),MID($L5,3,1)*MID($K4,3,1),MID($L5,4,1)*MID($K4,4,1),MID($L5,5,1)*MID($K4,5,1),MID($L5,6,1)*MID($K4,6,1),MID($L5,7,1)*MID($K4,7,1),MID($L5,8,1)*MID($K4,8,1),MID($L5,9,1)*MID($K4,1,1),MID($L5,10,1)*MID($K4,2,1),MID($L5,11,1)*MID($K4,3,1),MID($L5,12,1)*MID($K4,4,1),MID($L5,13,1)*MID($K4,5,1),MID($L5,14,1)*MID($K4,6,1),MID($L5,15,1)*MID($K4,7,1),MID($L5,16,1)*MID($K4,8,1),MID($L5,17,1)*MID($K4,1,1),MID($L5,18,1)*MID($K4,2,1),MID($L5,19,1)*MID($K4,3,1),MID($L5,20,1)*MID($K4,4,1),MID($L5,21,1)*MID($K4,5,1),MID($L5,22,1)*MID($K4,6,1),MID($L5,23,1)*MID($K4,7,1),MID($L5,24,1)*MID($K4,8,1),MID($L5,25,1)*MID($K4,1,1),MID($L5,26,1)*MID($K4,2,1),MID($L5,27,1)*MID($K4,3,1),MID($L5,28,1)*MID($K4,4,1),MID($L5,29,1)*MID($K4,5,1),MID($L5,30,1)*MID($K4,6,1),MID($L5,31,1)*MID($K4,7,1),MID($L5,32,1)*MID($K4,8,1))</f>
        <v>01000100010000000000010000100100</v>
      </c>
      <c r="AP5" s="30" t="str">
        <f t="shared" si="50"/>
        <v>01000100</v>
      </c>
      <c r="AQ5" s="30" t="str">
        <f t="shared" si="51"/>
        <v>01000000</v>
      </c>
      <c r="AR5" s="30" t="str">
        <f t="shared" si="52"/>
        <v>00000100</v>
      </c>
      <c r="AS5" s="30" t="str">
        <f t="shared" si="53"/>
        <v>00100100</v>
      </c>
      <c r="AT5" s="78"/>
      <c r="AU5" s="78"/>
      <c r="AV5" s="78"/>
      <c r="AW5" s="78"/>
      <c r="AX5" s="31" t="str">
        <f t="shared" si="54"/>
        <v>1100</v>
      </c>
      <c r="AY5" s="31" t="str">
        <f t="shared" si="55"/>
        <v>1101</v>
      </c>
      <c r="AZ5" s="31" t="str">
        <f t="shared" si="56"/>
        <v>1100</v>
      </c>
      <c r="BA5" s="31" t="str">
        <f t="shared" si="57"/>
        <v>0000</v>
      </c>
      <c r="BB5" s="31" t="str">
        <f t="shared" si="58"/>
        <v>1001</v>
      </c>
      <c r="BC5" s="31" t="str">
        <f t="shared" si="59"/>
        <v>1101</v>
      </c>
      <c r="BD5" s="31" t="str">
        <f t="shared" si="60"/>
        <v>1010</v>
      </c>
      <c r="BE5" s="31" t="str">
        <f t="shared" si="61"/>
        <v>1111</v>
      </c>
      <c r="BF5" s="78"/>
      <c r="BG5" s="78"/>
      <c r="BH5" s="78"/>
      <c r="BI5" s="78"/>
      <c r="BJ5" s="78"/>
      <c r="BK5" s="78"/>
      <c r="BL5" s="78"/>
      <c r="BM5" s="78"/>
      <c r="BN5" s="30" t="str">
        <f t="shared" si="6"/>
        <v>0100010001000000</v>
      </c>
      <c r="BO5" s="30" t="str">
        <f t="shared" si="7"/>
        <v>0000010000100100</v>
      </c>
      <c r="BP5" s="78"/>
      <c r="BQ5" s="78"/>
      <c r="BR5" s="46" t="str">
        <f>L5</f>
        <v>11001101110000001001110110101111</v>
      </c>
      <c r="BS5" s="30" t="str">
        <f t="shared" si="62"/>
        <v>11001101</v>
      </c>
      <c r="BT5" s="30" t="str">
        <f t="shared" si="63"/>
        <v>11000000</v>
      </c>
      <c r="BU5" s="30" t="str">
        <f t="shared" si="64"/>
        <v>10011101</v>
      </c>
      <c r="BV5" s="30" t="str">
        <f t="shared" si="65"/>
        <v>10101111</v>
      </c>
      <c r="BW5" s="78"/>
      <c r="BX5" s="78"/>
      <c r="BY5" s="78"/>
      <c r="BZ5" s="78"/>
      <c r="CA5" s="31" t="str">
        <f t="shared" si="66"/>
        <v>1100</v>
      </c>
      <c r="CB5" s="31" t="str">
        <f t="shared" si="67"/>
        <v>1101</v>
      </c>
      <c r="CC5" s="31" t="str">
        <f t="shared" si="68"/>
        <v>1100</v>
      </c>
      <c r="CD5" s="31" t="str">
        <f t="shared" si="69"/>
        <v>0000</v>
      </c>
      <c r="CE5" s="31" t="str">
        <f t="shared" si="70"/>
        <v>1001</v>
      </c>
      <c r="CF5" s="31" t="str">
        <f t="shared" si="71"/>
        <v>1101</v>
      </c>
      <c r="CG5" s="31" t="str">
        <f t="shared" si="72"/>
        <v>1010</v>
      </c>
      <c r="CH5" s="31" t="str">
        <f t="shared" si="73"/>
        <v>1111</v>
      </c>
      <c r="CI5" s="78"/>
      <c r="CJ5" s="78"/>
      <c r="CK5" s="78"/>
      <c r="CL5" s="78"/>
      <c r="CM5" s="78"/>
      <c r="CN5" s="78"/>
      <c r="CO5" s="78"/>
      <c r="CP5" s="78"/>
      <c r="CQ5" s="30" t="str">
        <f t="shared" si="9"/>
        <v>1100110111000000</v>
      </c>
      <c r="CR5" s="30" t="str">
        <f t="shared" si="10"/>
        <v>1001110110101111</v>
      </c>
      <c r="CS5" s="78"/>
      <c r="CT5" s="78"/>
      <c r="CU5" s="46" t="str">
        <f>AO5</f>
        <v>01000100010000000000010000100100</v>
      </c>
      <c r="CV5" s="30" t="str">
        <f t="shared" si="74"/>
        <v>01000100</v>
      </c>
      <c r="CW5" s="30" t="str">
        <f t="shared" si="75"/>
        <v>01000000</v>
      </c>
      <c r="CX5" s="30" t="str">
        <f t="shared" si="76"/>
        <v>00000100</v>
      </c>
      <c r="CY5" s="30" t="str">
        <f t="shared" si="77"/>
        <v>00100100</v>
      </c>
      <c r="CZ5" s="78"/>
      <c r="DA5" s="78"/>
      <c r="DB5" s="78"/>
      <c r="DC5" s="78"/>
      <c r="DD5" s="31" t="str">
        <f t="shared" si="78"/>
        <v>1100</v>
      </c>
      <c r="DE5" s="31" t="str">
        <f t="shared" si="79"/>
        <v>1101</v>
      </c>
      <c r="DF5" s="31" t="str">
        <f t="shared" si="80"/>
        <v>1100</v>
      </c>
      <c r="DG5" s="31" t="str">
        <f t="shared" si="81"/>
        <v>0000</v>
      </c>
      <c r="DH5" s="31" t="str">
        <f t="shared" si="82"/>
        <v>1001</v>
      </c>
      <c r="DI5" s="31" t="str">
        <f t="shared" si="83"/>
        <v>1101</v>
      </c>
      <c r="DJ5" s="31" t="str">
        <f t="shared" si="84"/>
        <v>1010</v>
      </c>
      <c r="DK5" s="31" t="str">
        <f t="shared" si="85"/>
        <v>1111</v>
      </c>
      <c r="DL5" s="78"/>
      <c r="DM5" s="78"/>
      <c r="DN5" s="78"/>
      <c r="DO5" s="78"/>
      <c r="DP5" s="78"/>
      <c r="DQ5" s="78"/>
      <c r="DR5" s="78"/>
      <c r="DS5" s="78"/>
      <c r="DT5" s="30" t="str">
        <f t="shared" si="12"/>
        <v>0100010001000000</v>
      </c>
      <c r="DU5" s="30" t="str">
        <f t="shared" si="13"/>
        <v>0000010000100100</v>
      </c>
      <c r="DV5" s="78"/>
      <c r="DW5" s="78"/>
      <c r="DX5" s="23" t="str">
        <f>CONCATENATE(MID($H5,1,1)*MID($K4,1,1),MID($H5,2,1)*MID($K4,2,1),MID($H5,3,1)*MID($K4,3,1),MID($H5,4,1)*MID($K4,4,1),MID($H5,5,1)*MID($K4,5,1),MID($H5,6,1)*MID($K4,6,1),MID($H5,7,1)*MID($K4,7,1),MID($H5,8,1)*MID($K4,8,1),MID($H5,9,1)*MID($K4,1,1),MID($H5,10,1)*MID($K4,2,1),MID($H5,11,1)*MID($K4,3,1),MID($H5,12,1)*MID($K4,4,1),MID($H5,13,1)*MID($K4,5,1),MID($H5,14,1)*MID($K4,6,1),MID($H5,15,1)*MID($K4,7,1),MID($H5,16,1)*MID($K4,8,1),MID($H5,17,1)*MID($K4,1,1),MID($H5,18,1)*MID($K4,2,1),MID($H5,19,1)*MID($K4,3,1),MID($H5,20,1)*MID($K4,4,1),MID($H5,21,1)*MID($K4,5,1),MID($H5,22,1)*MID($K4,6,1),MID($H5,23,1)*MID($K4,7,1),MID($H5,24,1)*MID($K4,8,1),MID($H5,25,1)*MID($K4,1,1),MID($H5,26,1)*MID($K4,2,1),MID($H5,27,1)*MID($K4,3,1),MID($H5,28,1)*MID($K4,4,1),MID($H5,29,1)*MID($K4,5,1),MID($H5,30,1)*MID($K4,6,1),MID($H5,31,1)*MID($K4,7,1),MID($H5,32,1)*MID($K4,8,1))</f>
        <v>00000000001000000110000000100100</v>
      </c>
      <c r="DY5" s="44" t="str">
        <f>CONCATENATE(MID(DX5,4,5),MID(DX5,25,3),MID(DX5,12,5),MID(DX5,1,3),MID(DX5,20,5),MID(DX5,9,3),MID(DX5,28,5),MID(DX5,17,3))</f>
        <v>00000001000000000000000100100011</v>
      </c>
      <c r="DZ5" s="30" t="str">
        <f t="shared" si="178"/>
        <v>00000001</v>
      </c>
      <c r="EA5" s="30" t="str">
        <f t="shared" si="86"/>
        <v>00000000</v>
      </c>
      <c r="EB5" s="30" t="str">
        <f t="shared" si="87"/>
        <v>00000001</v>
      </c>
      <c r="EC5" s="30" t="str">
        <f t="shared" si="88"/>
        <v>00100011</v>
      </c>
      <c r="ED5" s="78"/>
      <c r="EE5" s="78"/>
      <c r="EF5" s="78"/>
      <c r="EG5" s="78"/>
      <c r="EH5" s="31" t="str">
        <f t="shared" si="89"/>
        <v>1100</v>
      </c>
      <c r="EI5" s="31" t="str">
        <f t="shared" si="90"/>
        <v>1101</v>
      </c>
      <c r="EJ5" s="31" t="str">
        <f t="shared" si="91"/>
        <v>1100</v>
      </c>
      <c r="EK5" s="31" t="str">
        <f t="shared" si="92"/>
        <v>0000</v>
      </c>
      <c r="EL5" s="31" t="str">
        <f t="shared" si="93"/>
        <v>1001</v>
      </c>
      <c r="EM5" s="31" t="str">
        <f t="shared" si="94"/>
        <v>1101</v>
      </c>
      <c r="EN5" s="31" t="str">
        <f t="shared" si="95"/>
        <v>1010</v>
      </c>
      <c r="EO5" s="31" t="str">
        <f t="shared" si="96"/>
        <v>1111</v>
      </c>
      <c r="EP5" s="78"/>
      <c r="EQ5" s="78"/>
      <c r="ER5" s="78"/>
      <c r="ES5" s="78"/>
      <c r="ET5" s="78"/>
      <c r="EU5" s="78"/>
      <c r="EV5" s="78"/>
      <c r="EW5" s="78"/>
      <c r="EX5" s="30" t="str">
        <f t="shared" si="15"/>
        <v>0000000100000000</v>
      </c>
      <c r="EY5" s="30" t="str">
        <f t="shared" si="16"/>
        <v>0000000100100011</v>
      </c>
      <c r="EZ5" s="78"/>
      <c r="FA5" s="78"/>
      <c r="FB5" s="46" t="str">
        <f>CONCATENATE(MID(DY5,1,1)*MID($K4,1,1),MID(DY5,2,1)*MID($K4,2,1),MID(DY5,3,1)*MID($K4,3,1),MID(DY5,4,1)*MID($K4,4,1),MID(DY5,5,1)*MID($K4,5,1),MID(DY5,6,1)*MID($K4,6,1),MID(DY5,7,1)*MID($K4,7,1),MID(DY5,8,1)*MID($K4,8,1),MID(DY5,9,1)*MID($K4,1,1),MID(DY5,10,1)*MID($K4,2,1),MID(DY5,11,1)*MID($K4,3,1),MID(DY5,12,1)*MID($K4,4,1),MID(DY5,13,1)*MID($K4,5,1),MID(DY5,14,1)*MID($K4,6,1),MID(DY5,15,1)*MID($K4,7,1),MID(DY5,16,1)*MID($K4,8,1),MID(DY5,17,1)*MID($K4,1,1),MID(DY5,18,1)*MID($K4,2,1),MID(DY5,19,1)*MID($K4,3,1),MID(DY5,20,1)*MID($K4,4,1),MID(DY5,21,1)*MID($K4,5,1),MID(DY5,22,1)*MID($K4,6,1),MID(DY5,23,1)*MID($K4,7,1),MID(DY5,24,1)*MID($K4,8,1),MID(DY5,25,1)*MID($K4,1,1),MID(DY5,26,1)*MID($K4,2,1),MID(DY5,27,1)*MID($K4,3,1),MID(DY5,28,1)*MID($K4,4,1),MID(DY5,29,1)*MID($K4,5,1),MID(DY5,30,1)*MID($K4,6,1),MID(DY5,31,1)*MID($K4,7,1),MID(DY5,32,1)*MID($K4,8,1))</f>
        <v>00000000000000000000000000100000</v>
      </c>
      <c r="FC5" s="30" t="str">
        <f t="shared" si="180"/>
        <v>00000000</v>
      </c>
      <c r="FD5" s="30" t="str">
        <f t="shared" si="97"/>
        <v>00000000</v>
      </c>
      <c r="FE5" s="30" t="str">
        <f t="shared" si="98"/>
        <v>00000000</v>
      </c>
      <c r="FF5" s="30" t="str">
        <f t="shared" si="99"/>
        <v>00100000</v>
      </c>
      <c r="FG5" s="78"/>
      <c r="FH5" s="78"/>
      <c r="FI5" s="78"/>
      <c r="FJ5" s="78"/>
      <c r="FK5" s="31" t="str">
        <f t="shared" si="100"/>
        <v>1100</v>
      </c>
      <c r="FL5" s="31" t="str">
        <f t="shared" si="101"/>
        <v>1101</v>
      </c>
      <c r="FM5" s="31" t="str">
        <f t="shared" si="102"/>
        <v>1100</v>
      </c>
      <c r="FN5" s="31" t="str">
        <f t="shared" si="103"/>
        <v>0000</v>
      </c>
      <c r="FO5" s="31" t="str">
        <f t="shared" si="104"/>
        <v>1001</v>
      </c>
      <c r="FP5" s="31" t="str">
        <f t="shared" si="105"/>
        <v>1101</v>
      </c>
      <c r="FQ5" s="31" t="str">
        <f t="shared" si="106"/>
        <v>1010</v>
      </c>
      <c r="FR5" s="31" t="str">
        <f t="shared" si="107"/>
        <v>1111</v>
      </c>
      <c r="FS5" s="78"/>
      <c r="FT5" s="78"/>
      <c r="FU5" s="78"/>
      <c r="FV5" s="78"/>
      <c r="FW5" s="78"/>
      <c r="FX5" s="78"/>
      <c r="FY5" s="78"/>
      <c r="FZ5" s="78"/>
      <c r="GA5" s="30" t="str">
        <f t="shared" si="18"/>
        <v>0000000000000000</v>
      </c>
      <c r="GB5" s="30" t="str">
        <f t="shared" si="19"/>
        <v>0000000000100000</v>
      </c>
      <c r="GC5" s="78"/>
      <c r="GD5" s="78"/>
      <c r="GE5" s="48" t="str">
        <f>DY5</f>
        <v>00000001000000000000000100100011</v>
      </c>
      <c r="GF5" s="30" t="str">
        <f t="shared" si="182"/>
        <v>00000001</v>
      </c>
      <c r="GG5" s="30" t="str">
        <f t="shared" si="108"/>
        <v>00000000</v>
      </c>
      <c r="GH5" s="30" t="str">
        <f t="shared" si="109"/>
        <v>00000001</v>
      </c>
      <c r="GI5" s="30" t="str">
        <f t="shared" si="110"/>
        <v>00100011</v>
      </c>
      <c r="GJ5" s="78"/>
      <c r="GK5" s="78"/>
      <c r="GL5" s="78"/>
      <c r="GM5" s="78"/>
      <c r="GN5" s="31" t="str">
        <f t="shared" si="111"/>
        <v>1100</v>
      </c>
      <c r="GO5" s="31" t="str">
        <f t="shared" si="112"/>
        <v>1101</v>
      </c>
      <c r="GP5" s="31" t="str">
        <f t="shared" si="113"/>
        <v>1100</v>
      </c>
      <c r="GQ5" s="31" t="str">
        <f t="shared" si="114"/>
        <v>0000</v>
      </c>
      <c r="GR5" s="31" t="str">
        <f t="shared" si="115"/>
        <v>1001</v>
      </c>
      <c r="GS5" s="31" t="str">
        <f t="shared" si="116"/>
        <v>1101</v>
      </c>
      <c r="GT5" s="31" t="str">
        <f t="shared" si="117"/>
        <v>1010</v>
      </c>
      <c r="GU5" s="31" t="str">
        <f t="shared" si="118"/>
        <v>1111</v>
      </c>
      <c r="GV5" s="78"/>
      <c r="GW5" s="78"/>
      <c r="GX5" s="78"/>
      <c r="GY5" s="78"/>
      <c r="GZ5" s="78"/>
      <c r="HA5" s="78"/>
      <c r="HB5" s="78"/>
      <c r="HC5" s="78"/>
      <c r="HD5" s="30" t="str">
        <f t="shared" si="21"/>
        <v>0000000100000000</v>
      </c>
      <c r="HE5" s="30" t="str">
        <f t="shared" si="22"/>
        <v>0000000100100011</v>
      </c>
      <c r="HF5" s="78"/>
      <c r="HG5" s="78"/>
      <c r="HH5" s="48" t="str">
        <f>FB5</f>
        <v>00000000000000000000000000100000</v>
      </c>
      <c r="HI5" s="30" t="str">
        <f t="shared" si="184"/>
        <v>00000000</v>
      </c>
      <c r="HJ5" s="30" t="str">
        <f t="shared" si="119"/>
        <v>00000000</v>
      </c>
      <c r="HK5" s="30" t="str">
        <f t="shared" si="120"/>
        <v>00000000</v>
      </c>
      <c r="HL5" s="30" t="str">
        <f t="shared" si="121"/>
        <v>00100000</v>
      </c>
      <c r="HM5" s="78"/>
      <c r="HN5" s="78"/>
      <c r="HO5" s="78"/>
      <c r="HP5" s="78"/>
      <c r="HQ5" s="31" t="str">
        <f t="shared" si="122"/>
        <v>1100</v>
      </c>
      <c r="HR5" s="31" t="str">
        <f t="shared" si="123"/>
        <v>1101</v>
      </c>
      <c r="HS5" s="31" t="str">
        <f t="shared" si="124"/>
        <v>1100</v>
      </c>
      <c r="HT5" s="31" t="str">
        <f t="shared" si="125"/>
        <v>0000</v>
      </c>
      <c r="HU5" s="31" t="str">
        <f t="shared" si="126"/>
        <v>1001</v>
      </c>
      <c r="HV5" s="31" t="str">
        <f t="shared" si="127"/>
        <v>1101</v>
      </c>
      <c r="HW5" s="31" t="str">
        <f t="shared" si="128"/>
        <v>1010</v>
      </c>
      <c r="HX5" s="31" t="str">
        <f t="shared" si="129"/>
        <v>1111</v>
      </c>
      <c r="HY5" s="78"/>
      <c r="HZ5" s="78"/>
      <c r="IA5" s="78"/>
      <c r="IB5" s="78"/>
      <c r="IC5" s="78"/>
      <c r="ID5" s="78"/>
      <c r="IE5" s="78"/>
      <c r="IF5" s="78"/>
      <c r="IG5" s="30" t="str">
        <f t="shared" si="24"/>
        <v>0000000000000000</v>
      </c>
      <c r="IH5" s="30" t="str">
        <f t="shared" si="25"/>
        <v>0000000000100000</v>
      </c>
      <c r="II5" s="78"/>
      <c r="IJ5" s="78"/>
      <c r="IK5" s="44" t="str">
        <f>L5</f>
        <v>11001101110000001001110110101111</v>
      </c>
      <c r="IL5" s="30" t="str">
        <f t="shared" si="186"/>
        <v>11001101</v>
      </c>
      <c r="IM5" s="30" t="str">
        <f t="shared" si="130"/>
        <v>11000000</v>
      </c>
      <c r="IN5" s="30" t="str">
        <f t="shared" si="131"/>
        <v>10011101</v>
      </c>
      <c r="IO5" s="30" t="str">
        <f t="shared" si="132"/>
        <v>10101111</v>
      </c>
      <c r="IP5" s="78"/>
      <c r="IQ5" s="78"/>
      <c r="IR5" s="78"/>
      <c r="IS5" s="78"/>
      <c r="IT5" s="31" t="str">
        <f t="shared" si="133"/>
        <v>1100</v>
      </c>
      <c r="IU5" s="31" t="str">
        <f t="shared" si="134"/>
        <v>1101</v>
      </c>
      <c r="IV5" s="31" t="str">
        <f t="shared" si="135"/>
        <v>1100</v>
      </c>
      <c r="IW5" s="31" t="str">
        <f t="shared" si="136"/>
        <v>0000</v>
      </c>
      <c r="IX5" s="31" t="str">
        <f t="shared" si="137"/>
        <v>1001</v>
      </c>
      <c r="IY5" s="31" t="str">
        <f t="shared" si="138"/>
        <v>1101</v>
      </c>
      <c r="IZ5" s="31" t="str">
        <f t="shared" si="139"/>
        <v>1010</v>
      </c>
      <c r="JA5" s="31" t="str">
        <f t="shared" si="140"/>
        <v>1111</v>
      </c>
      <c r="JB5" s="78"/>
      <c r="JC5" s="78"/>
      <c r="JD5" s="78"/>
      <c r="JE5" s="78"/>
      <c r="JF5" s="78"/>
      <c r="JG5" s="78"/>
      <c r="JH5" s="78"/>
      <c r="JI5" s="78"/>
      <c r="JJ5" s="30" t="str">
        <f t="shared" si="27"/>
        <v>1100110111000000</v>
      </c>
      <c r="JK5" s="30" t="str">
        <f t="shared" si="28"/>
        <v>1001110110101111</v>
      </c>
      <c r="JL5" s="78"/>
      <c r="JM5" s="78"/>
      <c r="JN5" s="46" t="str">
        <f>L5</f>
        <v>11001101110000001001110110101111</v>
      </c>
      <c r="JO5" s="30" t="str">
        <f t="shared" si="188"/>
        <v>11001101</v>
      </c>
      <c r="JP5" s="30" t="str">
        <f t="shared" si="141"/>
        <v>11000000</v>
      </c>
      <c r="JQ5" s="30" t="str">
        <f t="shared" si="142"/>
        <v>10011101</v>
      </c>
      <c r="JR5" s="30" t="str">
        <f t="shared" si="143"/>
        <v>10101111</v>
      </c>
      <c r="JS5" s="78"/>
      <c r="JT5" s="78"/>
      <c r="JU5" s="78"/>
      <c r="JV5" s="78"/>
      <c r="JW5" s="31" t="str">
        <f t="shared" si="144"/>
        <v>1100</v>
      </c>
      <c r="JX5" s="31" t="str">
        <f t="shared" si="145"/>
        <v>1101</v>
      </c>
      <c r="JY5" s="31" t="str">
        <f t="shared" si="146"/>
        <v>1100</v>
      </c>
      <c r="JZ5" s="31" t="str">
        <f t="shared" si="147"/>
        <v>0000</v>
      </c>
      <c r="KA5" s="31" t="str">
        <f t="shared" si="148"/>
        <v>1001</v>
      </c>
      <c r="KB5" s="31" t="str">
        <f t="shared" si="149"/>
        <v>1101</v>
      </c>
      <c r="KC5" s="31" t="str">
        <f t="shared" si="150"/>
        <v>1010</v>
      </c>
      <c r="KD5" s="31" t="str">
        <f t="shared" si="151"/>
        <v>1111</v>
      </c>
      <c r="KE5" s="78"/>
      <c r="KF5" s="78"/>
      <c r="KG5" s="78"/>
      <c r="KH5" s="78"/>
      <c r="KI5" s="78"/>
      <c r="KJ5" s="78"/>
      <c r="KK5" s="78"/>
      <c r="KL5" s="78"/>
      <c r="KM5" s="30" t="str">
        <f t="shared" si="30"/>
        <v>1100110111000000</v>
      </c>
      <c r="KN5" s="30" t="str">
        <f t="shared" si="31"/>
        <v>1001110110101111</v>
      </c>
      <c r="KO5" s="78"/>
      <c r="KP5" s="78"/>
      <c r="KQ5" s="48" t="str">
        <f>AO5</f>
        <v>01000100010000000000010000100100</v>
      </c>
      <c r="KR5" s="30" t="str">
        <f t="shared" si="190"/>
        <v>01000100</v>
      </c>
      <c r="KS5" s="30" t="str">
        <f t="shared" si="152"/>
        <v>01000000</v>
      </c>
      <c r="KT5" s="30" t="str">
        <f t="shared" si="153"/>
        <v>00000100</v>
      </c>
      <c r="KU5" s="30" t="str">
        <f t="shared" si="154"/>
        <v>00100100</v>
      </c>
      <c r="KV5" s="78"/>
      <c r="KW5" s="78"/>
      <c r="KX5" s="78"/>
      <c r="KY5" s="78"/>
      <c r="KZ5" s="31" t="str">
        <f t="shared" si="155"/>
        <v>1100</v>
      </c>
      <c r="LA5" s="31" t="str">
        <f t="shared" si="156"/>
        <v>1101</v>
      </c>
      <c r="LB5" s="31" t="str">
        <f t="shared" si="157"/>
        <v>1100</v>
      </c>
      <c r="LC5" s="31" t="str">
        <f t="shared" si="158"/>
        <v>0000</v>
      </c>
      <c r="LD5" s="31" t="str">
        <f t="shared" si="159"/>
        <v>1001</v>
      </c>
      <c r="LE5" s="31" t="str">
        <f t="shared" si="160"/>
        <v>1101</v>
      </c>
      <c r="LF5" s="31" t="str">
        <f t="shared" si="161"/>
        <v>1010</v>
      </c>
      <c r="LG5" s="31" t="str">
        <f t="shared" si="162"/>
        <v>1111</v>
      </c>
      <c r="LH5" s="78"/>
      <c r="LI5" s="78"/>
      <c r="LJ5" s="78"/>
      <c r="LK5" s="78"/>
      <c r="LL5" s="78"/>
      <c r="LM5" s="78"/>
      <c r="LN5" s="78"/>
      <c r="LO5" s="78"/>
      <c r="LP5" s="30" t="str">
        <f t="shared" si="33"/>
        <v>0100010001000000</v>
      </c>
      <c r="LQ5" s="30" t="str">
        <f t="shared" si="34"/>
        <v>0000010000100100</v>
      </c>
      <c r="LR5" s="78"/>
      <c r="LS5" s="78"/>
      <c r="LT5" s="48" t="str">
        <f>GE5</f>
        <v>00000001000000000000000100100011</v>
      </c>
      <c r="LU5" s="30" t="str">
        <f t="shared" si="192"/>
        <v>00000001</v>
      </c>
      <c r="LV5" s="30" t="str">
        <f t="shared" si="163"/>
        <v>00000000</v>
      </c>
      <c r="LW5" s="30" t="str">
        <f t="shared" si="164"/>
        <v>00000001</v>
      </c>
      <c r="LX5" s="30" t="str">
        <f t="shared" si="165"/>
        <v>00100011</v>
      </c>
      <c r="LY5" s="78"/>
      <c r="LZ5" s="78"/>
      <c r="MA5" s="78"/>
      <c r="MB5" s="78"/>
      <c r="MC5" s="31" t="str">
        <f t="shared" si="166"/>
        <v>1100</v>
      </c>
      <c r="MD5" s="31" t="str">
        <f t="shared" si="167"/>
        <v>1101</v>
      </c>
      <c r="ME5" s="31" t="str">
        <f t="shared" si="168"/>
        <v>1100</v>
      </c>
      <c r="MF5" s="31" t="str">
        <f t="shared" si="169"/>
        <v>0000</v>
      </c>
      <c r="MG5" s="31" t="str">
        <f t="shared" si="170"/>
        <v>1001</v>
      </c>
      <c r="MH5" s="31" t="str">
        <f t="shared" si="171"/>
        <v>1101</v>
      </c>
      <c r="MI5" s="31" t="str">
        <f t="shared" si="172"/>
        <v>1010</v>
      </c>
      <c r="MJ5" s="31" t="str">
        <f t="shared" si="173"/>
        <v>1111</v>
      </c>
      <c r="MK5" s="78"/>
      <c r="ML5" s="78"/>
      <c r="MM5" s="78"/>
      <c r="MN5" s="78"/>
      <c r="MO5" s="78"/>
      <c r="MP5" s="78"/>
      <c r="MQ5" s="78"/>
      <c r="MR5" s="78"/>
      <c r="MS5" s="30" t="str">
        <f t="shared" si="36"/>
        <v>0000000100000000</v>
      </c>
      <c r="MT5" s="30" t="str">
        <f t="shared" si="37"/>
        <v>0000000100100011</v>
      </c>
      <c r="MU5" s="78"/>
      <c r="MV5" s="78"/>
    </row>
    <row r="6" spans="1:360" s="27" customFormat="1" ht="18.600000000000001" thickBot="1" x14ac:dyDescent="0.4">
      <c r="A6" s="24"/>
      <c r="B6" s="25"/>
      <c r="C6" s="20" t="s">
        <v>0</v>
      </c>
      <c r="D6" s="20" t="s">
        <v>83</v>
      </c>
      <c r="E6" s="20" t="s">
        <v>48</v>
      </c>
      <c r="F6" s="20">
        <v>52</v>
      </c>
      <c r="G6" s="20" t="s">
        <v>105</v>
      </c>
      <c r="H6" s="20" t="str">
        <f>CONCATENATE(HEX2BIN(D6,8),HEX2BIN(E6,8),HEX2BIN(F6,8),HEX2BIN(G6,8))</f>
        <v>11100111110001010101001011101101</v>
      </c>
      <c r="I6" s="20">
        <f t="shared" si="1"/>
        <v>19</v>
      </c>
      <c r="J6" s="20">
        <v>64</v>
      </c>
      <c r="K6" s="20" t="str">
        <f>HEX2BIN(J6,8)</f>
        <v>01100100</v>
      </c>
      <c r="L6" s="43" t="str">
        <f>CONCATENATE(MID(H6,17,16),MID(H6,1,16))</f>
        <v>01010010111011011110011111000101</v>
      </c>
      <c r="M6" s="26" t="str">
        <f t="shared" si="38"/>
        <v>01010</v>
      </c>
      <c r="N6" s="26" t="str">
        <f t="shared" si="39"/>
        <v>11101</v>
      </c>
      <c r="O6" s="26" t="str">
        <f t="shared" si="40"/>
        <v>11100</v>
      </c>
      <c r="P6" s="26" t="str">
        <f t="shared" si="41"/>
        <v>11000</v>
      </c>
      <c r="Q6" s="77">
        <f>BIN2DEC(M6)-BIN2DEC(M7)</f>
        <v>7</v>
      </c>
      <c r="R6" s="77">
        <f>BIN2DEC(N6)-BIN2DEC(N7)</f>
        <v>19</v>
      </c>
      <c r="S6" s="77">
        <f>BIN2DEC(O6)-BIN2DEC(O7)</f>
        <v>14</v>
      </c>
      <c r="T6" s="77">
        <f>BIN2DEC(P6)-BIN2DEC(P7)</f>
        <v>-6</v>
      </c>
      <c r="U6" s="27" t="str">
        <f t="shared" si="42"/>
        <v>0101</v>
      </c>
      <c r="V6" s="27" t="str">
        <f t="shared" si="43"/>
        <v>0010</v>
      </c>
      <c r="W6" s="27" t="str">
        <f t="shared" si="44"/>
        <v>1110</v>
      </c>
      <c r="X6" s="27" t="str">
        <f t="shared" si="45"/>
        <v>1101</v>
      </c>
      <c r="Y6" s="27" t="str">
        <f t="shared" si="46"/>
        <v>1110</v>
      </c>
      <c r="Z6" s="27" t="str">
        <f t="shared" si="47"/>
        <v>0111</v>
      </c>
      <c r="AA6" s="27" t="str">
        <f t="shared" si="48"/>
        <v>1100</v>
      </c>
      <c r="AB6" s="27" t="str">
        <f t="shared" si="49"/>
        <v>0101</v>
      </c>
      <c r="AC6" s="77">
        <f>BIN2DEC(U6)-BIN2DEC(U7)</f>
        <v>4</v>
      </c>
      <c r="AD6" s="77">
        <f t="shared" ref="AD6:AI6" si="194">BIN2DEC(V6)-BIN2DEC(V7)</f>
        <v>-9</v>
      </c>
      <c r="AE6" s="77">
        <f t="shared" si="194"/>
        <v>9</v>
      </c>
      <c r="AF6" s="77">
        <f t="shared" si="194"/>
        <v>11</v>
      </c>
      <c r="AG6" s="77">
        <f t="shared" si="194"/>
        <v>7</v>
      </c>
      <c r="AH6" s="77">
        <f t="shared" si="194"/>
        <v>0</v>
      </c>
      <c r="AI6" s="77">
        <f t="shared" si="194"/>
        <v>-3</v>
      </c>
      <c r="AJ6" s="77">
        <f>BIN2DEC(AB6)-BIN2DEC(AB7)</f>
        <v>2</v>
      </c>
      <c r="AK6" s="26" t="str">
        <f t="shared" si="3"/>
        <v>0101001011101101</v>
      </c>
      <c r="AL6" s="26" t="str">
        <f t="shared" si="4"/>
        <v>1110011111000101</v>
      </c>
      <c r="AM6" s="77">
        <f>MID(AK6,16,1)*POWER(2,0)+MID(AK6,15,1)*POWER(2,1)+MID(AK6,14,1)*POWER(2,2)+MID(AK6,13,1)*POWER(2,3)+MID(AK6,12,1)*POWER(2,4)+MID(AK6,11,1)*POWER(2,5)+MID(AK6,10,1)*POWER(2,6)+MID(AK6,9,1)*POWER(2,7)+MID(AK6,8,1)*POWER(2,8)+MID(AK6,7,1)*POWER(2,9)+MID(AK6,6,1)*POWER(2,10)+MID(AK6,5,1)*POWER(2,11)+MID(AK6,4,1)*POWER(2,12)+MID(AK6,3,1)*POWER(2,13)+MID(AK6,2,1)*POWER(2,14)+MID(AK6,1,1)*POWER(2,15)-(MID(AK7,16,1)*POWER(2,0)+MID(AK7,15,1)*POWER(2,1)+MID(AK7,14,1)*POWER(2,2)+MID(AK7,13,1)*POWER(2,3)+MID(AK7,12,1)*POWER(2,4)+MID(AK7,11,1)*POWER(2,5)+MID(AK7,10,1)*POWER(2,6)+MID(AK7,9,1)*POWER(2,7)+MID(AK7,8,1)*POWER(2,8)+MID(AK7,7,1)*POWER(2,9)+MID(AK7,6,1)*POWER(2,10)+MID(AK7,5,1)*POWER(2,11)+MID(AK7,4,1)*POWER(2,12)+MID(AK7,3,1)*POWER(2,13)+MID(AK7,2,1)*POWER(2,14)+MID(AK7,1,1)*POWER(2,15))</f>
        <v>14235</v>
      </c>
      <c r="AN6" s="77">
        <f>MID(AL6,16,1)*POWER(2,0)+MID(AL6,15,1)*POWER(2,1)+MID(AL6,14,1)*POWER(2,2)+MID(AL6,13,1)*POWER(2,3)+MID(AL6,12,1)*POWER(2,4)+MID(AL6,11,1)*POWER(2,5)+MID(AL6,10,1)*POWER(2,6)+MID(AL6,9,1)*POWER(2,7)+MID(AL6,8,1)*POWER(2,8)+MID(AL6,7,1)*POWER(2,9)+MID(AL6,6,1)*POWER(2,10)+MID(AL6,5,1)*POWER(2,11)+MID(AL6,4,1)*POWER(2,12)+MID(AL6,3,1)*POWER(2,13)+MID(AL6,2,1)*POWER(2,14)+MID(AL6,1,1)*POWER(2,15)-(MID(AL7,16,1)*POWER(2,0)+MID(AL7,15,1)*POWER(2,1)+MID(AL7,14,1)*POWER(2,2)+MID(AL7,13,1)*POWER(2,3)+MID(AL7,12,1)*POWER(2,4)+MID(AL7,11,1)*POWER(2,5)+MID(AL7,10,1)*POWER(2,6)+MID(AL7,9,1)*POWER(2,7)+MID(AL7,8,1)*POWER(2,8)+MID(AL7,7,1)*POWER(2,9)+MID(AL7,6,1)*POWER(2,10)+MID(AL7,5,1)*POWER(2,11)+MID(AL7,4,1)*POWER(2,12)+MID(AL7,3,1)*POWER(2,13)+MID(AL7,2,1)*POWER(2,14)+MID(AL7,1,1)*POWER(2,15))</f>
        <v>28626</v>
      </c>
      <c r="AO6" s="45" t="str">
        <f>L6</f>
        <v>01010010111011011110011111000101</v>
      </c>
      <c r="AP6" s="26" t="str">
        <f t="shared" si="50"/>
        <v>01010010</v>
      </c>
      <c r="AQ6" s="26" t="str">
        <f t="shared" si="51"/>
        <v>11101101</v>
      </c>
      <c r="AR6" s="26" t="str">
        <f t="shared" si="52"/>
        <v>11100111</v>
      </c>
      <c r="AS6" s="26" t="str">
        <f t="shared" si="53"/>
        <v>11000101</v>
      </c>
      <c r="AT6" s="77">
        <f>BIN2DEC(AP6)-BIN2DEC(AP7)</f>
        <v>82</v>
      </c>
      <c r="AU6" s="77">
        <f>BIN2DEC(AQ6)-BIN2DEC(AQ7)</f>
        <v>173</v>
      </c>
      <c r="AV6" s="77">
        <f>BIN2DEC(AR6)-BIN2DEC(AR7)</f>
        <v>131</v>
      </c>
      <c r="AW6" s="77">
        <f>BIN2DEC(AS6)-BIN2DEC(AS7)</f>
        <v>101</v>
      </c>
      <c r="AX6" s="27" t="str">
        <f t="shared" si="54"/>
        <v>0101</v>
      </c>
      <c r="AY6" s="27" t="str">
        <f t="shared" si="55"/>
        <v>0010</v>
      </c>
      <c r="AZ6" s="27" t="str">
        <f t="shared" si="56"/>
        <v>1110</v>
      </c>
      <c r="BA6" s="27" t="str">
        <f t="shared" si="57"/>
        <v>1101</v>
      </c>
      <c r="BB6" s="27" t="str">
        <f t="shared" si="58"/>
        <v>1110</v>
      </c>
      <c r="BC6" s="27" t="str">
        <f t="shared" si="59"/>
        <v>0111</v>
      </c>
      <c r="BD6" s="27" t="str">
        <f t="shared" si="60"/>
        <v>1100</v>
      </c>
      <c r="BE6" s="27" t="str">
        <f t="shared" si="61"/>
        <v>0101</v>
      </c>
      <c r="BF6" s="77">
        <f>BIN2DEC(AX6)-BIN2DEC(AX7)</f>
        <v>4</v>
      </c>
      <c r="BG6" s="77">
        <f t="shared" ref="BG6:BL6" si="195">BIN2DEC(AY6)-BIN2DEC(AY7)</f>
        <v>-9</v>
      </c>
      <c r="BH6" s="77">
        <f t="shared" si="195"/>
        <v>9</v>
      </c>
      <c r="BI6" s="77">
        <f t="shared" si="195"/>
        <v>11</v>
      </c>
      <c r="BJ6" s="77">
        <f t="shared" si="195"/>
        <v>7</v>
      </c>
      <c r="BK6" s="77">
        <f t="shared" si="195"/>
        <v>0</v>
      </c>
      <c r="BL6" s="77">
        <f t="shared" si="195"/>
        <v>-3</v>
      </c>
      <c r="BM6" s="77">
        <f>BIN2DEC(BE6)-BIN2DEC(BE7)</f>
        <v>2</v>
      </c>
      <c r="BN6" s="26" t="str">
        <f t="shared" si="6"/>
        <v>0101001011101101</v>
      </c>
      <c r="BO6" s="26" t="str">
        <f t="shared" si="7"/>
        <v>1110011111000101</v>
      </c>
      <c r="BP6" s="77">
        <f>MID(BN6,16,1)*POWER(2,0)+MID(BN6,15,1)*POWER(2,1)+MID(BN6,14,1)*POWER(2,2)+MID(BN6,13,1)*POWER(2,3)+MID(BN6,12,1)*POWER(2,4)+MID(BN6,11,1)*POWER(2,5)+MID(BN6,10,1)*POWER(2,6)+MID(BN6,9,1)*POWER(2,7)+MID(BN6,8,1)*POWER(2,8)+MID(BN6,7,1)*POWER(2,9)+MID(BN6,6,1)*POWER(2,10)+MID(BN6,5,1)*POWER(2,11)+MID(BN6,4,1)*POWER(2,12)+MID(BN6,3,1)*POWER(2,13)+MID(BN6,2,1)*POWER(2,14)+MID(BN6,1,1)*POWER(2,15)-(MID(BN7,16,1)*POWER(2,0)+MID(BN7,15,1)*POWER(2,1)+MID(BN7,14,1)*POWER(2,2)+MID(BN7,13,1)*POWER(2,3)+MID(BN7,12,1)*POWER(2,4)+MID(BN7,11,1)*POWER(2,5)+MID(BN7,10,1)*POWER(2,6)+MID(BN7,9,1)*POWER(2,7)+MID(BN7,8,1)*POWER(2,8)+MID(BN7,7,1)*POWER(2,9)+MID(BN7,6,1)*POWER(2,10)+MID(BN7,5,1)*POWER(2,11)+MID(BN7,4,1)*POWER(2,12)+MID(BN7,3,1)*POWER(2,13)+MID(BN7,2,1)*POWER(2,14)+MID(BN7,1,1)*POWER(2,15))</f>
        <v>21165</v>
      </c>
      <c r="BQ6" s="77">
        <f>MID(BO6,16,1)*POWER(2,0)+MID(BO6,15,1)*POWER(2,1)+MID(BO6,14,1)*POWER(2,2)+MID(BO6,13,1)*POWER(2,3)+MID(BO6,12,1)*POWER(2,4)+MID(BO6,11,1)*POWER(2,5)+MID(BO6,10,1)*POWER(2,6)+MID(BO6,9,1)*POWER(2,7)+MID(BO6,8,1)*POWER(2,8)+MID(BO6,7,1)*POWER(2,9)+MID(BO6,6,1)*POWER(2,10)+MID(BO6,5,1)*POWER(2,11)+MID(BO6,4,1)*POWER(2,12)+MID(BO6,3,1)*POWER(2,13)+MID(BO6,2,1)*POWER(2,14)+MID(BO6,1,1)*POWER(2,15)-(MID(BO7,16,1)*POWER(2,0)+MID(BO7,15,1)*POWER(2,1)+MID(BO7,14,1)*POWER(2,2)+MID(BO7,13,1)*POWER(2,3)+MID(BO7,12,1)*POWER(2,4)+MID(BO7,11,1)*POWER(2,5)+MID(BO7,10,1)*POWER(2,6)+MID(BO7,9,1)*POWER(2,7)+MID(BO7,8,1)*POWER(2,8)+MID(BO7,7,1)*POWER(2,9)+MID(BO7,6,1)*POWER(2,10)+MID(BO7,5,1)*POWER(2,11)+MID(BO7,4,1)*POWER(2,12)+MID(BO7,3,1)*POWER(2,13)+MID(BO7,2,1)*POWER(2,14)+MID(BO7,1,1)*POWER(2,15))</f>
        <v>33637</v>
      </c>
      <c r="BR6" s="45" t="str">
        <f>CONCATENATE(MID($L6,1,1)*MID($K6,1,1),MID($L6,2,1)*MID($K6,2,1),MID($L6,3,1)*MID($K6,3,1),MID($L6,4,1)*MID($K6,4,1),MID($L6,5,1)*MID($K6,5,1),MID($L6,6,1)*MID($K6,6,1),MID($L6,7,1)*MID($K6,7,1),MID($L6,8,1)*MID($K6,8,1),MID($L6,9,1)*MID($K6,1,1),MID($L6,10,1)*MID($K6,2,1),MID($L6,11,1)*MID($K6,3,1),MID($L6,12,1)*MID($K6,4,1),MID($L6,13,1)*MID($K6,5,1),MID($L6,14,1)*MID($K6,6,1),MID($L6,15,1)*MID($K6,7,1),MID($L6,16,1)*MID($K6,8,1),MID($L6,17,1)*MID($K6,1,1),MID($L6,18,1)*MID($K6,2,1),MID($L6,19,1)*MID($K6,3,1),MID($L6,20,1)*MID($K6,4,1),MID($L6,21,1)*MID($K6,5,1),MID($L6,22,1)*MID($K6,6,1),MID($L6,23,1)*MID($K6,7,1),MID($L6,24,1)*MID($K6,8,1),MID($L6,25,1)*MID($K6,1,1),MID($L6,26,1)*MID($K6,2,1),MID($L6,27,1)*MID($K6,3,1),MID($L6,28,1)*MID($K6,4,1),MID($L6,29,1)*MID($K6,5,1),MID($L6,30,1)*MID($K6,6,1),MID($L6,31,1)*MID($K6,7,1),MID($L6,32,1)*MID($K6,8,1))</f>
        <v>01000000011001000110010001000100</v>
      </c>
      <c r="BS6" s="26" t="str">
        <f t="shared" si="62"/>
        <v>01000000</v>
      </c>
      <c r="BT6" s="26" t="str">
        <f t="shared" si="63"/>
        <v>01100100</v>
      </c>
      <c r="BU6" s="26" t="str">
        <f t="shared" si="64"/>
        <v>01100100</v>
      </c>
      <c r="BV6" s="26" t="str">
        <f t="shared" si="65"/>
        <v>01000100</v>
      </c>
      <c r="BW6" s="77">
        <f>BIN2DEC(BS6)-BIN2DEC(BS7)</f>
        <v>37</v>
      </c>
      <c r="BX6" s="77">
        <f>BIN2DEC(BT6)-BIN2DEC(BT7)</f>
        <v>18</v>
      </c>
      <c r="BY6" s="77">
        <f>BIN2DEC(BU6)-BIN2DEC(BU7)</f>
        <v>-19</v>
      </c>
      <c r="BZ6" s="77">
        <f>BIN2DEC(BV6)-BIN2DEC(BV7)</f>
        <v>-175</v>
      </c>
      <c r="CA6" s="27" t="str">
        <f t="shared" si="66"/>
        <v>0101</v>
      </c>
      <c r="CB6" s="27" t="str">
        <f t="shared" si="67"/>
        <v>0010</v>
      </c>
      <c r="CC6" s="27" t="str">
        <f t="shared" si="68"/>
        <v>1110</v>
      </c>
      <c r="CD6" s="27" t="str">
        <f t="shared" si="69"/>
        <v>1101</v>
      </c>
      <c r="CE6" s="27" t="str">
        <f t="shared" si="70"/>
        <v>1110</v>
      </c>
      <c r="CF6" s="27" t="str">
        <f t="shared" si="71"/>
        <v>0111</v>
      </c>
      <c r="CG6" s="27" t="str">
        <f t="shared" si="72"/>
        <v>1100</v>
      </c>
      <c r="CH6" s="27" t="str">
        <f t="shared" si="73"/>
        <v>0101</v>
      </c>
      <c r="CI6" s="77">
        <f>BIN2DEC(CA6)-BIN2DEC(CA7)</f>
        <v>4</v>
      </c>
      <c r="CJ6" s="77">
        <f t="shared" ref="CJ6:CO6" si="196">BIN2DEC(CB6)-BIN2DEC(CB7)</f>
        <v>-9</v>
      </c>
      <c r="CK6" s="77">
        <f t="shared" si="196"/>
        <v>9</v>
      </c>
      <c r="CL6" s="77">
        <f t="shared" si="196"/>
        <v>11</v>
      </c>
      <c r="CM6" s="77">
        <f t="shared" si="196"/>
        <v>7</v>
      </c>
      <c r="CN6" s="77">
        <f t="shared" si="196"/>
        <v>0</v>
      </c>
      <c r="CO6" s="77">
        <f t="shared" si="196"/>
        <v>-3</v>
      </c>
      <c r="CP6" s="77">
        <f>BIN2DEC(CH6)-BIN2DEC(CH7)</f>
        <v>2</v>
      </c>
      <c r="CQ6" s="26" t="str">
        <f t="shared" si="9"/>
        <v>0100000001100100</v>
      </c>
      <c r="CR6" s="26" t="str">
        <f t="shared" si="10"/>
        <v>0110010001000100</v>
      </c>
      <c r="CS6" s="77">
        <f>MID(CQ6,16,1)*POWER(2,0)+MID(CQ6,15,1)*POWER(2,1)+MID(CQ6,14,1)*POWER(2,2)+MID(CQ6,13,1)*POWER(2,3)+MID(CQ6,12,1)*POWER(2,4)+MID(CQ6,11,1)*POWER(2,5)+MID(CQ6,10,1)*POWER(2,6)+MID(CQ6,9,1)*POWER(2,7)+MID(CQ6,8,1)*POWER(2,8)+MID(CQ6,7,1)*POWER(2,9)+MID(CQ6,6,1)*POWER(2,10)+MID(CQ6,5,1)*POWER(2,11)+MID(CQ6,4,1)*POWER(2,12)+MID(CQ6,3,1)*POWER(2,13)+MID(CQ6,2,1)*POWER(2,14)+MID(CQ6,1,1)*POWER(2,15)-(MID(CQ7,16,1)*POWER(2,0)+MID(CQ7,15,1)*POWER(2,1)+MID(CQ7,14,1)*POWER(2,2)+MID(CQ7,13,1)*POWER(2,3)+MID(CQ7,12,1)*POWER(2,4)+MID(CQ7,11,1)*POWER(2,5)+MID(CQ7,10,1)*POWER(2,6)+MID(CQ7,9,1)*POWER(2,7)+MID(CQ7,8,1)*POWER(2,8)+MID(CQ7,7,1)*POWER(2,9)+MID(CQ7,6,1)*POWER(2,10)+MID(CQ7,5,1)*POWER(2,11)+MID(CQ7,4,1)*POWER(2,12)+MID(CQ7,3,1)*POWER(2,13)+MID(CQ7,2,1)*POWER(2,14)+MID(CQ7,1,1)*POWER(2,15))</f>
        <v>9490</v>
      </c>
      <c r="CT6" s="77">
        <f>MID(CR6,16,1)*POWER(2,0)+MID(CR6,15,1)*POWER(2,1)+MID(CR6,14,1)*POWER(2,2)+MID(CR6,13,1)*POWER(2,3)+MID(CR6,12,1)*POWER(2,4)+MID(CR6,11,1)*POWER(2,5)+MID(CR6,10,1)*POWER(2,6)+MID(CR6,9,1)*POWER(2,7)+MID(CR6,8,1)*POWER(2,8)+MID(CR6,7,1)*POWER(2,9)+MID(CR6,6,1)*POWER(2,10)+MID(CR6,5,1)*POWER(2,11)+MID(CR6,4,1)*POWER(2,12)+MID(CR6,3,1)*POWER(2,13)+MID(CR6,2,1)*POWER(2,14)+MID(CR6,1,1)*POWER(2,15)-(MID(CR7,16,1)*POWER(2,0)+MID(CR7,15,1)*POWER(2,1)+MID(CR7,14,1)*POWER(2,2)+MID(CR7,13,1)*POWER(2,3)+MID(CR7,12,1)*POWER(2,4)+MID(CR7,11,1)*POWER(2,5)+MID(CR7,10,1)*POWER(2,6)+MID(CR7,9,1)*POWER(2,7)+MID(CR7,8,1)*POWER(2,8)+MID(CR7,7,1)*POWER(2,9)+MID(CR7,6,1)*POWER(2,10)+MID(CR7,5,1)*POWER(2,11)+MID(CR7,4,1)*POWER(2,12)+MID(CR7,3,1)*POWER(2,13)+MID(CR7,2,1)*POWER(2,14)+MID(CR7,1,1)*POWER(2,15))</f>
        <v>-5039</v>
      </c>
      <c r="CU6" s="45" t="str">
        <f>BR6</f>
        <v>01000000011001000110010001000100</v>
      </c>
      <c r="CV6" s="26" t="str">
        <f t="shared" si="74"/>
        <v>01000000</v>
      </c>
      <c r="CW6" s="26" t="str">
        <f t="shared" si="75"/>
        <v>01100100</v>
      </c>
      <c r="CX6" s="26" t="str">
        <f t="shared" si="76"/>
        <v>01100100</v>
      </c>
      <c r="CY6" s="26" t="str">
        <f t="shared" si="77"/>
        <v>01000100</v>
      </c>
      <c r="CZ6" s="77">
        <f>BIN2DEC(CV6)-BIN2DEC(CV7)</f>
        <v>64</v>
      </c>
      <c r="DA6" s="77">
        <f>BIN2DEC(CW6)-BIN2DEC(CW7)</f>
        <v>36</v>
      </c>
      <c r="DB6" s="77">
        <f>BIN2DEC(CX6)-BIN2DEC(CX7)</f>
        <v>0</v>
      </c>
      <c r="DC6" s="77">
        <f>BIN2DEC(CY6)-BIN2DEC(CY7)</f>
        <v>-28</v>
      </c>
      <c r="DD6" s="27" t="str">
        <f t="shared" si="78"/>
        <v>0101</v>
      </c>
      <c r="DE6" s="27" t="str">
        <f t="shared" si="79"/>
        <v>0010</v>
      </c>
      <c r="DF6" s="27" t="str">
        <f t="shared" si="80"/>
        <v>1110</v>
      </c>
      <c r="DG6" s="27" t="str">
        <f t="shared" si="81"/>
        <v>1101</v>
      </c>
      <c r="DH6" s="27" t="str">
        <f t="shared" si="82"/>
        <v>1110</v>
      </c>
      <c r="DI6" s="27" t="str">
        <f t="shared" si="83"/>
        <v>0111</v>
      </c>
      <c r="DJ6" s="27" t="str">
        <f t="shared" si="84"/>
        <v>1100</v>
      </c>
      <c r="DK6" s="27" t="str">
        <f t="shared" si="85"/>
        <v>0101</v>
      </c>
      <c r="DL6" s="77">
        <f>BIN2DEC(DD6)-BIN2DEC(DD7)</f>
        <v>4</v>
      </c>
      <c r="DM6" s="77">
        <f t="shared" ref="DM6:DR6" si="197">BIN2DEC(DE6)-BIN2DEC(DE7)</f>
        <v>-9</v>
      </c>
      <c r="DN6" s="77">
        <f t="shared" si="197"/>
        <v>9</v>
      </c>
      <c r="DO6" s="77">
        <f t="shared" si="197"/>
        <v>11</v>
      </c>
      <c r="DP6" s="77">
        <f t="shared" si="197"/>
        <v>7</v>
      </c>
      <c r="DQ6" s="77">
        <f t="shared" si="197"/>
        <v>0</v>
      </c>
      <c r="DR6" s="77">
        <f t="shared" si="197"/>
        <v>-3</v>
      </c>
      <c r="DS6" s="77">
        <f>BIN2DEC(DK6)-BIN2DEC(DK7)</f>
        <v>2</v>
      </c>
      <c r="DT6" s="26" t="str">
        <f t="shared" si="12"/>
        <v>0100000001100100</v>
      </c>
      <c r="DU6" s="26" t="str">
        <f t="shared" si="13"/>
        <v>0110010001000100</v>
      </c>
      <c r="DV6" s="77">
        <f>MID(DT6,16,1)*POWER(2,0)+MID(DT6,15,1)*POWER(2,1)+MID(DT6,14,1)*POWER(2,2)+MID(DT6,13,1)*POWER(2,3)+MID(DT6,12,1)*POWER(2,4)+MID(DT6,11,1)*POWER(2,5)+MID(DT6,10,1)*POWER(2,6)+MID(DT6,9,1)*POWER(2,7)+MID(DT6,8,1)*POWER(2,8)+MID(DT6,7,1)*POWER(2,9)+MID(DT6,6,1)*POWER(2,10)+MID(DT6,5,1)*POWER(2,11)+MID(DT6,4,1)*POWER(2,12)+MID(DT6,3,1)*POWER(2,13)+MID(DT6,2,1)*POWER(2,14)+MID(DT6,1,1)*POWER(2,15)-(MID(DT7,16,1)*POWER(2,0)+MID(DT7,15,1)*POWER(2,1)+MID(DT7,14,1)*POWER(2,2)+MID(DT7,13,1)*POWER(2,3)+MID(DT7,12,1)*POWER(2,4)+MID(DT7,11,1)*POWER(2,5)+MID(DT7,10,1)*POWER(2,6)+MID(DT7,9,1)*POWER(2,7)+MID(DT7,8,1)*POWER(2,8)+MID(DT7,7,1)*POWER(2,9)+MID(DT7,6,1)*POWER(2,10)+MID(DT7,5,1)*POWER(2,11)+MID(DT7,4,1)*POWER(2,12)+MID(DT7,3,1)*POWER(2,13)+MID(DT7,2,1)*POWER(2,14)+MID(DT7,1,1)*POWER(2,15))</f>
        <v>16420</v>
      </c>
      <c r="DW6" s="77">
        <f>MID(DU6,16,1)*POWER(2,0)+MID(DU6,15,1)*POWER(2,1)+MID(DU6,14,1)*POWER(2,2)+MID(DU6,13,1)*POWER(2,3)+MID(DU6,12,1)*POWER(2,4)+MID(DU6,11,1)*POWER(2,5)+MID(DU6,10,1)*POWER(2,6)+MID(DU6,9,1)*POWER(2,7)+MID(DU6,8,1)*POWER(2,8)+MID(DU6,7,1)*POWER(2,9)+MID(DU6,6,1)*POWER(2,10)+MID(DU6,5,1)*POWER(2,11)+MID(DU6,4,1)*POWER(2,12)+MID(DU6,3,1)*POWER(2,13)+MID(DU6,2,1)*POWER(2,14)+MID(DU6,1,1)*POWER(2,15)-(MID(DU7,16,1)*POWER(2,0)+MID(DU7,15,1)*POWER(2,1)+MID(DU7,14,1)*POWER(2,2)+MID(DU7,13,1)*POWER(2,3)+MID(DU7,12,1)*POWER(2,4)+MID(DU7,11,1)*POWER(2,5)+MID(DU7,10,1)*POWER(2,6)+MID(DU7,9,1)*POWER(2,7)+MID(DU7,8,1)*POWER(2,8)+MID(DU7,7,1)*POWER(2,9)+MID(DU7,6,1)*POWER(2,10)+MID(DU7,5,1)*POWER(2,11)+MID(DU7,4,1)*POWER(2,12)+MID(DU7,3,1)*POWER(2,13)+MID(DU7,2,1)*POWER(2,14)+MID(DU7,1,1)*POWER(2,15))</f>
        <v>-28</v>
      </c>
      <c r="DX6" s="22" t="str">
        <f>CONCATENATE(MID($H6,1,1)*MID($K6,1,1),MID($H6,2,1)*MID($K6,2,1),MID($H6,3,1)*MID($K6,3,1),MID($H6,4,1)*MID($K6,4,1),MID($H6,5,1)*MID($K6,5,1),MID($H6,6,1)*MID($K6,6,1),MID($H6,7,1)*MID($K6,7,1),MID($H6,8,1)*MID($K6,8,1),MID($H6,9,1)*MID($K6,1,1),MID($H6,10,1)*MID($K6,2,1),MID($H6,11,1)*MID($K6,3,1),MID($H6,12,1)*MID($K6,4,1),MID($H6,13,1)*MID($K6,5,1),MID($H6,14,1)*MID($K6,6,1),MID($H6,15,1)*MID($K6,7,1),MID($H6,16,1)*MID($K6,8,1),MID($H6,17,1)*MID($K6,1,1),MID($H6,18,1)*MID($K6,2,1),MID($H6,19,1)*MID($K6,3,1),MID($H6,20,1)*MID($K6,4,1),MID($H6,21,1)*MID($K6,5,1),MID($H6,22,1)*MID($K6,6,1),MID($H6,23,1)*MID($K6,7,1),MID($H6,24,1)*MID($K6,8,1),MID($H6,25,1)*MID($K6,1,1),MID($H6,26,1)*MID($K6,2,1),MID($H6,27,1)*MID($K6,3,1),MID($H6,28,1)*MID($K6,4,1),MID($H6,29,1)*MID($K6,5,1),MID($H6,30,1)*MID($K6,6,1),MID($H6,31,1)*MID($K6,7,1),MID($H6,32,1)*MID($K6,8,1))</f>
        <v>01100100010001000100000001100100</v>
      </c>
      <c r="DY6" s="43" t="str">
        <f>L6</f>
        <v>01010010111011011110011111000101</v>
      </c>
      <c r="DZ6" s="26" t="str">
        <f t="shared" si="178"/>
        <v>01010010</v>
      </c>
      <c r="EA6" s="26" t="str">
        <f t="shared" si="86"/>
        <v>11101101</v>
      </c>
      <c r="EB6" s="26" t="str">
        <f t="shared" si="87"/>
        <v>11100111</v>
      </c>
      <c r="EC6" s="26" t="str">
        <f t="shared" si="88"/>
        <v>11000101</v>
      </c>
      <c r="ED6" s="77">
        <f>BIN2DEC(DZ6)-BIN2DEC(DZ7)</f>
        <v>79</v>
      </c>
      <c r="EE6" s="77">
        <f>BIN2DEC(EA6)-BIN2DEC(EA7)</f>
        <v>235</v>
      </c>
      <c r="EF6" s="77">
        <f>BIN2DEC(EB6)-BIN2DEC(EB7)</f>
        <v>196</v>
      </c>
      <c r="EG6" s="77">
        <f>BIN2DEC(EC6)-BIN2DEC(EC7)</f>
        <v>162</v>
      </c>
      <c r="EH6" s="27" t="str">
        <f t="shared" si="89"/>
        <v>0101</v>
      </c>
      <c r="EI6" s="27" t="str">
        <f t="shared" si="90"/>
        <v>0010</v>
      </c>
      <c r="EJ6" s="27" t="str">
        <f t="shared" si="91"/>
        <v>1110</v>
      </c>
      <c r="EK6" s="27" t="str">
        <f t="shared" si="92"/>
        <v>1101</v>
      </c>
      <c r="EL6" s="27" t="str">
        <f t="shared" si="93"/>
        <v>1110</v>
      </c>
      <c r="EM6" s="27" t="str">
        <f t="shared" si="94"/>
        <v>0111</v>
      </c>
      <c r="EN6" s="27" t="str">
        <f t="shared" si="95"/>
        <v>1100</v>
      </c>
      <c r="EO6" s="27" t="str">
        <f t="shared" si="96"/>
        <v>0101</v>
      </c>
      <c r="EP6" s="77">
        <f>BIN2DEC(EH6)-BIN2DEC(EH7)</f>
        <v>4</v>
      </c>
      <c r="EQ6" s="77">
        <f t="shared" ref="EQ6:EV6" si="198">BIN2DEC(EI6)-BIN2DEC(EI7)</f>
        <v>-9</v>
      </c>
      <c r="ER6" s="77">
        <f t="shared" si="198"/>
        <v>9</v>
      </c>
      <c r="ES6" s="77">
        <f t="shared" si="198"/>
        <v>11</v>
      </c>
      <c r="ET6" s="77">
        <f t="shared" si="198"/>
        <v>7</v>
      </c>
      <c r="EU6" s="77">
        <f t="shared" si="198"/>
        <v>0</v>
      </c>
      <c r="EV6" s="77">
        <f t="shared" si="198"/>
        <v>-3</v>
      </c>
      <c r="EW6" s="77">
        <f>BIN2DEC(EO6)-BIN2DEC(EO7)</f>
        <v>2</v>
      </c>
      <c r="EX6" s="26" t="str">
        <f t="shared" si="15"/>
        <v>0101001011101101</v>
      </c>
      <c r="EY6" s="26" t="str">
        <f t="shared" si="16"/>
        <v>1110011111000101</v>
      </c>
      <c r="EZ6" s="77">
        <f>MID(EX6,16,1)*POWER(2,0)+MID(EX6,15,1)*POWER(2,1)+MID(EX6,14,1)*POWER(2,2)+MID(EX6,13,1)*POWER(2,3)+MID(EX6,12,1)*POWER(2,4)+MID(EX6,11,1)*POWER(2,5)+MID(EX6,10,1)*POWER(2,6)+MID(EX6,9,1)*POWER(2,7)+MID(EX6,8,1)*POWER(2,8)+MID(EX6,7,1)*POWER(2,9)+MID(EX6,6,1)*POWER(2,10)+MID(EX6,5,1)*POWER(2,11)+MID(EX6,4,1)*POWER(2,12)+MID(EX6,3,1)*POWER(2,13)+MID(EX6,2,1)*POWER(2,14)+MID(EX6,1,1)*POWER(2,15)-(MID(EX7,16,1)*POWER(2,0)+MID(EX7,15,1)*POWER(2,1)+MID(EX7,14,1)*POWER(2,2)+MID(EX7,13,1)*POWER(2,3)+MID(EX7,12,1)*POWER(2,4)+MID(EX7,11,1)*POWER(2,5)+MID(EX7,10,1)*POWER(2,6)+MID(EX7,9,1)*POWER(2,7)+MID(EX7,8,1)*POWER(2,8)+MID(EX7,7,1)*POWER(2,9)+MID(EX7,6,1)*POWER(2,10)+MID(EX7,5,1)*POWER(2,11)+MID(EX7,4,1)*POWER(2,12)+MID(EX7,3,1)*POWER(2,13)+MID(EX7,2,1)*POWER(2,14)+MID(EX7,1,1)*POWER(2,15))</f>
        <v>20459</v>
      </c>
      <c r="FA6" s="77">
        <f>MID(EY6,16,1)*POWER(2,0)+MID(EY6,15,1)*POWER(2,1)+MID(EY6,14,1)*POWER(2,2)+MID(EY6,13,1)*POWER(2,3)+MID(EY6,12,1)*POWER(2,4)+MID(EY6,11,1)*POWER(2,5)+MID(EY6,10,1)*POWER(2,6)+MID(EY6,9,1)*POWER(2,7)+MID(EY6,8,1)*POWER(2,8)+MID(EY6,7,1)*POWER(2,9)+MID(EY6,6,1)*POWER(2,10)+MID(EY6,5,1)*POWER(2,11)+MID(EY6,4,1)*POWER(2,12)+MID(EY6,3,1)*POWER(2,13)+MID(EY6,2,1)*POWER(2,14)+MID(EY6,1,1)*POWER(2,15)-(MID(EY7,16,1)*POWER(2,0)+MID(EY7,15,1)*POWER(2,1)+MID(EY7,14,1)*POWER(2,2)+MID(EY7,13,1)*POWER(2,3)+MID(EY7,12,1)*POWER(2,4)+MID(EY7,11,1)*POWER(2,5)+MID(EY7,10,1)*POWER(2,6)+MID(EY7,9,1)*POWER(2,7)+MID(EY7,8,1)*POWER(2,8)+MID(EY7,7,1)*POWER(2,9)+MID(EY7,6,1)*POWER(2,10)+MID(EY7,5,1)*POWER(2,11)+MID(EY7,4,1)*POWER(2,12)+MID(EY7,3,1)*POWER(2,13)+MID(EY7,2,1)*POWER(2,14)+MID(EY7,1,1)*POWER(2,15))</f>
        <v>50338</v>
      </c>
      <c r="FB6" s="45" t="str">
        <f>L6</f>
        <v>01010010111011011110011111000101</v>
      </c>
      <c r="FC6" s="26" t="str">
        <f t="shared" si="180"/>
        <v>01010010</v>
      </c>
      <c r="FD6" s="26" t="str">
        <f t="shared" si="97"/>
        <v>11101101</v>
      </c>
      <c r="FE6" s="26" t="str">
        <f t="shared" si="98"/>
        <v>11100111</v>
      </c>
      <c r="FF6" s="26" t="str">
        <f t="shared" si="99"/>
        <v>11000101</v>
      </c>
      <c r="FG6" s="77">
        <f>BIN2DEC(FC6)-BIN2DEC(FC7)</f>
        <v>82</v>
      </c>
      <c r="FH6" s="77">
        <f>BIN2DEC(FD6)-BIN2DEC(FD7)</f>
        <v>237</v>
      </c>
      <c r="FI6" s="77">
        <f>BIN2DEC(FE6)-BIN2DEC(FE7)</f>
        <v>199</v>
      </c>
      <c r="FJ6" s="77">
        <f>BIN2DEC(FF6)-BIN2DEC(FF7)</f>
        <v>165</v>
      </c>
      <c r="FK6" s="27" t="str">
        <f t="shared" si="100"/>
        <v>0101</v>
      </c>
      <c r="FL6" s="27" t="str">
        <f t="shared" si="101"/>
        <v>0010</v>
      </c>
      <c r="FM6" s="27" t="str">
        <f t="shared" si="102"/>
        <v>1110</v>
      </c>
      <c r="FN6" s="27" t="str">
        <f t="shared" si="103"/>
        <v>1101</v>
      </c>
      <c r="FO6" s="27" t="str">
        <f t="shared" si="104"/>
        <v>1110</v>
      </c>
      <c r="FP6" s="27" t="str">
        <f t="shared" si="105"/>
        <v>0111</v>
      </c>
      <c r="FQ6" s="27" t="str">
        <f t="shared" si="106"/>
        <v>1100</v>
      </c>
      <c r="FR6" s="27" t="str">
        <f t="shared" si="107"/>
        <v>0101</v>
      </c>
      <c r="FS6" s="77">
        <f>BIN2DEC(FK6)-BIN2DEC(FK7)</f>
        <v>4</v>
      </c>
      <c r="FT6" s="77">
        <f t="shared" ref="FT6:FY6" si="199">BIN2DEC(FL6)-BIN2DEC(FL7)</f>
        <v>-9</v>
      </c>
      <c r="FU6" s="77">
        <f t="shared" si="199"/>
        <v>9</v>
      </c>
      <c r="FV6" s="77">
        <f t="shared" si="199"/>
        <v>11</v>
      </c>
      <c r="FW6" s="77">
        <f t="shared" si="199"/>
        <v>7</v>
      </c>
      <c r="FX6" s="77">
        <f t="shared" si="199"/>
        <v>0</v>
      </c>
      <c r="FY6" s="77">
        <f t="shared" si="199"/>
        <v>-3</v>
      </c>
      <c r="FZ6" s="77">
        <f>BIN2DEC(FR6)-BIN2DEC(FR7)</f>
        <v>2</v>
      </c>
      <c r="GA6" s="26" t="str">
        <f t="shared" si="18"/>
        <v>0101001011101101</v>
      </c>
      <c r="GB6" s="26" t="str">
        <f t="shared" si="19"/>
        <v>1110011111000101</v>
      </c>
      <c r="GC6" s="77">
        <f>MID(GA6,16,1)*POWER(2,0)+MID(GA6,15,1)*POWER(2,1)+MID(GA6,14,1)*POWER(2,2)+MID(GA6,13,1)*POWER(2,3)+MID(GA6,12,1)*POWER(2,4)+MID(GA6,11,1)*POWER(2,5)+MID(GA6,10,1)*POWER(2,6)+MID(GA6,9,1)*POWER(2,7)+MID(GA6,8,1)*POWER(2,8)+MID(GA6,7,1)*POWER(2,9)+MID(GA6,6,1)*POWER(2,10)+MID(GA6,5,1)*POWER(2,11)+MID(GA6,4,1)*POWER(2,12)+MID(GA6,3,1)*POWER(2,13)+MID(GA6,2,1)*POWER(2,14)+MID(GA6,1,1)*POWER(2,15)-(MID(GA7,16,1)*POWER(2,0)+MID(GA7,15,1)*POWER(2,1)+MID(GA7,14,1)*POWER(2,2)+MID(GA7,13,1)*POWER(2,3)+MID(GA7,12,1)*POWER(2,4)+MID(GA7,11,1)*POWER(2,5)+MID(GA7,10,1)*POWER(2,6)+MID(GA7,9,1)*POWER(2,7)+MID(GA7,8,1)*POWER(2,8)+MID(GA7,7,1)*POWER(2,9)+MID(GA7,6,1)*POWER(2,10)+MID(GA7,5,1)*POWER(2,11)+MID(GA7,4,1)*POWER(2,12)+MID(GA7,3,1)*POWER(2,13)+MID(GA7,2,1)*POWER(2,14)+MID(GA7,1,1)*POWER(2,15))</f>
        <v>21229</v>
      </c>
      <c r="GD6" s="77">
        <f>MID(GB6,16,1)*POWER(2,0)+MID(GB6,15,1)*POWER(2,1)+MID(GB6,14,1)*POWER(2,2)+MID(GB6,13,1)*POWER(2,3)+MID(GB6,12,1)*POWER(2,4)+MID(GB6,11,1)*POWER(2,5)+MID(GB6,10,1)*POWER(2,6)+MID(GB6,9,1)*POWER(2,7)+MID(GB6,8,1)*POWER(2,8)+MID(GB6,7,1)*POWER(2,9)+MID(GB6,6,1)*POWER(2,10)+MID(GB6,5,1)*POWER(2,11)+MID(GB6,4,1)*POWER(2,12)+MID(GB6,3,1)*POWER(2,13)+MID(GB6,2,1)*POWER(2,14)+MID(GB6,1,1)*POWER(2,15)-(MID(GB7,16,1)*POWER(2,0)+MID(GB7,15,1)*POWER(2,1)+MID(GB7,14,1)*POWER(2,2)+MID(GB7,13,1)*POWER(2,3)+MID(GB7,12,1)*POWER(2,4)+MID(GB7,11,1)*POWER(2,5)+MID(GB7,10,1)*POWER(2,6)+MID(GB7,9,1)*POWER(2,7)+MID(GB7,8,1)*POWER(2,8)+MID(GB7,7,1)*POWER(2,9)+MID(GB7,6,1)*POWER(2,10)+MID(GB7,5,1)*POWER(2,11)+MID(GB7,4,1)*POWER(2,12)+MID(GB7,3,1)*POWER(2,13)+MID(GB7,2,1)*POWER(2,14)+MID(GB7,1,1)*POWER(2,15))</f>
        <v>51109</v>
      </c>
      <c r="GE6" s="47" t="str">
        <f>CU6</f>
        <v>01000000011001000110010001000100</v>
      </c>
      <c r="GF6" s="26" t="str">
        <f t="shared" si="182"/>
        <v>01000000</v>
      </c>
      <c r="GG6" s="26" t="str">
        <f t="shared" si="108"/>
        <v>01100100</v>
      </c>
      <c r="GH6" s="26" t="str">
        <f t="shared" si="109"/>
        <v>01100100</v>
      </c>
      <c r="GI6" s="26" t="str">
        <f t="shared" si="110"/>
        <v>01000100</v>
      </c>
      <c r="GJ6" s="77">
        <f>BIN2DEC(GF6)-BIN2DEC(GF7)</f>
        <v>61</v>
      </c>
      <c r="GK6" s="77">
        <f>BIN2DEC(GG6)-BIN2DEC(GG7)</f>
        <v>98</v>
      </c>
      <c r="GL6" s="77">
        <f>BIN2DEC(GH6)-BIN2DEC(GH7)</f>
        <v>65</v>
      </c>
      <c r="GM6" s="77">
        <f>BIN2DEC(GI6)-BIN2DEC(GI7)</f>
        <v>33</v>
      </c>
      <c r="GN6" s="27" t="str">
        <f t="shared" si="111"/>
        <v>0101</v>
      </c>
      <c r="GO6" s="27" t="str">
        <f t="shared" si="112"/>
        <v>0010</v>
      </c>
      <c r="GP6" s="27" t="str">
        <f t="shared" si="113"/>
        <v>1110</v>
      </c>
      <c r="GQ6" s="27" t="str">
        <f t="shared" si="114"/>
        <v>1101</v>
      </c>
      <c r="GR6" s="27" t="str">
        <f t="shared" si="115"/>
        <v>1110</v>
      </c>
      <c r="GS6" s="27" t="str">
        <f t="shared" si="116"/>
        <v>0111</v>
      </c>
      <c r="GT6" s="27" t="str">
        <f t="shared" si="117"/>
        <v>1100</v>
      </c>
      <c r="GU6" s="27" t="str">
        <f t="shared" si="118"/>
        <v>0101</v>
      </c>
      <c r="GV6" s="77">
        <f>BIN2DEC(GN6)-BIN2DEC(GN7)</f>
        <v>4</v>
      </c>
      <c r="GW6" s="77">
        <f t="shared" ref="GW6:HB6" si="200">BIN2DEC(GO6)-BIN2DEC(GO7)</f>
        <v>-9</v>
      </c>
      <c r="GX6" s="77">
        <f t="shared" si="200"/>
        <v>9</v>
      </c>
      <c r="GY6" s="77">
        <f t="shared" si="200"/>
        <v>11</v>
      </c>
      <c r="GZ6" s="77">
        <f t="shared" si="200"/>
        <v>7</v>
      </c>
      <c r="HA6" s="77">
        <f t="shared" si="200"/>
        <v>0</v>
      </c>
      <c r="HB6" s="77">
        <f t="shared" si="200"/>
        <v>-3</v>
      </c>
      <c r="HC6" s="77">
        <f>BIN2DEC(GU6)-BIN2DEC(GU7)</f>
        <v>2</v>
      </c>
      <c r="HD6" s="26" t="str">
        <f t="shared" si="21"/>
        <v>0100000001100100</v>
      </c>
      <c r="HE6" s="26" t="str">
        <f t="shared" si="22"/>
        <v>0110010001000100</v>
      </c>
      <c r="HF6" s="77">
        <f>MID(HD6,16,1)*POWER(2,0)+MID(HD6,15,1)*POWER(2,1)+MID(HD6,14,1)*POWER(2,2)+MID(HD6,13,1)*POWER(2,3)+MID(HD6,12,1)*POWER(2,4)+MID(HD6,11,1)*POWER(2,5)+MID(HD6,10,1)*POWER(2,6)+MID(HD6,9,1)*POWER(2,7)+MID(HD6,8,1)*POWER(2,8)+MID(HD6,7,1)*POWER(2,9)+MID(HD6,6,1)*POWER(2,10)+MID(HD6,5,1)*POWER(2,11)+MID(HD6,4,1)*POWER(2,12)+MID(HD6,3,1)*POWER(2,13)+MID(HD6,2,1)*POWER(2,14)+MID(HD6,1,1)*POWER(2,15)-(MID(HD7,16,1)*POWER(2,0)+MID(HD7,15,1)*POWER(2,1)+MID(HD7,14,1)*POWER(2,2)+MID(HD7,13,1)*POWER(2,3)+MID(HD7,12,1)*POWER(2,4)+MID(HD7,11,1)*POWER(2,5)+MID(HD7,10,1)*POWER(2,6)+MID(HD7,9,1)*POWER(2,7)+MID(HD7,8,1)*POWER(2,8)+MID(HD7,7,1)*POWER(2,9)+MID(HD7,6,1)*POWER(2,10)+MID(HD7,5,1)*POWER(2,11)+MID(HD7,4,1)*POWER(2,12)+MID(HD7,3,1)*POWER(2,13)+MID(HD7,2,1)*POWER(2,14)+MID(HD7,1,1)*POWER(2,15))</f>
        <v>15714</v>
      </c>
      <c r="HG6" s="77">
        <f>MID(HE6,16,1)*POWER(2,0)+MID(HE6,15,1)*POWER(2,1)+MID(HE6,14,1)*POWER(2,2)+MID(HE6,13,1)*POWER(2,3)+MID(HE6,12,1)*POWER(2,4)+MID(HE6,11,1)*POWER(2,5)+MID(HE6,10,1)*POWER(2,6)+MID(HE6,9,1)*POWER(2,7)+MID(HE6,8,1)*POWER(2,8)+MID(HE6,7,1)*POWER(2,9)+MID(HE6,6,1)*POWER(2,10)+MID(HE6,5,1)*POWER(2,11)+MID(HE6,4,1)*POWER(2,12)+MID(HE6,3,1)*POWER(2,13)+MID(HE6,2,1)*POWER(2,14)+MID(HE6,1,1)*POWER(2,15)-(MID(HE7,16,1)*POWER(2,0)+MID(HE7,15,1)*POWER(2,1)+MID(HE7,14,1)*POWER(2,2)+MID(HE7,13,1)*POWER(2,3)+MID(HE7,12,1)*POWER(2,4)+MID(HE7,11,1)*POWER(2,5)+MID(HE7,10,1)*POWER(2,6)+MID(HE7,9,1)*POWER(2,7)+MID(HE7,8,1)*POWER(2,8)+MID(HE7,7,1)*POWER(2,9)+MID(HE7,6,1)*POWER(2,10)+MID(HE7,5,1)*POWER(2,11)+MID(HE7,4,1)*POWER(2,12)+MID(HE7,3,1)*POWER(2,13)+MID(HE7,2,1)*POWER(2,14)+MID(HE7,1,1)*POWER(2,15))</f>
        <v>16673</v>
      </c>
      <c r="HH6" s="43" t="str">
        <f>CONCATENATE(MID(DX6,17,16),MID(DX6,1,16))</f>
        <v>01000000011001000110010001000100</v>
      </c>
      <c r="HI6" s="26" t="str">
        <f t="shared" si="184"/>
        <v>01000000</v>
      </c>
      <c r="HJ6" s="26" t="str">
        <f t="shared" si="119"/>
        <v>01100100</v>
      </c>
      <c r="HK6" s="26" t="str">
        <f t="shared" si="120"/>
        <v>01100100</v>
      </c>
      <c r="HL6" s="26" t="str">
        <f t="shared" si="121"/>
        <v>01000100</v>
      </c>
      <c r="HM6" s="77">
        <f>BIN2DEC(HI6)-BIN2DEC(HI7)</f>
        <v>64</v>
      </c>
      <c r="HN6" s="77">
        <f>BIN2DEC(HJ6)-BIN2DEC(HJ7)</f>
        <v>100</v>
      </c>
      <c r="HO6" s="77">
        <f>BIN2DEC(HK6)-BIN2DEC(HK7)</f>
        <v>68</v>
      </c>
      <c r="HP6" s="77">
        <f>BIN2DEC(HL6)-BIN2DEC(HL7)</f>
        <v>36</v>
      </c>
      <c r="HQ6" s="27" t="str">
        <f t="shared" si="122"/>
        <v>0101</v>
      </c>
      <c r="HR6" s="27" t="str">
        <f t="shared" si="123"/>
        <v>0010</v>
      </c>
      <c r="HS6" s="27" t="str">
        <f t="shared" si="124"/>
        <v>1110</v>
      </c>
      <c r="HT6" s="27" t="str">
        <f t="shared" si="125"/>
        <v>1101</v>
      </c>
      <c r="HU6" s="27" t="str">
        <f t="shared" si="126"/>
        <v>1110</v>
      </c>
      <c r="HV6" s="27" t="str">
        <f t="shared" si="127"/>
        <v>0111</v>
      </c>
      <c r="HW6" s="27" t="str">
        <f t="shared" si="128"/>
        <v>1100</v>
      </c>
      <c r="HX6" s="27" t="str">
        <f t="shared" si="129"/>
        <v>0101</v>
      </c>
      <c r="HY6" s="77">
        <f>BIN2DEC(HQ6)-BIN2DEC(HQ7)</f>
        <v>4</v>
      </c>
      <c r="HZ6" s="77">
        <f t="shared" ref="HZ6:IE6" si="201">BIN2DEC(HR6)-BIN2DEC(HR7)</f>
        <v>-9</v>
      </c>
      <c r="IA6" s="77">
        <f t="shared" si="201"/>
        <v>9</v>
      </c>
      <c r="IB6" s="77">
        <f t="shared" si="201"/>
        <v>11</v>
      </c>
      <c r="IC6" s="77">
        <f t="shared" si="201"/>
        <v>7</v>
      </c>
      <c r="ID6" s="77">
        <f t="shared" si="201"/>
        <v>0</v>
      </c>
      <c r="IE6" s="77">
        <f t="shared" si="201"/>
        <v>-3</v>
      </c>
      <c r="IF6" s="77">
        <f>BIN2DEC(HX6)-BIN2DEC(HX7)</f>
        <v>2</v>
      </c>
      <c r="IG6" s="26" t="str">
        <f t="shared" si="24"/>
        <v>0100000001100100</v>
      </c>
      <c r="IH6" s="26" t="str">
        <f t="shared" si="25"/>
        <v>0110010001000100</v>
      </c>
      <c r="II6" s="77">
        <f>MID(IG6,16,1)*POWER(2,0)+MID(IG6,15,1)*POWER(2,1)+MID(IG6,14,1)*POWER(2,2)+MID(IG6,13,1)*POWER(2,3)+MID(IG6,12,1)*POWER(2,4)+MID(IG6,11,1)*POWER(2,5)+MID(IG6,10,1)*POWER(2,6)+MID(IG6,9,1)*POWER(2,7)+MID(IG6,8,1)*POWER(2,8)+MID(IG6,7,1)*POWER(2,9)+MID(IG6,6,1)*POWER(2,10)+MID(IG6,5,1)*POWER(2,11)+MID(IG6,4,1)*POWER(2,12)+MID(IG6,3,1)*POWER(2,13)+MID(IG6,2,1)*POWER(2,14)+MID(IG6,1,1)*POWER(2,15)-(MID(IG7,16,1)*POWER(2,0)+MID(IG7,15,1)*POWER(2,1)+MID(IG7,14,1)*POWER(2,2)+MID(IG7,13,1)*POWER(2,3)+MID(IG7,12,1)*POWER(2,4)+MID(IG7,11,1)*POWER(2,5)+MID(IG7,10,1)*POWER(2,6)+MID(IG7,9,1)*POWER(2,7)+MID(IG7,8,1)*POWER(2,8)+MID(IG7,7,1)*POWER(2,9)+MID(IG7,6,1)*POWER(2,10)+MID(IG7,5,1)*POWER(2,11)+MID(IG7,4,1)*POWER(2,12)+MID(IG7,3,1)*POWER(2,13)+MID(IG7,2,1)*POWER(2,14)+MID(IG7,1,1)*POWER(2,15))</f>
        <v>16484</v>
      </c>
      <c r="IJ6" s="77">
        <f>MID(IH6,16,1)*POWER(2,0)+MID(IH6,15,1)*POWER(2,1)+MID(IH6,14,1)*POWER(2,2)+MID(IH6,13,1)*POWER(2,3)+MID(IH6,12,1)*POWER(2,4)+MID(IH6,11,1)*POWER(2,5)+MID(IH6,10,1)*POWER(2,6)+MID(IH6,9,1)*POWER(2,7)+MID(IH6,8,1)*POWER(2,8)+MID(IH6,7,1)*POWER(2,9)+MID(IH6,6,1)*POWER(2,10)+MID(IH6,5,1)*POWER(2,11)+MID(IH6,4,1)*POWER(2,12)+MID(IH6,3,1)*POWER(2,13)+MID(IH6,2,1)*POWER(2,14)+MID(IH6,1,1)*POWER(2,15)-(MID(IH7,16,1)*POWER(2,0)+MID(IH7,15,1)*POWER(2,1)+MID(IH7,14,1)*POWER(2,2)+MID(IH7,13,1)*POWER(2,3)+MID(IH7,12,1)*POWER(2,4)+MID(IH7,11,1)*POWER(2,5)+MID(IH7,10,1)*POWER(2,6)+MID(IH7,9,1)*POWER(2,7)+MID(IH7,8,1)*POWER(2,8)+MID(IH7,7,1)*POWER(2,9)+MID(IH7,6,1)*POWER(2,10)+MID(IH7,5,1)*POWER(2,11)+MID(IH7,4,1)*POWER(2,12)+MID(IH7,3,1)*POWER(2,13)+MID(IH7,2,1)*POWER(2,14)+MID(IH7,1,1)*POWER(2,15))</f>
        <v>17444</v>
      </c>
      <c r="IK6" s="43" t="str">
        <f>HH6</f>
        <v>01000000011001000110010001000100</v>
      </c>
      <c r="IL6" s="26" t="str">
        <f t="shared" si="186"/>
        <v>01000000</v>
      </c>
      <c r="IM6" s="26" t="str">
        <f t="shared" si="130"/>
        <v>01100100</v>
      </c>
      <c r="IN6" s="26" t="str">
        <f t="shared" si="131"/>
        <v>01100100</v>
      </c>
      <c r="IO6" s="26" t="str">
        <f t="shared" si="132"/>
        <v>01000100</v>
      </c>
      <c r="IP6" s="77">
        <f>BIN2DEC(IL6)-BIN2DEC(IL7)</f>
        <v>37</v>
      </c>
      <c r="IQ6" s="77">
        <f>BIN2DEC(IM6)-BIN2DEC(IM7)</f>
        <v>18</v>
      </c>
      <c r="IR6" s="77">
        <f>BIN2DEC(IN6)-BIN2DEC(IN7)</f>
        <v>-19</v>
      </c>
      <c r="IS6" s="77">
        <f>BIN2DEC(IO6)-BIN2DEC(IO7)</f>
        <v>-175</v>
      </c>
      <c r="IT6" s="27" t="str">
        <f t="shared" si="133"/>
        <v>0101</v>
      </c>
      <c r="IU6" s="27" t="str">
        <f t="shared" si="134"/>
        <v>0010</v>
      </c>
      <c r="IV6" s="27" t="str">
        <f t="shared" si="135"/>
        <v>1110</v>
      </c>
      <c r="IW6" s="27" t="str">
        <f t="shared" si="136"/>
        <v>1101</v>
      </c>
      <c r="IX6" s="27" t="str">
        <f t="shared" si="137"/>
        <v>1110</v>
      </c>
      <c r="IY6" s="27" t="str">
        <f t="shared" si="138"/>
        <v>0111</v>
      </c>
      <c r="IZ6" s="27" t="str">
        <f t="shared" si="139"/>
        <v>1100</v>
      </c>
      <c r="JA6" s="27" t="str">
        <f t="shared" si="140"/>
        <v>0101</v>
      </c>
      <c r="JB6" s="77">
        <f t="shared" ref="JB6:JI6" si="202">BIN2DEC(IT6)-BIN2DEC(IT7)</f>
        <v>4</v>
      </c>
      <c r="JC6" s="77">
        <f t="shared" si="202"/>
        <v>-9</v>
      </c>
      <c r="JD6" s="77">
        <f t="shared" si="202"/>
        <v>9</v>
      </c>
      <c r="JE6" s="77">
        <f t="shared" si="202"/>
        <v>11</v>
      </c>
      <c r="JF6" s="77">
        <f t="shared" si="202"/>
        <v>7</v>
      </c>
      <c r="JG6" s="77">
        <f t="shared" si="202"/>
        <v>0</v>
      </c>
      <c r="JH6" s="77">
        <f t="shared" si="202"/>
        <v>-3</v>
      </c>
      <c r="JI6" s="77">
        <f t="shared" si="202"/>
        <v>2</v>
      </c>
      <c r="JJ6" s="26" t="str">
        <f t="shared" si="27"/>
        <v>0100000001100100</v>
      </c>
      <c r="JK6" s="26" t="str">
        <f t="shared" si="28"/>
        <v>0110010001000100</v>
      </c>
      <c r="JL6" s="77">
        <f>MID(JJ6,16,1)*POWER(2,0)+MID(JJ6,15,1)*POWER(2,1)+MID(JJ6,14,1)*POWER(2,2)+MID(JJ6,13,1)*POWER(2,3)+MID(JJ6,12,1)*POWER(2,4)+MID(JJ6,11,1)*POWER(2,5)+MID(JJ6,10,1)*POWER(2,6)+MID(JJ6,9,1)*POWER(2,7)+MID(JJ6,8,1)*POWER(2,8)+MID(JJ6,7,1)*POWER(2,9)+MID(JJ6,6,1)*POWER(2,10)+MID(JJ6,5,1)*POWER(2,11)+MID(JJ6,4,1)*POWER(2,12)+MID(JJ6,3,1)*POWER(2,13)+MID(JJ6,2,1)*POWER(2,14)+MID(JJ6,1,1)*POWER(2,15)-(MID(JJ7,16,1)*POWER(2,0)+MID(JJ7,15,1)*POWER(2,1)+MID(JJ7,14,1)*POWER(2,2)+MID(JJ7,13,1)*POWER(2,3)+MID(JJ7,12,1)*POWER(2,4)+MID(JJ7,11,1)*POWER(2,5)+MID(JJ7,10,1)*POWER(2,6)+MID(JJ7,9,1)*POWER(2,7)+MID(JJ7,8,1)*POWER(2,8)+MID(JJ7,7,1)*POWER(2,9)+MID(JJ7,6,1)*POWER(2,10)+MID(JJ7,5,1)*POWER(2,11)+MID(JJ7,4,1)*POWER(2,12)+MID(JJ7,3,1)*POWER(2,13)+MID(JJ7,2,1)*POWER(2,14)+MID(JJ7,1,1)*POWER(2,15))</f>
        <v>9490</v>
      </c>
      <c r="JM6" s="77">
        <f>MID(JK6,16,1)*POWER(2,0)+MID(JK6,15,1)*POWER(2,1)+MID(JK6,14,1)*POWER(2,2)+MID(JK6,13,1)*POWER(2,3)+MID(JK6,12,1)*POWER(2,4)+MID(JK6,11,1)*POWER(2,5)+MID(JK6,10,1)*POWER(2,6)+MID(JK6,9,1)*POWER(2,7)+MID(JK6,8,1)*POWER(2,8)+MID(JK6,7,1)*POWER(2,9)+MID(JK6,6,1)*POWER(2,10)+MID(JK6,5,1)*POWER(2,11)+MID(JK6,4,1)*POWER(2,12)+MID(JK6,3,1)*POWER(2,13)+MID(JK6,2,1)*POWER(2,14)+MID(JK6,1,1)*POWER(2,15)-(MID(JK7,16,1)*POWER(2,0)+MID(JK7,15,1)*POWER(2,1)+MID(JK7,14,1)*POWER(2,2)+MID(JK7,13,1)*POWER(2,3)+MID(JK7,12,1)*POWER(2,4)+MID(JK7,11,1)*POWER(2,5)+MID(JK7,10,1)*POWER(2,6)+MID(JK7,9,1)*POWER(2,7)+MID(JK7,8,1)*POWER(2,8)+MID(JK7,7,1)*POWER(2,9)+MID(JK7,6,1)*POWER(2,10)+MID(JK7,5,1)*POWER(2,11)+MID(JK7,4,1)*POWER(2,12)+MID(JK7,3,1)*POWER(2,13)+MID(JK7,2,1)*POWER(2,14)+MID(JK7,1,1)*POWER(2,15))</f>
        <v>-5039</v>
      </c>
      <c r="JN6" s="45" t="str">
        <f>CONCATENATE(MID(IK6,1,1)*MID($K6,1,1),MID(IK6,2,1)*MID($K6,2,1),MID(IK6,3,1)*MID($K6,3,1),MID(IK6,4,1)*MID($K6,4,1),MID(IK6,5,1)*MID($K6,5,1),MID(IK6,6,1)*MID($K6,6,1),MID(IK6,7,1)*MID($K6,7,1),MID(IK6,8,1)*MID($K6,8,1),MID(IK6,9,1)*MID($K6,1,1),MID(IK6,10,1)*MID($K6,2,1),MID(IK6,11,1)*MID($K6,3,1),MID(IK6,12,1)*MID($K6,4,1),MID(IK6,13,1)*MID($K6,5,1),MID(IK6,14,1)*MID($K6,6,1),MID(IK6,15,1)*MID($K6,7,1),MID(IK6,16,1)*MID($K6,8,1),MID(IK6,17,1)*MID($K6,1,1),MID(IK6,18,1)*MID($K6,2,1),MID(IK6,19,1)*MID($K6,3,1),MID(IK6,20,1)*MID($K6,4,1),MID(IK6,21,1)*MID($K6,5,1),MID(IK6,22,1)*MID($K6,6,1),MID(IK6,23,1)*MID($K6,7,1),MID(IK6,24,1)*MID($K6,8,1),MID(IK6,25,1)*MID($K6,1,1),MID(IK6,26,1)*MID($K6,2,1),MID(IK6,27,1)*MID($K6,3,1),MID(IK6,28,1)*MID($K6,4,1),MID(IK6,29,1)*MID($K6,5,1),MID(IK6,30,1)*MID($K6,6,1),MID(IK6,31,1)*MID($K6,7,1),MID(IK6,32,1)*MID($K6,8,1))</f>
        <v>01000000011001000110010001000100</v>
      </c>
      <c r="JO6" s="26" t="str">
        <f t="shared" si="188"/>
        <v>01000000</v>
      </c>
      <c r="JP6" s="26" t="str">
        <f t="shared" si="141"/>
        <v>01100100</v>
      </c>
      <c r="JQ6" s="26" t="str">
        <f t="shared" si="142"/>
        <v>01100100</v>
      </c>
      <c r="JR6" s="26" t="str">
        <f t="shared" si="143"/>
        <v>01000100</v>
      </c>
      <c r="JS6" s="77">
        <f>BIN2DEC(JO6)-BIN2DEC(JO7)</f>
        <v>37</v>
      </c>
      <c r="JT6" s="77">
        <f>BIN2DEC(JP6)-BIN2DEC(JP7)</f>
        <v>18</v>
      </c>
      <c r="JU6" s="77">
        <f>BIN2DEC(JQ6)-BIN2DEC(JQ7)</f>
        <v>-19</v>
      </c>
      <c r="JV6" s="77">
        <f>BIN2DEC(JR6)-BIN2DEC(JR7)</f>
        <v>-175</v>
      </c>
      <c r="JW6" s="27" t="str">
        <f t="shared" si="144"/>
        <v>0101</v>
      </c>
      <c r="JX6" s="27" t="str">
        <f t="shared" si="145"/>
        <v>0010</v>
      </c>
      <c r="JY6" s="27" t="str">
        <f t="shared" si="146"/>
        <v>1110</v>
      </c>
      <c r="JZ6" s="27" t="str">
        <f t="shared" si="147"/>
        <v>1101</v>
      </c>
      <c r="KA6" s="27" t="str">
        <f t="shared" si="148"/>
        <v>1110</v>
      </c>
      <c r="KB6" s="27" t="str">
        <f t="shared" si="149"/>
        <v>0111</v>
      </c>
      <c r="KC6" s="27" t="str">
        <f t="shared" si="150"/>
        <v>1100</v>
      </c>
      <c r="KD6" s="27" t="str">
        <f t="shared" si="151"/>
        <v>0101</v>
      </c>
      <c r="KE6" s="77">
        <f t="shared" ref="KE6:KL6" si="203">BIN2DEC(JW6)-BIN2DEC(JW7)</f>
        <v>4</v>
      </c>
      <c r="KF6" s="77">
        <f t="shared" si="203"/>
        <v>-9</v>
      </c>
      <c r="KG6" s="77">
        <f t="shared" si="203"/>
        <v>9</v>
      </c>
      <c r="KH6" s="77">
        <f t="shared" si="203"/>
        <v>11</v>
      </c>
      <c r="KI6" s="77">
        <f t="shared" si="203"/>
        <v>7</v>
      </c>
      <c r="KJ6" s="77">
        <f t="shared" si="203"/>
        <v>0</v>
      </c>
      <c r="KK6" s="77">
        <f t="shared" si="203"/>
        <v>-3</v>
      </c>
      <c r="KL6" s="77">
        <f t="shared" si="203"/>
        <v>2</v>
      </c>
      <c r="KM6" s="26" t="str">
        <f t="shared" si="30"/>
        <v>0100000001100100</v>
      </c>
      <c r="KN6" s="26" t="str">
        <f t="shared" si="31"/>
        <v>0110010001000100</v>
      </c>
      <c r="KO6" s="77">
        <f>MID(KM6,16,1)*POWER(2,0)+MID(KM6,15,1)*POWER(2,1)+MID(KM6,14,1)*POWER(2,2)+MID(KM6,13,1)*POWER(2,3)+MID(KM6,12,1)*POWER(2,4)+MID(KM6,11,1)*POWER(2,5)+MID(KM6,10,1)*POWER(2,6)+MID(KM6,9,1)*POWER(2,7)+MID(KM6,8,1)*POWER(2,8)+MID(KM6,7,1)*POWER(2,9)+MID(KM6,6,1)*POWER(2,10)+MID(KM6,5,1)*POWER(2,11)+MID(KM6,4,1)*POWER(2,12)+MID(KM6,3,1)*POWER(2,13)+MID(KM6,2,1)*POWER(2,14)+MID(KM6,1,1)*POWER(2,15)-(MID(KM7,16,1)*POWER(2,0)+MID(KM7,15,1)*POWER(2,1)+MID(KM7,14,1)*POWER(2,2)+MID(KM7,13,1)*POWER(2,3)+MID(KM7,12,1)*POWER(2,4)+MID(KM7,11,1)*POWER(2,5)+MID(KM7,10,1)*POWER(2,6)+MID(KM7,9,1)*POWER(2,7)+MID(KM7,8,1)*POWER(2,8)+MID(KM7,7,1)*POWER(2,9)+MID(KM7,6,1)*POWER(2,10)+MID(KM7,5,1)*POWER(2,11)+MID(KM7,4,1)*POWER(2,12)+MID(KM7,3,1)*POWER(2,13)+MID(KM7,2,1)*POWER(2,14)+MID(KM7,1,1)*POWER(2,15))</f>
        <v>9490</v>
      </c>
      <c r="KP6" s="77">
        <f>MID(KN6,16,1)*POWER(2,0)+MID(KN6,15,1)*POWER(2,1)+MID(KN6,14,1)*POWER(2,2)+MID(KN6,13,1)*POWER(2,3)+MID(KN6,12,1)*POWER(2,4)+MID(KN6,11,1)*POWER(2,5)+MID(KN6,10,1)*POWER(2,6)+MID(KN6,9,1)*POWER(2,7)+MID(KN6,8,1)*POWER(2,8)+MID(KN6,7,1)*POWER(2,9)+MID(KN6,6,1)*POWER(2,10)+MID(KN6,5,1)*POWER(2,11)+MID(KN6,4,1)*POWER(2,12)+MID(KN6,3,1)*POWER(2,13)+MID(KN6,2,1)*POWER(2,14)+MID(KN6,1,1)*POWER(2,15)-(MID(KN7,16,1)*POWER(2,0)+MID(KN7,15,1)*POWER(2,1)+MID(KN7,14,1)*POWER(2,2)+MID(KN7,13,1)*POWER(2,3)+MID(KN7,12,1)*POWER(2,4)+MID(KN7,11,1)*POWER(2,5)+MID(KN7,10,1)*POWER(2,6)+MID(KN7,9,1)*POWER(2,7)+MID(KN7,8,1)*POWER(2,8)+MID(KN7,7,1)*POWER(2,9)+MID(KN7,6,1)*POWER(2,10)+MID(KN7,5,1)*POWER(2,11)+MID(KN7,4,1)*POWER(2,12)+MID(KN7,3,1)*POWER(2,13)+MID(KN7,2,1)*POWER(2,14)+MID(KN7,1,1)*POWER(2,15))</f>
        <v>-5039</v>
      </c>
      <c r="KQ6" s="47" t="str">
        <f>IK6</f>
        <v>01000000011001000110010001000100</v>
      </c>
      <c r="KR6" s="26" t="str">
        <f t="shared" si="190"/>
        <v>01000000</v>
      </c>
      <c r="KS6" s="26" t="str">
        <f t="shared" si="152"/>
        <v>01100100</v>
      </c>
      <c r="KT6" s="26" t="str">
        <f t="shared" si="153"/>
        <v>01100100</v>
      </c>
      <c r="KU6" s="26" t="str">
        <f t="shared" si="154"/>
        <v>01000100</v>
      </c>
      <c r="KV6" s="77">
        <f>BIN2DEC(KR6)-BIN2DEC(KR7)</f>
        <v>64</v>
      </c>
      <c r="KW6" s="77">
        <f>BIN2DEC(KS6)-BIN2DEC(KS7)</f>
        <v>36</v>
      </c>
      <c r="KX6" s="77">
        <f>BIN2DEC(KT6)-BIN2DEC(KT7)</f>
        <v>0</v>
      </c>
      <c r="KY6" s="77">
        <f>BIN2DEC(KU6)-BIN2DEC(KU7)</f>
        <v>-28</v>
      </c>
      <c r="KZ6" s="27" t="str">
        <f t="shared" si="155"/>
        <v>0101</v>
      </c>
      <c r="LA6" s="27" t="str">
        <f t="shared" si="156"/>
        <v>0010</v>
      </c>
      <c r="LB6" s="27" t="str">
        <f t="shared" si="157"/>
        <v>1110</v>
      </c>
      <c r="LC6" s="27" t="str">
        <f t="shared" si="158"/>
        <v>1101</v>
      </c>
      <c r="LD6" s="27" t="str">
        <f t="shared" si="159"/>
        <v>1110</v>
      </c>
      <c r="LE6" s="27" t="str">
        <f t="shared" si="160"/>
        <v>0111</v>
      </c>
      <c r="LF6" s="27" t="str">
        <f t="shared" si="161"/>
        <v>1100</v>
      </c>
      <c r="LG6" s="27" t="str">
        <f t="shared" si="162"/>
        <v>0101</v>
      </c>
      <c r="LH6" s="77">
        <f t="shared" ref="LH6:LO6" si="204">BIN2DEC(KZ6)-BIN2DEC(KZ7)</f>
        <v>4</v>
      </c>
      <c r="LI6" s="77">
        <f t="shared" si="204"/>
        <v>-9</v>
      </c>
      <c r="LJ6" s="77">
        <f t="shared" si="204"/>
        <v>9</v>
      </c>
      <c r="LK6" s="77">
        <f t="shared" si="204"/>
        <v>11</v>
      </c>
      <c r="LL6" s="77">
        <f t="shared" si="204"/>
        <v>7</v>
      </c>
      <c r="LM6" s="77">
        <f t="shared" si="204"/>
        <v>0</v>
      </c>
      <c r="LN6" s="77">
        <f t="shared" si="204"/>
        <v>-3</v>
      </c>
      <c r="LO6" s="77">
        <f t="shared" si="204"/>
        <v>2</v>
      </c>
      <c r="LP6" s="26" t="str">
        <f t="shared" si="33"/>
        <v>0100000001100100</v>
      </c>
      <c r="LQ6" s="26" t="str">
        <f t="shared" si="34"/>
        <v>0110010001000100</v>
      </c>
      <c r="LR6" s="77">
        <f>MID(LP6,16,1)*POWER(2,0)+MID(LP6,15,1)*POWER(2,1)+MID(LP6,14,1)*POWER(2,2)+MID(LP6,13,1)*POWER(2,3)+MID(LP6,12,1)*POWER(2,4)+MID(LP6,11,1)*POWER(2,5)+MID(LP6,10,1)*POWER(2,6)+MID(LP6,9,1)*POWER(2,7)+MID(LP6,8,1)*POWER(2,8)+MID(LP6,7,1)*POWER(2,9)+MID(LP6,6,1)*POWER(2,10)+MID(LP6,5,1)*POWER(2,11)+MID(LP6,4,1)*POWER(2,12)+MID(LP6,3,1)*POWER(2,13)+MID(LP6,2,1)*POWER(2,14)+MID(LP6,1,1)*POWER(2,15)-(MID(LP7,16,1)*POWER(2,0)+MID(LP7,15,1)*POWER(2,1)+MID(LP7,14,1)*POWER(2,2)+MID(LP7,13,1)*POWER(2,3)+MID(LP7,12,1)*POWER(2,4)+MID(LP7,11,1)*POWER(2,5)+MID(LP7,10,1)*POWER(2,6)+MID(LP7,9,1)*POWER(2,7)+MID(LP7,8,1)*POWER(2,8)+MID(LP7,7,1)*POWER(2,9)+MID(LP7,6,1)*POWER(2,10)+MID(LP7,5,1)*POWER(2,11)+MID(LP7,4,1)*POWER(2,12)+MID(LP7,3,1)*POWER(2,13)+MID(LP7,2,1)*POWER(2,14)+MID(LP7,1,1)*POWER(2,15))</f>
        <v>16420</v>
      </c>
      <c r="LS6" s="77">
        <f>MID(LQ6,16,1)*POWER(2,0)+MID(LQ6,15,1)*POWER(2,1)+MID(LQ6,14,1)*POWER(2,2)+MID(LQ6,13,1)*POWER(2,3)+MID(LQ6,12,1)*POWER(2,4)+MID(LQ6,11,1)*POWER(2,5)+MID(LQ6,10,1)*POWER(2,6)+MID(LQ6,9,1)*POWER(2,7)+MID(LQ6,8,1)*POWER(2,8)+MID(LQ6,7,1)*POWER(2,9)+MID(LQ6,6,1)*POWER(2,10)+MID(LQ6,5,1)*POWER(2,11)+MID(LQ6,4,1)*POWER(2,12)+MID(LQ6,3,1)*POWER(2,13)+MID(LQ6,2,1)*POWER(2,14)+MID(LQ6,1,1)*POWER(2,15)-(MID(LQ7,16,1)*POWER(2,0)+MID(LQ7,15,1)*POWER(2,1)+MID(LQ7,14,1)*POWER(2,2)+MID(LQ7,13,1)*POWER(2,3)+MID(LQ7,12,1)*POWER(2,4)+MID(LQ7,11,1)*POWER(2,5)+MID(LQ7,10,1)*POWER(2,6)+MID(LQ7,9,1)*POWER(2,7)+MID(LQ7,8,1)*POWER(2,8)+MID(LQ7,7,1)*POWER(2,9)+MID(LQ7,6,1)*POWER(2,10)+MID(LQ7,5,1)*POWER(2,11)+MID(LQ7,4,1)*POWER(2,12)+MID(LQ7,3,1)*POWER(2,13)+MID(LQ7,2,1)*POWER(2,14)+MID(LQ7,1,1)*POWER(2,15))</f>
        <v>-28</v>
      </c>
      <c r="LT6" s="43" t="str">
        <f>JN6</f>
        <v>01000000011001000110010001000100</v>
      </c>
      <c r="LU6" s="26" t="str">
        <f t="shared" si="192"/>
        <v>01000000</v>
      </c>
      <c r="LV6" s="26" t="str">
        <f t="shared" si="163"/>
        <v>01100100</v>
      </c>
      <c r="LW6" s="26" t="str">
        <f t="shared" si="164"/>
        <v>01100100</v>
      </c>
      <c r="LX6" s="26" t="str">
        <f t="shared" si="165"/>
        <v>01000100</v>
      </c>
      <c r="LY6" s="77">
        <f>BIN2DEC(LU6)-BIN2DEC(LU7)</f>
        <v>61</v>
      </c>
      <c r="LZ6" s="77">
        <f>BIN2DEC(LV6)-BIN2DEC(LV7)</f>
        <v>98</v>
      </c>
      <c r="MA6" s="77">
        <f>BIN2DEC(LW6)-BIN2DEC(LW7)</f>
        <v>65</v>
      </c>
      <c r="MB6" s="77">
        <f>BIN2DEC(LX6)-BIN2DEC(LX7)</f>
        <v>33</v>
      </c>
      <c r="MC6" s="27" t="str">
        <f t="shared" si="166"/>
        <v>0101</v>
      </c>
      <c r="MD6" s="27" t="str">
        <f t="shared" si="167"/>
        <v>0010</v>
      </c>
      <c r="ME6" s="27" t="str">
        <f t="shared" si="168"/>
        <v>1110</v>
      </c>
      <c r="MF6" s="27" t="str">
        <f t="shared" si="169"/>
        <v>1101</v>
      </c>
      <c r="MG6" s="27" t="str">
        <f t="shared" si="170"/>
        <v>1110</v>
      </c>
      <c r="MH6" s="27" t="str">
        <f t="shared" si="171"/>
        <v>0111</v>
      </c>
      <c r="MI6" s="27" t="str">
        <f t="shared" si="172"/>
        <v>1100</v>
      </c>
      <c r="MJ6" s="27" t="str">
        <f t="shared" si="173"/>
        <v>0101</v>
      </c>
      <c r="MK6" s="77">
        <f t="shared" ref="MK6:MR6" si="205">BIN2DEC(MC6)-BIN2DEC(MC7)</f>
        <v>4</v>
      </c>
      <c r="ML6" s="77">
        <f t="shared" si="205"/>
        <v>-9</v>
      </c>
      <c r="MM6" s="77">
        <f t="shared" si="205"/>
        <v>9</v>
      </c>
      <c r="MN6" s="77">
        <f t="shared" si="205"/>
        <v>11</v>
      </c>
      <c r="MO6" s="77">
        <f t="shared" si="205"/>
        <v>7</v>
      </c>
      <c r="MP6" s="77">
        <f t="shared" si="205"/>
        <v>0</v>
      </c>
      <c r="MQ6" s="77">
        <f t="shared" si="205"/>
        <v>-3</v>
      </c>
      <c r="MR6" s="77">
        <f t="shared" si="205"/>
        <v>2</v>
      </c>
      <c r="MS6" s="26" t="str">
        <f t="shared" si="36"/>
        <v>0100000001100100</v>
      </c>
      <c r="MT6" s="26" t="str">
        <f t="shared" si="37"/>
        <v>0110010001000100</v>
      </c>
      <c r="MU6" s="77">
        <f>MID(MS6,16,1)*POWER(2,0)+MID(MS6,15,1)*POWER(2,1)+MID(MS6,14,1)*POWER(2,2)+MID(MS6,13,1)*POWER(2,3)+MID(MS6,12,1)*POWER(2,4)+MID(MS6,11,1)*POWER(2,5)+MID(MS6,10,1)*POWER(2,6)+MID(MS6,9,1)*POWER(2,7)+MID(MS6,8,1)*POWER(2,8)+MID(MS6,7,1)*POWER(2,9)+MID(MS6,6,1)*POWER(2,10)+MID(MS6,5,1)*POWER(2,11)+MID(MS6,4,1)*POWER(2,12)+MID(MS6,3,1)*POWER(2,13)+MID(MS6,2,1)*POWER(2,14)+MID(MS6,1,1)*POWER(2,15)-(MID(MS7,16,1)*POWER(2,0)+MID(MS7,15,1)*POWER(2,1)+MID(MS7,14,1)*POWER(2,2)+MID(MS7,13,1)*POWER(2,3)+MID(MS7,12,1)*POWER(2,4)+MID(MS7,11,1)*POWER(2,5)+MID(MS7,10,1)*POWER(2,6)+MID(MS7,9,1)*POWER(2,7)+MID(MS7,8,1)*POWER(2,8)+MID(MS7,7,1)*POWER(2,9)+MID(MS7,6,1)*POWER(2,10)+MID(MS7,5,1)*POWER(2,11)+MID(MS7,4,1)*POWER(2,12)+MID(MS7,3,1)*POWER(2,13)+MID(MS7,2,1)*POWER(2,14)+MID(MS7,1,1)*POWER(2,15))</f>
        <v>15714</v>
      </c>
      <c r="MV6" s="77">
        <f>MID(MT6,16,1)*POWER(2,0)+MID(MT6,15,1)*POWER(2,1)+MID(MT6,14,1)*POWER(2,2)+MID(MT6,13,1)*POWER(2,3)+MID(MT6,12,1)*POWER(2,4)+MID(MT6,11,1)*POWER(2,5)+MID(MT6,10,1)*POWER(2,6)+MID(MT6,9,1)*POWER(2,7)+MID(MT6,8,1)*POWER(2,8)+MID(MT6,7,1)*POWER(2,9)+MID(MT6,6,1)*POWER(2,10)+MID(MT6,5,1)*POWER(2,11)+MID(MT6,4,1)*POWER(2,12)+MID(MT6,3,1)*POWER(2,13)+MID(MT6,2,1)*POWER(2,14)+MID(MT6,1,1)*POWER(2,15)-(MID(MT7,16,1)*POWER(2,0)+MID(MT7,15,1)*POWER(2,1)+MID(MT7,14,1)*POWER(2,2)+MID(MT7,13,1)*POWER(2,3)+MID(MT7,12,1)*POWER(2,4)+MID(MT7,11,1)*POWER(2,5)+MID(MT7,10,1)*POWER(2,6)+MID(MT7,9,1)*POWER(2,7)+MID(MT7,8,1)*POWER(2,8)+MID(MT7,7,1)*POWER(2,9)+MID(MT7,6,1)*POWER(2,10)+MID(MT7,5,1)*POWER(2,11)+MID(MT7,4,1)*POWER(2,12)+MID(MT7,3,1)*POWER(2,13)+MID(MT7,2,1)*POWER(2,14)+MID(MT7,1,1)*POWER(2,15))</f>
        <v>16673</v>
      </c>
    </row>
    <row r="7" spans="1:360" s="31" customFormat="1" ht="18.600000000000001" thickBot="1" x14ac:dyDescent="0.4">
      <c r="A7" s="28"/>
      <c r="B7" s="29"/>
      <c r="C7" s="21" t="s">
        <v>6</v>
      </c>
      <c r="D7" s="21">
        <v>43</v>
      </c>
      <c r="E7" s="21" t="s">
        <v>34</v>
      </c>
      <c r="F7" s="21" t="s">
        <v>91</v>
      </c>
      <c r="G7" s="21" t="s">
        <v>79</v>
      </c>
      <c r="H7" s="21" t="str">
        <f t="shared" si="0"/>
        <v>01000011111010100110111001111110</v>
      </c>
      <c r="I7" s="21">
        <f t="shared" si="1"/>
        <v>19</v>
      </c>
      <c r="J7" s="21"/>
      <c r="K7" s="21"/>
      <c r="L7" s="44" t="str">
        <f>CONCATENATE(MID(H7,4,5),MID(H7,25,3),MID(H7,12,5),MID(H7,1,3),MID(H7,20,5),MID(H7,9,3),MID(H7,28,5),MID(H7,17,3))</f>
        <v>00011011010100100111011111110011</v>
      </c>
      <c r="M7" s="26" t="str">
        <f t="shared" si="38"/>
        <v>00011</v>
      </c>
      <c r="N7" s="26" t="str">
        <f t="shared" si="39"/>
        <v>01010</v>
      </c>
      <c r="O7" s="26" t="str">
        <f t="shared" si="40"/>
        <v>01110</v>
      </c>
      <c r="P7" s="26" t="str">
        <f t="shared" si="41"/>
        <v>11110</v>
      </c>
      <c r="Q7" s="78"/>
      <c r="R7" s="78"/>
      <c r="S7" s="78"/>
      <c r="T7" s="78"/>
      <c r="U7" s="31" t="str">
        <f t="shared" si="42"/>
        <v>0001</v>
      </c>
      <c r="V7" s="31" t="str">
        <f t="shared" si="43"/>
        <v>1011</v>
      </c>
      <c r="W7" s="31" t="str">
        <f t="shared" si="44"/>
        <v>0101</v>
      </c>
      <c r="X7" s="31" t="str">
        <f t="shared" si="45"/>
        <v>0010</v>
      </c>
      <c r="Y7" s="31" t="str">
        <f t="shared" si="46"/>
        <v>0111</v>
      </c>
      <c r="Z7" s="31" t="str">
        <f t="shared" si="47"/>
        <v>0111</v>
      </c>
      <c r="AA7" s="31" t="str">
        <f t="shared" si="48"/>
        <v>1111</v>
      </c>
      <c r="AB7" s="31" t="str">
        <f t="shared" si="49"/>
        <v>0011</v>
      </c>
      <c r="AC7" s="78"/>
      <c r="AD7" s="78"/>
      <c r="AE7" s="78"/>
      <c r="AF7" s="78"/>
      <c r="AG7" s="78"/>
      <c r="AH7" s="78"/>
      <c r="AI7" s="78"/>
      <c r="AJ7" s="78"/>
      <c r="AK7" s="30" t="str">
        <f t="shared" si="3"/>
        <v>0001101101010010</v>
      </c>
      <c r="AL7" s="30" t="str">
        <f t="shared" si="4"/>
        <v>0111011111110011</v>
      </c>
      <c r="AM7" s="78"/>
      <c r="AN7" s="78"/>
      <c r="AO7" s="46" t="str">
        <f>CONCATENATE(MID($L7,1,1)*MID($K6,1,1),MID($L7,2,1)*MID($K6,2,1),MID($L7,3,1)*MID($K6,3,1),MID($L7,4,1)*MID($K6,4,1),MID($L7,5,1)*MID($K6,5,1),MID($L7,6,1)*MID($K6,6,1),MID($L7,7,1)*MID($K6,7,1),MID($L7,8,1)*MID($K6,8,1),MID($L7,9,1)*MID($K6,1,1),MID($L7,10,1)*MID($K6,2,1),MID($L7,11,1)*MID($K6,3,1),MID($L7,12,1)*MID($K6,4,1),MID($L7,13,1)*MID($K6,5,1),MID($L7,14,1)*MID($K6,6,1),MID($L7,15,1)*MID($K6,7,1),MID($L7,16,1)*MID($K6,8,1),MID($L7,17,1)*MID($K6,1,1),MID($L7,18,1)*MID($K6,2,1),MID($L7,19,1)*MID($K6,3,1),MID($L7,20,1)*MID($K6,4,1),MID($L7,21,1)*MID($K6,5,1),MID($L7,22,1)*MID($K6,6,1),MID($L7,23,1)*MID($K6,7,1),MID($L7,24,1)*MID($K6,8,1),MID($L7,25,1)*MID($K6,1,1),MID($L7,26,1)*MID($K6,2,1),MID($L7,27,1)*MID($K6,3,1),MID($L7,28,1)*MID($K6,4,1),MID($L7,29,1)*MID($K6,5,1),MID($L7,30,1)*MID($K6,6,1),MID($L7,31,1)*MID($K6,7,1),MID($L7,32,1)*MID($K6,8,1))</f>
        <v>00000000010000000110010001100000</v>
      </c>
      <c r="AP7" s="30" t="str">
        <f t="shared" si="50"/>
        <v>00000000</v>
      </c>
      <c r="AQ7" s="30" t="str">
        <f t="shared" si="51"/>
        <v>01000000</v>
      </c>
      <c r="AR7" s="30" t="str">
        <f t="shared" si="52"/>
        <v>01100100</v>
      </c>
      <c r="AS7" s="30" t="str">
        <f t="shared" si="53"/>
        <v>01100000</v>
      </c>
      <c r="AT7" s="78"/>
      <c r="AU7" s="78"/>
      <c r="AV7" s="78"/>
      <c r="AW7" s="78"/>
      <c r="AX7" s="31" t="str">
        <f t="shared" si="54"/>
        <v>0001</v>
      </c>
      <c r="AY7" s="31" t="str">
        <f t="shared" si="55"/>
        <v>1011</v>
      </c>
      <c r="AZ7" s="31" t="str">
        <f t="shared" si="56"/>
        <v>0101</v>
      </c>
      <c r="BA7" s="31" t="str">
        <f t="shared" si="57"/>
        <v>0010</v>
      </c>
      <c r="BB7" s="31" t="str">
        <f t="shared" si="58"/>
        <v>0111</v>
      </c>
      <c r="BC7" s="31" t="str">
        <f t="shared" si="59"/>
        <v>0111</v>
      </c>
      <c r="BD7" s="31" t="str">
        <f t="shared" si="60"/>
        <v>1111</v>
      </c>
      <c r="BE7" s="31" t="str">
        <f t="shared" si="61"/>
        <v>0011</v>
      </c>
      <c r="BF7" s="78"/>
      <c r="BG7" s="78"/>
      <c r="BH7" s="78"/>
      <c r="BI7" s="78"/>
      <c r="BJ7" s="78"/>
      <c r="BK7" s="78"/>
      <c r="BL7" s="78"/>
      <c r="BM7" s="78"/>
      <c r="BN7" s="30" t="str">
        <f t="shared" si="6"/>
        <v>0000000001000000</v>
      </c>
      <c r="BO7" s="30" t="str">
        <f t="shared" si="7"/>
        <v>0110010001100000</v>
      </c>
      <c r="BP7" s="78"/>
      <c r="BQ7" s="78"/>
      <c r="BR7" s="46" t="str">
        <f>L7</f>
        <v>00011011010100100111011111110011</v>
      </c>
      <c r="BS7" s="30" t="str">
        <f t="shared" si="62"/>
        <v>00011011</v>
      </c>
      <c r="BT7" s="30" t="str">
        <f t="shared" si="63"/>
        <v>01010010</v>
      </c>
      <c r="BU7" s="30" t="str">
        <f t="shared" si="64"/>
        <v>01110111</v>
      </c>
      <c r="BV7" s="30" t="str">
        <f t="shared" si="65"/>
        <v>11110011</v>
      </c>
      <c r="BW7" s="78"/>
      <c r="BX7" s="78"/>
      <c r="BY7" s="78"/>
      <c r="BZ7" s="78"/>
      <c r="CA7" s="31" t="str">
        <f t="shared" si="66"/>
        <v>0001</v>
      </c>
      <c r="CB7" s="31" t="str">
        <f t="shared" si="67"/>
        <v>1011</v>
      </c>
      <c r="CC7" s="31" t="str">
        <f t="shared" si="68"/>
        <v>0101</v>
      </c>
      <c r="CD7" s="31" t="str">
        <f t="shared" si="69"/>
        <v>0010</v>
      </c>
      <c r="CE7" s="31" t="str">
        <f t="shared" si="70"/>
        <v>0111</v>
      </c>
      <c r="CF7" s="31" t="str">
        <f t="shared" si="71"/>
        <v>0111</v>
      </c>
      <c r="CG7" s="31" t="str">
        <f t="shared" si="72"/>
        <v>1111</v>
      </c>
      <c r="CH7" s="31" t="str">
        <f t="shared" si="73"/>
        <v>0011</v>
      </c>
      <c r="CI7" s="78"/>
      <c r="CJ7" s="78"/>
      <c r="CK7" s="78"/>
      <c r="CL7" s="78"/>
      <c r="CM7" s="78"/>
      <c r="CN7" s="78"/>
      <c r="CO7" s="78"/>
      <c r="CP7" s="78"/>
      <c r="CQ7" s="30" t="str">
        <f t="shared" si="9"/>
        <v>0001101101010010</v>
      </c>
      <c r="CR7" s="30" t="str">
        <f t="shared" si="10"/>
        <v>0111011111110011</v>
      </c>
      <c r="CS7" s="78"/>
      <c r="CT7" s="78"/>
      <c r="CU7" s="46" t="str">
        <f>AO7</f>
        <v>00000000010000000110010001100000</v>
      </c>
      <c r="CV7" s="30" t="str">
        <f t="shared" si="74"/>
        <v>00000000</v>
      </c>
      <c r="CW7" s="30" t="str">
        <f t="shared" si="75"/>
        <v>01000000</v>
      </c>
      <c r="CX7" s="30" t="str">
        <f t="shared" si="76"/>
        <v>01100100</v>
      </c>
      <c r="CY7" s="30" t="str">
        <f t="shared" si="77"/>
        <v>01100000</v>
      </c>
      <c r="CZ7" s="78"/>
      <c r="DA7" s="78"/>
      <c r="DB7" s="78"/>
      <c r="DC7" s="78"/>
      <c r="DD7" s="31" t="str">
        <f t="shared" si="78"/>
        <v>0001</v>
      </c>
      <c r="DE7" s="31" t="str">
        <f t="shared" si="79"/>
        <v>1011</v>
      </c>
      <c r="DF7" s="31" t="str">
        <f t="shared" si="80"/>
        <v>0101</v>
      </c>
      <c r="DG7" s="31" t="str">
        <f t="shared" si="81"/>
        <v>0010</v>
      </c>
      <c r="DH7" s="31" t="str">
        <f t="shared" si="82"/>
        <v>0111</v>
      </c>
      <c r="DI7" s="31" t="str">
        <f t="shared" si="83"/>
        <v>0111</v>
      </c>
      <c r="DJ7" s="31" t="str">
        <f t="shared" si="84"/>
        <v>1111</v>
      </c>
      <c r="DK7" s="31" t="str">
        <f t="shared" si="85"/>
        <v>0011</v>
      </c>
      <c r="DL7" s="78"/>
      <c r="DM7" s="78"/>
      <c r="DN7" s="78"/>
      <c r="DO7" s="78"/>
      <c r="DP7" s="78"/>
      <c r="DQ7" s="78"/>
      <c r="DR7" s="78"/>
      <c r="DS7" s="78"/>
      <c r="DT7" s="30" t="str">
        <f t="shared" si="12"/>
        <v>0000000001000000</v>
      </c>
      <c r="DU7" s="30" t="str">
        <f t="shared" si="13"/>
        <v>0110010001100000</v>
      </c>
      <c r="DV7" s="78"/>
      <c r="DW7" s="78"/>
      <c r="DX7" s="23" t="str">
        <f>CONCATENATE(MID($H7,1,1)*MID($K6,1,1),MID($H7,2,1)*MID($K6,2,1),MID($H7,3,1)*MID($K6,3,1),MID($H7,4,1)*MID($K6,4,1),MID($H7,5,1)*MID($K6,5,1),MID($H7,6,1)*MID($K6,6,1),MID($H7,7,1)*MID($K6,7,1),MID($H7,8,1)*MID($K6,8,1),MID($H7,9,1)*MID($K6,1,1),MID($H7,10,1)*MID($K6,2,1),MID($H7,11,1)*MID($K6,3,1),MID($H7,12,1)*MID($K6,4,1),MID($H7,13,1)*MID($K6,5,1),MID($H7,14,1)*MID($K6,6,1),MID($H7,15,1)*MID($K6,7,1),MID($H7,16,1)*MID($K6,8,1),MID($H7,17,1)*MID($K6,1,1),MID($H7,18,1)*MID($K6,2,1),MID($H7,19,1)*MID($K6,3,1),MID($H7,20,1)*MID($K6,4,1),MID($H7,21,1)*MID($K6,5,1),MID($H7,22,1)*MID($K6,6,1),MID($H7,23,1)*MID($K6,7,1),MID($H7,24,1)*MID($K6,8,1),MID($H7,25,1)*MID($K6,1,1),MID($H7,26,1)*MID($K6,2,1),MID($H7,27,1)*MID($K6,3,1),MID($H7,28,1)*MID($K6,4,1),MID($H7,29,1)*MID($K6,5,1),MID($H7,30,1)*MID($K6,6,1),MID($H7,31,1)*MID($K6,7,1),MID($H7,32,1)*MID($K6,8,1))</f>
        <v>01000000011000000110010001100100</v>
      </c>
      <c r="DY7" s="44" t="str">
        <f>CONCATENATE(MID(DX7,4,5),MID(DX7,25,3),MID(DX7,12,5),MID(DX7,1,3),MID(DX7,20,5),MID(DX7,9,3),MID(DX7,28,5),MID(DX7,17,3))</f>
        <v>00000011000000100010001100100011</v>
      </c>
      <c r="DZ7" s="30" t="str">
        <f t="shared" si="178"/>
        <v>00000011</v>
      </c>
      <c r="EA7" s="30" t="str">
        <f t="shared" si="86"/>
        <v>00000010</v>
      </c>
      <c r="EB7" s="30" t="str">
        <f t="shared" si="87"/>
        <v>00100011</v>
      </c>
      <c r="EC7" s="30" t="str">
        <f t="shared" si="88"/>
        <v>00100011</v>
      </c>
      <c r="ED7" s="78"/>
      <c r="EE7" s="78"/>
      <c r="EF7" s="78"/>
      <c r="EG7" s="78"/>
      <c r="EH7" s="31" t="str">
        <f t="shared" si="89"/>
        <v>0001</v>
      </c>
      <c r="EI7" s="31" t="str">
        <f t="shared" si="90"/>
        <v>1011</v>
      </c>
      <c r="EJ7" s="31" t="str">
        <f t="shared" si="91"/>
        <v>0101</v>
      </c>
      <c r="EK7" s="31" t="str">
        <f t="shared" si="92"/>
        <v>0010</v>
      </c>
      <c r="EL7" s="31" t="str">
        <f t="shared" si="93"/>
        <v>0111</v>
      </c>
      <c r="EM7" s="31" t="str">
        <f t="shared" si="94"/>
        <v>0111</v>
      </c>
      <c r="EN7" s="31" t="str">
        <f t="shared" si="95"/>
        <v>1111</v>
      </c>
      <c r="EO7" s="31" t="str">
        <f t="shared" si="96"/>
        <v>0011</v>
      </c>
      <c r="EP7" s="78"/>
      <c r="EQ7" s="78"/>
      <c r="ER7" s="78"/>
      <c r="ES7" s="78"/>
      <c r="ET7" s="78"/>
      <c r="EU7" s="78"/>
      <c r="EV7" s="78"/>
      <c r="EW7" s="78"/>
      <c r="EX7" s="30" t="str">
        <f t="shared" si="15"/>
        <v>0000001100000010</v>
      </c>
      <c r="EY7" s="30" t="str">
        <f t="shared" si="16"/>
        <v>0010001100100011</v>
      </c>
      <c r="EZ7" s="78"/>
      <c r="FA7" s="78"/>
      <c r="FB7" s="46" t="str">
        <f>CONCATENATE(MID(DY7,1,1)*MID($K6,1,1),MID(DY7,2,1)*MID($K6,2,1),MID(DY7,3,1)*MID($K6,3,1),MID(DY7,4,1)*MID($K6,4,1),MID(DY7,5,1)*MID($K6,5,1),MID(DY7,6,1)*MID($K6,6,1),MID(DY7,7,1)*MID($K6,7,1),MID(DY7,8,1)*MID($K6,8,1),MID(DY7,9,1)*MID($K6,1,1),MID(DY7,10,1)*MID($K6,2,1),MID(DY7,11,1)*MID($K6,3,1),MID(DY7,12,1)*MID($K6,4,1),MID(DY7,13,1)*MID($K6,5,1),MID(DY7,14,1)*MID($K6,6,1),MID(DY7,15,1)*MID($K6,7,1),MID(DY7,16,1)*MID($K6,8,1),MID(DY7,17,1)*MID($K6,1,1),MID(DY7,18,1)*MID($K6,2,1),MID(DY7,19,1)*MID($K6,3,1),MID(DY7,20,1)*MID($K6,4,1),MID(DY7,21,1)*MID($K6,5,1),MID(DY7,22,1)*MID($K6,6,1),MID(DY7,23,1)*MID($K6,7,1),MID(DY7,24,1)*MID($K6,8,1),MID(DY7,25,1)*MID($K6,1,1),MID(DY7,26,1)*MID($K6,2,1),MID(DY7,27,1)*MID($K6,3,1),MID(DY7,28,1)*MID($K6,4,1),MID(DY7,29,1)*MID($K6,5,1),MID(DY7,30,1)*MID($K6,6,1),MID(DY7,31,1)*MID($K6,7,1),MID(DY7,32,1)*MID($K6,8,1))</f>
        <v>00000000000000000010000000100000</v>
      </c>
      <c r="FC7" s="30" t="str">
        <f t="shared" si="180"/>
        <v>00000000</v>
      </c>
      <c r="FD7" s="30" t="str">
        <f t="shared" si="97"/>
        <v>00000000</v>
      </c>
      <c r="FE7" s="30" t="str">
        <f t="shared" si="98"/>
        <v>00100000</v>
      </c>
      <c r="FF7" s="30" t="str">
        <f t="shared" si="99"/>
        <v>00100000</v>
      </c>
      <c r="FG7" s="78"/>
      <c r="FH7" s="78"/>
      <c r="FI7" s="78"/>
      <c r="FJ7" s="78"/>
      <c r="FK7" s="31" t="str">
        <f t="shared" si="100"/>
        <v>0001</v>
      </c>
      <c r="FL7" s="31" t="str">
        <f t="shared" si="101"/>
        <v>1011</v>
      </c>
      <c r="FM7" s="31" t="str">
        <f t="shared" si="102"/>
        <v>0101</v>
      </c>
      <c r="FN7" s="31" t="str">
        <f t="shared" si="103"/>
        <v>0010</v>
      </c>
      <c r="FO7" s="31" t="str">
        <f t="shared" si="104"/>
        <v>0111</v>
      </c>
      <c r="FP7" s="31" t="str">
        <f t="shared" si="105"/>
        <v>0111</v>
      </c>
      <c r="FQ7" s="31" t="str">
        <f t="shared" si="106"/>
        <v>1111</v>
      </c>
      <c r="FR7" s="31" t="str">
        <f t="shared" si="107"/>
        <v>0011</v>
      </c>
      <c r="FS7" s="78"/>
      <c r="FT7" s="78"/>
      <c r="FU7" s="78"/>
      <c r="FV7" s="78"/>
      <c r="FW7" s="78"/>
      <c r="FX7" s="78"/>
      <c r="FY7" s="78"/>
      <c r="FZ7" s="78"/>
      <c r="GA7" s="30" t="str">
        <f t="shared" si="18"/>
        <v>0000000000000000</v>
      </c>
      <c r="GB7" s="30" t="str">
        <f t="shared" si="19"/>
        <v>0010000000100000</v>
      </c>
      <c r="GC7" s="78"/>
      <c r="GD7" s="78"/>
      <c r="GE7" s="48" t="str">
        <f>DY7</f>
        <v>00000011000000100010001100100011</v>
      </c>
      <c r="GF7" s="30" t="str">
        <f t="shared" si="182"/>
        <v>00000011</v>
      </c>
      <c r="GG7" s="30" t="str">
        <f t="shared" si="108"/>
        <v>00000010</v>
      </c>
      <c r="GH7" s="30" t="str">
        <f t="shared" si="109"/>
        <v>00100011</v>
      </c>
      <c r="GI7" s="30" t="str">
        <f t="shared" si="110"/>
        <v>00100011</v>
      </c>
      <c r="GJ7" s="78"/>
      <c r="GK7" s="78"/>
      <c r="GL7" s="78"/>
      <c r="GM7" s="78"/>
      <c r="GN7" s="31" t="str">
        <f t="shared" si="111"/>
        <v>0001</v>
      </c>
      <c r="GO7" s="31" t="str">
        <f t="shared" si="112"/>
        <v>1011</v>
      </c>
      <c r="GP7" s="31" t="str">
        <f t="shared" si="113"/>
        <v>0101</v>
      </c>
      <c r="GQ7" s="31" t="str">
        <f t="shared" si="114"/>
        <v>0010</v>
      </c>
      <c r="GR7" s="31" t="str">
        <f t="shared" si="115"/>
        <v>0111</v>
      </c>
      <c r="GS7" s="31" t="str">
        <f t="shared" si="116"/>
        <v>0111</v>
      </c>
      <c r="GT7" s="31" t="str">
        <f t="shared" si="117"/>
        <v>1111</v>
      </c>
      <c r="GU7" s="31" t="str">
        <f t="shared" si="118"/>
        <v>0011</v>
      </c>
      <c r="GV7" s="78"/>
      <c r="GW7" s="78"/>
      <c r="GX7" s="78"/>
      <c r="GY7" s="78"/>
      <c r="GZ7" s="78"/>
      <c r="HA7" s="78"/>
      <c r="HB7" s="78"/>
      <c r="HC7" s="78"/>
      <c r="HD7" s="30" t="str">
        <f t="shared" si="21"/>
        <v>0000001100000010</v>
      </c>
      <c r="HE7" s="30" t="str">
        <f t="shared" si="22"/>
        <v>0010001100100011</v>
      </c>
      <c r="HF7" s="78"/>
      <c r="HG7" s="78"/>
      <c r="HH7" s="48" t="str">
        <f>FB7</f>
        <v>00000000000000000010000000100000</v>
      </c>
      <c r="HI7" s="30" t="str">
        <f t="shared" si="184"/>
        <v>00000000</v>
      </c>
      <c r="HJ7" s="30" t="str">
        <f t="shared" si="119"/>
        <v>00000000</v>
      </c>
      <c r="HK7" s="30" t="str">
        <f t="shared" si="120"/>
        <v>00100000</v>
      </c>
      <c r="HL7" s="30" t="str">
        <f t="shared" si="121"/>
        <v>00100000</v>
      </c>
      <c r="HM7" s="78"/>
      <c r="HN7" s="78"/>
      <c r="HO7" s="78"/>
      <c r="HP7" s="78"/>
      <c r="HQ7" s="31" t="str">
        <f t="shared" si="122"/>
        <v>0001</v>
      </c>
      <c r="HR7" s="31" t="str">
        <f t="shared" si="123"/>
        <v>1011</v>
      </c>
      <c r="HS7" s="31" t="str">
        <f t="shared" si="124"/>
        <v>0101</v>
      </c>
      <c r="HT7" s="31" t="str">
        <f t="shared" si="125"/>
        <v>0010</v>
      </c>
      <c r="HU7" s="31" t="str">
        <f t="shared" si="126"/>
        <v>0111</v>
      </c>
      <c r="HV7" s="31" t="str">
        <f t="shared" si="127"/>
        <v>0111</v>
      </c>
      <c r="HW7" s="31" t="str">
        <f t="shared" si="128"/>
        <v>1111</v>
      </c>
      <c r="HX7" s="31" t="str">
        <f t="shared" si="129"/>
        <v>0011</v>
      </c>
      <c r="HY7" s="78"/>
      <c r="HZ7" s="78"/>
      <c r="IA7" s="78"/>
      <c r="IB7" s="78"/>
      <c r="IC7" s="78"/>
      <c r="ID7" s="78"/>
      <c r="IE7" s="78"/>
      <c r="IF7" s="78"/>
      <c r="IG7" s="30" t="str">
        <f t="shared" si="24"/>
        <v>0000000000000000</v>
      </c>
      <c r="IH7" s="30" t="str">
        <f t="shared" si="25"/>
        <v>0010000000100000</v>
      </c>
      <c r="II7" s="78"/>
      <c r="IJ7" s="78"/>
      <c r="IK7" s="44" t="str">
        <f>L7</f>
        <v>00011011010100100111011111110011</v>
      </c>
      <c r="IL7" s="30" t="str">
        <f t="shared" si="186"/>
        <v>00011011</v>
      </c>
      <c r="IM7" s="30" t="str">
        <f t="shared" si="130"/>
        <v>01010010</v>
      </c>
      <c r="IN7" s="30" t="str">
        <f t="shared" si="131"/>
        <v>01110111</v>
      </c>
      <c r="IO7" s="30" t="str">
        <f t="shared" si="132"/>
        <v>11110011</v>
      </c>
      <c r="IP7" s="78"/>
      <c r="IQ7" s="78"/>
      <c r="IR7" s="78"/>
      <c r="IS7" s="78"/>
      <c r="IT7" s="31" t="str">
        <f t="shared" si="133"/>
        <v>0001</v>
      </c>
      <c r="IU7" s="31" t="str">
        <f t="shared" si="134"/>
        <v>1011</v>
      </c>
      <c r="IV7" s="31" t="str">
        <f t="shared" si="135"/>
        <v>0101</v>
      </c>
      <c r="IW7" s="31" t="str">
        <f t="shared" si="136"/>
        <v>0010</v>
      </c>
      <c r="IX7" s="31" t="str">
        <f t="shared" si="137"/>
        <v>0111</v>
      </c>
      <c r="IY7" s="31" t="str">
        <f t="shared" si="138"/>
        <v>0111</v>
      </c>
      <c r="IZ7" s="31" t="str">
        <f t="shared" si="139"/>
        <v>1111</v>
      </c>
      <c r="JA7" s="31" t="str">
        <f t="shared" si="140"/>
        <v>0011</v>
      </c>
      <c r="JB7" s="78"/>
      <c r="JC7" s="78"/>
      <c r="JD7" s="78"/>
      <c r="JE7" s="78"/>
      <c r="JF7" s="78"/>
      <c r="JG7" s="78"/>
      <c r="JH7" s="78"/>
      <c r="JI7" s="78"/>
      <c r="JJ7" s="30" t="str">
        <f t="shared" si="27"/>
        <v>0001101101010010</v>
      </c>
      <c r="JK7" s="30" t="str">
        <f t="shared" si="28"/>
        <v>0111011111110011</v>
      </c>
      <c r="JL7" s="78"/>
      <c r="JM7" s="78"/>
      <c r="JN7" s="46" t="str">
        <f>L7</f>
        <v>00011011010100100111011111110011</v>
      </c>
      <c r="JO7" s="30" t="str">
        <f t="shared" si="188"/>
        <v>00011011</v>
      </c>
      <c r="JP7" s="30" t="str">
        <f t="shared" si="141"/>
        <v>01010010</v>
      </c>
      <c r="JQ7" s="30" t="str">
        <f t="shared" si="142"/>
        <v>01110111</v>
      </c>
      <c r="JR7" s="30" t="str">
        <f t="shared" si="143"/>
        <v>11110011</v>
      </c>
      <c r="JS7" s="78"/>
      <c r="JT7" s="78"/>
      <c r="JU7" s="78"/>
      <c r="JV7" s="78"/>
      <c r="JW7" s="31" t="str">
        <f t="shared" si="144"/>
        <v>0001</v>
      </c>
      <c r="JX7" s="31" t="str">
        <f t="shared" si="145"/>
        <v>1011</v>
      </c>
      <c r="JY7" s="31" t="str">
        <f t="shared" si="146"/>
        <v>0101</v>
      </c>
      <c r="JZ7" s="31" t="str">
        <f t="shared" si="147"/>
        <v>0010</v>
      </c>
      <c r="KA7" s="31" t="str">
        <f t="shared" si="148"/>
        <v>0111</v>
      </c>
      <c r="KB7" s="31" t="str">
        <f t="shared" si="149"/>
        <v>0111</v>
      </c>
      <c r="KC7" s="31" t="str">
        <f t="shared" si="150"/>
        <v>1111</v>
      </c>
      <c r="KD7" s="31" t="str">
        <f t="shared" si="151"/>
        <v>0011</v>
      </c>
      <c r="KE7" s="78"/>
      <c r="KF7" s="78"/>
      <c r="KG7" s="78"/>
      <c r="KH7" s="78"/>
      <c r="KI7" s="78"/>
      <c r="KJ7" s="78"/>
      <c r="KK7" s="78"/>
      <c r="KL7" s="78"/>
      <c r="KM7" s="30" t="str">
        <f t="shared" si="30"/>
        <v>0001101101010010</v>
      </c>
      <c r="KN7" s="30" t="str">
        <f t="shared" si="31"/>
        <v>0111011111110011</v>
      </c>
      <c r="KO7" s="78"/>
      <c r="KP7" s="78"/>
      <c r="KQ7" s="48" t="str">
        <f>AO7</f>
        <v>00000000010000000110010001100000</v>
      </c>
      <c r="KR7" s="30" t="str">
        <f t="shared" si="190"/>
        <v>00000000</v>
      </c>
      <c r="KS7" s="30" t="str">
        <f t="shared" si="152"/>
        <v>01000000</v>
      </c>
      <c r="KT7" s="30" t="str">
        <f t="shared" si="153"/>
        <v>01100100</v>
      </c>
      <c r="KU7" s="30" t="str">
        <f t="shared" si="154"/>
        <v>01100000</v>
      </c>
      <c r="KV7" s="78"/>
      <c r="KW7" s="78"/>
      <c r="KX7" s="78"/>
      <c r="KY7" s="78"/>
      <c r="KZ7" s="31" t="str">
        <f t="shared" si="155"/>
        <v>0001</v>
      </c>
      <c r="LA7" s="31" t="str">
        <f t="shared" si="156"/>
        <v>1011</v>
      </c>
      <c r="LB7" s="31" t="str">
        <f t="shared" si="157"/>
        <v>0101</v>
      </c>
      <c r="LC7" s="31" t="str">
        <f t="shared" si="158"/>
        <v>0010</v>
      </c>
      <c r="LD7" s="31" t="str">
        <f t="shared" si="159"/>
        <v>0111</v>
      </c>
      <c r="LE7" s="31" t="str">
        <f t="shared" si="160"/>
        <v>0111</v>
      </c>
      <c r="LF7" s="31" t="str">
        <f t="shared" si="161"/>
        <v>1111</v>
      </c>
      <c r="LG7" s="31" t="str">
        <f t="shared" si="162"/>
        <v>0011</v>
      </c>
      <c r="LH7" s="78"/>
      <c r="LI7" s="78"/>
      <c r="LJ7" s="78"/>
      <c r="LK7" s="78"/>
      <c r="LL7" s="78"/>
      <c r="LM7" s="78"/>
      <c r="LN7" s="78"/>
      <c r="LO7" s="78"/>
      <c r="LP7" s="30" t="str">
        <f t="shared" si="33"/>
        <v>0000000001000000</v>
      </c>
      <c r="LQ7" s="30" t="str">
        <f t="shared" si="34"/>
        <v>0110010001100000</v>
      </c>
      <c r="LR7" s="78"/>
      <c r="LS7" s="78"/>
      <c r="LT7" s="48" t="str">
        <f>GE7</f>
        <v>00000011000000100010001100100011</v>
      </c>
      <c r="LU7" s="30" t="str">
        <f t="shared" si="192"/>
        <v>00000011</v>
      </c>
      <c r="LV7" s="30" t="str">
        <f t="shared" si="163"/>
        <v>00000010</v>
      </c>
      <c r="LW7" s="30" t="str">
        <f t="shared" si="164"/>
        <v>00100011</v>
      </c>
      <c r="LX7" s="30" t="str">
        <f t="shared" si="165"/>
        <v>00100011</v>
      </c>
      <c r="LY7" s="78"/>
      <c r="LZ7" s="78"/>
      <c r="MA7" s="78"/>
      <c r="MB7" s="78"/>
      <c r="MC7" s="31" t="str">
        <f t="shared" si="166"/>
        <v>0001</v>
      </c>
      <c r="MD7" s="31" t="str">
        <f t="shared" si="167"/>
        <v>1011</v>
      </c>
      <c r="ME7" s="31" t="str">
        <f t="shared" si="168"/>
        <v>0101</v>
      </c>
      <c r="MF7" s="31" t="str">
        <f t="shared" si="169"/>
        <v>0010</v>
      </c>
      <c r="MG7" s="31" t="str">
        <f t="shared" si="170"/>
        <v>0111</v>
      </c>
      <c r="MH7" s="31" t="str">
        <f t="shared" si="171"/>
        <v>0111</v>
      </c>
      <c r="MI7" s="31" t="str">
        <f t="shared" si="172"/>
        <v>1111</v>
      </c>
      <c r="MJ7" s="31" t="str">
        <f t="shared" si="173"/>
        <v>0011</v>
      </c>
      <c r="MK7" s="78"/>
      <c r="ML7" s="78"/>
      <c r="MM7" s="78"/>
      <c r="MN7" s="78"/>
      <c r="MO7" s="78"/>
      <c r="MP7" s="78"/>
      <c r="MQ7" s="78"/>
      <c r="MR7" s="78"/>
      <c r="MS7" s="30" t="str">
        <f t="shared" si="36"/>
        <v>0000001100000010</v>
      </c>
      <c r="MT7" s="30" t="str">
        <f t="shared" si="37"/>
        <v>0010001100100011</v>
      </c>
      <c r="MU7" s="78"/>
      <c r="MV7" s="78"/>
    </row>
    <row r="8" spans="1:360" s="27" customFormat="1" ht="18.600000000000001" thickBot="1" x14ac:dyDescent="0.4">
      <c r="A8" s="24"/>
      <c r="B8" s="25"/>
      <c r="C8" s="20" t="s">
        <v>0</v>
      </c>
      <c r="D8" s="20" t="s">
        <v>123</v>
      </c>
      <c r="E8" s="20">
        <v>91</v>
      </c>
      <c r="F8" s="20" t="s">
        <v>10</v>
      </c>
      <c r="G8" s="20" t="s">
        <v>142</v>
      </c>
      <c r="H8" s="20" t="str">
        <f t="shared" si="0"/>
        <v>11111011100100011001110000111110</v>
      </c>
      <c r="I8" s="20">
        <f t="shared" si="1"/>
        <v>19</v>
      </c>
      <c r="J8" s="20">
        <v>64</v>
      </c>
      <c r="K8" s="20" t="str">
        <f>HEX2BIN(J8,8)</f>
        <v>01100100</v>
      </c>
      <c r="L8" s="43" t="str">
        <f>CONCATENATE(MID(H8,17,16),MID(H8,1,16))</f>
        <v>10011100001111101111101110010001</v>
      </c>
      <c r="M8" s="26" t="str">
        <f t="shared" si="38"/>
        <v>10011</v>
      </c>
      <c r="N8" s="26" t="str">
        <f t="shared" si="39"/>
        <v>00111</v>
      </c>
      <c r="O8" s="26" t="str">
        <f t="shared" si="40"/>
        <v>11111</v>
      </c>
      <c r="P8" s="26" t="str">
        <f t="shared" si="41"/>
        <v>10010</v>
      </c>
      <c r="Q8" s="77">
        <f>BIN2DEC(M8)-BIN2DEC(M9)</f>
        <v>7</v>
      </c>
      <c r="R8" s="77">
        <f>BIN2DEC(N8)-BIN2DEC(N9)</f>
        <v>-13</v>
      </c>
      <c r="S8" s="77">
        <f>BIN2DEC(O8)-BIN2DEC(O9)</f>
        <v>14</v>
      </c>
      <c r="T8" s="77">
        <f>BIN2DEC(P8)-BIN2DEC(P9)</f>
        <v>-5</v>
      </c>
      <c r="U8" s="27" t="str">
        <f t="shared" si="42"/>
        <v>1001</v>
      </c>
      <c r="V8" s="27" t="str">
        <f t="shared" si="43"/>
        <v>1100</v>
      </c>
      <c r="W8" s="27" t="str">
        <f t="shared" si="44"/>
        <v>0011</v>
      </c>
      <c r="X8" s="27" t="str">
        <f t="shared" si="45"/>
        <v>1110</v>
      </c>
      <c r="Y8" s="27" t="str">
        <f t="shared" si="46"/>
        <v>1111</v>
      </c>
      <c r="Z8" s="27" t="str">
        <f t="shared" si="47"/>
        <v>1011</v>
      </c>
      <c r="AA8" s="27" t="str">
        <f t="shared" si="48"/>
        <v>1001</v>
      </c>
      <c r="AB8" s="27" t="str">
        <f t="shared" si="49"/>
        <v>0001</v>
      </c>
      <c r="AC8" s="77">
        <f>BIN2DEC(U8)-BIN2DEC(U9)</f>
        <v>3</v>
      </c>
      <c r="AD8" s="77">
        <f t="shared" ref="AD8:AI8" si="206">BIN2DEC(V8)-BIN2DEC(V9)</f>
        <v>7</v>
      </c>
      <c r="AE8" s="77">
        <f t="shared" si="206"/>
        <v>-7</v>
      </c>
      <c r="AF8" s="77">
        <f t="shared" si="206"/>
        <v>11</v>
      </c>
      <c r="AG8" s="77">
        <f t="shared" si="206"/>
        <v>7</v>
      </c>
      <c r="AH8" s="77">
        <f t="shared" si="206"/>
        <v>0</v>
      </c>
      <c r="AI8" s="77">
        <f t="shared" si="206"/>
        <v>-2</v>
      </c>
      <c r="AJ8" s="77">
        <f>BIN2DEC(AB8)-BIN2DEC(AB9)</f>
        <v>-14</v>
      </c>
      <c r="AK8" s="26" t="str">
        <f t="shared" si="3"/>
        <v>1001110000111110</v>
      </c>
      <c r="AL8" s="26" t="str">
        <f t="shared" si="4"/>
        <v>1111101110010001</v>
      </c>
      <c r="AM8" s="77">
        <f>MID(AK8,16,1)*POWER(2,0)+MID(AK8,15,1)*POWER(2,1)+MID(AK8,14,1)*POWER(2,2)+MID(AK8,13,1)*POWER(2,3)+MID(AK8,12,1)*POWER(2,4)+MID(AK8,11,1)*POWER(2,5)+MID(AK8,10,1)*POWER(2,6)+MID(AK8,9,1)*POWER(2,7)+MID(AK8,8,1)*POWER(2,8)+MID(AK8,7,1)*POWER(2,9)+MID(AK8,6,1)*POWER(2,10)+MID(AK8,5,1)*POWER(2,11)+MID(AK8,4,1)*POWER(2,12)+MID(AK8,3,1)*POWER(2,13)+MID(AK8,2,1)*POWER(2,14)+MID(AK8,1,1)*POWER(2,15)-(MID(AK9,16,1)*POWER(2,0)+MID(AK9,15,1)*POWER(2,1)+MID(AK9,14,1)*POWER(2,2)+MID(AK9,13,1)*POWER(2,3)+MID(AK9,12,1)*POWER(2,4)+MID(AK9,11,1)*POWER(2,5)+MID(AK9,10,1)*POWER(2,6)+MID(AK9,9,1)*POWER(2,7)+MID(AK9,8,1)*POWER(2,8)+MID(AK9,7,1)*POWER(2,9)+MID(AK9,6,1)*POWER(2,10)+MID(AK9,5,1)*POWER(2,11)+MID(AK9,4,1)*POWER(2,12)+MID(AK9,3,1)*POWER(2,13)+MID(AK9,2,1)*POWER(2,14)+MID(AK9,1,1)*POWER(2,15))</f>
        <v>13979</v>
      </c>
      <c r="AN8" s="77">
        <f>MID(AL8,16,1)*POWER(2,0)+MID(AL8,15,1)*POWER(2,1)+MID(AL8,14,1)*POWER(2,2)+MID(AL8,13,1)*POWER(2,3)+MID(AL8,12,1)*POWER(2,4)+MID(AL8,11,1)*POWER(2,5)+MID(AL8,10,1)*POWER(2,6)+MID(AL8,9,1)*POWER(2,7)+MID(AL8,8,1)*POWER(2,8)+MID(AL8,7,1)*POWER(2,9)+MID(AL8,6,1)*POWER(2,10)+MID(AL8,5,1)*POWER(2,11)+MID(AL8,4,1)*POWER(2,12)+MID(AL8,3,1)*POWER(2,13)+MID(AL8,2,1)*POWER(2,14)+MID(AL8,1,1)*POWER(2,15)-(MID(AL9,16,1)*POWER(2,0)+MID(AL9,15,1)*POWER(2,1)+MID(AL9,14,1)*POWER(2,2)+MID(AL9,13,1)*POWER(2,3)+MID(AL9,12,1)*POWER(2,4)+MID(AL9,11,1)*POWER(2,5)+MID(AL9,10,1)*POWER(2,6)+MID(AL9,9,1)*POWER(2,7)+MID(AL9,8,1)*POWER(2,8)+MID(AL9,7,1)*POWER(2,9)+MID(AL9,6,1)*POWER(2,10)+MID(AL9,5,1)*POWER(2,11)+MID(AL9,4,1)*POWER(2,12)+MID(AL9,3,1)*POWER(2,13)+MID(AL9,2,1)*POWER(2,14)+MID(AL9,1,1)*POWER(2,15))</f>
        <v>28626</v>
      </c>
      <c r="AO8" s="45" t="str">
        <f>L8</f>
        <v>10011100001111101111101110010001</v>
      </c>
      <c r="AP8" s="26" t="str">
        <f t="shared" si="50"/>
        <v>10011100</v>
      </c>
      <c r="AQ8" s="26" t="str">
        <f t="shared" si="51"/>
        <v>00111110</v>
      </c>
      <c r="AR8" s="26" t="str">
        <f t="shared" si="52"/>
        <v>11111011</v>
      </c>
      <c r="AS8" s="26" t="str">
        <f t="shared" si="53"/>
        <v>10010001</v>
      </c>
      <c r="AT8" s="77">
        <f>BIN2DEC(AP8)-BIN2DEC(AP9)</f>
        <v>56</v>
      </c>
      <c r="AU8" s="77">
        <f>BIN2DEC(AQ8)-BIN2DEC(AQ9)</f>
        <v>30</v>
      </c>
      <c r="AV8" s="77">
        <f>BIN2DEC(AR8)-BIN2DEC(AR9)</f>
        <v>251</v>
      </c>
      <c r="AW8" s="77">
        <f>BIN2DEC(AS8)-BIN2DEC(AS9)</f>
        <v>109</v>
      </c>
      <c r="AX8" s="27" t="str">
        <f t="shared" si="54"/>
        <v>1001</v>
      </c>
      <c r="AY8" s="27" t="str">
        <f t="shared" si="55"/>
        <v>1100</v>
      </c>
      <c r="AZ8" s="27" t="str">
        <f t="shared" si="56"/>
        <v>0011</v>
      </c>
      <c r="BA8" s="27" t="str">
        <f t="shared" si="57"/>
        <v>1110</v>
      </c>
      <c r="BB8" s="27" t="str">
        <f t="shared" si="58"/>
        <v>1111</v>
      </c>
      <c r="BC8" s="27" t="str">
        <f t="shared" si="59"/>
        <v>1011</v>
      </c>
      <c r="BD8" s="27" t="str">
        <f t="shared" si="60"/>
        <v>1001</v>
      </c>
      <c r="BE8" s="27" t="str">
        <f t="shared" si="61"/>
        <v>0001</v>
      </c>
      <c r="BF8" s="77">
        <f>BIN2DEC(AX8)-BIN2DEC(AX9)</f>
        <v>3</v>
      </c>
      <c r="BG8" s="77">
        <f t="shared" ref="BG8:BL8" si="207">BIN2DEC(AY8)-BIN2DEC(AY9)</f>
        <v>7</v>
      </c>
      <c r="BH8" s="77">
        <f t="shared" si="207"/>
        <v>-7</v>
      </c>
      <c r="BI8" s="77">
        <f t="shared" si="207"/>
        <v>11</v>
      </c>
      <c r="BJ8" s="77">
        <f t="shared" si="207"/>
        <v>7</v>
      </c>
      <c r="BK8" s="77">
        <f t="shared" si="207"/>
        <v>0</v>
      </c>
      <c r="BL8" s="77">
        <f t="shared" si="207"/>
        <v>-2</v>
      </c>
      <c r="BM8" s="77">
        <f>BIN2DEC(BE8)-BIN2DEC(BE9)</f>
        <v>-14</v>
      </c>
      <c r="BN8" s="26" t="str">
        <f t="shared" si="6"/>
        <v>1001110000111110</v>
      </c>
      <c r="BO8" s="26" t="str">
        <f t="shared" si="7"/>
        <v>1111101110010001</v>
      </c>
      <c r="BP8" s="77">
        <f>MID(BN8,16,1)*POWER(2,0)+MID(BN8,15,1)*POWER(2,1)+MID(BN8,14,1)*POWER(2,2)+MID(BN8,13,1)*POWER(2,3)+MID(BN8,12,1)*POWER(2,4)+MID(BN8,11,1)*POWER(2,5)+MID(BN8,10,1)*POWER(2,6)+MID(BN8,9,1)*POWER(2,7)+MID(BN8,8,1)*POWER(2,8)+MID(BN8,7,1)*POWER(2,9)+MID(BN8,6,1)*POWER(2,10)+MID(BN8,5,1)*POWER(2,11)+MID(BN8,4,1)*POWER(2,12)+MID(BN8,3,1)*POWER(2,13)+MID(BN8,2,1)*POWER(2,14)+MID(BN8,1,1)*POWER(2,15)-(MID(BN9,16,1)*POWER(2,0)+MID(BN9,15,1)*POWER(2,1)+MID(BN9,14,1)*POWER(2,2)+MID(BN9,13,1)*POWER(2,3)+MID(BN9,12,1)*POWER(2,4)+MID(BN9,11,1)*POWER(2,5)+MID(BN9,10,1)*POWER(2,6)+MID(BN9,9,1)*POWER(2,7)+MID(BN9,8,1)*POWER(2,8)+MID(BN9,7,1)*POWER(2,9)+MID(BN9,6,1)*POWER(2,10)+MID(BN9,5,1)*POWER(2,11)+MID(BN9,4,1)*POWER(2,12)+MID(BN9,3,1)*POWER(2,13)+MID(BN9,2,1)*POWER(2,14)+MID(BN9,1,1)*POWER(2,15))</f>
        <v>14366</v>
      </c>
      <c r="BQ8" s="77">
        <f>MID(BO8,16,1)*POWER(2,0)+MID(BO8,15,1)*POWER(2,1)+MID(BO8,14,1)*POWER(2,2)+MID(BO8,13,1)*POWER(2,3)+MID(BO8,12,1)*POWER(2,4)+MID(BO8,11,1)*POWER(2,5)+MID(BO8,10,1)*POWER(2,6)+MID(BO8,9,1)*POWER(2,7)+MID(BO8,8,1)*POWER(2,8)+MID(BO8,7,1)*POWER(2,9)+MID(BO8,6,1)*POWER(2,10)+MID(BO8,5,1)*POWER(2,11)+MID(BO8,4,1)*POWER(2,12)+MID(BO8,3,1)*POWER(2,13)+MID(BO8,2,1)*POWER(2,14)+MID(BO8,1,1)*POWER(2,15)-(MID(BO9,16,1)*POWER(2,0)+MID(BO9,15,1)*POWER(2,1)+MID(BO9,14,1)*POWER(2,2)+MID(BO9,13,1)*POWER(2,3)+MID(BO9,12,1)*POWER(2,4)+MID(BO9,11,1)*POWER(2,5)+MID(BO9,10,1)*POWER(2,6)+MID(BO9,9,1)*POWER(2,7)+MID(BO9,8,1)*POWER(2,8)+MID(BO9,7,1)*POWER(2,9)+MID(BO9,6,1)*POWER(2,10)+MID(BO9,5,1)*POWER(2,11)+MID(BO9,4,1)*POWER(2,12)+MID(BO9,3,1)*POWER(2,13)+MID(BO9,2,1)*POWER(2,14)+MID(BO9,1,1)*POWER(2,15))</f>
        <v>64365</v>
      </c>
      <c r="BR8" s="45" t="str">
        <f>CONCATENATE(MID($L8,1,1)*MID($K8,1,1),MID($L8,2,1)*MID($K8,2,1),MID($L8,3,1)*MID($K8,3,1),MID($L8,4,1)*MID($K8,4,1),MID($L8,5,1)*MID($K8,5,1),MID($L8,6,1)*MID($K8,6,1),MID($L8,7,1)*MID($K8,7,1),MID($L8,8,1)*MID($K8,8,1),MID($L8,9,1)*MID($K8,1,1),MID($L8,10,1)*MID($K8,2,1),MID($L8,11,1)*MID($K8,3,1),MID($L8,12,1)*MID($K8,4,1),MID($L8,13,1)*MID($K8,5,1),MID($L8,14,1)*MID($K8,6,1),MID($L8,15,1)*MID($K8,7,1),MID($L8,16,1)*MID($K8,8,1),MID($L8,17,1)*MID($K8,1,1),MID($L8,18,1)*MID($K8,2,1),MID($L8,19,1)*MID($K8,3,1),MID($L8,20,1)*MID($K8,4,1),MID($L8,21,1)*MID($K8,5,1),MID($L8,22,1)*MID($K8,6,1),MID($L8,23,1)*MID($K8,7,1),MID($L8,24,1)*MID($K8,8,1),MID($L8,25,1)*MID($K8,1,1),MID($L8,26,1)*MID($K8,2,1),MID($L8,27,1)*MID($K8,3,1),MID($L8,28,1)*MID($K8,4,1),MID($L8,29,1)*MID($K8,5,1),MID($L8,30,1)*MID($K8,6,1),MID($L8,31,1)*MID($K8,7,1),MID($L8,32,1)*MID($K8,8,1))</f>
        <v>00000100001001000110000000000000</v>
      </c>
      <c r="BS8" s="26" t="str">
        <f t="shared" si="62"/>
        <v>00000100</v>
      </c>
      <c r="BT8" s="26" t="str">
        <f t="shared" si="63"/>
        <v>00100100</v>
      </c>
      <c r="BU8" s="26" t="str">
        <f t="shared" si="64"/>
        <v>01100000</v>
      </c>
      <c r="BV8" s="26" t="str">
        <f t="shared" si="65"/>
        <v>00000000</v>
      </c>
      <c r="BW8" s="77">
        <f>BIN2DEC(BS8)-BIN2DEC(BS9)</f>
        <v>-97</v>
      </c>
      <c r="BX8" s="77">
        <f>BIN2DEC(BT8)-BIN2DEC(BT9)</f>
        <v>-127</v>
      </c>
      <c r="BY8" s="77">
        <f>BIN2DEC(BU8)-BIN2DEC(BU9)</f>
        <v>-43</v>
      </c>
      <c r="BZ8" s="77">
        <f>BIN2DEC(BV8)-BIN2DEC(BV9)</f>
        <v>-191</v>
      </c>
      <c r="CA8" s="27" t="str">
        <f t="shared" si="66"/>
        <v>1001</v>
      </c>
      <c r="CB8" s="27" t="str">
        <f t="shared" si="67"/>
        <v>1100</v>
      </c>
      <c r="CC8" s="27" t="str">
        <f t="shared" si="68"/>
        <v>0011</v>
      </c>
      <c r="CD8" s="27" t="str">
        <f t="shared" si="69"/>
        <v>1110</v>
      </c>
      <c r="CE8" s="27" t="str">
        <f t="shared" si="70"/>
        <v>1111</v>
      </c>
      <c r="CF8" s="27" t="str">
        <f t="shared" si="71"/>
        <v>1011</v>
      </c>
      <c r="CG8" s="27" t="str">
        <f t="shared" si="72"/>
        <v>1001</v>
      </c>
      <c r="CH8" s="27" t="str">
        <f t="shared" si="73"/>
        <v>0001</v>
      </c>
      <c r="CI8" s="77">
        <f>BIN2DEC(CA8)-BIN2DEC(CA9)</f>
        <v>3</v>
      </c>
      <c r="CJ8" s="77">
        <f t="shared" ref="CJ8:CO8" si="208">BIN2DEC(CB8)-BIN2DEC(CB9)</f>
        <v>7</v>
      </c>
      <c r="CK8" s="77">
        <f t="shared" si="208"/>
        <v>-7</v>
      </c>
      <c r="CL8" s="77">
        <f t="shared" si="208"/>
        <v>11</v>
      </c>
      <c r="CM8" s="77">
        <f t="shared" si="208"/>
        <v>7</v>
      </c>
      <c r="CN8" s="77">
        <f t="shared" si="208"/>
        <v>0</v>
      </c>
      <c r="CO8" s="77">
        <f t="shared" si="208"/>
        <v>-2</v>
      </c>
      <c r="CP8" s="77">
        <f>BIN2DEC(CH8)-BIN2DEC(CH9)</f>
        <v>-14</v>
      </c>
      <c r="CQ8" s="26" t="str">
        <f t="shared" si="9"/>
        <v>0000010000100100</v>
      </c>
      <c r="CR8" s="26" t="str">
        <f t="shared" si="10"/>
        <v>0110000000000000</v>
      </c>
      <c r="CS8" s="77">
        <f>MID(CQ8,16,1)*POWER(2,0)+MID(CQ8,15,1)*POWER(2,1)+MID(CQ8,14,1)*POWER(2,2)+MID(CQ8,13,1)*POWER(2,3)+MID(CQ8,12,1)*POWER(2,4)+MID(CQ8,11,1)*POWER(2,5)+MID(CQ8,10,1)*POWER(2,6)+MID(CQ8,9,1)*POWER(2,7)+MID(CQ8,8,1)*POWER(2,8)+MID(CQ8,7,1)*POWER(2,9)+MID(CQ8,6,1)*POWER(2,10)+MID(CQ8,5,1)*POWER(2,11)+MID(CQ8,4,1)*POWER(2,12)+MID(CQ8,3,1)*POWER(2,13)+MID(CQ8,2,1)*POWER(2,14)+MID(CQ8,1,1)*POWER(2,15)-(MID(CQ9,16,1)*POWER(2,0)+MID(CQ9,15,1)*POWER(2,1)+MID(CQ9,14,1)*POWER(2,2)+MID(CQ9,13,1)*POWER(2,3)+MID(CQ9,12,1)*POWER(2,4)+MID(CQ9,11,1)*POWER(2,5)+MID(CQ9,10,1)*POWER(2,6)+MID(CQ9,9,1)*POWER(2,7)+MID(CQ9,8,1)*POWER(2,8)+MID(CQ9,7,1)*POWER(2,9)+MID(CQ9,6,1)*POWER(2,10)+MID(CQ9,5,1)*POWER(2,11)+MID(CQ9,4,1)*POWER(2,12)+MID(CQ9,3,1)*POWER(2,13)+MID(CQ9,2,1)*POWER(2,14)+MID(CQ9,1,1)*POWER(2,15))</f>
        <v>-24959</v>
      </c>
      <c r="CT8" s="77">
        <f>MID(CR8,16,1)*POWER(2,0)+MID(CR8,15,1)*POWER(2,1)+MID(CR8,14,1)*POWER(2,2)+MID(CR8,13,1)*POWER(2,3)+MID(CR8,12,1)*POWER(2,4)+MID(CR8,11,1)*POWER(2,5)+MID(CR8,10,1)*POWER(2,6)+MID(CR8,9,1)*POWER(2,7)+MID(CR8,8,1)*POWER(2,8)+MID(CR8,7,1)*POWER(2,9)+MID(CR8,6,1)*POWER(2,10)+MID(CR8,5,1)*POWER(2,11)+MID(CR8,4,1)*POWER(2,12)+MID(CR8,3,1)*POWER(2,13)+MID(CR8,2,1)*POWER(2,14)+MID(CR8,1,1)*POWER(2,15)-(MID(CR9,16,1)*POWER(2,0)+MID(CR9,15,1)*POWER(2,1)+MID(CR9,14,1)*POWER(2,2)+MID(CR9,13,1)*POWER(2,3)+MID(CR9,12,1)*POWER(2,4)+MID(CR9,11,1)*POWER(2,5)+MID(CR9,10,1)*POWER(2,6)+MID(CR9,9,1)*POWER(2,7)+MID(CR9,8,1)*POWER(2,8)+MID(CR9,7,1)*POWER(2,9)+MID(CR9,6,1)*POWER(2,10)+MID(CR9,5,1)*POWER(2,11)+MID(CR9,4,1)*POWER(2,12)+MID(CR9,3,1)*POWER(2,13)+MID(CR9,2,1)*POWER(2,14)+MID(CR9,1,1)*POWER(2,15))</f>
        <v>-11199</v>
      </c>
      <c r="CU8" s="45" t="str">
        <f>BR8</f>
        <v>00000100001001000110000000000000</v>
      </c>
      <c r="CV8" s="26" t="str">
        <f t="shared" si="74"/>
        <v>00000100</v>
      </c>
      <c r="CW8" s="26" t="str">
        <f t="shared" si="75"/>
        <v>00100100</v>
      </c>
      <c r="CX8" s="26" t="str">
        <f t="shared" si="76"/>
        <v>01100000</v>
      </c>
      <c r="CY8" s="26" t="str">
        <f t="shared" si="77"/>
        <v>00000000</v>
      </c>
      <c r="CZ8" s="77">
        <f>BIN2DEC(CV8)-BIN2DEC(CV9)</f>
        <v>-96</v>
      </c>
      <c r="DA8" s="77">
        <f>BIN2DEC(CW8)-BIN2DEC(CW9)</f>
        <v>4</v>
      </c>
      <c r="DB8" s="77">
        <f>BIN2DEC(CX8)-BIN2DEC(CX9)</f>
        <v>96</v>
      </c>
      <c r="DC8" s="77">
        <f>BIN2DEC(CY8)-BIN2DEC(CY9)</f>
        <v>-36</v>
      </c>
      <c r="DD8" s="27" t="str">
        <f t="shared" si="78"/>
        <v>1001</v>
      </c>
      <c r="DE8" s="27" t="str">
        <f t="shared" si="79"/>
        <v>1100</v>
      </c>
      <c r="DF8" s="27" t="str">
        <f t="shared" si="80"/>
        <v>0011</v>
      </c>
      <c r="DG8" s="27" t="str">
        <f t="shared" si="81"/>
        <v>1110</v>
      </c>
      <c r="DH8" s="27" t="str">
        <f t="shared" si="82"/>
        <v>1111</v>
      </c>
      <c r="DI8" s="27" t="str">
        <f t="shared" si="83"/>
        <v>1011</v>
      </c>
      <c r="DJ8" s="27" t="str">
        <f t="shared" si="84"/>
        <v>1001</v>
      </c>
      <c r="DK8" s="27" t="str">
        <f t="shared" si="85"/>
        <v>0001</v>
      </c>
      <c r="DL8" s="77">
        <f>BIN2DEC(DD8)-BIN2DEC(DD9)</f>
        <v>3</v>
      </c>
      <c r="DM8" s="77">
        <f t="shared" ref="DM8:DR8" si="209">BIN2DEC(DE8)-BIN2DEC(DE9)</f>
        <v>7</v>
      </c>
      <c r="DN8" s="77">
        <f t="shared" si="209"/>
        <v>-7</v>
      </c>
      <c r="DO8" s="77">
        <f t="shared" si="209"/>
        <v>11</v>
      </c>
      <c r="DP8" s="77">
        <f t="shared" si="209"/>
        <v>7</v>
      </c>
      <c r="DQ8" s="77">
        <f t="shared" si="209"/>
        <v>0</v>
      </c>
      <c r="DR8" s="77">
        <f t="shared" si="209"/>
        <v>-2</v>
      </c>
      <c r="DS8" s="77">
        <f>BIN2DEC(DK8)-BIN2DEC(DK9)</f>
        <v>-14</v>
      </c>
      <c r="DT8" s="26" t="str">
        <f t="shared" si="12"/>
        <v>0000010000100100</v>
      </c>
      <c r="DU8" s="26" t="str">
        <f t="shared" si="13"/>
        <v>0110000000000000</v>
      </c>
      <c r="DV8" s="77">
        <f>MID(DT8,16,1)*POWER(2,0)+MID(DT8,15,1)*POWER(2,1)+MID(DT8,14,1)*POWER(2,2)+MID(DT8,13,1)*POWER(2,3)+MID(DT8,12,1)*POWER(2,4)+MID(DT8,11,1)*POWER(2,5)+MID(DT8,10,1)*POWER(2,6)+MID(DT8,9,1)*POWER(2,7)+MID(DT8,8,1)*POWER(2,8)+MID(DT8,7,1)*POWER(2,9)+MID(DT8,6,1)*POWER(2,10)+MID(DT8,5,1)*POWER(2,11)+MID(DT8,4,1)*POWER(2,12)+MID(DT8,3,1)*POWER(2,13)+MID(DT8,2,1)*POWER(2,14)+MID(DT8,1,1)*POWER(2,15)-(MID(DT9,16,1)*POWER(2,0)+MID(DT9,15,1)*POWER(2,1)+MID(DT9,14,1)*POWER(2,2)+MID(DT9,13,1)*POWER(2,3)+MID(DT9,12,1)*POWER(2,4)+MID(DT9,11,1)*POWER(2,5)+MID(DT9,10,1)*POWER(2,6)+MID(DT9,9,1)*POWER(2,7)+MID(DT9,8,1)*POWER(2,8)+MID(DT9,7,1)*POWER(2,9)+MID(DT9,6,1)*POWER(2,10)+MID(DT9,5,1)*POWER(2,11)+MID(DT9,4,1)*POWER(2,12)+MID(DT9,3,1)*POWER(2,13)+MID(DT9,2,1)*POWER(2,14)+MID(DT9,1,1)*POWER(2,15))</f>
        <v>-24572</v>
      </c>
      <c r="DW8" s="77">
        <f>MID(DU8,16,1)*POWER(2,0)+MID(DU8,15,1)*POWER(2,1)+MID(DU8,14,1)*POWER(2,2)+MID(DU8,13,1)*POWER(2,3)+MID(DU8,12,1)*POWER(2,4)+MID(DU8,11,1)*POWER(2,5)+MID(DU8,10,1)*POWER(2,6)+MID(DU8,9,1)*POWER(2,7)+MID(DU8,8,1)*POWER(2,8)+MID(DU8,7,1)*POWER(2,9)+MID(DU8,6,1)*POWER(2,10)+MID(DU8,5,1)*POWER(2,11)+MID(DU8,4,1)*POWER(2,12)+MID(DU8,3,1)*POWER(2,13)+MID(DU8,2,1)*POWER(2,14)+MID(DU8,1,1)*POWER(2,15)-(MID(DU9,16,1)*POWER(2,0)+MID(DU9,15,1)*POWER(2,1)+MID(DU9,14,1)*POWER(2,2)+MID(DU9,13,1)*POWER(2,3)+MID(DU9,12,1)*POWER(2,4)+MID(DU9,11,1)*POWER(2,5)+MID(DU9,10,1)*POWER(2,6)+MID(DU9,9,1)*POWER(2,7)+MID(DU9,8,1)*POWER(2,8)+MID(DU9,7,1)*POWER(2,9)+MID(DU9,6,1)*POWER(2,10)+MID(DU9,5,1)*POWER(2,11)+MID(DU9,4,1)*POWER(2,12)+MID(DU9,3,1)*POWER(2,13)+MID(DU9,2,1)*POWER(2,14)+MID(DU9,1,1)*POWER(2,15))</f>
        <v>24540</v>
      </c>
      <c r="DX8" s="22" t="str">
        <f>CONCATENATE(MID($H8,1,1)*MID($K8,1,1),MID($H8,2,1)*MID($K8,2,1),MID($H8,3,1)*MID($K8,3,1),MID($H8,4,1)*MID($K8,4,1),MID($H8,5,1)*MID($K8,5,1),MID($H8,6,1)*MID($K8,6,1),MID($H8,7,1)*MID($K8,7,1),MID($H8,8,1)*MID($K8,8,1),MID($H8,9,1)*MID($K8,1,1),MID($H8,10,1)*MID($K8,2,1),MID($H8,11,1)*MID($K8,3,1),MID($H8,12,1)*MID($K8,4,1),MID($H8,13,1)*MID($K8,5,1),MID($H8,14,1)*MID($K8,6,1),MID($H8,15,1)*MID($K8,7,1),MID($H8,16,1)*MID($K8,8,1),MID($H8,17,1)*MID($K8,1,1),MID($H8,18,1)*MID($K8,2,1),MID($H8,19,1)*MID($K8,3,1),MID($H8,20,1)*MID($K8,4,1),MID($H8,21,1)*MID($K8,5,1),MID($H8,22,1)*MID($K8,6,1),MID($H8,23,1)*MID($K8,7,1),MID($H8,24,1)*MID($K8,8,1),MID($H8,25,1)*MID($K8,1,1),MID($H8,26,1)*MID($K8,2,1),MID($H8,27,1)*MID($K8,3,1),MID($H8,28,1)*MID($K8,4,1),MID($H8,29,1)*MID($K8,5,1),MID($H8,30,1)*MID($K8,6,1),MID($H8,31,1)*MID($K8,7,1),MID($H8,32,1)*MID($K8,8,1))</f>
        <v>01100000000000000000010000100100</v>
      </c>
      <c r="DY8" s="43" t="str">
        <f>L8</f>
        <v>10011100001111101111101110010001</v>
      </c>
      <c r="DZ8" s="26" t="str">
        <f t="shared" si="178"/>
        <v>10011100</v>
      </c>
      <c r="EA8" s="26" t="str">
        <f t="shared" si="86"/>
        <v>00111110</v>
      </c>
      <c r="EB8" s="26" t="str">
        <f t="shared" si="87"/>
        <v>11111011</v>
      </c>
      <c r="EC8" s="26" t="str">
        <f t="shared" si="88"/>
        <v>10010001</v>
      </c>
      <c r="ED8" s="77">
        <f>BIN2DEC(DZ8)-BIN2DEC(DZ9)</f>
        <v>123</v>
      </c>
      <c r="EE8" s="77">
        <f>BIN2DEC(EA8)-BIN2DEC(EA9)</f>
        <v>27</v>
      </c>
      <c r="EF8" s="77">
        <f>BIN2DEC(EB8)-BIN2DEC(EB9)</f>
        <v>248</v>
      </c>
      <c r="EG8" s="77">
        <f>BIN2DEC(EC8)-BIN2DEC(EC9)</f>
        <v>110</v>
      </c>
      <c r="EH8" s="27" t="str">
        <f t="shared" si="89"/>
        <v>1001</v>
      </c>
      <c r="EI8" s="27" t="str">
        <f t="shared" si="90"/>
        <v>1100</v>
      </c>
      <c r="EJ8" s="27" t="str">
        <f t="shared" si="91"/>
        <v>0011</v>
      </c>
      <c r="EK8" s="27" t="str">
        <f t="shared" si="92"/>
        <v>1110</v>
      </c>
      <c r="EL8" s="27" t="str">
        <f t="shared" si="93"/>
        <v>1111</v>
      </c>
      <c r="EM8" s="27" t="str">
        <f t="shared" si="94"/>
        <v>1011</v>
      </c>
      <c r="EN8" s="27" t="str">
        <f t="shared" si="95"/>
        <v>1001</v>
      </c>
      <c r="EO8" s="27" t="str">
        <f t="shared" si="96"/>
        <v>0001</v>
      </c>
      <c r="EP8" s="77">
        <f>BIN2DEC(EH8)-BIN2DEC(EH9)</f>
        <v>3</v>
      </c>
      <c r="EQ8" s="77">
        <f t="shared" ref="EQ8:EV8" si="210">BIN2DEC(EI8)-BIN2DEC(EI9)</f>
        <v>7</v>
      </c>
      <c r="ER8" s="77">
        <f t="shared" si="210"/>
        <v>-7</v>
      </c>
      <c r="ES8" s="77">
        <f t="shared" si="210"/>
        <v>11</v>
      </c>
      <c r="ET8" s="77">
        <f t="shared" si="210"/>
        <v>7</v>
      </c>
      <c r="EU8" s="77">
        <f t="shared" si="210"/>
        <v>0</v>
      </c>
      <c r="EV8" s="77">
        <f t="shared" si="210"/>
        <v>-2</v>
      </c>
      <c r="EW8" s="77">
        <f>BIN2DEC(EO8)-BIN2DEC(EO9)</f>
        <v>-14</v>
      </c>
      <c r="EX8" s="26" t="str">
        <f t="shared" si="15"/>
        <v>1001110000111110</v>
      </c>
      <c r="EY8" s="26" t="str">
        <f t="shared" si="16"/>
        <v>1111101110010001</v>
      </c>
      <c r="EZ8" s="77">
        <f>MID(EX8,16,1)*POWER(2,0)+MID(EX8,15,1)*POWER(2,1)+MID(EX8,14,1)*POWER(2,2)+MID(EX8,13,1)*POWER(2,3)+MID(EX8,12,1)*POWER(2,4)+MID(EX8,11,1)*POWER(2,5)+MID(EX8,10,1)*POWER(2,6)+MID(EX8,9,1)*POWER(2,7)+MID(EX8,8,1)*POWER(2,8)+MID(EX8,7,1)*POWER(2,9)+MID(EX8,6,1)*POWER(2,10)+MID(EX8,5,1)*POWER(2,11)+MID(EX8,4,1)*POWER(2,12)+MID(EX8,3,1)*POWER(2,13)+MID(EX8,2,1)*POWER(2,14)+MID(EX8,1,1)*POWER(2,15)-(MID(EX9,16,1)*POWER(2,0)+MID(EX9,15,1)*POWER(2,1)+MID(EX9,14,1)*POWER(2,2)+MID(EX9,13,1)*POWER(2,3)+MID(EX9,12,1)*POWER(2,4)+MID(EX9,11,1)*POWER(2,5)+MID(EX9,10,1)*POWER(2,6)+MID(EX9,9,1)*POWER(2,7)+MID(EX9,8,1)*POWER(2,8)+MID(EX9,7,1)*POWER(2,9)+MID(EX9,6,1)*POWER(2,10)+MID(EX9,5,1)*POWER(2,11)+MID(EX9,4,1)*POWER(2,12)+MID(EX9,3,1)*POWER(2,13)+MID(EX9,2,1)*POWER(2,14)+MID(EX9,1,1)*POWER(2,15))</f>
        <v>31515</v>
      </c>
      <c r="FA8" s="77">
        <f>MID(EY8,16,1)*POWER(2,0)+MID(EY8,15,1)*POWER(2,1)+MID(EY8,14,1)*POWER(2,2)+MID(EY8,13,1)*POWER(2,3)+MID(EY8,12,1)*POWER(2,4)+MID(EY8,11,1)*POWER(2,5)+MID(EY8,10,1)*POWER(2,6)+MID(EY8,9,1)*POWER(2,7)+MID(EY8,8,1)*POWER(2,8)+MID(EY8,7,1)*POWER(2,9)+MID(EY8,6,1)*POWER(2,10)+MID(EY8,5,1)*POWER(2,11)+MID(EY8,4,1)*POWER(2,12)+MID(EY8,3,1)*POWER(2,13)+MID(EY8,2,1)*POWER(2,14)+MID(EY8,1,1)*POWER(2,15)-(MID(EY9,16,1)*POWER(2,0)+MID(EY9,15,1)*POWER(2,1)+MID(EY9,14,1)*POWER(2,2)+MID(EY9,13,1)*POWER(2,3)+MID(EY9,12,1)*POWER(2,4)+MID(EY9,11,1)*POWER(2,5)+MID(EY9,10,1)*POWER(2,6)+MID(EY9,9,1)*POWER(2,7)+MID(EY9,8,1)*POWER(2,8)+MID(EY9,7,1)*POWER(2,9)+MID(EY9,6,1)*POWER(2,10)+MID(EY9,5,1)*POWER(2,11)+MID(EY9,4,1)*POWER(2,12)+MID(EY9,3,1)*POWER(2,13)+MID(EY9,2,1)*POWER(2,14)+MID(EY9,1,1)*POWER(2,15))</f>
        <v>63598</v>
      </c>
      <c r="FB8" s="45" t="str">
        <f>L8</f>
        <v>10011100001111101111101110010001</v>
      </c>
      <c r="FC8" s="26" t="str">
        <f t="shared" si="180"/>
        <v>10011100</v>
      </c>
      <c r="FD8" s="26" t="str">
        <f t="shared" si="97"/>
        <v>00111110</v>
      </c>
      <c r="FE8" s="26" t="str">
        <f t="shared" si="98"/>
        <v>11111011</v>
      </c>
      <c r="FF8" s="26" t="str">
        <f t="shared" si="99"/>
        <v>10010001</v>
      </c>
      <c r="FG8" s="77">
        <f>BIN2DEC(FC8)-BIN2DEC(FC9)</f>
        <v>124</v>
      </c>
      <c r="FH8" s="77">
        <f>BIN2DEC(FD8)-BIN2DEC(FD9)</f>
        <v>30</v>
      </c>
      <c r="FI8" s="77">
        <f>BIN2DEC(FE8)-BIN2DEC(FE9)</f>
        <v>251</v>
      </c>
      <c r="FJ8" s="77">
        <f>BIN2DEC(FF8)-BIN2DEC(FF9)</f>
        <v>113</v>
      </c>
      <c r="FK8" s="27" t="str">
        <f t="shared" si="100"/>
        <v>1001</v>
      </c>
      <c r="FL8" s="27" t="str">
        <f t="shared" si="101"/>
        <v>1100</v>
      </c>
      <c r="FM8" s="27" t="str">
        <f t="shared" si="102"/>
        <v>0011</v>
      </c>
      <c r="FN8" s="27" t="str">
        <f t="shared" si="103"/>
        <v>1110</v>
      </c>
      <c r="FO8" s="27" t="str">
        <f t="shared" si="104"/>
        <v>1111</v>
      </c>
      <c r="FP8" s="27" t="str">
        <f t="shared" si="105"/>
        <v>1011</v>
      </c>
      <c r="FQ8" s="27" t="str">
        <f t="shared" si="106"/>
        <v>1001</v>
      </c>
      <c r="FR8" s="27" t="str">
        <f t="shared" si="107"/>
        <v>0001</v>
      </c>
      <c r="FS8" s="77">
        <f>BIN2DEC(FK8)-BIN2DEC(FK9)</f>
        <v>3</v>
      </c>
      <c r="FT8" s="77">
        <f t="shared" ref="FT8:FY8" si="211">BIN2DEC(FL8)-BIN2DEC(FL9)</f>
        <v>7</v>
      </c>
      <c r="FU8" s="77">
        <f t="shared" si="211"/>
        <v>-7</v>
      </c>
      <c r="FV8" s="77">
        <f t="shared" si="211"/>
        <v>11</v>
      </c>
      <c r="FW8" s="77">
        <f t="shared" si="211"/>
        <v>7</v>
      </c>
      <c r="FX8" s="77">
        <f t="shared" si="211"/>
        <v>0</v>
      </c>
      <c r="FY8" s="77">
        <f t="shared" si="211"/>
        <v>-2</v>
      </c>
      <c r="FZ8" s="77">
        <f>BIN2DEC(FR8)-BIN2DEC(FR9)</f>
        <v>-14</v>
      </c>
      <c r="GA8" s="26" t="str">
        <f t="shared" si="18"/>
        <v>1001110000111110</v>
      </c>
      <c r="GB8" s="26" t="str">
        <f t="shared" si="19"/>
        <v>1111101110010001</v>
      </c>
      <c r="GC8" s="77">
        <f>MID(GA8,16,1)*POWER(2,0)+MID(GA8,15,1)*POWER(2,1)+MID(GA8,14,1)*POWER(2,2)+MID(GA8,13,1)*POWER(2,3)+MID(GA8,12,1)*POWER(2,4)+MID(GA8,11,1)*POWER(2,5)+MID(GA8,10,1)*POWER(2,6)+MID(GA8,9,1)*POWER(2,7)+MID(GA8,8,1)*POWER(2,8)+MID(GA8,7,1)*POWER(2,9)+MID(GA8,6,1)*POWER(2,10)+MID(GA8,5,1)*POWER(2,11)+MID(GA8,4,1)*POWER(2,12)+MID(GA8,3,1)*POWER(2,13)+MID(GA8,2,1)*POWER(2,14)+MID(GA8,1,1)*POWER(2,15)-(MID(GA9,16,1)*POWER(2,0)+MID(GA9,15,1)*POWER(2,1)+MID(GA9,14,1)*POWER(2,2)+MID(GA9,13,1)*POWER(2,3)+MID(GA9,12,1)*POWER(2,4)+MID(GA9,11,1)*POWER(2,5)+MID(GA9,10,1)*POWER(2,6)+MID(GA9,9,1)*POWER(2,7)+MID(GA9,8,1)*POWER(2,8)+MID(GA9,7,1)*POWER(2,9)+MID(GA9,6,1)*POWER(2,10)+MID(GA9,5,1)*POWER(2,11)+MID(GA9,4,1)*POWER(2,12)+MID(GA9,3,1)*POWER(2,13)+MID(GA9,2,1)*POWER(2,14)+MID(GA9,1,1)*POWER(2,15))</f>
        <v>31774</v>
      </c>
      <c r="GD8" s="77">
        <f>MID(GB8,16,1)*POWER(2,0)+MID(GB8,15,1)*POWER(2,1)+MID(GB8,14,1)*POWER(2,2)+MID(GB8,13,1)*POWER(2,3)+MID(GB8,12,1)*POWER(2,4)+MID(GB8,11,1)*POWER(2,5)+MID(GB8,10,1)*POWER(2,6)+MID(GB8,9,1)*POWER(2,7)+MID(GB8,8,1)*POWER(2,8)+MID(GB8,7,1)*POWER(2,9)+MID(GB8,6,1)*POWER(2,10)+MID(GB8,5,1)*POWER(2,11)+MID(GB8,4,1)*POWER(2,12)+MID(GB8,3,1)*POWER(2,13)+MID(GB8,2,1)*POWER(2,14)+MID(GB8,1,1)*POWER(2,15)-(MID(GB9,16,1)*POWER(2,0)+MID(GB9,15,1)*POWER(2,1)+MID(GB9,14,1)*POWER(2,2)+MID(GB9,13,1)*POWER(2,3)+MID(GB9,12,1)*POWER(2,4)+MID(GB9,11,1)*POWER(2,5)+MID(GB9,10,1)*POWER(2,6)+MID(GB9,9,1)*POWER(2,7)+MID(GB9,8,1)*POWER(2,8)+MID(GB9,7,1)*POWER(2,9)+MID(GB9,6,1)*POWER(2,10)+MID(GB9,5,1)*POWER(2,11)+MID(GB9,4,1)*POWER(2,12)+MID(GB9,3,1)*POWER(2,13)+MID(GB9,2,1)*POWER(2,14)+MID(GB9,1,1)*POWER(2,15))</f>
        <v>64369</v>
      </c>
      <c r="GE8" s="47" t="str">
        <f>CU8</f>
        <v>00000100001001000110000000000000</v>
      </c>
      <c r="GF8" s="26" t="str">
        <f t="shared" si="182"/>
        <v>00000100</v>
      </c>
      <c r="GG8" s="26" t="str">
        <f t="shared" si="108"/>
        <v>00100100</v>
      </c>
      <c r="GH8" s="26" t="str">
        <f t="shared" si="109"/>
        <v>01100000</v>
      </c>
      <c r="GI8" s="26" t="str">
        <f t="shared" si="110"/>
        <v>00000000</v>
      </c>
      <c r="GJ8" s="77">
        <f>BIN2DEC(GF8)-BIN2DEC(GF9)</f>
        <v>-29</v>
      </c>
      <c r="GK8" s="77">
        <f>BIN2DEC(GG8)-BIN2DEC(GG9)</f>
        <v>1</v>
      </c>
      <c r="GL8" s="77">
        <f>BIN2DEC(GH8)-BIN2DEC(GH9)</f>
        <v>93</v>
      </c>
      <c r="GM8" s="77">
        <f>BIN2DEC(GI8)-BIN2DEC(GI9)</f>
        <v>-35</v>
      </c>
      <c r="GN8" s="27" t="str">
        <f t="shared" si="111"/>
        <v>1001</v>
      </c>
      <c r="GO8" s="27" t="str">
        <f t="shared" si="112"/>
        <v>1100</v>
      </c>
      <c r="GP8" s="27" t="str">
        <f t="shared" si="113"/>
        <v>0011</v>
      </c>
      <c r="GQ8" s="27" t="str">
        <f t="shared" si="114"/>
        <v>1110</v>
      </c>
      <c r="GR8" s="27" t="str">
        <f t="shared" si="115"/>
        <v>1111</v>
      </c>
      <c r="GS8" s="27" t="str">
        <f t="shared" si="116"/>
        <v>1011</v>
      </c>
      <c r="GT8" s="27" t="str">
        <f t="shared" si="117"/>
        <v>1001</v>
      </c>
      <c r="GU8" s="27" t="str">
        <f t="shared" si="118"/>
        <v>0001</v>
      </c>
      <c r="GV8" s="77">
        <f>BIN2DEC(GN8)-BIN2DEC(GN9)</f>
        <v>3</v>
      </c>
      <c r="GW8" s="77">
        <f t="shared" ref="GW8:HB8" si="212">BIN2DEC(GO8)-BIN2DEC(GO9)</f>
        <v>7</v>
      </c>
      <c r="GX8" s="77">
        <f t="shared" si="212"/>
        <v>-7</v>
      </c>
      <c r="GY8" s="77">
        <f t="shared" si="212"/>
        <v>11</v>
      </c>
      <c r="GZ8" s="77">
        <f t="shared" si="212"/>
        <v>7</v>
      </c>
      <c r="HA8" s="77">
        <f t="shared" si="212"/>
        <v>0</v>
      </c>
      <c r="HB8" s="77">
        <f t="shared" si="212"/>
        <v>-2</v>
      </c>
      <c r="HC8" s="77">
        <f>BIN2DEC(GU8)-BIN2DEC(GU9)</f>
        <v>-14</v>
      </c>
      <c r="HD8" s="26" t="str">
        <f t="shared" si="21"/>
        <v>0000010000100100</v>
      </c>
      <c r="HE8" s="26" t="str">
        <f t="shared" si="22"/>
        <v>0110000000000000</v>
      </c>
      <c r="HF8" s="77">
        <f>MID(HD8,16,1)*POWER(2,0)+MID(HD8,15,1)*POWER(2,1)+MID(HD8,14,1)*POWER(2,2)+MID(HD8,13,1)*POWER(2,3)+MID(HD8,12,1)*POWER(2,4)+MID(HD8,11,1)*POWER(2,5)+MID(HD8,10,1)*POWER(2,6)+MID(HD8,9,1)*POWER(2,7)+MID(HD8,8,1)*POWER(2,8)+MID(HD8,7,1)*POWER(2,9)+MID(HD8,6,1)*POWER(2,10)+MID(HD8,5,1)*POWER(2,11)+MID(HD8,4,1)*POWER(2,12)+MID(HD8,3,1)*POWER(2,13)+MID(HD8,2,1)*POWER(2,14)+MID(HD8,1,1)*POWER(2,15)-(MID(HD9,16,1)*POWER(2,0)+MID(HD9,15,1)*POWER(2,1)+MID(HD9,14,1)*POWER(2,2)+MID(HD9,13,1)*POWER(2,3)+MID(HD9,12,1)*POWER(2,4)+MID(HD9,11,1)*POWER(2,5)+MID(HD9,10,1)*POWER(2,6)+MID(HD9,9,1)*POWER(2,7)+MID(HD9,8,1)*POWER(2,8)+MID(HD9,7,1)*POWER(2,9)+MID(HD9,6,1)*POWER(2,10)+MID(HD9,5,1)*POWER(2,11)+MID(HD9,4,1)*POWER(2,12)+MID(HD9,3,1)*POWER(2,13)+MID(HD9,2,1)*POWER(2,14)+MID(HD9,1,1)*POWER(2,15))</f>
        <v>-7423</v>
      </c>
      <c r="HG8" s="77">
        <f>MID(HE8,16,1)*POWER(2,0)+MID(HE8,15,1)*POWER(2,1)+MID(HE8,14,1)*POWER(2,2)+MID(HE8,13,1)*POWER(2,3)+MID(HE8,12,1)*POWER(2,4)+MID(HE8,11,1)*POWER(2,5)+MID(HE8,10,1)*POWER(2,6)+MID(HE8,9,1)*POWER(2,7)+MID(HE8,8,1)*POWER(2,8)+MID(HE8,7,1)*POWER(2,9)+MID(HE8,6,1)*POWER(2,10)+MID(HE8,5,1)*POWER(2,11)+MID(HE8,4,1)*POWER(2,12)+MID(HE8,3,1)*POWER(2,13)+MID(HE8,2,1)*POWER(2,14)+MID(HE8,1,1)*POWER(2,15)-(MID(HE9,16,1)*POWER(2,0)+MID(HE9,15,1)*POWER(2,1)+MID(HE9,14,1)*POWER(2,2)+MID(HE9,13,1)*POWER(2,3)+MID(HE9,12,1)*POWER(2,4)+MID(HE9,11,1)*POWER(2,5)+MID(HE9,10,1)*POWER(2,6)+MID(HE9,9,1)*POWER(2,7)+MID(HE9,8,1)*POWER(2,8)+MID(HE9,7,1)*POWER(2,9)+MID(HE9,6,1)*POWER(2,10)+MID(HE9,5,1)*POWER(2,11)+MID(HE9,4,1)*POWER(2,12)+MID(HE9,3,1)*POWER(2,13)+MID(HE9,2,1)*POWER(2,14)+MID(HE9,1,1)*POWER(2,15))</f>
        <v>23773</v>
      </c>
      <c r="HH8" s="43" t="str">
        <f>CONCATENATE(MID(DX8,17,16),MID(DX8,1,16))</f>
        <v>00000100001001000110000000000000</v>
      </c>
      <c r="HI8" s="26" t="str">
        <f t="shared" si="184"/>
        <v>00000100</v>
      </c>
      <c r="HJ8" s="26" t="str">
        <f t="shared" si="119"/>
        <v>00100100</v>
      </c>
      <c r="HK8" s="26" t="str">
        <f t="shared" si="120"/>
        <v>01100000</v>
      </c>
      <c r="HL8" s="26" t="str">
        <f t="shared" si="121"/>
        <v>00000000</v>
      </c>
      <c r="HM8" s="77">
        <f>BIN2DEC(HI8)-BIN2DEC(HI9)</f>
        <v>-28</v>
      </c>
      <c r="HN8" s="77">
        <f>BIN2DEC(HJ8)-BIN2DEC(HJ9)</f>
        <v>4</v>
      </c>
      <c r="HO8" s="77">
        <f>BIN2DEC(HK8)-BIN2DEC(HK9)</f>
        <v>96</v>
      </c>
      <c r="HP8" s="77">
        <f>BIN2DEC(HL8)-BIN2DEC(HL9)</f>
        <v>-32</v>
      </c>
      <c r="HQ8" s="27" t="str">
        <f t="shared" si="122"/>
        <v>1001</v>
      </c>
      <c r="HR8" s="27" t="str">
        <f t="shared" si="123"/>
        <v>1100</v>
      </c>
      <c r="HS8" s="27" t="str">
        <f t="shared" si="124"/>
        <v>0011</v>
      </c>
      <c r="HT8" s="27" t="str">
        <f t="shared" si="125"/>
        <v>1110</v>
      </c>
      <c r="HU8" s="27" t="str">
        <f t="shared" si="126"/>
        <v>1111</v>
      </c>
      <c r="HV8" s="27" t="str">
        <f t="shared" si="127"/>
        <v>1011</v>
      </c>
      <c r="HW8" s="27" t="str">
        <f t="shared" si="128"/>
        <v>1001</v>
      </c>
      <c r="HX8" s="27" t="str">
        <f t="shared" si="129"/>
        <v>0001</v>
      </c>
      <c r="HY8" s="77">
        <f>BIN2DEC(HQ8)-BIN2DEC(HQ9)</f>
        <v>3</v>
      </c>
      <c r="HZ8" s="77">
        <f t="shared" ref="HZ8:IE8" si="213">BIN2DEC(HR8)-BIN2DEC(HR9)</f>
        <v>7</v>
      </c>
      <c r="IA8" s="77">
        <f t="shared" si="213"/>
        <v>-7</v>
      </c>
      <c r="IB8" s="77">
        <f t="shared" si="213"/>
        <v>11</v>
      </c>
      <c r="IC8" s="77">
        <f t="shared" si="213"/>
        <v>7</v>
      </c>
      <c r="ID8" s="77">
        <f t="shared" si="213"/>
        <v>0</v>
      </c>
      <c r="IE8" s="77">
        <f t="shared" si="213"/>
        <v>-2</v>
      </c>
      <c r="IF8" s="77">
        <f>BIN2DEC(HX8)-BIN2DEC(HX9)</f>
        <v>-14</v>
      </c>
      <c r="IG8" s="26" t="str">
        <f t="shared" si="24"/>
        <v>0000010000100100</v>
      </c>
      <c r="IH8" s="26" t="str">
        <f t="shared" si="25"/>
        <v>0110000000000000</v>
      </c>
      <c r="II8" s="77">
        <f>MID(IG8,16,1)*POWER(2,0)+MID(IG8,15,1)*POWER(2,1)+MID(IG8,14,1)*POWER(2,2)+MID(IG8,13,1)*POWER(2,3)+MID(IG8,12,1)*POWER(2,4)+MID(IG8,11,1)*POWER(2,5)+MID(IG8,10,1)*POWER(2,6)+MID(IG8,9,1)*POWER(2,7)+MID(IG8,8,1)*POWER(2,8)+MID(IG8,7,1)*POWER(2,9)+MID(IG8,6,1)*POWER(2,10)+MID(IG8,5,1)*POWER(2,11)+MID(IG8,4,1)*POWER(2,12)+MID(IG8,3,1)*POWER(2,13)+MID(IG8,2,1)*POWER(2,14)+MID(IG8,1,1)*POWER(2,15)-(MID(IG9,16,1)*POWER(2,0)+MID(IG9,15,1)*POWER(2,1)+MID(IG9,14,1)*POWER(2,2)+MID(IG9,13,1)*POWER(2,3)+MID(IG9,12,1)*POWER(2,4)+MID(IG9,11,1)*POWER(2,5)+MID(IG9,10,1)*POWER(2,6)+MID(IG9,9,1)*POWER(2,7)+MID(IG9,8,1)*POWER(2,8)+MID(IG9,7,1)*POWER(2,9)+MID(IG9,6,1)*POWER(2,10)+MID(IG9,5,1)*POWER(2,11)+MID(IG9,4,1)*POWER(2,12)+MID(IG9,3,1)*POWER(2,13)+MID(IG9,2,1)*POWER(2,14)+MID(IG9,1,1)*POWER(2,15))</f>
        <v>-7164</v>
      </c>
      <c r="IJ8" s="77">
        <f>MID(IH8,16,1)*POWER(2,0)+MID(IH8,15,1)*POWER(2,1)+MID(IH8,14,1)*POWER(2,2)+MID(IH8,13,1)*POWER(2,3)+MID(IH8,12,1)*POWER(2,4)+MID(IH8,11,1)*POWER(2,5)+MID(IH8,10,1)*POWER(2,6)+MID(IH8,9,1)*POWER(2,7)+MID(IH8,8,1)*POWER(2,8)+MID(IH8,7,1)*POWER(2,9)+MID(IH8,6,1)*POWER(2,10)+MID(IH8,5,1)*POWER(2,11)+MID(IH8,4,1)*POWER(2,12)+MID(IH8,3,1)*POWER(2,13)+MID(IH8,2,1)*POWER(2,14)+MID(IH8,1,1)*POWER(2,15)-(MID(IH9,16,1)*POWER(2,0)+MID(IH9,15,1)*POWER(2,1)+MID(IH9,14,1)*POWER(2,2)+MID(IH9,13,1)*POWER(2,3)+MID(IH9,12,1)*POWER(2,4)+MID(IH9,11,1)*POWER(2,5)+MID(IH9,10,1)*POWER(2,6)+MID(IH9,9,1)*POWER(2,7)+MID(IH9,8,1)*POWER(2,8)+MID(IH9,7,1)*POWER(2,9)+MID(IH9,6,1)*POWER(2,10)+MID(IH9,5,1)*POWER(2,11)+MID(IH9,4,1)*POWER(2,12)+MID(IH9,3,1)*POWER(2,13)+MID(IH9,2,1)*POWER(2,14)+MID(IH9,1,1)*POWER(2,15))</f>
        <v>24544</v>
      </c>
      <c r="IK8" s="43" t="str">
        <f>HH8</f>
        <v>00000100001001000110000000000000</v>
      </c>
      <c r="IL8" s="26" t="str">
        <f t="shared" si="186"/>
        <v>00000100</v>
      </c>
      <c r="IM8" s="26" t="str">
        <f t="shared" si="130"/>
        <v>00100100</v>
      </c>
      <c r="IN8" s="26" t="str">
        <f t="shared" si="131"/>
        <v>01100000</v>
      </c>
      <c r="IO8" s="26" t="str">
        <f t="shared" si="132"/>
        <v>00000000</v>
      </c>
      <c r="IP8" s="77">
        <f>BIN2DEC(IL8)-BIN2DEC(IL9)</f>
        <v>-97</v>
      </c>
      <c r="IQ8" s="77">
        <f>BIN2DEC(IM8)-BIN2DEC(IM9)</f>
        <v>-127</v>
      </c>
      <c r="IR8" s="77">
        <f>BIN2DEC(IN8)-BIN2DEC(IN9)</f>
        <v>-43</v>
      </c>
      <c r="IS8" s="77">
        <f>BIN2DEC(IO8)-BIN2DEC(IO9)</f>
        <v>-191</v>
      </c>
      <c r="IT8" s="27" t="str">
        <f t="shared" si="133"/>
        <v>1001</v>
      </c>
      <c r="IU8" s="27" t="str">
        <f t="shared" si="134"/>
        <v>1100</v>
      </c>
      <c r="IV8" s="27" t="str">
        <f t="shared" si="135"/>
        <v>0011</v>
      </c>
      <c r="IW8" s="27" t="str">
        <f t="shared" si="136"/>
        <v>1110</v>
      </c>
      <c r="IX8" s="27" t="str">
        <f t="shared" si="137"/>
        <v>1111</v>
      </c>
      <c r="IY8" s="27" t="str">
        <f t="shared" si="138"/>
        <v>1011</v>
      </c>
      <c r="IZ8" s="27" t="str">
        <f t="shared" si="139"/>
        <v>1001</v>
      </c>
      <c r="JA8" s="27" t="str">
        <f t="shared" si="140"/>
        <v>0001</v>
      </c>
      <c r="JB8" s="77">
        <f t="shared" ref="JB8:JI8" si="214">BIN2DEC(IT8)-BIN2DEC(IT9)</f>
        <v>3</v>
      </c>
      <c r="JC8" s="77">
        <f t="shared" si="214"/>
        <v>7</v>
      </c>
      <c r="JD8" s="77">
        <f t="shared" si="214"/>
        <v>-7</v>
      </c>
      <c r="JE8" s="77">
        <f t="shared" si="214"/>
        <v>11</v>
      </c>
      <c r="JF8" s="77">
        <f t="shared" si="214"/>
        <v>7</v>
      </c>
      <c r="JG8" s="77">
        <f t="shared" si="214"/>
        <v>0</v>
      </c>
      <c r="JH8" s="77">
        <f t="shared" si="214"/>
        <v>-2</v>
      </c>
      <c r="JI8" s="77">
        <f t="shared" si="214"/>
        <v>-14</v>
      </c>
      <c r="JJ8" s="26" t="str">
        <f t="shared" si="27"/>
        <v>0000010000100100</v>
      </c>
      <c r="JK8" s="26" t="str">
        <f t="shared" si="28"/>
        <v>0110000000000000</v>
      </c>
      <c r="JL8" s="77">
        <f>MID(JJ8,16,1)*POWER(2,0)+MID(JJ8,15,1)*POWER(2,1)+MID(JJ8,14,1)*POWER(2,2)+MID(JJ8,13,1)*POWER(2,3)+MID(JJ8,12,1)*POWER(2,4)+MID(JJ8,11,1)*POWER(2,5)+MID(JJ8,10,1)*POWER(2,6)+MID(JJ8,9,1)*POWER(2,7)+MID(JJ8,8,1)*POWER(2,8)+MID(JJ8,7,1)*POWER(2,9)+MID(JJ8,6,1)*POWER(2,10)+MID(JJ8,5,1)*POWER(2,11)+MID(JJ8,4,1)*POWER(2,12)+MID(JJ8,3,1)*POWER(2,13)+MID(JJ8,2,1)*POWER(2,14)+MID(JJ8,1,1)*POWER(2,15)-(MID(JJ9,16,1)*POWER(2,0)+MID(JJ9,15,1)*POWER(2,1)+MID(JJ9,14,1)*POWER(2,2)+MID(JJ9,13,1)*POWER(2,3)+MID(JJ9,12,1)*POWER(2,4)+MID(JJ9,11,1)*POWER(2,5)+MID(JJ9,10,1)*POWER(2,6)+MID(JJ9,9,1)*POWER(2,7)+MID(JJ9,8,1)*POWER(2,8)+MID(JJ9,7,1)*POWER(2,9)+MID(JJ9,6,1)*POWER(2,10)+MID(JJ9,5,1)*POWER(2,11)+MID(JJ9,4,1)*POWER(2,12)+MID(JJ9,3,1)*POWER(2,13)+MID(JJ9,2,1)*POWER(2,14)+MID(JJ9,1,1)*POWER(2,15))</f>
        <v>-24959</v>
      </c>
      <c r="JM8" s="77">
        <f>MID(JK8,16,1)*POWER(2,0)+MID(JK8,15,1)*POWER(2,1)+MID(JK8,14,1)*POWER(2,2)+MID(JK8,13,1)*POWER(2,3)+MID(JK8,12,1)*POWER(2,4)+MID(JK8,11,1)*POWER(2,5)+MID(JK8,10,1)*POWER(2,6)+MID(JK8,9,1)*POWER(2,7)+MID(JK8,8,1)*POWER(2,8)+MID(JK8,7,1)*POWER(2,9)+MID(JK8,6,1)*POWER(2,10)+MID(JK8,5,1)*POWER(2,11)+MID(JK8,4,1)*POWER(2,12)+MID(JK8,3,1)*POWER(2,13)+MID(JK8,2,1)*POWER(2,14)+MID(JK8,1,1)*POWER(2,15)-(MID(JK9,16,1)*POWER(2,0)+MID(JK9,15,1)*POWER(2,1)+MID(JK9,14,1)*POWER(2,2)+MID(JK9,13,1)*POWER(2,3)+MID(JK9,12,1)*POWER(2,4)+MID(JK9,11,1)*POWER(2,5)+MID(JK9,10,1)*POWER(2,6)+MID(JK9,9,1)*POWER(2,7)+MID(JK9,8,1)*POWER(2,8)+MID(JK9,7,1)*POWER(2,9)+MID(JK9,6,1)*POWER(2,10)+MID(JK9,5,1)*POWER(2,11)+MID(JK9,4,1)*POWER(2,12)+MID(JK9,3,1)*POWER(2,13)+MID(JK9,2,1)*POWER(2,14)+MID(JK9,1,1)*POWER(2,15))</f>
        <v>-11199</v>
      </c>
      <c r="JN8" s="45" t="str">
        <f>CONCATENATE(MID(IK8,1,1)*MID($K8,1,1),MID(IK8,2,1)*MID($K8,2,1),MID(IK8,3,1)*MID($K8,3,1),MID(IK8,4,1)*MID($K8,4,1),MID(IK8,5,1)*MID($K8,5,1),MID(IK8,6,1)*MID($K8,6,1),MID(IK8,7,1)*MID($K8,7,1),MID(IK8,8,1)*MID($K8,8,1),MID(IK8,9,1)*MID($K8,1,1),MID(IK8,10,1)*MID($K8,2,1),MID(IK8,11,1)*MID($K8,3,1),MID(IK8,12,1)*MID($K8,4,1),MID(IK8,13,1)*MID($K8,5,1),MID(IK8,14,1)*MID($K8,6,1),MID(IK8,15,1)*MID($K8,7,1),MID(IK8,16,1)*MID($K8,8,1),MID(IK8,17,1)*MID($K8,1,1),MID(IK8,18,1)*MID($K8,2,1),MID(IK8,19,1)*MID($K8,3,1),MID(IK8,20,1)*MID($K8,4,1),MID(IK8,21,1)*MID($K8,5,1),MID(IK8,22,1)*MID($K8,6,1),MID(IK8,23,1)*MID($K8,7,1),MID(IK8,24,1)*MID($K8,8,1),MID(IK8,25,1)*MID($K8,1,1),MID(IK8,26,1)*MID($K8,2,1),MID(IK8,27,1)*MID($K8,3,1),MID(IK8,28,1)*MID($K8,4,1),MID(IK8,29,1)*MID($K8,5,1),MID(IK8,30,1)*MID($K8,6,1),MID(IK8,31,1)*MID($K8,7,1),MID(IK8,32,1)*MID($K8,8,1))</f>
        <v>00000100001001000110000000000000</v>
      </c>
      <c r="JO8" s="26" t="str">
        <f t="shared" si="188"/>
        <v>00000100</v>
      </c>
      <c r="JP8" s="26" t="str">
        <f t="shared" si="141"/>
        <v>00100100</v>
      </c>
      <c r="JQ8" s="26" t="str">
        <f t="shared" si="142"/>
        <v>01100000</v>
      </c>
      <c r="JR8" s="26" t="str">
        <f t="shared" si="143"/>
        <v>00000000</v>
      </c>
      <c r="JS8" s="77">
        <f>BIN2DEC(JO8)-BIN2DEC(JO9)</f>
        <v>-97</v>
      </c>
      <c r="JT8" s="77">
        <f>BIN2DEC(JP8)-BIN2DEC(JP9)</f>
        <v>-127</v>
      </c>
      <c r="JU8" s="77">
        <f>BIN2DEC(JQ8)-BIN2DEC(JQ9)</f>
        <v>-43</v>
      </c>
      <c r="JV8" s="77">
        <f>BIN2DEC(JR8)-BIN2DEC(JR9)</f>
        <v>-191</v>
      </c>
      <c r="JW8" s="27" t="str">
        <f t="shared" si="144"/>
        <v>1001</v>
      </c>
      <c r="JX8" s="27" t="str">
        <f t="shared" si="145"/>
        <v>1100</v>
      </c>
      <c r="JY8" s="27" t="str">
        <f t="shared" si="146"/>
        <v>0011</v>
      </c>
      <c r="JZ8" s="27" t="str">
        <f t="shared" si="147"/>
        <v>1110</v>
      </c>
      <c r="KA8" s="27" t="str">
        <f t="shared" si="148"/>
        <v>1111</v>
      </c>
      <c r="KB8" s="27" t="str">
        <f t="shared" si="149"/>
        <v>1011</v>
      </c>
      <c r="KC8" s="27" t="str">
        <f t="shared" si="150"/>
        <v>1001</v>
      </c>
      <c r="KD8" s="27" t="str">
        <f t="shared" si="151"/>
        <v>0001</v>
      </c>
      <c r="KE8" s="77">
        <f t="shared" ref="KE8:KL8" si="215">BIN2DEC(JW8)-BIN2DEC(JW9)</f>
        <v>3</v>
      </c>
      <c r="KF8" s="77">
        <f t="shared" si="215"/>
        <v>7</v>
      </c>
      <c r="KG8" s="77">
        <f t="shared" si="215"/>
        <v>-7</v>
      </c>
      <c r="KH8" s="77">
        <f t="shared" si="215"/>
        <v>11</v>
      </c>
      <c r="KI8" s="77">
        <f t="shared" si="215"/>
        <v>7</v>
      </c>
      <c r="KJ8" s="77">
        <f t="shared" si="215"/>
        <v>0</v>
      </c>
      <c r="KK8" s="77">
        <f t="shared" si="215"/>
        <v>-2</v>
      </c>
      <c r="KL8" s="77">
        <f t="shared" si="215"/>
        <v>-14</v>
      </c>
      <c r="KM8" s="26" t="str">
        <f t="shared" si="30"/>
        <v>0000010000100100</v>
      </c>
      <c r="KN8" s="26" t="str">
        <f t="shared" si="31"/>
        <v>0110000000000000</v>
      </c>
      <c r="KO8" s="77">
        <f>MID(KM8,16,1)*POWER(2,0)+MID(KM8,15,1)*POWER(2,1)+MID(KM8,14,1)*POWER(2,2)+MID(KM8,13,1)*POWER(2,3)+MID(KM8,12,1)*POWER(2,4)+MID(KM8,11,1)*POWER(2,5)+MID(KM8,10,1)*POWER(2,6)+MID(KM8,9,1)*POWER(2,7)+MID(KM8,8,1)*POWER(2,8)+MID(KM8,7,1)*POWER(2,9)+MID(KM8,6,1)*POWER(2,10)+MID(KM8,5,1)*POWER(2,11)+MID(KM8,4,1)*POWER(2,12)+MID(KM8,3,1)*POWER(2,13)+MID(KM8,2,1)*POWER(2,14)+MID(KM8,1,1)*POWER(2,15)-(MID(KM9,16,1)*POWER(2,0)+MID(KM9,15,1)*POWER(2,1)+MID(KM9,14,1)*POWER(2,2)+MID(KM9,13,1)*POWER(2,3)+MID(KM9,12,1)*POWER(2,4)+MID(KM9,11,1)*POWER(2,5)+MID(KM9,10,1)*POWER(2,6)+MID(KM9,9,1)*POWER(2,7)+MID(KM9,8,1)*POWER(2,8)+MID(KM9,7,1)*POWER(2,9)+MID(KM9,6,1)*POWER(2,10)+MID(KM9,5,1)*POWER(2,11)+MID(KM9,4,1)*POWER(2,12)+MID(KM9,3,1)*POWER(2,13)+MID(KM9,2,1)*POWER(2,14)+MID(KM9,1,1)*POWER(2,15))</f>
        <v>-24959</v>
      </c>
      <c r="KP8" s="77">
        <f>MID(KN8,16,1)*POWER(2,0)+MID(KN8,15,1)*POWER(2,1)+MID(KN8,14,1)*POWER(2,2)+MID(KN8,13,1)*POWER(2,3)+MID(KN8,12,1)*POWER(2,4)+MID(KN8,11,1)*POWER(2,5)+MID(KN8,10,1)*POWER(2,6)+MID(KN8,9,1)*POWER(2,7)+MID(KN8,8,1)*POWER(2,8)+MID(KN8,7,1)*POWER(2,9)+MID(KN8,6,1)*POWER(2,10)+MID(KN8,5,1)*POWER(2,11)+MID(KN8,4,1)*POWER(2,12)+MID(KN8,3,1)*POWER(2,13)+MID(KN8,2,1)*POWER(2,14)+MID(KN8,1,1)*POWER(2,15)-(MID(KN9,16,1)*POWER(2,0)+MID(KN9,15,1)*POWER(2,1)+MID(KN9,14,1)*POWER(2,2)+MID(KN9,13,1)*POWER(2,3)+MID(KN9,12,1)*POWER(2,4)+MID(KN9,11,1)*POWER(2,5)+MID(KN9,10,1)*POWER(2,6)+MID(KN9,9,1)*POWER(2,7)+MID(KN9,8,1)*POWER(2,8)+MID(KN9,7,1)*POWER(2,9)+MID(KN9,6,1)*POWER(2,10)+MID(KN9,5,1)*POWER(2,11)+MID(KN9,4,1)*POWER(2,12)+MID(KN9,3,1)*POWER(2,13)+MID(KN9,2,1)*POWER(2,14)+MID(KN9,1,1)*POWER(2,15))</f>
        <v>-11199</v>
      </c>
      <c r="KQ8" s="47" t="str">
        <f>IK8</f>
        <v>00000100001001000110000000000000</v>
      </c>
      <c r="KR8" s="26" t="str">
        <f t="shared" si="190"/>
        <v>00000100</v>
      </c>
      <c r="KS8" s="26" t="str">
        <f t="shared" si="152"/>
        <v>00100100</v>
      </c>
      <c r="KT8" s="26" t="str">
        <f t="shared" si="153"/>
        <v>01100000</v>
      </c>
      <c r="KU8" s="26" t="str">
        <f t="shared" si="154"/>
        <v>00000000</v>
      </c>
      <c r="KV8" s="77">
        <f>BIN2DEC(KR8)-BIN2DEC(KR9)</f>
        <v>-96</v>
      </c>
      <c r="KW8" s="77">
        <f>BIN2DEC(KS8)-BIN2DEC(KS9)</f>
        <v>4</v>
      </c>
      <c r="KX8" s="77">
        <f>BIN2DEC(KT8)-BIN2DEC(KT9)</f>
        <v>96</v>
      </c>
      <c r="KY8" s="77">
        <f>BIN2DEC(KU8)-BIN2DEC(KU9)</f>
        <v>-36</v>
      </c>
      <c r="KZ8" s="27" t="str">
        <f t="shared" si="155"/>
        <v>1001</v>
      </c>
      <c r="LA8" s="27" t="str">
        <f t="shared" si="156"/>
        <v>1100</v>
      </c>
      <c r="LB8" s="27" t="str">
        <f t="shared" si="157"/>
        <v>0011</v>
      </c>
      <c r="LC8" s="27" t="str">
        <f t="shared" si="158"/>
        <v>1110</v>
      </c>
      <c r="LD8" s="27" t="str">
        <f t="shared" si="159"/>
        <v>1111</v>
      </c>
      <c r="LE8" s="27" t="str">
        <f t="shared" si="160"/>
        <v>1011</v>
      </c>
      <c r="LF8" s="27" t="str">
        <f t="shared" si="161"/>
        <v>1001</v>
      </c>
      <c r="LG8" s="27" t="str">
        <f t="shared" si="162"/>
        <v>0001</v>
      </c>
      <c r="LH8" s="77">
        <f t="shared" ref="LH8:LO8" si="216">BIN2DEC(KZ8)-BIN2DEC(KZ9)</f>
        <v>3</v>
      </c>
      <c r="LI8" s="77">
        <f t="shared" si="216"/>
        <v>7</v>
      </c>
      <c r="LJ8" s="77">
        <f t="shared" si="216"/>
        <v>-7</v>
      </c>
      <c r="LK8" s="77">
        <f t="shared" si="216"/>
        <v>11</v>
      </c>
      <c r="LL8" s="77">
        <f t="shared" si="216"/>
        <v>7</v>
      </c>
      <c r="LM8" s="77">
        <f t="shared" si="216"/>
        <v>0</v>
      </c>
      <c r="LN8" s="77">
        <f t="shared" si="216"/>
        <v>-2</v>
      </c>
      <c r="LO8" s="77">
        <f t="shared" si="216"/>
        <v>-14</v>
      </c>
      <c r="LP8" s="26" t="str">
        <f t="shared" si="33"/>
        <v>0000010000100100</v>
      </c>
      <c r="LQ8" s="26" t="str">
        <f t="shared" si="34"/>
        <v>0110000000000000</v>
      </c>
      <c r="LR8" s="77">
        <f>MID(LP8,16,1)*POWER(2,0)+MID(LP8,15,1)*POWER(2,1)+MID(LP8,14,1)*POWER(2,2)+MID(LP8,13,1)*POWER(2,3)+MID(LP8,12,1)*POWER(2,4)+MID(LP8,11,1)*POWER(2,5)+MID(LP8,10,1)*POWER(2,6)+MID(LP8,9,1)*POWER(2,7)+MID(LP8,8,1)*POWER(2,8)+MID(LP8,7,1)*POWER(2,9)+MID(LP8,6,1)*POWER(2,10)+MID(LP8,5,1)*POWER(2,11)+MID(LP8,4,1)*POWER(2,12)+MID(LP8,3,1)*POWER(2,13)+MID(LP8,2,1)*POWER(2,14)+MID(LP8,1,1)*POWER(2,15)-(MID(LP9,16,1)*POWER(2,0)+MID(LP9,15,1)*POWER(2,1)+MID(LP9,14,1)*POWER(2,2)+MID(LP9,13,1)*POWER(2,3)+MID(LP9,12,1)*POWER(2,4)+MID(LP9,11,1)*POWER(2,5)+MID(LP9,10,1)*POWER(2,6)+MID(LP9,9,1)*POWER(2,7)+MID(LP9,8,1)*POWER(2,8)+MID(LP9,7,1)*POWER(2,9)+MID(LP9,6,1)*POWER(2,10)+MID(LP9,5,1)*POWER(2,11)+MID(LP9,4,1)*POWER(2,12)+MID(LP9,3,1)*POWER(2,13)+MID(LP9,2,1)*POWER(2,14)+MID(LP9,1,1)*POWER(2,15))</f>
        <v>-24572</v>
      </c>
      <c r="LS8" s="77">
        <f>MID(LQ8,16,1)*POWER(2,0)+MID(LQ8,15,1)*POWER(2,1)+MID(LQ8,14,1)*POWER(2,2)+MID(LQ8,13,1)*POWER(2,3)+MID(LQ8,12,1)*POWER(2,4)+MID(LQ8,11,1)*POWER(2,5)+MID(LQ8,10,1)*POWER(2,6)+MID(LQ8,9,1)*POWER(2,7)+MID(LQ8,8,1)*POWER(2,8)+MID(LQ8,7,1)*POWER(2,9)+MID(LQ8,6,1)*POWER(2,10)+MID(LQ8,5,1)*POWER(2,11)+MID(LQ8,4,1)*POWER(2,12)+MID(LQ8,3,1)*POWER(2,13)+MID(LQ8,2,1)*POWER(2,14)+MID(LQ8,1,1)*POWER(2,15)-(MID(LQ9,16,1)*POWER(2,0)+MID(LQ9,15,1)*POWER(2,1)+MID(LQ9,14,1)*POWER(2,2)+MID(LQ9,13,1)*POWER(2,3)+MID(LQ9,12,1)*POWER(2,4)+MID(LQ9,11,1)*POWER(2,5)+MID(LQ9,10,1)*POWER(2,6)+MID(LQ9,9,1)*POWER(2,7)+MID(LQ9,8,1)*POWER(2,8)+MID(LQ9,7,1)*POWER(2,9)+MID(LQ9,6,1)*POWER(2,10)+MID(LQ9,5,1)*POWER(2,11)+MID(LQ9,4,1)*POWER(2,12)+MID(LQ9,3,1)*POWER(2,13)+MID(LQ9,2,1)*POWER(2,14)+MID(LQ9,1,1)*POWER(2,15))</f>
        <v>24540</v>
      </c>
      <c r="LT8" s="43" t="str">
        <f>JN8</f>
        <v>00000100001001000110000000000000</v>
      </c>
      <c r="LU8" s="26" t="str">
        <f t="shared" si="192"/>
        <v>00000100</v>
      </c>
      <c r="LV8" s="26" t="str">
        <f t="shared" si="163"/>
        <v>00100100</v>
      </c>
      <c r="LW8" s="26" t="str">
        <f t="shared" si="164"/>
        <v>01100000</v>
      </c>
      <c r="LX8" s="26" t="str">
        <f t="shared" si="165"/>
        <v>00000000</v>
      </c>
      <c r="LY8" s="77">
        <f>BIN2DEC(LU8)-BIN2DEC(LU9)</f>
        <v>-29</v>
      </c>
      <c r="LZ8" s="77">
        <f>BIN2DEC(LV8)-BIN2DEC(LV9)</f>
        <v>1</v>
      </c>
      <c r="MA8" s="77">
        <f>BIN2DEC(LW8)-BIN2DEC(LW9)</f>
        <v>93</v>
      </c>
      <c r="MB8" s="77">
        <f>BIN2DEC(LX8)-BIN2DEC(LX9)</f>
        <v>-35</v>
      </c>
      <c r="MC8" s="27" t="str">
        <f t="shared" si="166"/>
        <v>1001</v>
      </c>
      <c r="MD8" s="27" t="str">
        <f t="shared" si="167"/>
        <v>1100</v>
      </c>
      <c r="ME8" s="27" t="str">
        <f t="shared" si="168"/>
        <v>0011</v>
      </c>
      <c r="MF8" s="27" t="str">
        <f t="shared" si="169"/>
        <v>1110</v>
      </c>
      <c r="MG8" s="27" t="str">
        <f t="shared" si="170"/>
        <v>1111</v>
      </c>
      <c r="MH8" s="27" t="str">
        <f t="shared" si="171"/>
        <v>1011</v>
      </c>
      <c r="MI8" s="27" t="str">
        <f t="shared" si="172"/>
        <v>1001</v>
      </c>
      <c r="MJ8" s="27" t="str">
        <f t="shared" si="173"/>
        <v>0001</v>
      </c>
      <c r="MK8" s="77">
        <f t="shared" ref="MK8:MR8" si="217">BIN2DEC(MC8)-BIN2DEC(MC9)</f>
        <v>3</v>
      </c>
      <c r="ML8" s="77">
        <f t="shared" si="217"/>
        <v>7</v>
      </c>
      <c r="MM8" s="77">
        <f t="shared" si="217"/>
        <v>-7</v>
      </c>
      <c r="MN8" s="77">
        <f t="shared" si="217"/>
        <v>11</v>
      </c>
      <c r="MO8" s="77">
        <f t="shared" si="217"/>
        <v>7</v>
      </c>
      <c r="MP8" s="77">
        <f t="shared" si="217"/>
        <v>0</v>
      </c>
      <c r="MQ8" s="77">
        <f t="shared" si="217"/>
        <v>-2</v>
      </c>
      <c r="MR8" s="77">
        <f t="shared" si="217"/>
        <v>-14</v>
      </c>
      <c r="MS8" s="26" t="str">
        <f t="shared" si="36"/>
        <v>0000010000100100</v>
      </c>
      <c r="MT8" s="26" t="str">
        <f t="shared" si="37"/>
        <v>0110000000000000</v>
      </c>
      <c r="MU8" s="77">
        <f>MID(MS8,16,1)*POWER(2,0)+MID(MS8,15,1)*POWER(2,1)+MID(MS8,14,1)*POWER(2,2)+MID(MS8,13,1)*POWER(2,3)+MID(MS8,12,1)*POWER(2,4)+MID(MS8,11,1)*POWER(2,5)+MID(MS8,10,1)*POWER(2,6)+MID(MS8,9,1)*POWER(2,7)+MID(MS8,8,1)*POWER(2,8)+MID(MS8,7,1)*POWER(2,9)+MID(MS8,6,1)*POWER(2,10)+MID(MS8,5,1)*POWER(2,11)+MID(MS8,4,1)*POWER(2,12)+MID(MS8,3,1)*POWER(2,13)+MID(MS8,2,1)*POWER(2,14)+MID(MS8,1,1)*POWER(2,15)-(MID(MS9,16,1)*POWER(2,0)+MID(MS9,15,1)*POWER(2,1)+MID(MS9,14,1)*POWER(2,2)+MID(MS9,13,1)*POWER(2,3)+MID(MS9,12,1)*POWER(2,4)+MID(MS9,11,1)*POWER(2,5)+MID(MS9,10,1)*POWER(2,6)+MID(MS9,9,1)*POWER(2,7)+MID(MS9,8,1)*POWER(2,8)+MID(MS9,7,1)*POWER(2,9)+MID(MS9,6,1)*POWER(2,10)+MID(MS9,5,1)*POWER(2,11)+MID(MS9,4,1)*POWER(2,12)+MID(MS9,3,1)*POWER(2,13)+MID(MS9,2,1)*POWER(2,14)+MID(MS9,1,1)*POWER(2,15))</f>
        <v>-7423</v>
      </c>
      <c r="MV8" s="77">
        <f>MID(MT8,16,1)*POWER(2,0)+MID(MT8,15,1)*POWER(2,1)+MID(MT8,14,1)*POWER(2,2)+MID(MT8,13,1)*POWER(2,3)+MID(MT8,12,1)*POWER(2,4)+MID(MT8,11,1)*POWER(2,5)+MID(MT8,10,1)*POWER(2,6)+MID(MT8,9,1)*POWER(2,7)+MID(MT8,8,1)*POWER(2,8)+MID(MT8,7,1)*POWER(2,9)+MID(MT8,6,1)*POWER(2,10)+MID(MT8,5,1)*POWER(2,11)+MID(MT8,4,1)*POWER(2,12)+MID(MT8,3,1)*POWER(2,13)+MID(MT8,2,1)*POWER(2,14)+MID(MT8,1,1)*POWER(2,15)-(MID(MT9,16,1)*POWER(2,0)+MID(MT9,15,1)*POWER(2,1)+MID(MT9,14,1)*POWER(2,2)+MID(MT9,13,1)*POWER(2,3)+MID(MT9,12,1)*POWER(2,4)+MID(MT9,11,1)*POWER(2,5)+MID(MT9,10,1)*POWER(2,6)+MID(MT9,9,1)*POWER(2,7)+MID(MT9,8,1)*POWER(2,8)+MID(MT9,7,1)*POWER(2,9)+MID(MT9,6,1)*POWER(2,10)+MID(MT9,5,1)*POWER(2,11)+MID(MT9,4,1)*POWER(2,12)+MID(MT9,3,1)*POWER(2,13)+MID(MT9,2,1)*POWER(2,14)+MID(MT9,1,1)*POWER(2,15))</f>
        <v>23773</v>
      </c>
    </row>
    <row r="9" spans="1:360" s="31" customFormat="1" ht="18.600000000000001" thickBot="1" x14ac:dyDescent="0.4">
      <c r="A9" s="28"/>
      <c r="B9" s="29"/>
      <c r="C9" s="21" t="s">
        <v>6</v>
      </c>
      <c r="D9" s="21" t="s">
        <v>17</v>
      </c>
      <c r="E9" s="21">
        <v>74</v>
      </c>
      <c r="F9" s="21" t="s">
        <v>148</v>
      </c>
      <c r="G9" s="21" t="s">
        <v>143</v>
      </c>
      <c r="H9" s="21" t="str">
        <f t="shared" si="0"/>
        <v>01101100011101001111000110110111</v>
      </c>
      <c r="I9" s="21">
        <f t="shared" si="1"/>
        <v>19</v>
      </c>
      <c r="J9" s="21"/>
      <c r="K9" s="21"/>
      <c r="L9" s="44" t="str">
        <f>CONCATENATE(MID(H9,4,5),MID(H9,25,3),MID(H9,12,5),MID(H9,1,3),MID(H9,20,5),MID(H9,9,3),MID(H9,28,5),MID(H9,17,3))</f>
        <v>01100101101000111000101110111111</v>
      </c>
      <c r="M9" s="26" t="str">
        <f t="shared" si="38"/>
        <v>01100</v>
      </c>
      <c r="N9" s="26" t="str">
        <f t="shared" si="39"/>
        <v>10100</v>
      </c>
      <c r="O9" s="26" t="str">
        <f t="shared" si="40"/>
        <v>10001</v>
      </c>
      <c r="P9" s="26" t="str">
        <f t="shared" si="41"/>
        <v>10111</v>
      </c>
      <c r="Q9" s="78"/>
      <c r="R9" s="78"/>
      <c r="S9" s="78"/>
      <c r="T9" s="78"/>
      <c r="U9" s="31" t="str">
        <f t="shared" si="42"/>
        <v>0110</v>
      </c>
      <c r="V9" s="31" t="str">
        <f t="shared" si="43"/>
        <v>0101</v>
      </c>
      <c r="W9" s="31" t="str">
        <f t="shared" si="44"/>
        <v>1010</v>
      </c>
      <c r="X9" s="31" t="str">
        <f t="shared" si="45"/>
        <v>0011</v>
      </c>
      <c r="Y9" s="31" t="str">
        <f t="shared" si="46"/>
        <v>1000</v>
      </c>
      <c r="Z9" s="31" t="str">
        <f t="shared" si="47"/>
        <v>1011</v>
      </c>
      <c r="AA9" s="31" t="str">
        <f t="shared" si="48"/>
        <v>1011</v>
      </c>
      <c r="AB9" s="31" t="str">
        <f t="shared" si="49"/>
        <v>1111</v>
      </c>
      <c r="AC9" s="78"/>
      <c r="AD9" s="78"/>
      <c r="AE9" s="78"/>
      <c r="AF9" s="78"/>
      <c r="AG9" s="78"/>
      <c r="AH9" s="78"/>
      <c r="AI9" s="78"/>
      <c r="AJ9" s="78"/>
      <c r="AK9" s="30" t="str">
        <f t="shared" si="3"/>
        <v>0110010110100011</v>
      </c>
      <c r="AL9" s="30" t="str">
        <f t="shared" si="4"/>
        <v>1000101110111111</v>
      </c>
      <c r="AM9" s="78"/>
      <c r="AN9" s="78"/>
      <c r="AO9" s="46" t="str">
        <f>CONCATENATE(MID($L9,1,1)*MID($K8,1,1),MID($L9,2,1)*MID($K8,2,1),MID($L9,3,1)*MID($K8,3,1),MID($L9,4,1)*MID($K8,4,1),MID($L9,5,1)*MID($K8,5,1),MID($L9,6,1)*MID($K8,6,1),MID($L9,7,1)*MID($K8,7,1),MID($L9,8,1)*MID($K8,8,1),MID($L9,9,1)*MID($K8,1,1),MID($L9,10,1)*MID($K8,2,1),MID($L9,11,1)*MID($K8,3,1),MID($L9,12,1)*MID($K8,4,1),MID($L9,13,1)*MID($K8,5,1),MID($L9,14,1)*MID($K8,6,1),MID($L9,15,1)*MID($K8,7,1),MID($L9,16,1)*MID($K8,8,1),MID($L9,17,1)*MID($K8,1,1),MID($L9,18,1)*MID($K8,2,1),MID($L9,19,1)*MID($K8,3,1),MID($L9,20,1)*MID($K8,4,1),MID($L9,21,1)*MID($K8,5,1),MID($L9,22,1)*MID($K8,6,1),MID($L9,23,1)*MID($K8,7,1),MID($L9,24,1)*MID($K8,8,1),MID($L9,25,1)*MID($K8,1,1),MID($L9,26,1)*MID($K8,2,1),MID($L9,27,1)*MID($K8,3,1),MID($L9,28,1)*MID($K8,4,1),MID($L9,29,1)*MID($K8,5,1),MID($L9,30,1)*MID($K8,6,1),MID($L9,31,1)*MID($K8,7,1),MID($L9,32,1)*MID($K8,8,1))</f>
        <v>01100100001000000000000000100100</v>
      </c>
      <c r="AP9" s="30" t="str">
        <f t="shared" si="50"/>
        <v>01100100</v>
      </c>
      <c r="AQ9" s="30" t="str">
        <f t="shared" si="51"/>
        <v>00100000</v>
      </c>
      <c r="AR9" s="30" t="str">
        <f t="shared" si="52"/>
        <v>00000000</v>
      </c>
      <c r="AS9" s="30" t="str">
        <f t="shared" si="53"/>
        <v>00100100</v>
      </c>
      <c r="AT9" s="78"/>
      <c r="AU9" s="78"/>
      <c r="AV9" s="78"/>
      <c r="AW9" s="78"/>
      <c r="AX9" s="31" t="str">
        <f t="shared" si="54"/>
        <v>0110</v>
      </c>
      <c r="AY9" s="31" t="str">
        <f t="shared" si="55"/>
        <v>0101</v>
      </c>
      <c r="AZ9" s="31" t="str">
        <f t="shared" si="56"/>
        <v>1010</v>
      </c>
      <c r="BA9" s="31" t="str">
        <f t="shared" si="57"/>
        <v>0011</v>
      </c>
      <c r="BB9" s="31" t="str">
        <f t="shared" si="58"/>
        <v>1000</v>
      </c>
      <c r="BC9" s="31" t="str">
        <f t="shared" si="59"/>
        <v>1011</v>
      </c>
      <c r="BD9" s="31" t="str">
        <f t="shared" si="60"/>
        <v>1011</v>
      </c>
      <c r="BE9" s="31" t="str">
        <f t="shared" si="61"/>
        <v>1111</v>
      </c>
      <c r="BF9" s="78"/>
      <c r="BG9" s="78"/>
      <c r="BH9" s="78"/>
      <c r="BI9" s="78"/>
      <c r="BJ9" s="78"/>
      <c r="BK9" s="78"/>
      <c r="BL9" s="78"/>
      <c r="BM9" s="78"/>
      <c r="BN9" s="30" t="str">
        <f t="shared" si="6"/>
        <v>0110010000100000</v>
      </c>
      <c r="BO9" s="30" t="str">
        <f t="shared" si="7"/>
        <v>0000000000100100</v>
      </c>
      <c r="BP9" s="78"/>
      <c r="BQ9" s="78"/>
      <c r="BR9" s="46" t="str">
        <f>L9</f>
        <v>01100101101000111000101110111111</v>
      </c>
      <c r="BS9" s="30" t="str">
        <f t="shared" si="62"/>
        <v>01100101</v>
      </c>
      <c r="BT9" s="30" t="str">
        <f t="shared" si="63"/>
        <v>10100011</v>
      </c>
      <c r="BU9" s="30" t="str">
        <f t="shared" si="64"/>
        <v>10001011</v>
      </c>
      <c r="BV9" s="30" t="str">
        <f t="shared" si="65"/>
        <v>10111111</v>
      </c>
      <c r="BW9" s="78"/>
      <c r="BX9" s="78"/>
      <c r="BY9" s="78"/>
      <c r="BZ9" s="78"/>
      <c r="CA9" s="31" t="str">
        <f t="shared" si="66"/>
        <v>0110</v>
      </c>
      <c r="CB9" s="31" t="str">
        <f t="shared" si="67"/>
        <v>0101</v>
      </c>
      <c r="CC9" s="31" t="str">
        <f t="shared" si="68"/>
        <v>1010</v>
      </c>
      <c r="CD9" s="31" t="str">
        <f t="shared" si="69"/>
        <v>0011</v>
      </c>
      <c r="CE9" s="31" t="str">
        <f t="shared" si="70"/>
        <v>1000</v>
      </c>
      <c r="CF9" s="31" t="str">
        <f t="shared" si="71"/>
        <v>1011</v>
      </c>
      <c r="CG9" s="31" t="str">
        <f t="shared" si="72"/>
        <v>1011</v>
      </c>
      <c r="CH9" s="31" t="str">
        <f t="shared" si="73"/>
        <v>1111</v>
      </c>
      <c r="CI9" s="78"/>
      <c r="CJ9" s="78"/>
      <c r="CK9" s="78"/>
      <c r="CL9" s="78"/>
      <c r="CM9" s="78"/>
      <c r="CN9" s="78"/>
      <c r="CO9" s="78"/>
      <c r="CP9" s="78"/>
      <c r="CQ9" s="30" t="str">
        <f t="shared" si="9"/>
        <v>0110010110100011</v>
      </c>
      <c r="CR9" s="30" t="str">
        <f t="shared" si="10"/>
        <v>1000101110111111</v>
      </c>
      <c r="CS9" s="78"/>
      <c r="CT9" s="78"/>
      <c r="CU9" s="46" t="str">
        <f>AO9</f>
        <v>01100100001000000000000000100100</v>
      </c>
      <c r="CV9" s="30" t="str">
        <f t="shared" si="74"/>
        <v>01100100</v>
      </c>
      <c r="CW9" s="30" t="str">
        <f t="shared" si="75"/>
        <v>00100000</v>
      </c>
      <c r="CX9" s="30" t="str">
        <f t="shared" si="76"/>
        <v>00000000</v>
      </c>
      <c r="CY9" s="30" t="str">
        <f t="shared" si="77"/>
        <v>00100100</v>
      </c>
      <c r="CZ9" s="78"/>
      <c r="DA9" s="78"/>
      <c r="DB9" s="78"/>
      <c r="DC9" s="78"/>
      <c r="DD9" s="31" t="str">
        <f t="shared" si="78"/>
        <v>0110</v>
      </c>
      <c r="DE9" s="31" t="str">
        <f t="shared" si="79"/>
        <v>0101</v>
      </c>
      <c r="DF9" s="31" t="str">
        <f t="shared" si="80"/>
        <v>1010</v>
      </c>
      <c r="DG9" s="31" t="str">
        <f t="shared" si="81"/>
        <v>0011</v>
      </c>
      <c r="DH9" s="31" t="str">
        <f t="shared" si="82"/>
        <v>1000</v>
      </c>
      <c r="DI9" s="31" t="str">
        <f t="shared" si="83"/>
        <v>1011</v>
      </c>
      <c r="DJ9" s="31" t="str">
        <f t="shared" si="84"/>
        <v>1011</v>
      </c>
      <c r="DK9" s="31" t="str">
        <f t="shared" si="85"/>
        <v>1111</v>
      </c>
      <c r="DL9" s="78"/>
      <c r="DM9" s="78"/>
      <c r="DN9" s="78"/>
      <c r="DO9" s="78"/>
      <c r="DP9" s="78"/>
      <c r="DQ9" s="78"/>
      <c r="DR9" s="78"/>
      <c r="DS9" s="78"/>
      <c r="DT9" s="30" t="str">
        <f t="shared" si="12"/>
        <v>0110010000100000</v>
      </c>
      <c r="DU9" s="30" t="str">
        <f t="shared" si="13"/>
        <v>0000000000100100</v>
      </c>
      <c r="DV9" s="78"/>
      <c r="DW9" s="78"/>
      <c r="DX9" s="23" t="str">
        <f>CONCATENATE(MID($H9,1,1)*MID($K8,1,1),MID($H9,2,1)*MID($K8,2,1),MID($H9,3,1)*MID($K8,3,1),MID($H9,4,1)*MID($K8,4,1),MID($H9,5,1)*MID($K8,5,1),MID($H9,6,1)*MID($K8,6,1),MID($H9,7,1)*MID($K8,7,1),MID($H9,8,1)*MID($K8,8,1),MID($H9,9,1)*MID($K8,1,1),MID($H9,10,1)*MID($K8,2,1),MID($H9,11,1)*MID($K8,3,1),MID($H9,12,1)*MID($K8,4,1),MID($H9,13,1)*MID($K8,5,1),MID($H9,14,1)*MID($K8,6,1),MID($H9,15,1)*MID($K8,7,1),MID($H9,16,1)*MID($K8,8,1),MID($H9,17,1)*MID($K8,1,1),MID($H9,18,1)*MID($K8,2,1),MID($H9,19,1)*MID($K8,3,1),MID($H9,20,1)*MID($K8,4,1),MID($H9,21,1)*MID($K8,5,1),MID($H9,22,1)*MID($K8,6,1),MID($H9,23,1)*MID($K8,7,1),MID($H9,24,1)*MID($K8,8,1),MID($H9,25,1)*MID($K8,1,1),MID($H9,26,1)*MID($K8,2,1),MID($H9,27,1)*MID($K8,3,1),MID($H9,28,1)*MID($K8,4,1),MID($H9,29,1)*MID($K8,5,1),MID($H9,30,1)*MID($K8,6,1),MID($H9,31,1)*MID($K8,7,1),MID($H9,32,1)*MID($K8,8,1))</f>
        <v>01100100011001000110000000100100</v>
      </c>
      <c r="DY9" s="44" t="str">
        <f>CONCATENATE(MID(DX9,4,5),MID(DX9,25,3),MID(DX9,12,5),MID(DX9,1,3),MID(DX9,20,5),MID(DX9,9,3),MID(DX9,28,5),MID(DX9,17,3))</f>
        <v>00100001001000110000001100100011</v>
      </c>
      <c r="DZ9" s="30" t="str">
        <f t="shared" si="178"/>
        <v>00100001</v>
      </c>
      <c r="EA9" s="30" t="str">
        <f t="shared" si="86"/>
        <v>00100011</v>
      </c>
      <c r="EB9" s="30" t="str">
        <f t="shared" si="87"/>
        <v>00000011</v>
      </c>
      <c r="EC9" s="30" t="str">
        <f t="shared" si="88"/>
        <v>00100011</v>
      </c>
      <c r="ED9" s="78"/>
      <c r="EE9" s="78"/>
      <c r="EF9" s="78"/>
      <c r="EG9" s="78"/>
      <c r="EH9" s="31" t="str">
        <f t="shared" si="89"/>
        <v>0110</v>
      </c>
      <c r="EI9" s="31" t="str">
        <f t="shared" si="90"/>
        <v>0101</v>
      </c>
      <c r="EJ9" s="31" t="str">
        <f t="shared" si="91"/>
        <v>1010</v>
      </c>
      <c r="EK9" s="31" t="str">
        <f t="shared" si="92"/>
        <v>0011</v>
      </c>
      <c r="EL9" s="31" t="str">
        <f t="shared" si="93"/>
        <v>1000</v>
      </c>
      <c r="EM9" s="31" t="str">
        <f t="shared" si="94"/>
        <v>1011</v>
      </c>
      <c r="EN9" s="31" t="str">
        <f t="shared" si="95"/>
        <v>1011</v>
      </c>
      <c r="EO9" s="31" t="str">
        <f t="shared" si="96"/>
        <v>1111</v>
      </c>
      <c r="EP9" s="78"/>
      <c r="EQ9" s="78"/>
      <c r="ER9" s="78"/>
      <c r="ES9" s="78"/>
      <c r="ET9" s="78"/>
      <c r="EU9" s="78"/>
      <c r="EV9" s="78"/>
      <c r="EW9" s="78"/>
      <c r="EX9" s="30" t="str">
        <f t="shared" si="15"/>
        <v>0010000100100011</v>
      </c>
      <c r="EY9" s="30" t="str">
        <f t="shared" si="16"/>
        <v>0000001100100011</v>
      </c>
      <c r="EZ9" s="78"/>
      <c r="FA9" s="78"/>
      <c r="FB9" s="46" t="str">
        <f>CONCATENATE(MID(DY9,1,1)*MID($K8,1,1),MID(DY9,2,1)*MID($K8,2,1),MID(DY9,3,1)*MID($K8,3,1),MID(DY9,4,1)*MID($K8,4,1),MID(DY9,5,1)*MID($K8,5,1),MID(DY9,6,1)*MID($K8,6,1),MID(DY9,7,1)*MID($K8,7,1),MID(DY9,8,1)*MID($K8,8,1),MID(DY9,9,1)*MID($K8,1,1),MID(DY9,10,1)*MID($K8,2,1),MID(DY9,11,1)*MID($K8,3,1),MID(DY9,12,1)*MID($K8,4,1),MID(DY9,13,1)*MID($K8,5,1),MID(DY9,14,1)*MID($K8,6,1),MID(DY9,15,1)*MID($K8,7,1),MID(DY9,16,1)*MID($K8,8,1),MID(DY9,17,1)*MID($K8,1,1),MID(DY9,18,1)*MID($K8,2,1),MID(DY9,19,1)*MID($K8,3,1),MID(DY9,20,1)*MID($K8,4,1),MID(DY9,21,1)*MID($K8,5,1),MID(DY9,22,1)*MID($K8,6,1),MID(DY9,23,1)*MID($K8,7,1),MID(DY9,24,1)*MID($K8,8,1),MID(DY9,25,1)*MID($K8,1,1),MID(DY9,26,1)*MID($K8,2,1),MID(DY9,27,1)*MID($K8,3,1),MID(DY9,28,1)*MID($K8,4,1),MID(DY9,29,1)*MID($K8,5,1),MID(DY9,30,1)*MID($K8,6,1),MID(DY9,31,1)*MID($K8,7,1),MID(DY9,32,1)*MID($K8,8,1))</f>
        <v>00100000001000000000000000100000</v>
      </c>
      <c r="FC9" s="30" t="str">
        <f t="shared" si="180"/>
        <v>00100000</v>
      </c>
      <c r="FD9" s="30" t="str">
        <f t="shared" si="97"/>
        <v>00100000</v>
      </c>
      <c r="FE9" s="30" t="str">
        <f t="shared" si="98"/>
        <v>00000000</v>
      </c>
      <c r="FF9" s="30" t="str">
        <f t="shared" si="99"/>
        <v>00100000</v>
      </c>
      <c r="FG9" s="78"/>
      <c r="FH9" s="78"/>
      <c r="FI9" s="78"/>
      <c r="FJ9" s="78"/>
      <c r="FK9" s="31" t="str">
        <f t="shared" si="100"/>
        <v>0110</v>
      </c>
      <c r="FL9" s="31" t="str">
        <f t="shared" si="101"/>
        <v>0101</v>
      </c>
      <c r="FM9" s="31" t="str">
        <f t="shared" si="102"/>
        <v>1010</v>
      </c>
      <c r="FN9" s="31" t="str">
        <f t="shared" si="103"/>
        <v>0011</v>
      </c>
      <c r="FO9" s="31" t="str">
        <f t="shared" si="104"/>
        <v>1000</v>
      </c>
      <c r="FP9" s="31" t="str">
        <f t="shared" si="105"/>
        <v>1011</v>
      </c>
      <c r="FQ9" s="31" t="str">
        <f t="shared" si="106"/>
        <v>1011</v>
      </c>
      <c r="FR9" s="31" t="str">
        <f t="shared" si="107"/>
        <v>1111</v>
      </c>
      <c r="FS9" s="78"/>
      <c r="FT9" s="78"/>
      <c r="FU9" s="78"/>
      <c r="FV9" s="78"/>
      <c r="FW9" s="78"/>
      <c r="FX9" s="78"/>
      <c r="FY9" s="78"/>
      <c r="FZ9" s="78"/>
      <c r="GA9" s="30" t="str">
        <f t="shared" si="18"/>
        <v>0010000000100000</v>
      </c>
      <c r="GB9" s="30" t="str">
        <f t="shared" si="19"/>
        <v>0000000000100000</v>
      </c>
      <c r="GC9" s="78"/>
      <c r="GD9" s="78"/>
      <c r="GE9" s="48" t="str">
        <f>DY9</f>
        <v>00100001001000110000001100100011</v>
      </c>
      <c r="GF9" s="30" t="str">
        <f t="shared" si="182"/>
        <v>00100001</v>
      </c>
      <c r="GG9" s="30" t="str">
        <f t="shared" si="108"/>
        <v>00100011</v>
      </c>
      <c r="GH9" s="30" t="str">
        <f t="shared" si="109"/>
        <v>00000011</v>
      </c>
      <c r="GI9" s="30" t="str">
        <f t="shared" si="110"/>
        <v>00100011</v>
      </c>
      <c r="GJ9" s="78"/>
      <c r="GK9" s="78"/>
      <c r="GL9" s="78"/>
      <c r="GM9" s="78"/>
      <c r="GN9" s="31" t="str">
        <f t="shared" si="111"/>
        <v>0110</v>
      </c>
      <c r="GO9" s="31" t="str">
        <f t="shared" si="112"/>
        <v>0101</v>
      </c>
      <c r="GP9" s="31" t="str">
        <f t="shared" si="113"/>
        <v>1010</v>
      </c>
      <c r="GQ9" s="31" t="str">
        <f t="shared" si="114"/>
        <v>0011</v>
      </c>
      <c r="GR9" s="31" t="str">
        <f t="shared" si="115"/>
        <v>1000</v>
      </c>
      <c r="GS9" s="31" t="str">
        <f t="shared" si="116"/>
        <v>1011</v>
      </c>
      <c r="GT9" s="31" t="str">
        <f t="shared" si="117"/>
        <v>1011</v>
      </c>
      <c r="GU9" s="31" t="str">
        <f t="shared" si="118"/>
        <v>1111</v>
      </c>
      <c r="GV9" s="78"/>
      <c r="GW9" s="78"/>
      <c r="GX9" s="78"/>
      <c r="GY9" s="78"/>
      <c r="GZ9" s="78"/>
      <c r="HA9" s="78"/>
      <c r="HB9" s="78"/>
      <c r="HC9" s="78"/>
      <c r="HD9" s="30" t="str">
        <f t="shared" si="21"/>
        <v>0010000100100011</v>
      </c>
      <c r="HE9" s="30" t="str">
        <f t="shared" si="22"/>
        <v>0000001100100011</v>
      </c>
      <c r="HF9" s="78"/>
      <c r="HG9" s="78"/>
      <c r="HH9" s="48" t="str">
        <f>FB9</f>
        <v>00100000001000000000000000100000</v>
      </c>
      <c r="HI9" s="30" t="str">
        <f t="shared" si="184"/>
        <v>00100000</v>
      </c>
      <c r="HJ9" s="30" t="str">
        <f t="shared" si="119"/>
        <v>00100000</v>
      </c>
      <c r="HK9" s="30" t="str">
        <f t="shared" si="120"/>
        <v>00000000</v>
      </c>
      <c r="HL9" s="30" t="str">
        <f t="shared" si="121"/>
        <v>00100000</v>
      </c>
      <c r="HM9" s="78"/>
      <c r="HN9" s="78"/>
      <c r="HO9" s="78"/>
      <c r="HP9" s="78"/>
      <c r="HQ9" s="31" t="str">
        <f t="shared" si="122"/>
        <v>0110</v>
      </c>
      <c r="HR9" s="31" t="str">
        <f t="shared" si="123"/>
        <v>0101</v>
      </c>
      <c r="HS9" s="31" t="str">
        <f t="shared" si="124"/>
        <v>1010</v>
      </c>
      <c r="HT9" s="31" t="str">
        <f t="shared" si="125"/>
        <v>0011</v>
      </c>
      <c r="HU9" s="31" t="str">
        <f t="shared" si="126"/>
        <v>1000</v>
      </c>
      <c r="HV9" s="31" t="str">
        <f t="shared" si="127"/>
        <v>1011</v>
      </c>
      <c r="HW9" s="31" t="str">
        <f t="shared" si="128"/>
        <v>1011</v>
      </c>
      <c r="HX9" s="31" t="str">
        <f t="shared" si="129"/>
        <v>1111</v>
      </c>
      <c r="HY9" s="78"/>
      <c r="HZ9" s="78"/>
      <c r="IA9" s="78"/>
      <c r="IB9" s="78"/>
      <c r="IC9" s="78"/>
      <c r="ID9" s="78"/>
      <c r="IE9" s="78"/>
      <c r="IF9" s="78"/>
      <c r="IG9" s="30" t="str">
        <f t="shared" si="24"/>
        <v>0010000000100000</v>
      </c>
      <c r="IH9" s="30" t="str">
        <f t="shared" si="25"/>
        <v>0000000000100000</v>
      </c>
      <c r="II9" s="78"/>
      <c r="IJ9" s="78"/>
      <c r="IK9" s="44" t="str">
        <f>L9</f>
        <v>01100101101000111000101110111111</v>
      </c>
      <c r="IL9" s="30" t="str">
        <f t="shared" si="186"/>
        <v>01100101</v>
      </c>
      <c r="IM9" s="30" t="str">
        <f t="shared" si="130"/>
        <v>10100011</v>
      </c>
      <c r="IN9" s="30" t="str">
        <f t="shared" si="131"/>
        <v>10001011</v>
      </c>
      <c r="IO9" s="30" t="str">
        <f t="shared" si="132"/>
        <v>10111111</v>
      </c>
      <c r="IP9" s="78"/>
      <c r="IQ9" s="78"/>
      <c r="IR9" s="78"/>
      <c r="IS9" s="78"/>
      <c r="IT9" s="31" t="str">
        <f t="shared" si="133"/>
        <v>0110</v>
      </c>
      <c r="IU9" s="31" t="str">
        <f t="shared" si="134"/>
        <v>0101</v>
      </c>
      <c r="IV9" s="31" t="str">
        <f t="shared" si="135"/>
        <v>1010</v>
      </c>
      <c r="IW9" s="31" t="str">
        <f t="shared" si="136"/>
        <v>0011</v>
      </c>
      <c r="IX9" s="31" t="str">
        <f t="shared" si="137"/>
        <v>1000</v>
      </c>
      <c r="IY9" s="31" t="str">
        <f t="shared" si="138"/>
        <v>1011</v>
      </c>
      <c r="IZ9" s="31" t="str">
        <f t="shared" si="139"/>
        <v>1011</v>
      </c>
      <c r="JA9" s="31" t="str">
        <f t="shared" si="140"/>
        <v>1111</v>
      </c>
      <c r="JB9" s="78"/>
      <c r="JC9" s="78"/>
      <c r="JD9" s="78"/>
      <c r="JE9" s="78"/>
      <c r="JF9" s="78"/>
      <c r="JG9" s="78"/>
      <c r="JH9" s="78"/>
      <c r="JI9" s="78"/>
      <c r="JJ9" s="30" t="str">
        <f t="shared" si="27"/>
        <v>0110010110100011</v>
      </c>
      <c r="JK9" s="30" t="str">
        <f t="shared" si="28"/>
        <v>1000101110111111</v>
      </c>
      <c r="JL9" s="78"/>
      <c r="JM9" s="78"/>
      <c r="JN9" s="46" t="str">
        <f>L9</f>
        <v>01100101101000111000101110111111</v>
      </c>
      <c r="JO9" s="30" t="str">
        <f t="shared" si="188"/>
        <v>01100101</v>
      </c>
      <c r="JP9" s="30" t="str">
        <f t="shared" si="141"/>
        <v>10100011</v>
      </c>
      <c r="JQ9" s="30" t="str">
        <f t="shared" si="142"/>
        <v>10001011</v>
      </c>
      <c r="JR9" s="30" t="str">
        <f t="shared" si="143"/>
        <v>10111111</v>
      </c>
      <c r="JS9" s="78"/>
      <c r="JT9" s="78"/>
      <c r="JU9" s="78"/>
      <c r="JV9" s="78"/>
      <c r="JW9" s="31" t="str">
        <f t="shared" si="144"/>
        <v>0110</v>
      </c>
      <c r="JX9" s="31" t="str">
        <f t="shared" si="145"/>
        <v>0101</v>
      </c>
      <c r="JY9" s="31" t="str">
        <f t="shared" si="146"/>
        <v>1010</v>
      </c>
      <c r="JZ9" s="31" t="str">
        <f t="shared" si="147"/>
        <v>0011</v>
      </c>
      <c r="KA9" s="31" t="str">
        <f t="shared" si="148"/>
        <v>1000</v>
      </c>
      <c r="KB9" s="31" t="str">
        <f t="shared" si="149"/>
        <v>1011</v>
      </c>
      <c r="KC9" s="31" t="str">
        <f t="shared" si="150"/>
        <v>1011</v>
      </c>
      <c r="KD9" s="31" t="str">
        <f t="shared" si="151"/>
        <v>1111</v>
      </c>
      <c r="KE9" s="78"/>
      <c r="KF9" s="78"/>
      <c r="KG9" s="78"/>
      <c r="KH9" s="78"/>
      <c r="KI9" s="78"/>
      <c r="KJ9" s="78"/>
      <c r="KK9" s="78"/>
      <c r="KL9" s="78"/>
      <c r="KM9" s="30" t="str">
        <f t="shared" si="30"/>
        <v>0110010110100011</v>
      </c>
      <c r="KN9" s="30" t="str">
        <f t="shared" si="31"/>
        <v>1000101110111111</v>
      </c>
      <c r="KO9" s="78"/>
      <c r="KP9" s="78"/>
      <c r="KQ9" s="48" t="str">
        <f>AO9</f>
        <v>01100100001000000000000000100100</v>
      </c>
      <c r="KR9" s="30" t="str">
        <f t="shared" si="190"/>
        <v>01100100</v>
      </c>
      <c r="KS9" s="30" t="str">
        <f t="shared" si="152"/>
        <v>00100000</v>
      </c>
      <c r="KT9" s="30" t="str">
        <f t="shared" si="153"/>
        <v>00000000</v>
      </c>
      <c r="KU9" s="30" t="str">
        <f t="shared" si="154"/>
        <v>00100100</v>
      </c>
      <c r="KV9" s="78"/>
      <c r="KW9" s="78"/>
      <c r="KX9" s="78"/>
      <c r="KY9" s="78"/>
      <c r="KZ9" s="31" t="str">
        <f t="shared" si="155"/>
        <v>0110</v>
      </c>
      <c r="LA9" s="31" t="str">
        <f t="shared" si="156"/>
        <v>0101</v>
      </c>
      <c r="LB9" s="31" t="str">
        <f t="shared" si="157"/>
        <v>1010</v>
      </c>
      <c r="LC9" s="31" t="str">
        <f t="shared" si="158"/>
        <v>0011</v>
      </c>
      <c r="LD9" s="31" t="str">
        <f t="shared" si="159"/>
        <v>1000</v>
      </c>
      <c r="LE9" s="31" t="str">
        <f t="shared" si="160"/>
        <v>1011</v>
      </c>
      <c r="LF9" s="31" t="str">
        <f t="shared" si="161"/>
        <v>1011</v>
      </c>
      <c r="LG9" s="31" t="str">
        <f t="shared" si="162"/>
        <v>1111</v>
      </c>
      <c r="LH9" s="78"/>
      <c r="LI9" s="78"/>
      <c r="LJ9" s="78"/>
      <c r="LK9" s="78"/>
      <c r="LL9" s="78"/>
      <c r="LM9" s="78"/>
      <c r="LN9" s="78"/>
      <c r="LO9" s="78"/>
      <c r="LP9" s="30" t="str">
        <f t="shared" si="33"/>
        <v>0110010000100000</v>
      </c>
      <c r="LQ9" s="30" t="str">
        <f t="shared" si="34"/>
        <v>0000000000100100</v>
      </c>
      <c r="LR9" s="78"/>
      <c r="LS9" s="78"/>
      <c r="LT9" s="48" t="str">
        <f>GE9</f>
        <v>00100001001000110000001100100011</v>
      </c>
      <c r="LU9" s="30" t="str">
        <f t="shared" si="192"/>
        <v>00100001</v>
      </c>
      <c r="LV9" s="30" t="str">
        <f t="shared" si="163"/>
        <v>00100011</v>
      </c>
      <c r="LW9" s="30" t="str">
        <f t="shared" si="164"/>
        <v>00000011</v>
      </c>
      <c r="LX9" s="30" t="str">
        <f t="shared" si="165"/>
        <v>00100011</v>
      </c>
      <c r="LY9" s="78"/>
      <c r="LZ9" s="78"/>
      <c r="MA9" s="78"/>
      <c r="MB9" s="78"/>
      <c r="MC9" s="31" t="str">
        <f t="shared" si="166"/>
        <v>0110</v>
      </c>
      <c r="MD9" s="31" t="str">
        <f t="shared" si="167"/>
        <v>0101</v>
      </c>
      <c r="ME9" s="31" t="str">
        <f t="shared" si="168"/>
        <v>1010</v>
      </c>
      <c r="MF9" s="31" t="str">
        <f t="shared" si="169"/>
        <v>0011</v>
      </c>
      <c r="MG9" s="31" t="str">
        <f t="shared" si="170"/>
        <v>1000</v>
      </c>
      <c r="MH9" s="31" t="str">
        <f t="shared" si="171"/>
        <v>1011</v>
      </c>
      <c r="MI9" s="31" t="str">
        <f t="shared" si="172"/>
        <v>1011</v>
      </c>
      <c r="MJ9" s="31" t="str">
        <f t="shared" si="173"/>
        <v>1111</v>
      </c>
      <c r="MK9" s="78"/>
      <c r="ML9" s="78"/>
      <c r="MM9" s="78"/>
      <c r="MN9" s="78"/>
      <c r="MO9" s="78"/>
      <c r="MP9" s="78"/>
      <c r="MQ9" s="78"/>
      <c r="MR9" s="78"/>
      <c r="MS9" s="30" t="str">
        <f t="shared" si="36"/>
        <v>0010000100100011</v>
      </c>
      <c r="MT9" s="30" t="str">
        <f t="shared" si="37"/>
        <v>0000001100100011</v>
      </c>
      <c r="MU9" s="78"/>
      <c r="MV9" s="78"/>
    </row>
    <row r="10" spans="1:360" s="27" customFormat="1" ht="18.600000000000001" thickBot="1" x14ac:dyDescent="0.4">
      <c r="A10" s="24"/>
      <c r="B10" s="25"/>
      <c r="C10" s="20" t="s">
        <v>0</v>
      </c>
      <c r="D10" s="20">
        <v>21</v>
      </c>
      <c r="E10" s="20">
        <v>29</v>
      </c>
      <c r="F10" s="20" t="s">
        <v>20</v>
      </c>
      <c r="G10" s="20" t="s">
        <v>127</v>
      </c>
      <c r="H10" s="20" t="str">
        <f t="shared" si="0"/>
        <v>00100001001010010000101010101101</v>
      </c>
      <c r="I10" s="20">
        <f t="shared" si="1"/>
        <v>12</v>
      </c>
      <c r="J10" s="20">
        <v>64</v>
      </c>
      <c r="K10" s="20" t="str">
        <f>HEX2BIN(J10,8)</f>
        <v>01100100</v>
      </c>
      <c r="L10" s="43" t="str">
        <f>CONCATENATE(MID(H10,17,16),MID(H10,1,16))</f>
        <v>00001010101011010010000100101001</v>
      </c>
      <c r="M10" s="26" t="str">
        <f t="shared" si="38"/>
        <v>00001</v>
      </c>
      <c r="N10" s="26" t="str">
        <f t="shared" si="39"/>
        <v>10101</v>
      </c>
      <c r="O10" s="26" t="str">
        <f t="shared" si="40"/>
        <v>00100</v>
      </c>
      <c r="P10" s="26" t="str">
        <f t="shared" si="41"/>
        <v>00101</v>
      </c>
      <c r="Q10" s="77">
        <f>BIN2DEC(M10)-BIN2DEC(M11)</f>
        <v>-25</v>
      </c>
      <c r="R10" s="77">
        <f>BIN2DEC(N10)-BIN2DEC(N11)</f>
        <v>19</v>
      </c>
      <c r="S10" s="77">
        <f>BIN2DEC(O10)-BIN2DEC(O11)</f>
        <v>-18</v>
      </c>
      <c r="T10" s="77">
        <f>BIN2DEC(P10)-BIN2DEC(P11)</f>
        <v>-5</v>
      </c>
      <c r="U10" s="27" t="str">
        <f t="shared" si="42"/>
        <v>0000</v>
      </c>
      <c r="V10" s="27" t="str">
        <f t="shared" si="43"/>
        <v>1010</v>
      </c>
      <c r="W10" s="27" t="str">
        <f t="shared" si="44"/>
        <v>1010</v>
      </c>
      <c r="X10" s="27" t="str">
        <f t="shared" si="45"/>
        <v>1101</v>
      </c>
      <c r="Y10" s="27" t="str">
        <f t="shared" si="46"/>
        <v>0010</v>
      </c>
      <c r="Z10" s="27" t="str">
        <f t="shared" si="47"/>
        <v>0001</v>
      </c>
      <c r="AA10" s="27" t="str">
        <f t="shared" si="48"/>
        <v>0010</v>
      </c>
      <c r="AB10" s="27" t="str">
        <f t="shared" si="49"/>
        <v>1001</v>
      </c>
      <c r="AC10" s="77">
        <f>BIN2DEC(U10)-BIN2DEC(U11)</f>
        <v>-13</v>
      </c>
      <c r="AD10" s="77">
        <f t="shared" ref="AD10:AI10" si="218">BIN2DEC(V10)-BIN2DEC(V11)</f>
        <v>7</v>
      </c>
      <c r="AE10" s="77">
        <f t="shared" si="218"/>
        <v>9</v>
      </c>
      <c r="AF10" s="77">
        <f t="shared" si="218"/>
        <v>12</v>
      </c>
      <c r="AG10" s="77">
        <f t="shared" si="218"/>
        <v>-9</v>
      </c>
      <c r="AH10" s="77">
        <f t="shared" si="218"/>
        <v>0</v>
      </c>
      <c r="AI10" s="77">
        <f t="shared" si="218"/>
        <v>-3</v>
      </c>
      <c r="AJ10" s="77">
        <f>BIN2DEC(AB10)-BIN2DEC(AB11)</f>
        <v>3</v>
      </c>
      <c r="AK10" s="26" t="str">
        <f t="shared" si="3"/>
        <v>0000101010101101</v>
      </c>
      <c r="AL10" s="26" t="str">
        <f t="shared" si="4"/>
        <v>0010000100101001</v>
      </c>
      <c r="AM10" s="77">
        <f>MID(AK10,16,1)*POWER(2,0)+MID(AK10,15,1)*POWER(2,1)+MID(AK10,14,1)*POWER(2,2)+MID(AK10,13,1)*POWER(2,3)+MID(AK10,12,1)*POWER(2,4)+MID(AK10,11,1)*POWER(2,5)+MID(AK10,10,1)*POWER(2,6)+MID(AK10,9,1)*POWER(2,7)+MID(AK10,8,1)*POWER(2,8)+MID(AK10,7,1)*POWER(2,9)+MID(AK10,6,1)*POWER(2,10)+MID(AK10,5,1)*POWER(2,11)+MID(AK10,4,1)*POWER(2,12)+MID(AK10,3,1)*POWER(2,13)+MID(AK10,2,1)*POWER(2,14)+MID(AK10,1,1)*POWER(2,15)-(MID(AK11,16,1)*POWER(2,0)+MID(AK11,15,1)*POWER(2,1)+MID(AK11,14,1)*POWER(2,2)+MID(AK11,13,1)*POWER(2,3)+MID(AK11,12,1)*POWER(2,4)+MID(AK11,11,1)*POWER(2,5)+MID(AK11,10,1)*POWER(2,6)+MID(AK11,9,1)*POWER(2,7)+MID(AK11,8,1)*POWER(2,8)+MID(AK11,7,1)*POWER(2,9)+MID(AK11,6,1)*POWER(2,10)+MID(AK11,5,1)*POWER(2,11)+MID(AK11,4,1)*POWER(2,12)+MID(AK11,3,1)*POWER(2,13)+MID(AK11,2,1)*POWER(2,14)+MID(AK11,1,1)*POWER(2,15))</f>
        <v>-51300</v>
      </c>
      <c r="AN10" s="77">
        <f>MID(AL10,16,1)*POWER(2,0)+MID(AL10,15,1)*POWER(2,1)+MID(AL10,14,1)*POWER(2,2)+MID(AL10,13,1)*POWER(2,3)+MID(AL10,12,1)*POWER(2,4)+MID(AL10,11,1)*POWER(2,5)+MID(AL10,10,1)*POWER(2,6)+MID(AL10,9,1)*POWER(2,7)+MID(AL10,8,1)*POWER(2,8)+MID(AL10,7,1)*POWER(2,9)+MID(AL10,6,1)*POWER(2,10)+MID(AL10,5,1)*POWER(2,11)+MID(AL10,4,1)*POWER(2,12)+MID(AL10,3,1)*POWER(2,13)+MID(AL10,2,1)*POWER(2,14)+MID(AL10,1,1)*POWER(2,15)-(MID(AL11,16,1)*POWER(2,0)+MID(AL11,15,1)*POWER(2,1)+MID(AL11,14,1)*POWER(2,2)+MID(AL11,13,1)*POWER(2,3)+MID(AL11,12,1)*POWER(2,4)+MID(AL11,11,1)*POWER(2,5)+MID(AL11,10,1)*POWER(2,6)+MID(AL11,9,1)*POWER(2,7)+MID(AL11,8,1)*POWER(2,8)+MID(AL11,7,1)*POWER(2,9)+MID(AL11,6,1)*POWER(2,10)+MID(AL11,5,1)*POWER(2,11)+MID(AL11,4,1)*POWER(2,12)+MID(AL11,3,1)*POWER(2,13)+MID(AL11,2,1)*POWER(2,14)+MID(AL11,1,1)*POWER(2,15))</f>
        <v>-36909</v>
      </c>
      <c r="AO10" s="45" t="str">
        <f>L10</f>
        <v>00001010101011010010000100101001</v>
      </c>
      <c r="AP10" s="26" t="str">
        <f t="shared" si="50"/>
        <v>00001010</v>
      </c>
      <c r="AQ10" s="26" t="str">
        <f t="shared" si="51"/>
        <v>10101101</v>
      </c>
      <c r="AR10" s="26" t="str">
        <f t="shared" si="52"/>
        <v>00100001</v>
      </c>
      <c r="AS10" s="26" t="str">
        <f t="shared" si="53"/>
        <v>00101001</v>
      </c>
      <c r="AT10" s="77">
        <f>BIN2DEC(AP10)-BIN2DEC(AP11)</f>
        <v>-54</v>
      </c>
      <c r="AU10" s="77">
        <f>BIN2DEC(AQ10)-BIN2DEC(AQ11)</f>
        <v>173</v>
      </c>
      <c r="AV10" s="77">
        <f>BIN2DEC(AR10)-BIN2DEC(AR11)</f>
        <v>1</v>
      </c>
      <c r="AW10" s="77">
        <f>BIN2DEC(AS10)-BIN2DEC(AS11)</f>
        <v>-27</v>
      </c>
      <c r="AX10" s="27" t="str">
        <f t="shared" si="54"/>
        <v>0000</v>
      </c>
      <c r="AY10" s="27" t="str">
        <f t="shared" si="55"/>
        <v>1010</v>
      </c>
      <c r="AZ10" s="27" t="str">
        <f t="shared" si="56"/>
        <v>1010</v>
      </c>
      <c r="BA10" s="27" t="str">
        <f t="shared" si="57"/>
        <v>1101</v>
      </c>
      <c r="BB10" s="27" t="str">
        <f t="shared" si="58"/>
        <v>0010</v>
      </c>
      <c r="BC10" s="27" t="str">
        <f t="shared" si="59"/>
        <v>0001</v>
      </c>
      <c r="BD10" s="27" t="str">
        <f t="shared" si="60"/>
        <v>0010</v>
      </c>
      <c r="BE10" s="27" t="str">
        <f t="shared" si="61"/>
        <v>1001</v>
      </c>
      <c r="BF10" s="77">
        <f>BIN2DEC(AX10)-BIN2DEC(AX11)</f>
        <v>-13</v>
      </c>
      <c r="BG10" s="77">
        <f t="shared" ref="BG10:BL10" si="219">BIN2DEC(AY10)-BIN2DEC(AY11)</f>
        <v>7</v>
      </c>
      <c r="BH10" s="77">
        <f t="shared" si="219"/>
        <v>9</v>
      </c>
      <c r="BI10" s="77">
        <f t="shared" si="219"/>
        <v>12</v>
      </c>
      <c r="BJ10" s="77">
        <f t="shared" si="219"/>
        <v>-9</v>
      </c>
      <c r="BK10" s="77">
        <f t="shared" si="219"/>
        <v>0</v>
      </c>
      <c r="BL10" s="77">
        <f t="shared" si="219"/>
        <v>-3</v>
      </c>
      <c r="BM10" s="77">
        <f>BIN2DEC(BE10)-BIN2DEC(BE11)</f>
        <v>3</v>
      </c>
      <c r="BN10" s="26" t="str">
        <f t="shared" si="6"/>
        <v>0000101010101101</v>
      </c>
      <c r="BO10" s="26" t="str">
        <f t="shared" si="7"/>
        <v>0010000100101001</v>
      </c>
      <c r="BP10" s="77">
        <f>MID(BN10,16,1)*POWER(2,0)+MID(BN10,15,1)*POWER(2,1)+MID(BN10,14,1)*POWER(2,2)+MID(BN10,13,1)*POWER(2,3)+MID(BN10,12,1)*POWER(2,4)+MID(BN10,11,1)*POWER(2,5)+MID(BN10,10,1)*POWER(2,6)+MID(BN10,9,1)*POWER(2,7)+MID(BN10,8,1)*POWER(2,8)+MID(BN10,7,1)*POWER(2,9)+MID(BN10,6,1)*POWER(2,10)+MID(BN10,5,1)*POWER(2,11)+MID(BN10,4,1)*POWER(2,12)+MID(BN10,3,1)*POWER(2,13)+MID(BN10,2,1)*POWER(2,14)+MID(BN10,1,1)*POWER(2,15)-(MID(BN11,16,1)*POWER(2,0)+MID(BN11,15,1)*POWER(2,1)+MID(BN11,14,1)*POWER(2,2)+MID(BN11,13,1)*POWER(2,3)+MID(BN11,12,1)*POWER(2,4)+MID(BN11,11,1)*POWER(2,5)+MID(BN11,10,1)*POWER(2,6)+MID(BN11,9,1)*POWER(2,7)+MID(BN11,8,1)*POWER(2,8)+MID(BN11,7,1)*POWER(2,9)+MID(BN11,6,1)*POWER(2,10)+MID(BN11,5,1)*POWER(2,11)+MID(BN11,4,1)*POWER(2,12)+MID(BN11,3,1)*POWER(2,13)+MID(BN11,2,1)*POWER(2,14)+MID(BN11,1,1)*POWER(2,15))</f>
        <v>-13651</v>
      </c>
      <c r="BQ10" s="77">
        <f>MID(BO10,16,1)*POWER(2,0)+MID(BO10,15,1)*POWER(2,1)+MID(BO10,14,1)*POWER(2,2)+MID(BO10,13,1)*POWER(2,3)+MID(BO10,12,1)*POWER(2,4)+MID(BO10,11,1)*POWER(2,5)+MID(BO10,10,1)*POWER(2,6)+MID(BO10,9,1)*POWER(2,7)+MID(BO10,8,1)*POWER(2,8)+MID(BO10,7,1)*POWER(2,9)+MID(BO10,6,1)*POWER(2,10)+MID(BO10,5,1)*POWER(2,11)+MID(BO10,4,1)*POWER(2,12)+MID(BO10,3,1)*POWER(2,13)+MID(BO10,2,1)*POWER(2,14)+MID(BO10,1,1)*POWER(2,15)-(MID(BO11,16,1)*POWER(2,0)+MID(BO11,15,1)*POWER(2,1)+MID(BO11,14,1)*POWER(2,2)+MID(BO11,13,1)*POWER(2,3)+MID(BO11,12,1)*POWER(2,4)+MID(BO11,11,1)*POWER(2,5)+MID(BO11,10,1)*POWER(2,6)+MID(BO11,9,1)*POWER(2,7)+MID(BO11,8,1)*POWER(2,8)+MID(BO11,7,1)*POWER(2,9)+MID(BO11,6,1)*POWER(2,10)+MID(BO11,5,1)*POWER(2,11)+MID(BO11,4,1)*POWER(2,12)+MID(BO11,3,1)*POWER(2,13)+MID(BO11,2,1)*POWER(2,14)+MID(BO11,1,1)*POWER(2,15))</f>
        <v>229</v>
      </c>
      <c r="BR10" s="45" t="str">
        <f>CONCATENATE(MID($L10,1,1)*MID($K10,1,1),MID($L10,2,1)*MID($K10,2,1),MID($L10,3,1)*MID($K10,3,1),MID($L10,4,1)*MID($K10,4,1),MID($L10,5,1)*MID($K10,5,1),MID($L10,6,1)*MID($K10,6,1),MID($L10,7,1)*MID($K10,7,1),MID($L10,8,1)*MID($K10,8,1),MID($L10,9,1)*MID($K10,1,1),MID($L10,10,1)*MID($K10,2,1),MID($L10,11,1)*MID($K10,3,1),MID($L10,12,1)*MID($K10,4,1),MID($L10,13,1)*MID($K10,5,1),MID($L10,14,1)*MID($K10,6,1),MID($L10,15,1)*MID($K10,7,1),MID($L10,16,1)*MID($K10,8,1),MID($L10,17,1)*MID($K10,1,1),MID($L10,18,1)*MID($K10,2,1),MID($L10,19,1)*MID($K10,3,1),MID($L10,20,1)*MID($K10,4,1),MID($L10,21,1)*MID($K10,5,1),MID($L10,22,1)*MID($K10,6,1),MID($L10,23,1)*MID($K10,7,1),MID($L10,24,1)*MID($K10,8,1),MID($L10,25,1)*MID($K10,1,1),MID($L10,26,1)*MID($K10,2,1),MID($L10,27,1)*MID($K10,3,1),MID($L10,28,1)*MID($K10,4,1),MID($L10,29,1)*MID($K10,5,1),MID($L10,30,1)*MID($K10,6,1),MID($L10,31,1)*MID($K10,7,1),MID($L10,32,1)*MID($K10,8,1))</f>
        <v>00000000001001000010000000100000</v>
      </c>
      <c r="BS10" s="26" t="str">
        <f t="shared" si="62"/>
        <v>00000000</v>
      </c>
      <c r="BT10" s="26" t="str">
        <f t="shared" si="63"/>
        <v>00100100</v>
      </c>
      <c r="BU10" s="26" t="str">
        <f t="shared" si="64"/>
        <v>00100000</v>
      </c>
      <c r="BV10" s="26" t="str">
        <f t="shared" si="65"/>
        <v>00100000</v>
      </c>
      <c r="BW10" s="77">
        <f>BIN2DEC(BS10)-BIN2DEC(BS11)</f>
        <v>-211</v>
      </c>
      <c r="BX10" s="77">
        <f>BIN2DEC(BT10)-BIN2DEC(BT11)</f>
        <v>19</v>
      </c>
      <c r="BY10" s="77">
        <f>BIN2DEC(BU10)-BIN2DEC(BU11)</f>
        <v>-145</v>
      </c>
      <c r="BZ10" s="77">
        <f>BIN2DEC(BV10)-BIN2DEC(BV11)</f>
        <v>-54</v>
      </c>
      <c r="CA10" s="27" t="str">
        <f t="shared" si="66"/>
        <v>0000</v>
      </c>
      <c r="CB10" s="27" t="str">
        <f t="shared" si="67"/>
        <v>1010</v>
      </c>
      <c r="CC10" s="27" t="str">
        <f t="shared" si="68"/>
        <v>1010</v>
      </c>
      <c r="CD10" s="27" t="str">
        <f t="shared" si="69"/>
        <v>1101</v>
      </c>
      <c r="CE10" s="27" t="str">
        <f t="shared" si="70"/>
        <v>0010</v>
      </c>
      <c r="CF10" s="27" t="str">
        <f t="shared" si="71"/>
        <v>0001</v>
      </c>
      <c r="CG10" s="27" t="str">
        <f t="shared" si="72"/>
        <v>0010</v>
      </c>
      <c r="CH10" s="27" t="str">
        <f t="shared" si="73"/>
        <v>1001</v>
      </c>
      <c r="CI10" s="77">
        <f>BIN2DEC(CA10)-BIN2DEC(CA11)</f>
        <v>-13</v>
      </c>
      <c r="CJ10" s="77">
        <f t="shared" ref="CJ10:CO10" si="220">BIN2DEC(CB10)-BIN2DEC(CB11)</f>
        <v>7</v>
      </c>
      <c r="CK10" s="77">
        <f t="shared" si="220"/>
        <v>9</v>
      </c>
      <c r="CL10" s="77">
        <f t="shared" si="220"/>
        <v>12</v>
      </c>
      <c r="CM10" s="77">
        <f t="shared" si="220"/>
        <v>-9</v>
      </c>
      <c r="CN10" s="77">
        <f t="shared" si="220"/>
        <v>0</v>
      </c>
      <c r="CO10" s="77">
        <f t="shared" si="220"/>
        <v>-3</v>
      </c>
      <c r="CP10" s="77">
        <f>BIN2DEC(CH10)-BIN2DEC(CH11)</f>
        <v>3</v>
      </c>
      <c r="CQ10" s="26" t="str">
        <f t="shared" si="9"/>
        <v>0000000000100100</v>
      </c>
      <c r="CR10" s="26" t="str">
        <f t="shared" si="10"/>
        <v>0010000000100000</v>
      </c>
      <c r="CS10" s="77">
        <f>MID(CQ10,16,1)*POWER(2,0)+MID(CQ10,15,1)*POWER(2,1)+MID(CQ10,14,1)*POWER(2,2)+MID(CQ10,13,1)*POWER(2,3)+MID(CQ10,12,1)*POWER(2,4)+MID(CQ10,11,1)*POWER(2,5)+MID(CQ10,10,1)*POWER(2,6)+MID(CQ10,9,1)*POWER(2,7)+MID(CQ10,8,1)*POWER(2,8)+MID(CQ10,7,1)*POWER(2,9)+MID(CQ10,6,1)*POWER(2,10)+MID(CQ10,5,1)*POWER(2,11)+MID(CQ10,4,1)*POWER(2,12)+MID(CQ10,3,1)*POWER(2,13)+MID(CQ10,2,1)*POWER(2,14)+MID(CQ10,1,1)*POWER(2,15)-(MID(CQ11,16,1)*POWER(2,0)+MID(CQ11,15,1)*POWER(2,1)+MID(CQ11,14,1)*POWER(2,2)+MID(CQ11,13,1)*POWER(2,3)+MID(CQ11,12,1)*POWER(2,4)+MID(CQ11,11,1)*POWER(2,5)+MID(CQ11,10,1)*POWER(2,6)+MID(CQ11,9,1)*POWER(2,7)+MID(CQ11,8,1)*POWER(2,8)+MID(CQ11,7,1)*POWER(2,9)+MID(CQ11,6,1)*POWER(2,10)+MID(CQ11,5,1)*POWER(2,11)+MID(CQ11,4,1)*POWER(2,12)+MID(CQ11,3,1)*POWER(2,13)+MID(CQ11,2,1)*POWER(2,14)+MID(CQ11,1,1)*POWER(2,15))</f>
        <v>-53997</v>
      </c>
      <c r="CT10" s="77">
        <f>MID(CR10,16,1)*POWER(2,0)+MID(CR10,15,1)*POWER(2,1)+MID(CR10,14,1)*POWER(2,2)+MID(CR10,13,1)*POWER(2,3)+MID(CR10,12,1)*POWER(2,4)+MID(CR10,11,1)*POWER(2,5)+MID(CR10,10,1)*POWER(2,6)+MID(CR10,9,1)*POWER(2,7)+MID(CR10,8,1)*POWER(2,8)+MID(CR10,7,1)*POWER(2,9)+MID(CR10,6,1)*POWER(2,10)+MID(CR10,5,1)*POWER(2,11)+MID(CR10,4,1)*POWER(2,12)+MID(CR10,3,1)*POWER(2,13)+MID(CR10,2,1)*POWER(2,14)+MID(CR10,1,1)*POWER(2,15)-(MID(CR11,16,1)*POWER(2,0)+MID(CR11,15,1)*POWER(2,1)+MID(CR11,14,1)*POWER(2,2)+MID(CR11,13,1)*POWER(2,3)+MID(CR11,12,1)*POWER(2,4)+MID(CR11,11,1)*POWER(2,5)+MID(CR11,10,1)*POWER(2,6)+MID(CR11,9,1)*POWER(2,7)+MID(CR11,8,1)*POWER(2,8)+MID(CR11,7,1)*POWER(2,9)+MID(CR11,6,1)*POWER(2,10)+MID(CR11,5,1)*POWER(2,11)+MID(CR11,4,1)*POWER(2,12)+MID(CR11,3,1)*POWER(2,13)+MID(CR11,2,1)*POWER(2,14)+MID(CR11,1,1)*POWER(2,15))</f>
        <v>-37174</v>
      </c>
      <c r="CU10" s="45" t="str">
        <f>BR10</f>
        <v>00000000001001000010000000100000</v>
      </c>
      <c r="CV10" s="26" t="str">
        <f t="shared" si="74"/>
        <v>00000000</v>
      </c>
      <c r="CW10" s="26" t="str">
        <f t="shared" si="75"/>
        <v>00100100</v>
      </c>
      <c r="CX10" s="26" t="str">
        <f t="shared" si="76"/>
        <v>00100000</v>
      </c>
      <c r="CY10" s="26" t="str">
        <f t="shared" si="77"/>
        <v>00100000</v>
      </c>
      <c r="CZ10" s="77">
        <f>BIN2DEC(CV10)-BIN2DEC(CV11)</f>
        <v>-64</v>
      </c>
      <c r="DA10" s="77">
        <f>BIN2DEC(CW10)-BIN2DEC(CW11)</f>
        <v>36</v>
      </c>
      <c r="DB10" s="77">
        <f>BIN2DEC(CX10)-BIN2DEC(CX11)</f>
        <v>0</v>
      </c>
      <c r="DC10" s="77">
        <f>BIN2DEC(CY10)-BIN2DEC(CY11)</f>
        <v>-36</v>
      </c>
      <c r="DD10" s="27" t="str">
        <f t="shared" si="78"/>
        <v>0000</v>
      </c>
      <c r="DE10" s="27" t="str">
        <f t="shared" si="79"/>
        <v>1010</v>
      </c>
      <c r="DF10" s="27" t="str">
        <f t="shared" si="80"/>
        <v>1010</v>
      </c>
      <c r="DG10" s="27" t="str">
        <f t="shared" si="81"/>
        <v>1101</v>
      </c>
      <c r="DH10" s="27" t="str">
        <f t="shared" si="82"/>
        <v>0010</v>
      </c>
      <c r="DI10" s="27" t="str">
        <f t="shared" si="83"/>
        <v>0001</v>
      </c>
      <c r="DJ10" s="27" t="str">
        <f t="shared" si="84"/>
        <v>0010</v>
      </c>
      <c r="DK10" s="27" t="str">
        <f t="shared" si="85"/>
        <v>1001</v>
      </c>
      <c r="DL10" s="77">
        <f>BIN2DEC(DD10)-BIN2DEC(DD11)</f>
        <v>-13</v>
      </c>
      <c r="DM10" s="77">
        <f t="shared" ref="DM10:DR10" si="221">BIN2DEC(DE10)-BIN2DEC(DE11)</f>
        <v>7</v>
      </c>
      <c r="DN10" s="77">
        <f t="shared" si="221"/>
        <v>9</v>
      </c>
      <c r="DO10" s="77">
        <f t="shared" si="221"/>
        <v>12</v>
      </c>
      <c r="DP10" s="77">
        <f t="shared" si="221"/>
        <v>-9</v>
      </c>
      <c r="DQ10" s="77">
        <f t="shared" si="221"/>
        <v>0</v>
      </c>
      <c r="DR10" s="77">
        <f t="shared" si="221"/>
        <v>-3</v>
      </c>
      <c r="DS10" s="77">
        <f>BIN2DEC(DK10)-BIN2DEC(DK11)</f>
        <v>3</v>
      </c>
      <c r="DT10" s="26" t="str">
        <f t="shared" si="12"/>
        <v>0000000000100100</v>
      </c>
      <c r="DU10" s="26" t="str">
        <f t="shared" si="13"/>
        <v>0010000000100000</v>
      </c>
      <c r="DV10" s="77">
        <f>MID(DT10,16,1)*POWER(2,0)+MID(DT10,15,1)*POWER(2,1)+MID(DT10,14,1)*POWER(2,2)+MID(DT10,13,1)*POWER(2,3)+MID(DT10,12,1)*POWER(2,4)+MID(DT10,11,1)*POWER(2,5)+MID(DT10,10,1)*POWER(2,6)+MID(DT10,9,1)*POWER(2,7)+MID(DT10,8,1)*POWER(2,8)+MID(DT10,7,1)*POWER(2,9)+MID(DT10,6,1)*POWER(2,10)+MID(DT10,5,1)*POWER(2,11)+MID(DT10,4,1)*POWER(2,12)+MID(DT10,3,1)*POWER(2,13)+MID(DT10,2,1)*POWER(2,14)+MID(DT10,1,1)*POWER(2,15)-(MID(DT11,16,1)*POWER(2,0)+MID(DT11,15,1)*POWER(2,1)+MID(DT11,14,1)*POWER(2,2)+MID(DT11,13,1)*POWER(2,3)+MID(DT11,12,1)*POWER(2,4)+MID(DT11,11,1)*POWER(2,5)+MID(DT11,10,1)*POWER(2,6)+MID(DT11,9,1)*POWER(2,7)+MID(DT11,8,1)*POWER(2,8)+MID(DT11,7,1)*POWER(2,9)+MID(DT11,6,1)*POWER(2,10)+MID(DT11,5,1)*POWER(2,11)+MID(DT11,4,1)*POWER(2,12)+MID(DT11,3,1)*POWER(2,13)+MID(DT11,2,1)*POWER(2,14)+MID(DT11,1,1)*POWER(2,15))</f>
        <v>-16348</v>
      </c>
      <c r="DW10" s="77">
        <f>MID(DU10,16,1)*POWER(2,0)+MID(DU10,15,1)*POWER(2,1)+MID(DU10,14,1)*POWER(2,2)+MID(DU10,13,1)*POWER(2,3)+MID(DU10,12,1)*POWER(2,4)+MID(DU10,11,1)*POWER(2,5)+MID(DU10,10,1)*POWER(2,6)+MID(DU10,9,1)*POWER(2,7)+MID(DU10,8,1)*POWER(2,8)+MID(DU10,7,1)*POWER(2,9)+MID(DU10,6,1)*POWER(2,10)+MID(DU10,5,1)*POWER(2,11)+MID(DU10,4,1)*POWER(2,12)+MID(DU10,3,1)*POWER(2,13)+MID(DU10,2,1)*POWER(2,14)+MID(DU10,1,1)*POWER(2,15)-(MID(DU11,16,1)*POWER(2,0)+MID(DU11,15,1)*POWER(2,1)+MID(DU11,14,1)*POWER(2,2)+MID(DU11,13,1)*POWER(2,3)+MID(DU11,12,1)*POWER(2,4)+MID(DU11,11,1)*POWER(2,5)+MID(DU11,10,1)*POWER(2,6)+MID(DU11,9,1)*POWER(2,7)+MID(DU11,8,1)*POWER(2,8)+MID(DU11,7,1)*POWER(2,9)+MID(DU11,6,1)*POWER(2,10)+MID(DU11,5,1)*POWER(2,11)+MID(DU11,4,1)*POWER(2,12)+MID(DU11,3,1)*POWER(2,13)+MID(DU11,2,1)*POWER(2,14)+MID(DU11,1,1)*POWER(2,15))</f>
        <v>-36</v>
      </c>
      <c r="DX10" s="22" t="str">
        <f>CONCATENATE(MID($H10,1,1)*MID($K10,1,1),MID($H10,2,1)*MID($K10,2,1),MID($H10,3,1)*MID($K10,3,1),MID($H10,4,1)*MID($K10,4,1),MID($H10,5,1)*MID($K10,5,1),MID($H10,6,1)*MID($K10,6,1),MID($H10,7,1)*MID($K10,7,1),MID($H10,8,1)*MID($K10,8,1),MID($H10,9,1)*MID($K10,1,1),MID($H10,10,1)*MID($K10,2,1),MID($H10,11,1)*MID($K10,3,1),MID($H10,12,1)*MID($K10,4,1),MID($H10,13,1)*MID($K10,5,1),MID($H10,14,1)*MID($K10,6,1),MID($H10,15,1)*MID($K10,7,1),MID($H10,16,1)*MID($K10,8,1),MID($H10,17,1)*MID($K10,1,1),MID($H10,18,1)*MID($K10,2,1),MID($H10,19,1)*MID($K10,3,1),MID($H10,20,1)*MID($K10,4,1),MID($H10,21,1)*MID($K10,5,1),MID($H10,22,1)*MID($K10,6,1),MID($H10,23,1)*MID($K10,7,1),MID($H10,24,1)*MID($K10,8,1),MID($H10,25,1)*MID($K10,1,1),MID($H10,26,1)*MID($K10,2,1),MID($H10,27,1)*MID($K10,3,1),MID($H10,28,1)*MID($K10,4,1),MID($H10,29,1)*MID($K10,5,1),MID($H10,30,1)*MID($K10,6,1),MID($H10,31,1)*MID($K10,7,1),MID($H10,32,1)*MID($K10,8,1))</f>
        <v>00100000001000000000000000100100</v>
      </c>
      <c r="DY10" s="43" t="str">
        <f>L10</f>
        <v>00001010101011010010000100101001</v>
      </c>
      <c r="DZ10" s="26" t="str">
        <f t="shared" si="178"/>
        <v>00001010</v>
      </c>
      <c r="EA10" s="26" t="str">
        <f t="shared" si="86"/>
        <v>10101101</v>
      </c>
      <c r="EB10" s="26" t="str">
        <f t="shared" si="87"/>
        <v>00100001</v>
      </c>
      <c r="EC10" s="26" t="str">
        <f t="shared" si="88"/>
        <v>00101001</v>
      </c>
      <c r="ED10" s="77">
        <f>BIN2DEC(DZ10)-BIN2DEC(DZ11)</f>
        <v>7</v>
      </c>
      <c r="EE10" s="77">
        <f>BIN2DEC(EA10)-BIN2DEC(EA11)</f>
        <v>172</v>
      </c>
      <c r="EF10" s="77">
        <f>BIN2DEC(EB10)-BIN2DEC(EB11)</f>
        <v>0</v>
      </c>
      <c r="EG10" s="77">
        <f>BIN2DEC(EC10)-BIN2DEC(EC11)</f>
        <v>39</v>
      </c>
      <c r="EH10" s="27" t="str">
        <f t="shared" si="89"/>
        <v>0000</v>
      </c>
      <c r="EI10" s="27" t="str">
        <f t="shared" si="90"/>
        <v>1010</v>
      </c>
      <c r="EJ10" s="27" t="str">
        <f t="shared" si="91"/>
        <v>1010</v>
      </c>
      <c r="EK10" s="27" t="str">
        <f t="shared" si="92"/>
        <v>1101</v>
      </c>
      <c r="EL10" s="27" t="str">
        <f t="shared" si="93"/>
        <v>0010</v>
      </c>
      <c r="EM10" s="27" t="str">
        <f t="shared" si="94"/>
        <v>0001</v>
      </c>
      <c r="EN10" s="27" t="str">
        <f t="shared" si="95"/>
        <v>0010</v>
      </c>
      <c r="EO10" s="27" t="str">
        <f t="shared" si="96"/>
        <v>1001</v>
      </c>
      <c r="EP10" s="77">
        <f>BIN2DEC(EH10)-BIN2DEC(EH11)</f>
        <v>-13</v>
      </c>
      <c r="EQ10" s="77">
        <f t="shared" ref="EQ10:EV10" si="222">BIN2DEC(EI10)-BIN2DEC(EI11)</f>
        <v>7</v>
      </c>
      <c r="ER10" s="77">
        <f t="shared" si="222"/>
        <v>9</v>
      </c>
      <c r="ES10" s="77">
        <f t="shared" si="222"/>
        <v>12</v>
      </c>
      <c r="ET10" s="77">
        <f t="shared" si="222"/>
        <v>-9</v>
      </c>
      <c r="EU10" s="77">
        <f t="shared" si="222"/>
        <v>0</v>
      </c>
      <c r="EV10" s="77">
        <f t="shared" si="222"/>
        <v>-3</v>
      </c>
      <c r="EW10" s="77">
        <f>BIN2DEC(EO10)-BIN2DEC(EO11)</f>
        <v>3</v>
      </c>
      <c r="EX10" s="26" t="str">
        <f t="shared" si="15"/>
        <v>0000101010101101</v>
      </c>
      <c r="EY10" s="26" t="str">
        <f t="shared" si="16"/>
        <v>0010000100101001</v>
      </c>
      <c r="EZ10" s="77">
        <f>MID(EX10,16,1)*POWER(2,0)+MID(EX10,15,1)*POWER(2,1)+MID(EX10,14,1)*POWER(2,2)+MID(EX10,13,1)*POWER(2,3)+MID(EX10,12,1)*POWER(2,4)+MID(EX10,11,1)*POWER(2,5)+MID(EX10,10,1)*POWER(2,6)+MID(EX10,9,1)*POWER(2,7)+MID(EX10,8,1)*POWER(2,8)+MID(EX10,7,1)*POWER(2,9)+MID(EX10,6,1)*POWER(2,10)+MID(EX10,5,1)*POWER(2,11)+MID(EX10,4,1)*POWER(2,12)+MID(EX10,3,1)*POWER(2,13)+MID(EX10,2,1)*POWER(2,14)+MID(EX10,1,1)*POWER(2,15)-(MID(EX11,16,1)*POWER(2,0)+MID(EX11,15,1)*POWER(2,1)+MID(EX11,14,1)*POWER(2,2)+MID(EX11,13,1)*POWER(2,3)+MID(EX11,12,1)*POWER(2,4)+MID(EX11,11,1)*POWER(2,5)+MID(EX11,10,1)*POWER(2,6)+MID(EX11,9,1)*POWER(2,7)+MID(EX11,8,1)*POWER(2,8)+MID(EX11,7,1)*POWER(2,9)+MID(EX11,6,1)*POWER(2,10)+MID(EX11,5,1)*POWER(2,11)+MID(EX11,4,1)*POWER(2,12)+MID(EX11,3,1)*POWER(2,13)+MID(EX11,2,1)*POWER(2,14)+MID(EX11,1,1)*POWER(2,15))</f>
        <v>1964</v>
      </c>
      <c r="FA10" s="77">
        <f>MID(EY10,16,1)*POWER(2,0)+MID(EY10,15,1)*POWER(2,1)+MID(EY10,14,1)*POWER(2,2)+MID(EY10,13,1)*POWER(2,3)+MID(EY10,12,1)*POWER(2,4)+MID(EY10,11,1)*POWER(2,5)+MID(EY10,10,1)*POWER(2,6)+MID(EY10,9,1)*POWER(2,7)+MID(EY10,8,1)*POWER(2,8)+MID(EY10,7,1)*POWER(2,9)+MID(EY10,6,1)*POWER(2,10)+MID(EY10,5,1)*POWER(2,11)+MID(EY10,4,1)*POWER(2,12)+MID(EY10,3,1)*POWER(2,13)+MID(EY10,2,1)*POWER(2,14)+MID(EY10,1,1)*POWER(2,15)-(MID(EY11,16,1)*POWER(2,0)+MID(EY11,15,1)*POWER(2,1)+MID(EY11,14,1)*POWER(2,2)+MID(EY11,13,1)*POWER(2,3)+MID(EY11,12,1)*POWER(2,4)+MID(EY11,11,1)*POWER(2,5)+MID(EY11,10,1)*POWER(2,6)+MID(EY11,9,1)*POWER(2,7)+MID(EY11,8,1)*POWER(2,8)+MID(EY11,7,1)*POWER(2,9)+MID(EY11,6,1)*POWER(2,10)+MID(EY11,5,1)*POWER(2,11)+MID(EY11,4,1)*POWER(2,12)+MID(EY11,3,1)*POWER(2,13)+MID(EY11,2,1)*POWER(2,14)+MID(EY11,1,1)*POWER(2,15))</f>
        <v>39</v>
      </c>
      <c r="FB10" s="45" t="str">
        <f>L10</f>
        <v>00001010101011010010000100101001</v>
      </c>
      <c r="FC10" s="26" t="str">
        <f t="shared" si="180"/>
        <v>00001010</v>
      </c>
      <c r="FD10" s="26" t="str">
        <f t="shared" si="97"/>
        <v>10101101</v>
      </c>
      <c r="FE10" s="26" t="str">
        <f t="shared" si="98"/>
        <v>00100001</v>
      </c>
      <c r="FF10" s="26" t="str">
        <f t="shared" si="99"/>
        <v>00101001</v>
      </c>
      <c r="FG10" s="77">
        <f>BIN2DEC(FC10)-BIN2DEC(FC11)</f>
        <v>10</v>
      </c>
      <c r="FH10" s="77">
        <f>BIN2DEC(FD10)-BIN2DEC(FD11)</f>
        <v>173</v>
      </c>
      <c r="FI10" s="77">
        <f>BIN2DEC(FE10)-BIN2DEC(FE11)</f>
        <v>1</v>
      </c>
      <c r="FJ10" s="77">
        <f>BIN2DEC(FF10)-BIN2DEC(FF11)</f>
        <v>41</v>
      </c>
      <c r="FK10" s="27" t="str">
        <f t="shared" si="100"/>
        <v>0000</v>
      </c>
      <c r="FL10" s="27" t="str">
        <f t="shared" si="101"/>
        <v>1010</v>
      </c>
      <c r="FM10" s="27" t="str">
        <f t="shared" si="102"/>
        <v>1010</v>
      </c>
      <c r="FN10" s="27" t="str">
        <f t="shared" si="103"/>
        <v>1101</v>
      </c>
      <c r="FO10" s="27" t="str">
        <f t="shared" si="104"/>
        <v>0010</v>
      </c>
      <c r="FP10" s="27" t="str">
        <f t="shared" si="105"/>
        <v>0001</v>
      </c>
      <c r="FQ10" s="27" t="str">
        <f t="shared" si="106"/>
        <v>0010</v>
      </c>
      <c r="FR10" s="27" t="str">
        <f t="shared" si="107"/>
        <v>1001</v>
      </c>
      <c r="FS10" s="77">
        <f>BIN2DEC(FK10)-BIN2DEC(FK11)</f>
        <v>-13</v>
      </c>
      <c r="FT10" s="77">
        <f t="shared" ref="FT10:FY10" si="223">BIN2DEC(FL10)-BIN2DEC(FL11)</f>
        <v>7</v>
      </c>
      <c r="FU10" s="77">
        <f t="shared" si="223"/>
        <v>9</v>
      </c>
      <c r="FV10" s="77">
        <f t="shared" si="223"/>
        <v>12</v>
      </c>
      <c r="FW10" s="77">
        <f t="shared" si="223"/>
        <v>-9</v>
      </c>
      <c r="FX10" s="77">
        <f t="shared" si="223"/>
        <v>0</v>
      </c>
      <c r="FY10" s="77">
        <f t="shared" si="223"/>
        <v>-3</v>
      </c>
      <c r="FZ10" s="77">
        <f>BIN2DEC(FR10)-BIN2DEC(FR11)</f>
        <v>3</v>
      </c>
      <c r="GA10" s="26" t="str">
        <f t="shared" si="18"/>
        <v>0000101010101101</v>
      </c>
      <c r="GB10" s="26" t="str">
        <f t="shared" si="19"/>
        <v>0010000100101001</v>
      </c>
      <c r="GC10" s="77">
        <f>MID(GA10,16,1)*POWER(2,0)+MID(GA10,15,1)*POWER(2,1)+MID(GA10,14,1)*POWER(2,2)+MID(GA10,13,1)*POWER(2,3)+MID(GA10,12,1)*POWER(2,4)+MID(GA10,11,1)*POWER(2,5)+MID(GA10,10,1)*POWER(2,6)+MID(GA10,9,1)*POWER(2,7)+MID(GA10,8,1)*POWER(2,8)+MID(GA10,7,1)*POWER(2,9)+MID(GA10,6,1)*POWER(2,10)+MID(GA10,5,1)*POWER(2,11)+MID(GA10,4,1)*POWER(2,12)+MID(GA10,3,1)*POWER(2,13)+MID(GA10,2,1)*POWER(2,14)+MID(GA10,1,1)*POWER(2,15)-(MID(GA11,16,1)*POWER(2,0)+MID(GA11,15,1)*POWER(2,1)+MID(GA11,14,1)*POWER(2,2)+MID(GA11,13,1)*POWER(2,3)+MID(GA11,12,1)*POWER(2,4)+MID(GA11,11,1)*POWER(2,5)+MID(GA11,10,1)*POWER(2,6)+MID(GA11,9,1)*POWER(2,7)+MID(GA11,8,1)*POWER(2,8)+MID(GA11,7,1)*POWER(2,9)+MID(GA11,6,1)*POWER(2,10)+MID(GA11,5,1)*POWER(2,11)+MID(GA11,4,1)*POWER(2,12)+MID(GA11,3,1)*POWER(2,13)+MID(GA11,2,1)*POWER(2,14)+MID(GA11,1,1)*POWER(2,15))</f>
        <v>2733</v>
      </c>
      <c r="GD10" s="77">
        <f>MID(GB10,16,1)*POWER(2,0)+MID(GB10,15,1)*POWER(2,1)+MID(GB10,14,1)*POWER(2,2)+MID(GB10,13,1)*POWER(2,3)+MID(GB10,12,1)*POWER(2,4)+MID(GB10,11,1)*POWER(2,5)+MID(GB10,10,1)*POWER(2,6)+MID(GB10,9,1)*POWER(2,7)+MID(GB10,8,1)*POWER(2,8)+MID(GB10,7,1)*POWER(2,9)+MID(GB10,6,1)*POWER(2,10)+MID(GB10,5,1)*POWER(2,11)+MID(GB10,4,1)*POWER(2,12)+MID(GB10,3,1)*POWER(2,13)+MID(GB10,2,1)*POWER(2,14)+MID(GB10,1,1)*POWER(2,15)-(MID(GB11,16,1)*POWER(2,0)+MID(GB11,15,1)*POWER(2,1)+MID(GB11,14,1)*POWER(2,2)+MID(GB11,13,1)*POWER(2,3)+MID(GB11,12,1)*POWER(2,4)+MID(GB11,11,1)*POWER(2,5)+MID(GB11,10,1)*POWER(2,6)+MID(GB11,9,1)*POWER(2,7)+MID(GB11,8,1)*POWER(2,8)+MID(GB11,7,1)*POWER(2,9)+MID(GB11,6,1)*POWER(2,10)+MID(GB11,5,1)*POWER(2,11)+MID(GB11,4,1)*POWER(2,12)+MID(GB11,3,1)*POWER(2,13)+MID(GB11,2,1)*POWER(2,14)+MID(GB11,1,1)*POWER(2,15))</f>
        <v>297</v>
      </c>
      <c r="GE10" s="47" t="str">
        <f>CU10</f>
        <v>00000000001001000010000000100000</v>
      </c>
      <c r="GF10" s="26" t="str">
        <f t="shared" si="182"/>
        <v>00000000</v>
      </c>
      <c r="GG10" s="26" t="str">
        <f t="shared" si="108"/>
        <v>00100100</v>
      </c>
      <c r="GH10" s="26" t="str">
        <f t="shared" si="109"/>
        <v>00100000</v>
      </c>
      <c r="GI10" s="26" t="str">
        <f t="shared" si="110"/>
        <v>00100000</v>
      </c>
      <c r="GJ10" s="77">
        <f>BIN2DEC(GF10)-BIN2DEC(GF11)</f>
        <v>-3</v>
      </c>
      <c r="GK10" s="77">
        <f>BIN2DEC(GG10)-BIN2DEC(GG11)</f>
        <v>35</v>
      </c>
      <c r="GL10" s="77">
        <f>BIN2DEC(GH10)-BIN2DEC(GH11)</f>
        <v>-1</v>
      </c>
      <c r="GM10" s="77">
        <f>BIN2DEC(GI10)-BIN2DEC(GI11)</f>
        <v>30</v>
      </c>
      <c r="GN10" s="27" t="str">
        <f t="shared" si="111"/>
        <v>0000</v>
      </c>
      <c r="GO10" s="27" t="str">
        <f t="shared" si="112"/>
        <v>1010</v>
      </c>
      <c r="GP10" s="27" t="str">
        <f t="shared" si="113"/>
        <v>1010</v>
      </c>
      <c r="GQ10" s="27" t="str">
        <f t="shared" si="114"/>
        <v>1101</v>
      </c>
      <c r="GR10" s="27" t="str">
        <f t="shared" si="115"/>
        <v>0010</v>
      </c>
      <c r="GS10" s="27" t="str">
        <f t="shared" si="116"/>
        <v>0001</v>
      </c>
      <c r="GT10" s="27" t="str">
        <f t="shared" si="117"/>
        <v>0010</v>
      </c>
      <c r="GU10" s="27" t="str">
        <f t="shared" si="118"/>
        <v>1001</v>
      </c>
      <c r="GV10" s="77">
        <f>BIN2DEC(GN10)-BIN2DEC(GN11)</f>
        <v>-13</v>
      </c>
      <c r="GW10" s="77">
        <f t="shared" ref="GW10:HB10" si="224">BIN2DEC(GO10)-BIN2DEC(GO11)</f>
        <v>7</v>
      </c>
      <c r="GX10" s="77">
        <f t="shared" si="224"/>
        <v>9</v>
      </c>
      <c r="GY10" s="77">
        <f t="shared" si="224"/>
        <v>12</v>
      </c>
      <c r="GZ10" s="77">
        <f t="shared" si="224"/>
        <v>-9</v>
      </c>
      <c r="HA10" s="77">
        <f t="shared" si="224"/>
        <v>0</v>
      </c>
      <c r="HB10" s="77">
        <f t="shared" si="224"/>
        <v>-3</v>
      </c>
      <c r="HC10" s="77">
        <f>BIN2DEC(GU10)-BIN2DEC(GU11)</f>
        <v>3</v>
      </c>
      <c r="HD10" s="26" t="str">
        <f t="shared" si="21"/>
        <v>0000000000100100</v>
      </c>
      <c r="HE10" s="26" t="str">
        <f t="shared" si="22"/>
        <v>0010000000100000</v>
      </c>
      <c r="HF10" s="77">
        <f>MID(HD10,16,1)*POWER(2,0)+MID(HD10,15,1)*POWER(2,1)+MID(HD10,14,1)*POWER(2,2)+MID(HD10,13,1)*POWER(2,3)+MID(HD10,12,1)*POWER(2,4)+MID(HD10,11,1)*POWER(2,5)+MID(HD10,10,1)*POWER(2,6)+MID(HD10,9,1)*POWER(2,7)+MID(HD10,8,1)*POWER(2,8)+MID(HD10,7,1)*POWER(2,9)+MID(HD10,6,1)*POWER(2,10)+MID(HD10,5,1)*POWER(2,11)+MID(HD10,4,1)*POWER(2,12)+MID(HD10,3,1)*POWER(2,13)+MID(HD10,2,1)*POWER(2,14)+MID(HD10,1,1)*POWER(2,15)-(MID(HD11,16,1)*POWER(2,0)+MID(HD11,15,1)*POWER(2,1)+MID(HD11,14,1)*POWER(2,2)+MID(HD11,13,1)*POWER(2,3)+MID(HD11,12,1)*POWER(2,4)+MID(HD11,11,1)*POWER(2,5)+MID(HD11,10,1)*POWER(2,6)+MID(HD11,9,1)*POWER(2,7)+MID(HD11,8,1)*POWER(2,8)+MID(HD11,7,1)*POWER(2,9)+MID(HD11,6,1)*POWER(2,10)+MID(HD11,5,1)*POWER(2,11)+MID(HD11,4,1)*POWER(2,12)+MID(HD11,3,1)*POWER(2,13)+MID(HD11,2,1)*POWER(2,14)+MID(HD11,1,1)*POWER(2,15))</f>
        <v>-733</v>
      </c>
      <c r="HG10" s="77">
        <f>MID(HE10,16,1)*POWER(2,0)+MID(HE10,15,1)*POWER(2,1)+MID(HE10,14,1)*POWER(2,2)+MID(HE10,13,1)*POWER(2,3)+MID(HE10,12,1)*POWER(2,4)+MID(HE10,11,1)*POWER(2,5)+MID(HE10,10,1)*POWER(2,6)+MID(HE10,9,1)*POWER(2,7)+MID(HE10,8,1)*POWER(2,8)+MID(HE10,7,1)*POWER(2,9)+MID(HE10,6,1)*POWER(2,10)+MID(HE10,5,1)*POWER(2,11)+MID(HE10,4,1)*POWER(2,12)+MID(HE10,3,1)*POWER(2,13)+MID(HE10,2,1)*POWER(2,14)+MID(HE10,1,1)*POWER(2,15)-(MID(HE11,16,1)*POWER(2,0)+MID(HE11,15,1)*POWER(2,1)+MID(HE11,14,1)*POWER(2,2)+MID(HE11,13,1)*POWER(2,3)+MID(HE11,12,1)*POWER(2,4)+MID(HE11,11,1)*POWER(2,5)+MID(HE11,10,1)*POWER(2,6)+MID(HE11,9,1)*POWER(2,7)+MID(HE11,8,1)*POWER(2,8)+MID(HE11,7,1)*POWER(2,9)+MID(HE11,6,1)*POWER(2,10)+MID(HE11,5,1)*POWER(2,11)+MID(HE11,4,1)*POWER(2,12)+MID(HE11,3,1)*POWER(2,13)+MID(HE11,2,1)*POWER(2,14)+MID(HE11,1,1)*POWER(2,15))</f>
        <v>-226</v>
      </c>
      <c r="HH10" s="43" t="str">
        <f>CONCATENATE(MID(DX10,17,16),MID(DX10,1,16))</f>
        <v>00000000001001000010000000100000</v>
      </c>
      <c r="HI10" s="26" t="str">
        <f t="shared" si="184"/>
        <v>00000000</v>
      </c>
      <c r="HJ10" s="26" t="str">
        <f t="shared" si="119"/>
        <v>00100100</v>
      </c>
      <c r="HK10" s="26" t="str">
        <f t="shared" si="120"/>
        <v>00100000</v>
      </c>
      <c r="HL10" s="26" t="str">
        <f t="shared" si="121"/>
        <v>00100000</v>
      </c>
      <c r="HM10" s="77">
        <f>BIN2DEC(HI10)-BIN2DEC(HI11)</f>
        <v>0</v>
      </c>
      <c r="HN10" s="77">
        <f>BIN2DEC(HJ10)-BIN2DEC(HJ11)</f>
        <v>36</v>
      </c>
      <c r="HO10" s="77">
        <f>BIN2DEC(HK10)-BIN2DEC(HK11)</f>
        <v>0</v>
      </c>
      <c r="HP10" s="77">
        <f>BIN2DEC(HL10)-BIN2DEC(HL11)</f>
        <v>32</v>
      </c>
      <c r="HQ10" s="27" t="str">
        <f t="shared" si="122"/>
        <v>0000</v>
      </c>
      <c r="HR10" s="27" t="str">
        <f t="shared" si="123"/>
        <v>1010</v>
      </c>
      <c r="HS10" s="27" t="str">
        <f t="shared" si="124"/>
        <v>1010</v>
      </c>
      <c r="HT10" s="27" t="str">
        <f t="shared" si="125"/>
        <v>1101</v>
      </c>
      <c r="HU10" s="27" t="str">
        <f t="shared" si="126"/>
        <v>0010</v>
      </c>
      <c r="HV10" s="27" t="str">
        <f t="shared" si="127"/>
        <v>0001</v>
      </c>
      <c r="HW10" s="27" t="str">
        <f t="shared" si="128"/>
        <v>0010</v>
      </c>
      <c r="HX10" s="27" t="str">
        <f t="shared" si="129"/>
        <v>1001</v>
      </c>
      <c r="HY10" s="77">
        <f>BIN2DEC(HQ10)-BIN2DEC(HQ11)</f>
        <v>-13</v>
      </c>
      <c r="HZ10" s="77">
        <f t="shared" ref="HZ10:IE10" si="225">BIN2DEC(HR10)-BIN2DEC(HR11)</f>
        <v>7</v>
      </c>
      <c r="IA10" s="77">
        <f t="shared" si="225"/>
        <v>9</v>
      </c>
      <c r="IB10" s="77">
        <f t="shared" si="225"/>
        <v>12</v>
      </c>
      <c r="IC10" s="77">
        <f t="shared" si="225"/>
        <v>-9</v>
      </c>
      <c r="ID10" s="77">
        <f t="shared" si="225"/>
        <v>0</v>
      </c>
      <c r="IE10" s="77">
        <f t="shared" si="225"/>
        <v>-3</v>
      </c>
      <c r="IF10" s="77">
        <f>BIN2DEC(HX10)-BIN2DEC(HX11)</f>
        <v>3</v>
      </c>
      <c r="IG10" s="26" t="str">
        <f t="shared" si="24"/>
        <v>0000000000100100</v>
      </c>
      <c r="IH10" s="26" t="str">
        <f t="shared" si="25"/>
        <v>0010000000100000</v>
      </c>
      <c r="II10" s="77">
        <f>MID(IG10,16,1)*POWER(2,0)+MID(IG10,15,1)*POWER(2,1)+MID(IG10,14,1)*POWER(2,2)+MID(IG10,13,1)*POWER(2,3)+MID(IG10,12,1)*POWER(2,4)+MID(IG10,11,1)*POWER(2,5)+MID(IG10,10,1)*POWER(2,6)+MID(IG10,9,1)*POWER(2,7)+MID(IG10,8,1)*POWER(2,8)+MID(IG10,7,1)*POWER(2,9)+MID(IG10,6,1)*POWER(2,10)+MID(IG10,5,1)*POWER(2,11)+MID(IG10,4,1)*POWER(2,12)+MID(IG10,3,1)*POWER(2,13)+MID(IG10,2,1)*POWER(2,14)+MID(IG10,1,1)*POWER(2,15)-(MID(IG11,16,1)*POWER(2,0)+MID(IG11,15,1)*POWER(2,1)+MID(IG11,14,1)*POWER(2,2)+MID(IG11,13,1)*POWER(2,3)+MID(IG11,12,1)*POWER(2,4)+MID(IG11,11,1)*POWER(2,5)+MID(IG11,10,1)*POWER(2,6)+MID(IG11,9,1)*POWER(2,7)+MID(IG11,8,1)*POWER(2,8)+MID(IG11,7,1)*POWER(2,9)+MID(IG11,6,1)*POWER(2,10)+MID(IG11,5,1)*POWER(2,11)+MID(IG11,4,1)*POWER(2,12)+MID(IG11,3,1)*POWER(2,13)+MID(IG11,2,1)*POWER(2,14)+MID(IG11,1,1)*POWER(2,15))</f>
        <v>36</v>
      </c>
      <c r="IJ10" s="77">
        <f>MID(IH10,16,1)*POWER(2,0)+MID(IH10,15,1)*POWER(2,1)+MID(IH10,14,1)*POWER(2,2)+MID(IH10,13,1)*POWER(2,3)+MID(IH10,12,1)*POWER(2,4)+MID(IH10,11,1)*POWER(2,5)+MID(IH10,10,1)*POWER(2,6)+MID(IH10,9,1)*POWER(2,7)+MID(IH10,8,1)*POWER(2,8)+MID(IH10,7,1)*POWER(2,9)+MID(IH10,6,1)*POWER(2,10)+MID(IH10,5,1)*POWER(2,11)+MID(IH10,4,1)*POWER(2,12)+MID(IH10,3,1)*POWER(2,13)+MID(IH10,2,1)*POWER(2,14)+MID(IH10,1,1)*POWER(2,15)-(MID(IH11,16,1)*POWER(2,0)+MID(IH11,15,1)*POWER(2,1)+MID(IH11,14,1)*POWER(2,2)+MID(IH11,13,1)*POWER(2,3)+MID(IH11,12,1)*POWER(2,4)+MID(IH11,11,1)*POWER(2,5)+MID(IH11,10,1)*POWER(2,6)+MID(IH11,9,1)*POWER(2,7)+MID(IH11,8,1)*POWER(2,8)+MID(IH11,7,1)*POWER(2,9)+MID(IH11,6,1)*POWER(2,10)+MID(IH11,5,1)*POWER(2,11)+MID(IH11,4,1)*POWER(2,12)+MID(IH11,3,1)*POWER(2,13)+MID(IH11,2,1)*POWER(2,14)+MID(IH11,1,1)*POWER(2,15))</f>
        <v>32</v>
      </c>
      <c r="IK10" s="43" t="str">
        <f>HH10</f>
        <v>00000000001001000010000000100000</v>
      </c>
      <c r="IL10" s="26" t="str">
        <f t="shared" si="186"/>
        <v>00000000</v>
      </c>
      <c r="IM10" s="26" t="str">
        <f t="shared" si="130"/>
        <v>00100100</v>
      </c>
      <c r="IN10" s="26" t="str">
        <f t="shared" si="131"/>
        <v>00100000</v>
      </c>
      <c r="IO10" s="26" t="str">
        <f t="shared" si="132"/>
        <v>00100000</v>
      </c>
      <c r="IP10" s="77">
        <f>BIN2DEC(IL10)-BIN2DEC(IL11)</f>
        <v>-211</v>
      </c>
      <c r="IQ10" s="77">
        <f>BIN2DEC(IM10)-BIN2DEC(IM11)</f>
        <v>19</v>
      </c>
      <c r="IR10" s="77">
        <f>BIN2DEC(IN10)-BIN2DEC(IN11)</f>
        <v>-145</v>
      </c>
      <c r="IS10" s="77">
        <f>BIN2DEC(IO10)-BIN2DEC(IO11)</f>
        <v>-54</v>
      </c>
      <c r="IT10" s="27" t="str">
        <f t="shared" si="133"/>
        <v>0000</v>
      </c>
      <c r="IU10" s="27" t="str">
        <f t="shared" si="134"/>
        <v>1010</v>
      </c>
      <c r="IV10" s="27" t="str">
        <f t="shared" si="135"/>
        <v>1010</v>
      </c>
      <c r="IW10" s="27" t="str">
        <f t="shared" si="136"/>
        <v>1101</v>
      </c>
      <c r="IX10" s="27" t="str">
        <f t="shared" si="137"/>
        <v>0010</v>
      </c>
      <c r="IY10" s="27" t="str">
        <f t="shared" si="138"/>
        <v>0001</v>
      </c>
      <c r="IZ10" s="27" t="str">
        <f t="shared" si="139"/>
        <v>0010</v>
      </c>
      <c r="JA10" s="27" t="str">
        <f t="shared" si="140"/>
        <v>1001</v>
      </c>
      <c r="JB10" s="77">
        <f t="shared" ref="JB10:JI10" si="226">BIN2DEC(IT10)-BIN2DEC(IT11)</f>
        <v>-13</v>
      </c>
      <c r="JC10" s="77">
        <f t="shared" si="226"/>
        <v>7</v>
      </c>
      <c r="JD10" s="77">
        <f t="shared" si="226"/>
        <v>9</v>
      </c>
      <c r="JE10" s="77">
        <f t="shared" si="226"/>
        <v>12</v>
      </c>
      <c r="JF10" s="77">
        <f t="shared" si="226"/>
        <v>-9</v>
      </c>
      <c r="JG10" s="77">
        <f t="shared" si="226"/>
        <v>0</v>
      </c>
      <c r="JH10" s="77">
        <f t="shared" si="226"/>
        <v>-3</v>
      </c>
      <c r="JI10" s="77">
        <f t="shared" si="226"/>
        <v>3</v>
      </c>
      <c r="JJ10" s="26" t="str">
        <f t="shared" si="27"/>
        <v>0000000000100100</v>
      </c>
      <c r="JK10" s="26" t="str">
        <f t="shared" si="28"/>
        <v>0010000000100000</v>
      </c>
      <c r="JL10" s="77">
        <f>MID(JJ10,16,1)*POWER(2,0)+MID(JJ10,15,1)*POWER(2,1)+MID(JJ10,14,1)*POWER(2,2)+MID(JJ10,13,1)*POWER(2,3)+MID(JJ10,12,1)*POWER(2,4)+MID(JJ10,11,1)*POWER(2,5)+MID(JJ10,10,1)*POWER(2,6)+MID(JJ10,9,1)*POWER(2,7)+MID(JJ10,8,1)*POWER(2,8)+MID(JJ10,7,1)*POWER(2,9)+MID(JJ10,6,1)*POWER(2,10)+MID(JJ10,5,1)*POWER(2,11)+MID(JJ10,4,1)*POWER(2,12)+MID(JJ10,3,1)*POWER(2,13)+MID(JJ10,2,1)*POWER(2,14)+MID(JJ10,1,1)*POWER(2,15)-(MID(JJ11,16,1)*POWER(2,0)+MID(JJ11,15,1)*POWER(2,1)+MID(JJ11,14,1)*POWER(2,2)+MID(JJ11,13,1)*POWER(2,3)+MID(JJ11,12,1)*POWER(2,4)+MID(JJ11,11,1)*POWER(2,5)+MID(JJ11,10,1)*POWER(2,6)+MID(JJ11,9,1)*POWER(2,7)+MID(JJ11,8,1)*POWER(2,8)+MID(JJ11,7,1)*POWER(2,9)+MID(JJ11,6,1)*POWER(2,10)+MID(JJ11,5,1)*POWER(2,11)+MID(JJ11,4,1)*POWER(2,12)+MID(JJ11,3,1)*POWER(2,13)+MID(JJ11,2,1)*POWER(2,14)+MID(JJ11,1,1)*POWER(2,15))</f>
        <v>-53997</v>
      </c>
      <c r="JM10" s="77">
        <f>MID(JK10,16,1)*POWER(2,0)+MID(JK10,15,1)*POWER(2,1)+MID(JK10,14,1)*POWER(2,2)+MID(JK10,13,1)*POWER(2,3)+MID(JK10,12,1)*POWER(2,4)+MID(JK10,11,1)*POWER(2,5)+MID(JK10,10,1)*POWER(2,6)+MID(JK10,9,1)*POWER(2,7)+MID(JK10,8,1)*POWER(2,8)+MID(JK10,7,1)*POWER(2,9)+MID(JK10,6,1)*POWER(2,10)+MID(JK10,5,1)*POWER(2,11)+MID(JK10,4,1)*POWER(2,12)+MID(JK10,3,1)*POWER(2,13)+MID(JK10,2,1)*POWER(2,14)+MID(JK10,1,1)*POWER(2,15)-(MID(JK11,16,1)*POWER(2,0)+MID(JK11,15,1)*POWER(2,1)+MID(JK11,14,1)*POWER(2,2)+MID(JK11,13,1)*POWER(2,3)+MID(JK11,12,1)*POWER(2,4)+MID(JK11,11,1)*POWER(2,5)+MID(JK11,10,1)*POWER(2,6)+MID(JK11,9,1)*POWER(2,7)+MID(JK11,8,1)*POWER(2,8)+MID(JK11,7,1)*POWER(2,9)+MID(JK11,6,1)*POWER(2,10)+MID(JK11,5,1)*POWER(2,11)+MID(JK11,4,1)*POWER(2,12)+MID(JK11,3,1)*POWER(2,13)+MID(JK11,2,1)*POWER(2,14)+MID(JK11,1,1)*POWER(2,15))</f>
        <v>-37174</v>
      </c>
      <c r="JN10" s="45" t="str">
        <f>CONCATENATE(MID(IK10,1,1)*MID($K10,1,1),MID(IK10,2,1)*MID($K10,2,1),MID(IK10,3,1)*MID($K10,3,1),MID(IK10,4,1)*MID($K10,4,1),MID(IK10,5,1)*MID($K10,5,1),MID(IK10,6,1)*MID($K10,6,1),MID(IK10,7,1)*MID($K10,7,1),MID(IK10,8,1)*MID($K10,8,1),MID(IK10,9,1)*MID($K10,1,1),MID(IK10,10,1)*MID($K10,2,1),MID(IK10,11,1)*MID($K10,3,1),MID(IK10,12,1)*MID($K10,4,1),MID(IK10,13,1)*MID($K10,5,1),MID(IK10,14,1)*MID($K10,6,1),MID(IK10,15,1)*MID($K10,7,1),MID(IK10,16,1)*MID($K10,8,1),MID(IK10,17,1)*MID($K10,1,1),MID(IK10,18,1)*MID($K10,2,1),MID(IK10,19,1)*MID($K10,3,1),MID(IK10,20,1)*MID($K10,4,1),MID(IK10,21,1)*MID($K10,5,1),MID(IK10,22,1)*MID($K10,6,1),MID(IK10,23,1)*MID($K10,7,1),MID(IK10,24,1)*MID($K10,8,1),MID(IK10,25,1)*MID($K10,1,1),MID(IK10,26,1)*MID($K10,2,1),MID(IK10,27,1)*MID($K10,3,1),MID(IK10,28,1)*MID($K10,4,1),MID(IK10,29,1)*MID($K10,5,1),MID(IK10,30,1)*MID($K10,6,1),MID(IK10,31,1)*MID($K10,7,1),MID(IK10,32,1)*MID($K10,8,1))</f>
        <v>00000000001001000010000000100000</v>
      </c>
      <c r="JO10" s="26" t="str">
        <f t="shared" si="188"/>
        <v>00000000</v>
      </c>
      <c r="JP10" s="26" t="str">
        <f t="shared" si="141"/>
        <v>00100100</v>
      </c>
      <c r="JQ10" s="26" t="str">
        <f t="shared" si="142"/>
        <v>00100000</v>
      </c>
      <c r="JR10" s="26" t="str">
        <f t="shared" si="143"/>
        <v>00100000</v>
      </c>
      <c r="JS10" s="77">
        <f>BIN2DEC(JO10)-BIN2DEC(JO11)</f>
        <v>-211</v>
      </c>
      <c r="JT10" s="77">
        <f>BIN2DEC(JP10)-BIN2DEC(JP11)</f>
        <v>19</v>
      </c>
      <c r="JU10" s="77">
        <f>BIN2DEC(JQ10)-BIN2DEC(JQ11)</f>
        <v>-145</v>
      </c>
      <c r="JV10" s="77">
        <f>BIN2DEC(JR10)-BIN2DEC(JR11)</f>
        <v>-54</v>
      </c>
      <c r="JW10" s="27" t="str">
        <f t="shared" si="144"/>
        <v>0000</v>
      </c>
      <c r="JX10" s="27" t="str">
        <f t="shared" si="145"/>
        <v>1010</v>
      </c>
      <c r="JY10" s="27" t="str">
        <f t="shared" si="146"/>
        <v>1010</v>
      </c>
      <c r="JZ10" s="27" t="str">
        <f t="shared" si="147"/>
        <v>1101</v>
      </c>
      <c r="KA10" s="27" t="str">
        <f t="shared" si="148"/>
        <v>0010</v>
      </c>
      <c r="KB10" s="27" t="str">
        <f t="shared" si="149"/>
        <v>0001</v>
      </c>
      <c r="KC10" s="27" t="str">
        <f t="shared" si="150"/>
        <v>0010</v>
      </c>
      <c r="KD10" s="27" t="str">
        <f t="shared" si="151"/>
        <v>1001</v>
      </c>
      <c r="KE10" s="77">
        <f t="shared" ref="KE10:KL10" si="227">BIN2DEC(JW10)-BIN2DEC(JW11)</f>
        <v>-13</v>
      </c>
      <c r="KF10" s="77">
        <f t="shared" si="227"/>
        <v>7</v>
      </c>
      <c r="KG10" s="77">
        <f t="shared" si="227"/>
        <v>9</v>
      </c>
      <c r="KH10" s="77">
        <f t="shared" si="227"/>
        <v>12</v>
      </c>
      <c r="KI10" s="77">
        <f t="shared" si="227"/>
        <v>-9</v>
      </c>
      <c r="KJ10" s="77">
        <f t="shared" si="227"/>
        <v>0</v>
      </c>
      <c r="KK10" s="77">
        <f t="shared" si="227"/>
        <v>-3</v>
      </c>
      <c r="KL10" s="77">
        <f t="shared" si="227"/>
        <v>3</v>
      </c>
      <c r="KM10" s="26" t="str">
        <f t="shared" si="30"/>
        <v>0000000000100100</v>
      </c>
      <c r="KN10" s="26" t="str">
        <f t="shared" si="31"/>
        <v>0010000000100000</v>
      </c>
      <c r="KO10" s="77">
        <f>MID(KM10,16,1)*POWER(2,0)+MID(KM10,15,1)*POWER(2,1)+MID(KM10,14,1)*POWER(2,2)+MID(KM10,13,1)*POWER(2,3)+MID(KM10,12,1)*POWER(2,4)+MID(KM10,11,1)*POWER(2,5)+MID(KM10,10,1)*POWER(2,6)+MID(KM10,9,1)*POWER(2,7)+MID(KM10,8,1)*POWER(2,8)+MID(KM10,7,1)*POWER(2,9)+MID(KM10,6,1)*POWER(2,10)+MID(KM10,5,1)*POWER(2,11)+MID(KM10,4,1)*POWER(2,12)+MID(KM10,3,1)*POWER(2,13)+MID(KM10,2,1)*POWER(2,14)+MID(KM10,1,1)*POWER(2,15)-(MID(KM11,16,1)*POWER(2,0)+MID(KM11,15,1)*POWER(2,1)+MID(KM11,14,1)*POWER(2,2)+MID(KM11,13,1)*POWER(2,3)+MID(KM11,12,1)*POWER(2,4)+MID(KM11,11,1)*POWER(2,5)+MID(KM11,10,1)*POWER(2,6)+MID(KM11,9,1)*POWER(2,7)+MID(KM11,8,1)*POWER(2,8)+MID(KM11,7,1)*POWER(2,9)+MID(KM11,6,1)*POWER(2,10)+MID(KM11,5,1)*POWER(2,11)+MID(KM11,4,1)*POWER(2,12)+MID(KM11,3,1)*POWER(2,13)+MID(KM11,2,1)*POWER(2,14)+MID(KM11,1,1)*POWER(2,15))</f>
        <v>-53997</v>
      </c>
      <c r="KP10" s="77">
        <f>MID(KN10,16,1)*POWER(2,0)+MID(KN10,15,1)*POWER(2,1)+MID(KN10,14,1)*POWER(2,2)+MID(KN10,13,1)*POWER(2,3)+MID(KN10,12,1)*POWER(2,4)+MID(KN10,11,1)*POWER(2,5)+MID(KN10,10,1)*POWER(2,6)+MID(KN10,9,1)*POWER(2,7)+MID(KN10,8,1)*POWER(2,8)+MID(KN10,7,1)*POWER(2,9)+MID(KN10,6,1)*POWER(2,10)+MID(KN10,5,1)*POWER(2,11)+MID(KN10,4,1)*POWER(2,12)+MID(KN10,3,1)*POWER(2,13)+MID(KN10,2,1)*POWER(2,14)+MID(KN10,1,1)*POWER(2,15)-(MID(KN11,16,1)*POWER(2,0)+MID(KN11,15,1)*POWER(2,1)+MID(KN11,14,1)*POWER(2,2)+MID(KN11,13,1)*POWER(2,3)+MID(KN11,12,1)*POWER(2,4)+MID(KN11,11,1)*POWER(2,5)+MID(KN11,10,1)*POWER(2,6)+MID(KN11,9,1)*POWER(2,7)+MID(KN11,8,1)*POWER(2,8)+MID(KN11,7,1)*POWER(2,9)+MID(KN11,6,1)*POWER(2,10)+MID(KN11,5,1)*POWER(2,11)+MID(KN11,4,1)*POWER(2,12)+MID(KN11,3,1)*POWER(2,13)+MID(KN11,2,1)*POWER(2,14)+MID(KN11,1,1)*POWER(2,15))</f>
        <v>-37174</v>
      </c>
      <c r="KQ10" s="47" t="str">
        <f>IK10</f>
        <v>00000000001001000010000000100000</v>
      </c>
      <c r="KR10" s="26" t="str">
        <f t="shared" si="190"/>
        <v>00000000</v>
      </c>
      <c r="KS10" s="26" t="str">
        <f t="shared" si="152"/>
        <v>00100100</v>
      </c>
      <c r="KT10" s="26" t="str">
        <f t="shared" si="153"/>
        <v>00100000</v>
      </c>
      <c r="KU10" s="26" t="str">
        <f t="shared" si="154"/>
        <v>00100000</v>
      </c>
      <c r="KV10" s="77">
        <f>BIN2DEC(KR10)-BIN2DEC(KR11)</f>
        <v>-64</v>
      </c>
      <c r="KW10" s="77">
        <f>BIN2DEC(KS10)-BIN2DEC(KS11)</f>
        <v>36</v>
      </c>
      <c r="KX10" s="77">
        <f>BIN2DEC(KT10)-BIN2DEC(KT11)</f>
        <v>0</v>
      </c>
      <c r="KY10" s="77">
        <f>BIN2DEC(KU10)-BIN2DEC(KU11)</f>
        <v>-36</v>
      </c>
      <c r="KZ10" s="27" t="str">
        <f t="shared" si="155"/>
        <v>0000</v>
      </c>
      <c r="LA10" s="27" t="str">
        <f t="shared" si="156"/>
        <v>1010</v>
      </c>
      <c r="LB10" s="27" t="str">
        <f t="shared" si="157"/>
        <v>1010</v>
      </c>
      <c r="LC10" s="27" t="str">
        <f t="shared" si="158"/>
        <v>1101</v>
      </c>
      <c r="LD10" s="27" t="str">
        <f t="shared" si="159"/>
        <v>0010</v>
      </c>
      <c r="LE10" s="27" t="str">
        <f t="shared" si="160"/>
        <v>0001</v>
      </c>
      <c r="LF10" s="27" t="str">
        <f t="shared" si="161"/>
        <v>0010</v>
      </c>
      <c r="LG10" s="27" t="str">
        <f t="shared" si="162"/>
        <v>1001</v>
      </c>
      <c r="LH10" s="77">
        <f t="shared" ref="LH10:LO10" si="228">BIN2DEC(KZ10)-BIN2DEC(KZ11)</f>
        <v>-13</v>
      </c>
      <c r="LI10" s="77">
        <f t="shared" si="228"/>
        <v>7</v>
      </c>
      <c r="LJ10" s="77">
        <f t="shared" si="228"/>
        <v>9</v>
      </c>
      <c r="LK10" s="77">
        <f t="shared" si="228"/>
        <v>12</v>
      </c>
      <c r="LL10" s="77">
        <f t="shared" si="228"/>
        <v>-9</v>
      </c>
      <c r="LM10" s="77">
        <f t="shared" si="228"/>
        <v>0</v>
      </c>
      <c r="LN10" s="77">
        <f t="shared" si="228"/>
        <v>-3</v>
      </c>
      <c r="LO10" s="77">
        <f t="shared" si="228"/>
        <v>3</v>
      </c>
      <c r="LP10" s="26" t="str">
        <f t="shared" si="33"/>
        <v>0000000000100100</v>
      </c>
      <c r="LQ10" s="26" t="str">
        <f t="shared" si="34"/>
        <v>0010000000100000</v>
      </c>
      <c r="LR10" s="77">
        <f>MID(LP10,16,1)*POWER(2,0)+MID(LP10,15,1)*POWER(2,1)+MID(LP10,14,1)*POWER(2,2)+MID(LP10,13,1)*POWER(2,3)+MID(LP10,12,1)*POWER(2,4)+MID(LP10,11,1)*POWER(2,5)+MID(LP10,10,1)*POWER(2,6)+MID(LP10,9,1)*POWER(2,7)+MID(LP10,8,1)*POWER(2,8)+MID(LP10,7,1)*POWER(2,9)+MID(LP10,6,1)*POWER(2,10)+MID(LP10,5,1)*POWER(2,11)+MID(LP10,4,1)*POWER(2,12)+MID(LP10,3,1)*POWER(2,13)+MID(LP10,2,1)*POWER(2,14)+MID(LP10,1,1)*POWER(2,15)-(MID(LP11,16,1)*POWER(2,0)+MID(LP11,15,1)*POWER(2,1)+MID(LP11,14,1)*POWER(2,2)+MID(LP11,13,1)*POWER(2,3)+MID(LP11,12,1)*POWER(2,4)+MID(LP11,11,1)*POWER(2,5)+MID(LP11,10,1)*POWER(2,6)+MID(LP11,9,1)*POWER(2,7)+MID(LP11,8,1)*POWER(2,8)+MID(LP11,7,1)*POWER(2,9)+MID(LP11,6,1)*POWER(2,10)+MID(LP11,5,1)*POWER(2,11)+MID(LP11,4,1)*POWER(2,12)+MID(LP11,3,1)*POWER(2,13)+MID(LP11,2,1)*POWER(2,14)+MID(LP11,1,1)*POWER(2,15))</f>
        <v>-16348</v>
      </c>
      <c r="LS10" s="77">
        <f>MID(LQ10,16,1)*POWER(2,0)+MID(LQ10,15,1)*POWER(2,1)+MID(LQ10,14,1)*POWER(2,2)+MID(LQ10,13,1)*POWER(2,3)+MID(LQ10,12,1)*POWER(2,4)+MID(LQ10,11,1)*POWER(2,5)+MID(LQ10,10,1)*POWER(2,6)+MID(LQ10,9,1)*POWER(2,7)+MID(LQ10,8,1)*POWER(2,8)+MID(LQ10,7,1)*POWER(2,9)+MID(LQ10,6,1)*POWER(2,10)+MID(LQ10,5,1)*POWER(2,11)+MID(LQ10,4,1)*POWER(2,12)+MID(LQ10,3,1)*POWER(2,13)+MID(LQ10,2,1)*POWER(2,14)+MID(LQ10,1,1)*POWER(2,15)-(MID(LQ11,16,1)*POWER(2,0)+MID(LQ11,15,1)*POWER(2,1)+MID(LQ11,14,1)*POWER(2,2)+MID(LQ11,13,1)*POWER(2,3)+MID(LQ11,12,1)*POWER(2,4)+MID(LQ11,11,1)*POWER(2,5)+MID(LQ11,10,1)*POWER(2,6)+MID(LQ11,9,1)*POWER(2,7)+MID(LQ11,8,1)*POWER(2,8)+MID(LQ11,7,1)*POWER(2,9)+MID(LQ11,6,1)*POWER(2,10)+MID(LQ11,5,1)*POWER(2,11)+MID(LQ11,4,1)*POWER(2,12)+MID(LQ11,3,1)*POWER(2,13)+MID(LQ11,2,1)*POWER(2,14)+MID(LQ11,1,1)*POWER(2,15))</f>
        <v>-36</v>
      </c>
      <c r="LT10" s="43" t="str">
        <f>JN10</f>
        <v>00000000001001000010000000100000</v>
      </c>
      <c r="LU10" s="26" t="str">
        <f t="shared" si="192"/>
        <v>00000000</v>
      </c>
      <c r="LV10" s="26" t="str">
        <f t="shared" si="163"/>
        <v>00100100</v>
      </c>
      <c r="LW10" s="26" t="str">
        <f t="shared" si="164"/>
        <v>00100000</v>
      </c>
      <c r="LX10" s="26" t="str">
        <f t="shared" si="165"/>
        <v>00100000</v>
      </c>
      <c r="LY10" s="77">
        <f>BIN2DEC(LU10)-BIN2DEC(LU11)</f>
        <v>-3</v>
      </c>
      <c r="LZ10" s="77">
        <f>BIN2DEC(LV10)-BIN2DEC(LV11)</f>
        <v>35</v>
      </c>
      <c r="MA10" s="77">
        <f>BIN2DEC(LW10)-BIN2DEC(LW11)</f>
        <v>-1</v>
      </c>
      <c r="MB10" s="77">
        <f>BIN2DEC(LX10)-BIN2DEC(LX11)</f>
        <v>30</v>
      </c>
      <c r="MC10" s="27" t="str">
        <f t="shared" si="166"/>
        <v>0000</v>
      </c>
      <c r="MD10" s="27" t="str">
        <f t="shared" si="167"/>
        <v>1010</v>
      </c>
      <c r="ME10" s="27" t="str">
        <f t="shared" si="168"/>
        <v>1010</v>
      </c>
      <c r="MF10" s="27" t="str">
        <f t="shared" si="169"/>
        <v>1101</v>
      </c>
      <c r="MG10" s="27" t="str">
        <f t="shared" si="170"/>
        <v>0010</v>
      </c>
      <c r="MH10" s="27" t="str">
        <f t="shared" si="171"/>
        <v>0001</v>
      </c>
      <c r="MI10" s="27" t="str">
        <f t="shared" si="172"/>
        <v>0010</v>
      </c>
      <c r="MJ10" s="27" t="str">
        <f t="shared" si="173"/>
        <v>1001</v>
      </c>
      <c r="MK10" s="77">
        <f t="shared" ref="MK10:MR10" si="229">BIN2DEC(MC10)-BIN2DEC(MC11)</f>
        <v>-13</v>
      </c>
      <c r="ML10" s="77">
        <f t="shared" si="229"/>
        <v>7</v>
      </c>
      <c r="MM10" s="77">
        <f t="shared" si="229"/>
        <v>9</v>
      </c>
      <c r="MN10" s="77">
        <f t="shared" si="229"/>
        <v>12</v>
      </c>
      <c r="MO10" s="77">
        <f t="shared" si="229"/>
        <v>-9</v>
      </c>
      <c r="MP10" s="77">
        <f t="shared" si="229"/>
        <v>0</v>
      </c>
      <c r="MQ10" s="77">
        <f t="shared" si="229"/>
        <v>-3</v>
      </c>
      <c r="MR10" s="77">
        <f t="shared" si="229"/>
        <v>3</v>
      </c>
      <c r="MS10" s="26" t="str">
        <f t="shared" si="36"/>
        <v>0000000000100100</v>
      </c>
      <c r="MT10" s="26" t="str">
        <f t="shared" si="37"/>
        <v>0010000000100000</v>
      </c>
      <c r="MU10" s="77">
        <f>MID(MS10,16,1)*POWER(2,0)+MID(MS10,15,1)*POWER(2,1)+MID(MS10,14,1)*POWER(2,2)+MID(MS10,13,1)*POWER(2,3)+MID(MS10,12,1)*POWER(2,4)+MID(MS10,11,1)*POWER(2,5)+MID(MS10,10,1)*POWER(2,6)+MID(MS10,9,1)*POWER(2,7)+MID(MS10,8,1)*POWER(2,8)+MID(MS10,7,1)*POWER(2,9)+MID(MS10,6,1)*POWER(2,10)+MID(MS10,5,1)*POWER(2,11)+MID(MS10,4,1)*POWER(2,12)+MID(MS10,3,1)*POWER(2,13)+MID(MS10,2,1)*POWER(2,14)+MID(MS10,1,1)*POWER(2,15)-(MID(MS11,16,1)*POWER(2,0)+MID(MS11,15,1)*POWER(2,1)+MID(MS11,14,1)*POWER(2,2)+MID(MS11,13,1)*POWER(2,3)+MID(MS11,12,1)*POWER(2,4)+MID(MS11,11,1)*POWER(2,5)+MID(MS11,10,1)*POWER(2,6)+MID(MS11,9,1)*POWER(2,7)+MID(MS11,8,1)*POWER(2,8)+MID(MS11,7,1)*POWER(2,9)+MID(MS11,6,1)*POWER(2,10)+MID(MS11,5,1)*POWER(2,11)+MID(MS11,4,1)*POWER(2,12)+MID(MS11,3,1)*POWER(2,13)+MID(MS11,2,1)*POWER(2,14)+MID(MS11,1,1)*POWER(2,15))</f>
        <v>-733</v>
      </c>
      <c r="MV10" s="77">
        <f>MID(MT10,16,1)*POWER(2,0)+MID(MT10,15,1)*POWER(2,1)+MID(MT10,14,1)*POWER(2,2)+MID(MT10,13,1)*POWER(2,3)+MID(MT10,12,1)*POWER(2,4)+MID(MT10,11,1)*POWER(2,5)+MID(MT10,10,1)*POWER(2,6)+MID(MT10,9,1)*POWER(2,7)+MID(MT10,8,1)*POWER(2,8)+MID(MT10,7,1)*POWER(2,9)+MID(MT10,6,1)*POWER(2,10)+MID(MT10,5,1)*POWER(2,11)+MID(MT10,4,1)*POWER(2,12)+MID(MT10,3,1)*POWER(2,13)+MID(MT10,2,1)*POWER(2,14)+MID(MT10,1,1)*POWER(2,15)-(MID(MT11,16,1)*POWER(2,0)+MID(MT11,15,1)*POWER(2,1)+MID(MT11,14,1)*POWER(2,2)+MID(MT11,13,1)*POWER(2,3)+MID(MT11,12,1)*POWER(2,4)+MID(MT11,11,1)*POWER(2,5)+MID(MT11,10,1)*POWER(2,6)+MID(MT11,9,1)*POWER(2,7)+MID(MT11,8,1)*POWER(2,8)+MID(MT11,7,1)*POWER(2,9)+MID(MT11,6,1)*POWER(2,10)+MID(MT11,5,1)*POWER(2,11)+MID(MT11,4,1)*POWER(2,12)+MID(MT11,3,1)*POWER(2,13)+MID(MT11,2,1)*POWER(2,14)+MID(MT11,1,1)*POWER(2,15))</f>
        <v>-226</v>
      </c>
    </row>
    <row r="11" spans="1:360" s="31" customFormat="1" ht="18.600000000000001" thickBot="1" x14ac:dyDescent="0.4">
      <c r="A11" s="28"/>
      <c r="B11" s="29"/>
      <c r="C11" s="21" t="s">
        <v>6</v>
      </c>
      <c r="D11" s="21" t="s">
        <v>115</v>
      </c>
      <c r="E11" s="21">
        <v>22</v>
      </c>
      <c r="F11" s="21" t="s">
        <v>35</v>
      </c>
      <c r="G11" s="21" t="s">
        <v>59</v>
      </c>
      <c r="H11" s="21" t="str">
        <f t="shared" si="0"/>
        <v>00111010001000101101011001101010</v>
      </c>
      <c r="I11" s="21">
        <f t="shared" si="1"/>
        <v>15</v>
      </c>
      <c r="J11" s="21"/>
      <c r="K11" s="21"/>
      <c r="L11" s="44" t="str">
        <f>CONCATENATE(MID(H11,4,5),MID(H11,25,3),MID(H11,12,5),MID(H11,1,3),MID(H11,20,5),MID(H11,9,3),MID(H11,28,5),MID(H11,17,3))</f>
        <v>11010011000100011011000101010110</v>
      </c>
      <c r="M11" s="26" t="str">
        <f t="shared" si="38"/>
        <v>11010</v>
      </c>
      <c r="N11" s="26" t="str">
        <f t="shared" si="39"/>
        <v>00010</v>
      </c>
      <c r="O11" s="26" t="str">
        <f t="shared" si="40"/>
        <v>10110</v>
      </c>
      <c r="P11" s="26" t="str">
        <f t="shared" si="41"/>
        <v>01010</v>
      </c>
      <c r="Q11" s="78"/>
      <c r="R11" s="78"/>
      <c r="S11" s="78"/>
      <c r="T11" s="78"/>
      <c r="U11" s="31" t="str">
        <f t="shared" si="42"/>
        <v>1101</v>
      </c>
      <c r="V11" s="31" t="str">
        <f t="shared" si="43"/>
        <v>0011</v>
      </c>
      <c r="W11" s="31" t="str">
        <f t="shared" si="44"/>
        <v>0001</v>
      </c>
      <c r="X11" s="31" t="str">
        <f t="shared" si="45"/>
        <v>0001</v>
      </c>
      <c r="Y11" s="31" t="str">
        <f t="shared" si="46"/>
        <v>1011</v>
      </c>
      <c r="Z11" s="31" t="str">
        <f t="shared" si="47"/>
        <v>0001</v>
      </c>
      <c r="AA11" s="31" t="str">
        <f t="shared" si="48"/>
        <v>0101</v>
      </c>
      <c r="AB11" s="31" t="str">
        <f t="shared" si="49"/>
        <v>0110</v>
      </c>
      <c r="AC11" s="78"/>
      <c r="AD11" s="78"/>
      <c r="AE11" s="78"/>
      <c r="AF11" s="78"/>
      <c r="AG11" s="78"/>
      <c r="AH11" s="78"/>
      <c r="AI11" s="78"/>
      <c r="AJ11" s="78"/>
      <c r="AK11" s="30" t="str">
        <f t="shared" si="3"/>
        <v>1101001100010001</v>
      </c>
      <c r="AL11" s="30" t="str">
        <f t="shared" si="4"/>
        <v>1011000101010110</v>
      </c>
      <c r="AM11" s="78"/>
      <c r="AN11" s="78"/>
      <c r="AO11" s="46" t="str">
        <f>CONCATENATE(MID($L11,1,1)*MID($K10,1,1),MID($L11,2,1)*MID($K10,2,1),MID($L11,3,1)*MID($K10,3,1),MID($L11,4,1)*MID($K10,4,1),MID($L11,5,1)*MID($K10,5,1),MID($L11,6,1)*MID($K10,6,1),MID($L11,7,1)*MID($K10,7,1),MID($L11,8,1)*MID($K10,8,1),MID($L11,9,1)*MID($K10,1,1),MID($L11,10,1)*MID($K10,2,1),MID($L11,11,1)*MID($K10,3,1),MID($L11,12,1)*MID($K10,4,1),MID($L11,13,1)*MID($K10,5,1),MID($L11,14,1)*MID($K10,6,1),MID($L11,15,1)*MID($K10,7,1),MID($L11,16,1)*MID($K10,8,1),MID($L11,17,1)*MID($K10,1,1),MID($L11,18,1)*MID($K10,2,1),MID($L11,19,1)*MID($K10,3,1),MID($L11,20,1)*MID($K10,4,1),MID($L11,21,1)*MID($K10,5,1),MID($L11,22,1)*MID($K10,6,1),MID($L11,23,1)*MID($K10,7,1),MID($L11,24,1)*MID($K10,8,1),MID($L11,25,1)*MID($K10,1,1),MID($L11,26,1)*MID($K10,2,1),MID($L11,27,1)*MID($K10,3,1),MID($L11,28,1)*MID($K10,4,1),MID($L11,29,1)*MID($K10,5,1),MID($L11,30,1)*MID($K10,6,1),MID($L11,31,1)*MID($K10,7,1),MID($L11,32,1)*MID($K10,8,1))</f>
        <v>01000000000000000010000001000100</v>
      </c>
      <c r="AP11" s="30" t="str">
        <f t="shared" si="50"/>
        <v>01000000</v>
      </c>
      <c r="AQ11" s="30" t="str">
        <f t="shared" si="51"/>
        <v>00000000</v>
      </c>
      <c r="AR11" s="30" t="str">
        <f t="shared" si="52"/>
        <v>00100000</v>
      </c>
      <c r="AS11" s="30" t="str">
        <f t="shared" si="53"/>
        <v>01000100</v>
      </c>
      <c r="AT11" s="78"/>
      <c r="AU11" s="78"/>
      <c r="AV11" s="78"/>
      <c r="AW11" s="78"/>
      <c r="AX11" s="31" t="str">
        <f t="shared" si="54"/>
        <v>1101</v>
      </c>
      <c r="AY11" s="31" t="str">
        <f t="shared" si="55"/>
        <v>0011</v>
      </c>
      <c r="AZ11" s="31" t="str">
        <f t="shared" si="56"/>
        <v>0001</v>
      </c>
      <c r="BA11" s="31" t="str">
        <f t="shared" si="57"/>
        <v>0001</v>
      </c>
      <c r="BB11" s="31" t="str">
        <f t="shared" si="58"/>
        <v>1011</v>
      </c>
      <c r="BC11" s="31" t="str">
        <f t="shared" si="59"/>
        <v>0001</v>
      </c>
      <c r="BD11" s="31" t="str">
        <f t="shared" si="60"/>
        <v>0101</v>
      </c>
      <c r="BE11" s="31" t="str">
        <f t="shared" si="61"/>
        <v>0110</v>
      </c>
      <c r="BF11" s="78"/>
      <c r="BG11" s="78"/>
      <c r="BH11" s="78"/>
      <c r="BI11" s="78"/>
      <c r="BJ11" s="78"/>
      <c r="BK11" s="78"/>
      <c r="BL11" s="78"/>
      <c r="BM11" s="78"/>
      <c r="BN11" s="30" t="str">
        <f t="shared" si="6"/>
        <v>0100000000000000</v>
      </c>
      <c r="BO11" s="30" t="str">
        <f t="shared" si="7"/>
        <v>0010000001000100</v>
      </c>
      <c r="BP11" s="78"/>
      <c r="BQ11" s="78"/>
      <c r="BR11" s="46" t="str">
        <f>L11</f>
        <v>11010011000100011011000101010110</v>
      </c>
      <c r="BS11" s="30" t="str">
        <f t="shared" si="62"/>
        <v>11010011</v>
      </c>
      <c r="BT11" s="30" t="str">
        <f t="shared" si="63"/>
        <v>00010001</v>
      </c>
      <c r="BU11" s="30" t="str">
        <f t="shared" si="64"/>
        <v>10110001</v>
      </c>
      <c r="BV11" s="30" t="str">
        <f t="shared" si="65"/>
        <v>01010110</v>
      </c>
      <c r="BW11" s="78"/>
      <c r="BX11" s="78"/>
      <c r="BY11" s="78"/>
      <c r="BZ11" s="78"/>
      <c r="CA11" s="31" t="str">
        <f t="shared" si="66"/>
        <v>1101</v>
      </c>
      <c r="CB11" s="31" t="str">
        <f t="shared" si="67"/>
        <v>0011</v>
      </c>
      <c r="CC11" s="31" t="str">
        <f t="shared" si="68"/>
        <v>0001</v>
      </c>
      <c r="CD11" s="31" t="str">
        <f t="shared" si="69"/>
        <v>0001</v>
      </c>
      <c r="CE11" s="31" t="str">
        <f t="shared" si="70"/>
        <v>1011</v>
      </c>
      <c r="CF11" s="31" t="str">
        <f t="shared" si="71"/>
        <v>0001</v>
      </c>
      <c r="CG11" s="31" t="str">
        <f t="shared" si="72"/>
        <v>0101</v>
      </c>
      <c r="CH11" s="31" t="str">
        <f t="shared" si="73"/>
        <v>0110</v>
      </c>
      <c r="CI11" s="78"/>
      <c r="CJ11" s="78"/>
      <c r="CK11" s="78"/>
      <c r="CL11" s="78"/>
      <c r="CM11" s="78"/>
      <c r="CN11" s="78"/>
      <c r="CO11" s="78"/>
      <c r="CP11" s="78"/>
      <c r="CQ11" s="30" t="str">
        <f t="shared" si="9"/>
        <v>1101001100010001</v>
      </c>
      <c r="CR11" s="30" t="str">
        <f t="shared" si="10"/>
        <v>1011000101010110</v>
      </c>
      <c r="CS11" s="78"/>
      <c r="CT11" s="78"/>
      <c r="CU11" s="46" t="str">
        <f>AO11</f>
        <v>01000000000000000010000001000100</v>
      </c>
      <c r="CV11" s="30" t="str">
        <f t="shared" si="74"/>
        <v>01000000</v>
      </c>
      <c r="CW11" s="30" t="str">
        <f t="shared" si="75"/>
        <v>00000000</v>
      </c>
      <c r="CX11" s="30" t="str">
        <f t="shared" si="76"/>
        <v>00100000</v>
      </c>
      <c r="CY11" s="30" t="str">
        <f t="shared" si="77"/>
        <v>01000100</v>
      </c>
      <c r="CZ11" s="78"/>
      <c r="DA11" s="78"/>
      <c r="DB11" s="78"/>
      <c r="DC11" s="78"/>
      <c r="DD11" s="31" t="str">
        <f t="shared" si="78"/>
        <v>1101</v>
      </c>
      <c r="DE11" s="31" t="str">
        <f t="shared" si="79"/>
        <v>0011</v>
      </c>
      <c r="DF11" s="31" t="str">
        <f t="shared" si="80"/>
        <v>0001</v>
      </c>
      <c r="DG11" s="31" t="str">
        <f t="shared" si="81"/>
        <v>0001</v>
      </c>
      <c r="DH11" s="31" t="str">
        <f t="shared" si="82"/>
        <v>1011</v>
      </c>
      <c r="DI11" s="31" t="str">
        <f t="shared" si="83"/>
        <v>0001</v>
      </c>
      <c r="DJ11" s="31" t="str">
        <f t="shared" si="84"/>
        <v>0101</v>
      </c>
      <c r="DK11" s="31" t="str">
        <f t="shared" si="85"/>
        <v>0110</v>
      </c>
      <c r="DL11" s="78"/>
      <c r="DM11" s="78"/>
      <c r="DN11" s="78"/>
      <c r="DO11" s="78"/>
      <c r="DP11" s="78"/>
      <c r="DQ11" s="78"/>
      <c r="DR11" s="78"/>
      <c r="DS11" s="78"/>
      <c r="DT11" s="30" t="str">
        <f t="shared" si="12"/>
        <v>0100000000000000</v>
      </c>
      <c r="DU11" s="30" t="str">
        <f t="shared" si="13"/>
        <v>0010000001000100</v>
      </c>
      <c r="DV11" s="78"/>
      <c r="DW11" s="78"/>
      <c r="DX11" s="23" t="str">
        <f>CONCATENATE(MID($H11,1,1)*MID($K10,1,1),MID($H11,2,1)*MID($K10,2,1),MID($H11,3,1)*MID($K10,3,1),MID($H11,4,1)*MID($K10,4,1),MID($H11,5,1)*MID($K10,5,1),MID($H11,6,1)*MID($K10,6,1),MID($H11,7,1)*MID($K10,7,1),MID($H11,8,1)*MID($K10,8,1),MID($H11,9,1)*MID($K10,1,1),MID($H11,10,1)*MID($K10,2,1),MID($H11,11,1)*MID($K10,3,1),MID($H11,12,1)*MID($K10,4,1),MID($H11,13,1)*MID($K10,5,1),MID($H11,14,1)*MID($K10,6,1),MID($H11,15,1)*MID($K10,7,1),MID($H11,16,1)*MID($K10,8,1),MID($H11,17,1)*MID($K10,1,1),MID($H11,18,1)*MID($K10,2,1),MID($H11,19,1)*MID($K10,3,1),MID($H11,20,1)*MID($K10,4,1),MID($H11,21,1)*MID($K10,5,1),MID($H11,22,1)*MID($K10,6,1),MID($H11,23,1)*MID($K10,7,1),MID($H11,24,1)*MID($K10,8,1),MID($H11,25,1)*MID($K10,1,1),MID($H11,26,1)*MID($K10,2,1),MID($H11,27,1)*MID($K10,3,1),MID($H11,28,1)*MID($K10,4,1),MID($H11,29,1)*MID($K10,5,1),MID($H11,30,1)*MID($K10,6,1),MID($H11,31,1)*MID($K10,7,1),MID($H11,32,1)*MID($K10,8,1))</f>
        <v>00100000001000000100010001100000</v>
      </c>
      <c r="DY11" s="44" t="str">
        <f>CONCATENATE(MID(DX11,4,5),MID(DX11,25,3),MID(DX11,12,5),MID(DX11,1,3),MID(DX11,20,5),MID(DX11,9,3),MID(DX11,28,5),MID(DX11,17,3))</f>
        <v>00000011000000010010000100000010</v>
      </c>
      <c r="DZ11" s="30" t="str">
        <f t="shared" si="178"/>
        <v>00000011</v>
      </c>
      <c r="EA11" s="30" t="str">
        <f t="shared" si="86"/>
        <v>00000001</v>
      </c>
      <c r="EB11" s="30" t="str">
        <f t="shared" si="87"/>
        <v>00100001</v>
      </c>
      <c r="EC11" s="30" t="str">
        <f t="shared" si="88"/>
        <v>00000010</v>
      </c>
      <c r="ED11" s="78"/>
      <c r="EE11" s="78"/>
      <c r="EF11" s="78"/>
      <c r="EG11" s="78"/>
      <c r="EH11" s="31" t="str">
        <f t="shared" si="89"/>
        <v>1101</v>
      </c>
      <c r="EI11" s="31" t="str">
        <f t="shared" si="90"/>
        <v>0011</v>
      </c>
      <c r="EJ11" s="31" t="str">
        <f t="shared" si="91"/>
        <v>0001</v>
      </c>
      <c r="EK11" s="31" t="str">
        <f t="shared" si="92"/>
        <v>0001</v>
      </c>
      <c r="EL11" s="31" t="str">
        <f t="shared" si="93"/>
        <v>1011</v>
      </c>
      <c r="EM11" s="31" t="str">
        <f t="shared" si="94"/>
        <v>0001</v>
      </c>
      <c r="EN11" s="31" t="str">
        <f t="shared" si="95"/>
        <v>0101</v>
      </c>
      <c r="EO11" s="31" t="str">
        <f t="shared" si="96"/>
        <v>0110</v>
      </c>
      <c r="EP11" s="78"/>
      <c r="EQ11" s="78"/>
      <c r="ER11" s="78"/>
      <c r="ES11" s="78"/>
      <c r="ET11" s="78"/>
      <c r="EU11" s="78"/>
      <c r="EV11" s="78"/>
      <c r="EW11" s="78"/>
      <c r="EX11" s="30" t="str">
        <f t="shared" si="15"/>
        <v>0000001100000001</v>
      </c>
      <c r="EY11" s="30" t="str">
        <f t="shared" si="16"/>
        <v>0010000100000010</v>
      </c>
      <c r="EZ11" s="78"/>
      <c r="FA11" s="78"/>
      <c r="FB11" s="46" t="str">
        <f>CONCATENATE(MID(DY11,1,1)*MID($K10,1,1),MID(DY11,2,1)*MID($K10,2,1),MID(DY11,3,1)*MID($K10,3,1),MID(DY11,4,1)*MID($K10,4,1),MID(DY11,5,1)*MID($K10,5,1),MID(DY11,6,1)*MID($K10,6,1),MID(DY11,7,1)*MID($K10,7,1),MID(DY11,8,1)*MID($K10,8,1),MID(DY11,9,1)*MID($K10,1,1),MID(DY11,10,1)*MID($K10,2,1),MID(DY11,11,1)*MID($K10,3,1),MID(DY11,12,1)*MID($K10,4,1),MID(DY11,13,1)*MID($K10,5,1),MID(DY11,14,1)*MID($K10,6,1),MID(DY11,15,1)*MID($K10,7,1),MID(DY11,16,1)*MID($K10,8,1),MID(DY11,17,1)*MID($K10,1,1),MID(DY11,18,1)*MID($K10,2,1),MID(DY11,19,1)*MID($K10,3,1),MID(DY11,20,1)*MID($K10,4,1),MID(DY11,21,1)*MID($K10,5,1),MID(DY11,22,1)*MID($K10,6,1),MID(DY11,23,1)*MID($K10,7,1),MID(DY11,24,1)*MID($K10,8,1),MID(DY11,25,1)*MID($K10,1,1),MID(DY11,26,1)*MID($K10,2,1),MID(DY11,27,1)*MID($K10,3,1),MID(DY11,28,1)*MID($K10,4,1),MID(DY11,29,1)*MID($K10,5,1),MID(DY11,30,1)*MID($K10,6,1),MID(DY11,31,1)*MID($K10,7,1),MID(DY11,32,1)*MID($K10,8,1))</f>
        <v>00000000000000000010000000000000</v>
      </c>
      <c r="FC11" s="30" t="str">
        <f t="shared" si="180"/>
        <v>00000000</v>
      </c>
      <c r="FD11" s="30" t="str">
        <f t="shared" si="97"/>
        <v>00000000</v>
      </c>
      <c r="FE11" s="30" t="str">
        <f t="shared" si="98"/>
        <v>00100000</v>
      </c>
      <c r="FF11" s="30" t="str">
        <f t="shared" si="99"/>
        <v>00000000</v>
      </c>
      <c r="FG11" s="78"/>
      <c r="FH11" s="78"/>
      <c r="FI11" s="78"/>
      <c r="FJ11" s="78"/>
      <c r="FK11" s="31" t="str">
        <f t="shared" si="100"/>
        <v>1101</v>
      </c>
      <c r="FL11" s="31" t="str">
        <f t="shared" si="101"/>
        <v>0011</v>
      </c>
      <c r="FM11" s="31" t="str">
        <f t="shared" si="102"/>
        <v>0001</v>
      </c>
      <c r="FN11" s="31" t="str">
        <f t="shared" si="103"/>
        <v>0001</v>
      </c>
      <c r="FO11" s="31" t="str">
        <f t="shared" si="104"/>
        <v>1011</v>
      </c>
      <c r="FP11" s="31" t="str">
        <f t="shared" si="105"/>
        <v>0001</v>
      </c>
      <c r="FQ11" s="31" t="str">
        <f t="shared" si="106"/>
        <v>0101</v>
      </c>
      <c r="FR11" s="31" t="str">
        <f t="shared" si="107"/>
        <v>0110</v>
      </c>
      <c r="FS11" s="78"/>
      <c r="FT11" s="78"/>
      <c r="FU11" s="78"/>
      <c r="FV11" s="78"/>
      <c r="FW11" s="78"/>
      <c r="FX11" s="78"/>
      <c r="FY11" s="78"/>
      <c r="FZ11" s="78"/>
      <c r="GA11" s="30" t="str">
        <f t="shared" si="18"/>
        <v>0000000000000000</v>
      </c>
      <c r="GB11" s="30" t="str">
        <f t="shared" si="19"/>
        <v>0010000000000000</v>
      </c>
      <c r="GC11" s="78"/>
      <c r="GD11" s="78"/>
      <c r="GE11" s="48" t="str">
        <f>DY11</f>
        <v>00000011000000010010000100000010</v>
      </c>
      <c r="GF11" s="30" t="str">
        <f t="shared" si="182"/>
        <v>00000011</v>
      </c>
      <c r="GG11" s="30" t="str">
        <f t="shared" si="108"/>
        <v>00000001</v>
      </c>
      <c r="GH11" s="30" t="str">
        <f t="shared" si="109"/>
        <v>00100001</v>
      </c>
      <c r="GI11" s="30" t="str">
        <f t="shared" si="110"/>
        <v>00000010</v>
      </c>
      <c r="GJ11" s="78"/>
      <c r="GK11" s="78"/>
      <c r="GL11" s="78"/>
      <c r="GM11" s="78"/>
      <c r="GN11" s="31" t="str">
        <f t="shared" si="111"/>
        <v>1101</v>
      </c>
      <c r="GO11" s="31" t="str">
        <f t="shared" si="112"/>
        <v>0011</v>
      </c>
      <c r="GP11" s="31" t="str">
        <f t="shared" si="113"/>
        <v>0001</v>
      </c>
      <c r="GQ11" s="31" t="str">
        <f t="shared" si="114"/>
        <v>0001</v>
      </c>
      <c r="GR11" s="31" t="str">
        <f t="shared" si="115"/>
        <v>1011</v>
      </c>
      <c r="GS11" s="31" t="str">
        <f t="shared" si="116"/>
        <v>0001</v>
      </c>
      <c r="GT11" s="31" t="str">
        <f t="shared" si="117"/>
        <v>0101</v>
      </c>
      <c r="GU11" s="31" t="str">
        <f t="shared" si="118"/>
        <v>0110</v>
      </c>
      <c r="GV11" s="78"/>
      <c r="GW11" s="78"/>
      <c r="GX11" s="78"/>
      <c r="GY11" s="78"/>
      <c r="GZ11" s="78"/>
      <c r="HA11" s="78"/>
      <c r="HB11" s="78"/>
      <c r="HC11" s="78"/>
      <c r="HD11" s="30" t="str">
        <f t="shared" si="21"/>
        <v>0000001100000001</v>
      </c>
      <c r="HE11" s="30" t="str">
        <f t="shared" si="22"/>
        <v>0010000100000010</v>
      </c>
      <c r="HF11" s="78"/>
      <c r="HG11" s="78"/>
      <c r="HH11" s="48" t="str">
        <f>FB11</f>
        <v>00000000000000000010000000000000</v>
      </c>
      <c r="HI11" s="30" t="str">
        <f t="shared" si="184"/>
        <v>00000000</v>
      </c>
      <c r="HJ11" s="30" t="str">
        <f t="shared" si="119"/>
        <v>00000000</v>
      </c>
      <c r="HK11" s="30" t="str">
        <f t="shared" si="120"/>
        <v>00100000</v>
      </c>
      <c r="HL11" s="30" t="str">
        <f t="shared" si="121"/>
        <v>00000000</v>
      </c>
      <c r="HM11" s="78"/>
      <c r="HN11" s="78"/>
      <c r="HO11" s="78"/>
      <c r="HP11" s="78"/>
      <c r="HQ11" s="31" t="str">
        <f t="shared" si="122"/>
        <v>1101</v>
      </c>
      <c r="HR11" s="31" t="str">
        <f t="shared" si="123"/>
        <v>0011</v>
      </c>
      <c r="HS11" s="31" t="str">
        <f t="shared" si="124"/>
        <v>0001</v>
      </c>
      <c r="HT11" s="31" t="str">
        <f t="shared" si="125"/>
        <v>0001</v>
      </c>
      <c r="HU11" s="31" t="str">
        <f t="shared" si="126"/>
        <v>1011</v>
      </c>
      <c r="HV11" s="31" t="str">
        <f t="shared" si="127"/>
        <v>0001</v>
      </c>
      <c r="HW11" s="31" t="str">
        <f t="shared" si="128"/>
        <v>0101</v>
      </c>
      <c r="HX11" s="31" t="str">
        <f t="shared" si="129"/>
        <v>0110</v>
      </c>
      <c r="HY11" s="78"/>
      <c r="HZ11" s="78"/>
      <c r="IA11" s="78"/>
      <c r="IB11" s="78"/>
      <c r="IC11" s="78"/>
      <c r="ID11" s="78"/>
      <c r="IE11" s="78"/>
      <c r="IF11" s="78"/>
      <c r="IG11" s="30" t="str">
        <f t="shared" si="24"/>
        <v>0000000000000000</v>
      </c>
      <c r="IH11" s="30" t="str">
        <f t="shared" si="25"/>
        <v>0010000000000000</v>
      </c>
      <c r="II11" s="78"/>
      <c r="IJ11" s="78"/>
      <c r="IK11" s="44" t="str">
        <f>L11</f>
        <v>11010011000100011011000101010110</v>
      </c>
      <c r="IL11" s="30" t="str">
        <f t="shared" si="186"/>
        <v>11010011</v>
      </c>
      <c r="IM11" s="30" t="str">
        <f t="shared" si="130"/>
        <v>00010001</v>
      </c>
      <c r="IN11" s="30" t="str">
        <f t="shared" si="131"/>
        <v>10110001</v>
      </c>
      <c r="IO11" s="30" t="str">
        <f t="shared" si="132"/>
        <v>01010110</v>
      </c>
      <c r="IP11" s="78"/>
      <c r="IQ11" s="78"/>
      <c r="IR11" s="78"/>
      <c r="IS11" s="78"/>
      <c r="IT11" s="31" t="str">
        <f t="shared" si="133"/>
        <v>1101</v>
      </c>
      <c r="IU11" s="31" t="str">
        <f t="shared" si="134"/>
        <v>0011</v>
      </c>
      <c r="IV11" s="31" t="str">
        <f t="shared" si="135"/>
        <v>0001</v>
      </c>
      <c r="IW11" s="31" t="str">
        <f t="shared" si="136"/>
        <v>0001</v>
      </c>
      <c r="IX11" s="31" t="str">
        <f t="shared" si="137"/>
        <v>1011</v>
      </c>
      <c r="IY11" s="31" t="str">
        <f t="shared" si="138"/>
        <v>0001</v>
      </c>
      <c r="IZ11" s="31" t="str">
        <f t="shared" si="139"/>
        <v>0101</v>
      </c>
      <c r="JA11" s="31" t="str">
        <f t="shared" si="140"/>
        <v>0110</v>
      </c>
      <c r="JB11" s="78"/>
      <c r="JC11" s="78"/>
      <c r="JD11" s="78"/>
      <c r="JE11" s="78"/>
      <c r="JF11" s="78"/>
      <c r="JG11" s="78"/>
      <c r="JH11" s="78"/>
      <c r="JI11" s="78"/>
      <c r="JJ11" s="30" t="str">
        <f t="shared" si="27"/>
        <v>1101001100010001</v>
      </c>
      <c r="JK11" s="30" t="str">
        <f t="shared" si="28"/>
        <v>1011000101010110</v>
      </c>
      <c r="JL11" s="78"/>
      <c r="JM11" s="78"/>
      <c r="JN11" s="46" t="str">
        <f>L11</f>
        <v>11010011000100011011000101010110</v>
      </c>
      <c r="JO11" s="30" t="str">
        <f t="shared" si="188"/>
        <v>11010011</v>
      </c>
      <c r="JP11" s="30" t="str">
        <f t="shared" si="141"/>
        <v>00010001</v>
      </c>
      <c r="JQ11" s="30" t="str">
        <f t="shared" si="142"/>
        <v>10110001</v>
      </c>
      <c r="JR11" s="30" t="str">
        <f t="shared" si="143"/>
        <v>01010110</v>
      </c>
      <c r="JS11" s="78"/>
      <c r="JT11" s="78"/>
      <c r="JU11" s="78"/>
      <c r="JV11" s="78"/>
      <c r="JW11" s="31" t="str">
        <f t="shared" si="144"/>
        <v>1101</v>
      </c>
      <c r="JX11" s="31" t="str">
        <f t="shared" si="145"/>
        <v>0011</v>
      </c>
      <c r="JY11" s="31" t="str">
        <f t="shared" si="146"/>
        <v>0001</v>
      </c>
      <c r="JZ11" s="31" t="str">
        <f t="shared" si="147"/>
        <v>0001</v>
      </c>
      <c r="KA11" s="31" t="str">
        <f t="shared" si="148"/>
        <v>1011</v>
      </c>
      <c r="KB11" s="31" t="str">
        <f t="shared" si="149"/>
        <v>0001</v>
      </c>
      <c r="KC11" s="31" t="str">
        <f t="shared" si="150"/>
        <v>0101</v>
      </c>
      <c r="KD11" s="31" t="str">
        <f t="shared" si="151"/>
        <v>0110</v>
      </c>
      <c r="KE11" s="78"/>
      <c r="KF11" s="78"/>
      <c r="KG11" s="78"/>
      <c r="KH11" s="78"/>
      <c r="KI11" s="78"/>
      <c r="KJ11" s="78"/>
      <c r="KK11" s="78"/>
      <c r="KL11" s="78"/>
      <c r="KM11" s="30" t="str">
        <f t="shared" si="30"/>
        <v>1101001100010001</v>
      </c>
      <c r="KN11" s="30" t="str">
        <f t="shared" si="31"/>
        <v>1011000101010110</v>
      </c>
      <c r="KO11" s="78"/>
      <c r="KP11" s="78"/>
      <c r="KQ11" s="48" t="str">
        <f>AO11</f>
        <v>01000000000000000010000001000100</v>
      </c>
      <c r="KR11" s="30" t="str">
        <f t="shared" si="190"/>
        <v>01000000</v>
      </c>
      <c r="KS11" s="30" t="str">
        <f t="shared" si="152"/>
        <v>00000000</v>
      </c>
      <c r="KT11" s="30" t="str">
        <f t="shared" si="153"/>
        <v>00100000</v>
      </c>
      <c r="KU11" s="30" t="str">
        <f t="shared" si="154"/>
        <v>01000100</v>
      </c>
      <c r="KV11" s="78"/>
      <c r="KW11" s="78"/>
      <c r="KX11" s="78"/>
      <c r="KY11" s="78"/>
      <c r="KZ11" s="31" t="str">
        <f t="shared" si="155"/>
        <v>1101</v>
      </c>
      <c r="LA11" s="31" t="str">
        <f t="shared" si="156"/>
        <v>0011</v>
      </c>
      <c r="LB11" s="31" t="str">
        <f t="shared" si="157"/>
        <v>0001</v>
      </c>
      <c r="LC11" s="31" t="str">
        <f t="shared" si="158"/>
        <v>0001</v>
      </c>
      <c r="LD11" s="31" t="str">
        <f t="shared" si="159"/>
        <v>1011</v>
      </c>
      <c r="LE11" s="31" t="str">
        <f t="shared" si="160"/>
        <v>0001</v>
      </c>
      <c r="LF11" s="31" t="str">
        <f t="shared" si="161"/>
        <v>0101</v>
      </c>
      <c r="LG11" s="31" t="str">
        <f t="shared" si="162"/>
        <v>0110</v>
      </c>
      <c r="LH11" s="78"/>
      <c r="LI11" s="78"/>
      <c r="LJ11" s="78"/>
      <c r="LK11" s="78"/>
      <c r="LL11" s="78"/>
      <c r="LM11" s="78"/>
      <c r="LN11" s="78"/>
      <c r="LO11" s="78"/>
      <c r="LP11" s="30" t="str">
        <f t="shared" si="33"/>
        <v>0100000000000000</v>
      </c>
      <c r="LQ11" s="30" t="str">
        <f t="shared" si="34"/>
        <v>0010000001000100</v>
      </c>
      <c r="LR11" s="78"/>
      <c r="LS11" s="78"/>
      <c r="LT11" s="48" t="str">
        <f>GE11</f>
        <v>00000011000000010010000100000010</v>
      </c>
      <c r="LU11" s="30" t="str">
        <f t="shared" si="192"/>
        <v>00000011</v>
      </c>
      <c r="LV11" s="30" t="str">
        <f t="shared" si="163"/>
        <v>00000001</v>
      </c>
      <c r="LW11" s="30" t="str">
        <f t="shared" si="164"/>
        <v>00100001</v>
      </c>
      <c r="LX11" s="30" t="str">
        <f t="shared" si="165"/>
        <v>00000010</v>
      </c>
      <c r="LY11" s="78"/>
      <c r="LZ11" s="78"/>
      <c r="MA11" s="78"/>
      <c r="MB11" s="78"/>
      <c r="MC11" s="31" t="str">
        <f t="shared" si="166"/>
        <v>1101</v>
      </c>
      <c r="MD11" s="31" t="str">
        <f t="shared" si="167"/>
        <v>0011</v>
      </c>
      <c r="ME11" s="31" t="str">
        <f t="shared" si="168"/>
        <v>0001</v>
      </c>
      <c r="MF11" s="31" t="str">
        <f t="shared" si="169"/>
        <v>0001</v>
      </c>
      <c r="MG11" s="31" t="str">
        <f t="shared" si="170"/>
        <v>1011</v>
      </c>
      <c r="MH11" s="31" t="str">
        <f t="shared" si="171"/>
        <v>0001</v>
      </c>
      <c r="MI11" s="31" t="str">
        <f t="shared" si="172"/>
        <v>0101</v>
      </c>
      <c r="MJ11" s="31" t="str">
        <f t="shared" si="173"/>
        <v>0110</v>
      </c>
      <c r="MK11" s="78"/>
      <c r="ML11" s="78"/>
      <c r="MM11" s="78"/>
      <c r="MN11" s="78"/>
      <c r="MO11" s="78"/>
      <c r="MP11" s="78"/>
      <c r="MQ11" s="78"/>
      <c r="MR11" s="78"/>
      <c r="MS11" s="30" t="str">
        <f t="shared" si="36"/>
        <v>0000001100000001</v>
      </c>
      <c r="MT11" s="30" t="str">
        <f t="shared" si="37"/>
        <v>0010000100000010</v>
      </c>
      <c r="MU11" s="78"/>
      <c r="MV11" s="78"/>
    </row>
    <row r="12" spans="1:360" s="27" customFormat="1" ht="18.600000000000001" thickBot="1" x14ac:dyDescent="0.4">
      <c r="A12" s="24"/>
      <c r="B12" s="25"/>
      <c r="C12" s="20" t="s">
        <v>0</v>
      </c>
      <c r="D12" s="20">
        <v>10</v>
      </c>
      <c r="E12" s="20" t="s">
        <v>67</v>
      </c>
      <c r="F12" s="20">
        <v>93</v>
      </c>
      <c r="G12" s="20" t="s">
        <v>36</v>
      </c>
      <c r="H12" s="20" t="str">
        <f t="shared" si="0"/>
        <v>00010000110000001001001101011111</v>
      </c>
      <c r="I12" s="20">
        <f t="shared" si="1"/>
        <v>13</v>
      </c>
      <c r="J12" s="20">
        <v>64</v>
      </c>
      <c r="K12" s="20" t="str">
        <f>HEX2BIN(J12,8)</f>
        <v>01100100</v>
      </c>
      <c r="L12" s="43" t="str">
        <f>CONCATENATE(MID(H12,17,16),MID(H12,1,16))</f>
        <v>10010011010111110001000011000000</v>
      </c>
      <c r="M12" s="26" t="str">
        <f t="shared" si="38"/>
        <v>10010</v>
      </c>
      <c r="N12" s="26" t="str">
        <f t="shared" si="39"/>
        <v>01011</v>
      </c>
      <c r="O12" s="26" t="str">
        <f t="shared" si="40"/>
        <v>00010</v>
      </c>
      <c r="P12" s="26" t="str">
        <f t="shared" si="41"/>
        <v>11000</v>
      </c>
      <c r="Q12" s="77">
        <f>BIN2DEC(M12)-BIN2DEC(M13)</f>
        <v>7</v>
      </c>
      <c r="R12" s="77">
        <f>BIN2DEC(N12)-BIN2DEC(N13)</f>
        <v>-13</v>
      </c>
      <c r="S12" s="77">
        <f>BIN2DEC(O12)-BIN2DEC(O13)</f>
        <v>-18</v>
      </c>
      <c r="T12" s="77">
        <f>BIN2DEC(P12)-BIN2DEC(P13)</f>
        <v>-5</v>
      </c>
      <c r="U12" s="27" t="str">
        <f t="shared" si="42"/>
        <v>1001</v>
      </c>
      <c r="V12" s="27" t="str">
        <f t="shared" si="43"/>
        <v>0011</v>
      </c>
      <c r="W12" s="27" t="str">
        <f t="shared" si="44"/>
        <v>0101</v>
      </c>
      <c r="X12" s="27" t="str">
        <f t="shared" si="45"/>
        <v>1111</v>
      </c>
      <c r="Y12" s="27" t="str">
        <f t="shared" si="46"/>
        <v>0001</v>
      </c>
      <c r="Z12" s="27" t="str">
        <f t="shared" si="47"/>
        <v>0000</v>
      </c>
      <c r="AA12" s="27" t="str">
        <f t="shared" si="48"/>
        <v>1100</v>
      </c>
      <c r="AB12" s="27" t="str">
        <f t="shared" si="49"/>
        <v>0000</v>
      </c>
      <c r="AC12" s="77">
        <f>BIN2DEC(U12)-BIN2DEC(U13)</f>
        <v>4</v>
      </c>
      <c r="AD12" s="77">
        <f t="shared" ref="AD12:AI12" si="230">BIN2DEC(V12)-BIN2DEC(V13)</f>
        <v>-9</v>
      </c>
      <c r="AE12" s="77">
        <f t="shared" si="230"/>
        <v>-7</v>
      </c>
      <c r="AF12" s="77">
        <f t="shared" si="230"/>
        <v>11</v>
      </c>
      <c r="AG12" s="77">
        <f t="shared" si="230"/>
        <v>-9</v>
      </c>
      <c r="AH12" s="77">
        <f t="shared" si="230"/>
        <v>0</v>
      </c>
      <c r="AI12" s="77">
        <f t="shared" si="230"/>
        <v>-2</v>
      </c>
      <c r="AJ12" s="77">
        <f>BIN2DEC(AB12)-BIN2DEC(AB13)</f>
        <v>-13</v>
      </c>
      <c r="AK12" s="26" t="str">
        <f t="shared" si="3"/>
        <v>1001001101011111</v>
      </c>
      <c r="AL12" s="26" t="str">
        <f t="shared" si="4"/>
        <v>0001000011000000</v>
      </c>
      <c r="AM12" s="77">
        <f>MID(AK12,16,1)*POWER(2,0)+MID(AK12,15,1)*POWER(2,1)+MID(AK12,14,1)*POWER(2,2)+MID(AK12,13,1)*POWER(2,3)+MID(AK12,12,1)*POWER(2,4)+MID(AK12,11,1)*POWER(2,5)+MID(AK12,10,1)*POWER(2,6)+MID(AK12,9,1)*POWER(2,7)+MID(AK12,8,1)*POWER(2,8)+MID(AK12,7,1)*POWER(2,9)+MID(AK12,6,1)*POWER(2,10)+MID(AK12,5,1)*POWER(2,11)+MID(AK12,4,1)*POWER(2,12)+MID(AK12,3,1)*POWER(2,13)+MID(AK12,2,1)*POWER(2,14)+MID(AK12,1,1)*POWER(2,15)-(MID(AK13,16,1)*POWER(2,0)+MID(AK13,15,1)*POWER(2,1)+MID(AK13,14,1)*POWER(2,2)+MID(AK13,13,1)*POWER(2,3)+MID(AK13,12,1)*POWER(2,4)+MID(AK13,11,1)*POWER(2,5)+MID(AK13,10,1)*POWER(2,6)+MID(AK13,9,1)*POWER(2,7)+MID(AK13,8,1)*POWER(2,8)+MID(AK13,7,1)*POWER(2,9)+MID(AK13,6,1)*POWER(2,10)+MID(AK13,5,1)*POWER(2,11)+MID(AK13,4,1)*POWER(2,12)+MID(AK13,3,1)*POWER(2,13)+MID(AK13,2,1)*POWER(2,14)+MID(AK13,1,1)*POWER(2,15))</f>
        <v>13979</v>
      </c>
      <c r="AN12" s="77">
        <f>MID(AL12,16,1)*POWER(2,0)+MID(AL12,15,1)*POWER(2,1)+MID(AL12,14,1)*POWER(2,2)+MID(AL12,13,1)*POWER(2,3)+MID(AL12,12,1)*POWER(2,4)+MID(AL12,11,1)*POWER(2,5)+MID(AL12,10,1)*POWER(2,6)+MID(AL12,9,1)*POWER(2,7)+MID(AL12,8,1)*POWER(2,8)+MID(AL12,7,1)*POWER(2,9)+MID(AL12,6,1)*POWER(2,10)+MID(AL12,5,1)*POWER(2,11)+MID(AL12,4,1)*POWER(2,12)+MID(AL12,3,1)*POWER(2,13)+MID(AL12,2,1)*POWER(2,14)+MID(AL12,1,1)*POWER(2,15)-(MID(AL13,16,1)*POWER(2,0)+MID(AL13,15,1)*POWER(2,1)+MID(AL13,14,1)*POWER(2,2)+MID(AL13,13,1)*POWER(2,3)+MID(AL13,12,1)*POWER(2,4)+MID(AL13,11,1)*POWER(2,5)+MID(AL13,10,1)*POWER(2,6)+MID(AL13,9,1)*POWER(2,7)+MID(AL13,8,1)*POWER(2,8)+MID(AL13,7,1)*POWER(2,9)+MID(AL13,6,1)*POWER(2,10)+MID(AL13,5,1)*POWER(2,11)+MID(AL13,4,1)*POWER(2,12)+MID(AL13,3,1)*POWER(2,13)+MID(AL13,2,1)*POWER(2,14)+MID(AL13,1,1)*POWER(2,15))</f>
        <v>-36909</v>
      </c>
      <c r="AO12" s="45" t="str">
        <f>L12</f>
        <v>10010011010111110001000011000000</v>
      </c>
      <c r="AP12" s="26" t="str">
        <f t="shared" si="50"/>
        <v>10010011</v>
      </c>
      <c r="AQ12" s="26" t="str">
        <f t="shared" si="51"/>
        <v>01011111</v>
      </c>
      <c r="AR12" s="26" t="str">
        <f t="shared" si="52"/>
        <v>00010000</v>
      </c>
      <c r="AS12" s="26" t="str">
        <f t="shared" si="53"/>
        <v>11000000</v>
      </c>
      <c r="AT12" s="77">
        <f>BIN2DEC(AP12)-BIN2DEC(AP13)</f>
        <v>79</v>
      </c>
      <c r="AU12" s="77">
        <f>BIN2DEC(AQ12)-BIN2DEC(AQ13)</f>
        <v>27</v>
      </c>
      <c r="AV12" s="77">
        <f>BIN2DEC(AR12)-BIN2DEC(AR13)</f>
        <v>-16</v>
      </c>
      <c r="AW12" s="77">
        <f>BIN2DEC(AS12)-BIN2DEC(AS13)</f>
        <v>92</v>
      </c>
      <c r="AX12" s="27" t="str">
        <f t="shared" si="54"/>
        <v>1001</v>
      </c>
      <c r="AY12" s="27" t="str">
        <f t="shared" si="55"/>
        <v>0011</v>
      </c>
      <c r="AZ12" s="27" t="str">
        <f t="shared" si="56"/>
        <v>0101</v>
      </c>
      <c r="BA12" s="27" t="str">
        <f t="shared" si="57"/>
        <v>1111</v>
      </c>
      <c r="BB12" s="27" t="str">
        <f t="shared" si="58"/>
        <v>0001</v>
      </c>
      <c r="BC12" s="27" t="str">
        <f t="shared" si="59"/>
        <v>0000</v>
      </c>
      <c r="BD12" s="27" t="str">
        <f t="shared" si="60"/>
        <v>1100</v>
      </c>
      <c r="BE12" s="27" t="str">
        <f t="shared" si="61"/>
        <v>0000</v>
      </c>
      <c r="BF12" s="77">
        <f>BIN2DEC(AX12)-BIN2DEC(AX13)</f>
        <v>4</v>
      </c>
      <c r="BG12" s="77">
        <f t="shared" ref="BG12:BL12" si="231">BIN2DEC(AY12)-BIN2DEC(AY13)</f>
        <v>-9</v>
      </c>
      <c r="BH12" s="77">
        <f t="shared" si="231"/>
        <v>-7</v>
      </c>
      <c r="BI12" s="77">
        <f t="shared" si="231"/>
        <v>11</v>
      </c>
      <c r="BJ12" s="77">
        <f t="shared" si="231"/>
        <v>-9</v>
      </c>
      <c r="BK12" s="77">
        <f t="shared" si="231"/>
        <v>0</v>
      </c>
      <c r="BL12" s="77">
        <f t="shared" si="231"/>
        <v>-2</v>
      </c>
      <c r="BM12" s="77">
        <f>BIN2DEC(BE12)-BIN2DEC(BE13)</f>
        <v>-13</v>
      </c>
      <c r="BN12" s="26" t="str">
        <f t="shared" si="6"/>
        <v>1001001101011111</v>
      </c>
      <c r="BO12" s="26" t="str">
        <f t="shared" si="7"/>
        <v>0001000011000000</v>
      </c>
      <c r="BP12" s="77">
        <f>MID(BN12,16,1)*POWER(2,0)+MID(BN12,15,1)*POWER(2,1)+MID(BN12,14,1)*POWER(2,2)+MID(BN12,13,1)*POWER(2,3)+MID(BN12,12,1)*POWER(2,4)+MID(BN12,11,1)*POWER(2,5)+MID(BN12,10,1)*POWER(2,6)+MID(BN12,9,1)*POWER(2,7)+MID(BN12,8,1)*POWER(2,8)+MID(BN12,7,1)*POWER(2,9)+MID(BN12,6,1)*POWER(2,10)+MID(BN12,5,1)*POWER(2,11)+MID(BN12,4,1)*POWER(2,12)+MID(BN12,3,1)*POWER(2,13)+MID(BN12,2,1)*POWER(2,14)+MID(BN12,1,1)*POWER(2,15)-(MID(BN13,16,1)*POWER(2,0)+MID(BN13,15,1)*POWER(2,1)+MID(BN13,14,1)*POWER(2,2)+MID(BN13,13,1)*POWER(2,3)+MID(BN13,12,1)*POWER(2,4)+MID(BN13,11,1)*POWER(2,5)+MID(BN13,10,1)*POWER(2,6)+MID(BN13,9,1)*POWER(2,7)+MID(BN13,8,1)*POWER(2,8)+MID(BN13,7,1)*POWER(2,9)+MID(BN13,6,1)*POWER(2,10)+MID(BN13,5,1)*POWER(2,11)+MID(BN13,4,1)*POWER(2,12)+MID(BN13,3,1)*POWER(2,13)+MID(BN13,2,1)*POWER(2,14)+MID(BN13,1,1)*POWER(2,15))</f>
        <v>20251</v>
      </c>
      <c r="BQ12" s="77">
        <f>MID(BO12,16,1)*POWER(2,0)+MID(BO12,15,1)*POWER(2,1)+MID(BO12,14,1)*POWER(2,2)+MID(BO12,13,1)*POWER(2,3)+MID(BO12,12,1)*POWER(2,4)+MID(BO12,11,1)*POWER(2,5)+MID(BO12,10,1)*POWER(2,6)+MID(BO12,9,1)*POWER(2,7)+MID(BO12,8,1)*POWER(2,8)+MID(BO12,7,1)*POWER(2,9)+MID(BO12,6,1)*POWER(2,10)+MID(BO12,5,1)*POWER(2,11)+MID(BO12,4,1)*POWER(2,12)+MID(BO12,3,1)*POWER(2,13)+MID(BO12,2,1)*POWER(2,14)+MID(BO12,1,1)*POWER(2,15)-(MID(BO13,16,1)*POWER(2,0)+MID(BO13,15,1)*POWER(2,1)+MID(BO13,14,1)*POWER(2,2)+MID(BO13,13,1)*POWER(2,3)+MID(BO13,12,1)*POWER(2,4)+MID(BO13,11,1)*POWER(2,5)+MID(BO13,10,1)*POWER(2,6)+MID(BO13,9,1)*POWER(2,7)+MID(BO13,8,1)*POWER(2,8)+MID(BO13,7,1)*POWER(2,9)+MID(BO13,6,1)*POWER(2,10)+MID(BO13,5,1)*POWER(2,11)+MID(BO13,4,1)*POWER(2,12)+MID(BO13,3,1)*POWER(2,13)+MID(BO13,2,1)*POWER(2,14)+MID(BO13,1,1)*POWER(2,15))</f>
        <v>-4004</v>
      </c>
      <c r="BR12" s="45" t="str">
        <f>CONCATENATE(MID($L12,1,1)*MID($K12,1,1),MID($L12,2,1)*MID($K12,2,1),MID($L12,3,1)*MID($K12,3,1),MID($L12,4,1)*MID($K12,4,1),MID($L12,5,1)*MID($K12,5,1),MID($L12,6,1)*MID($K12,6,1),MID($L12,7,1)*MID($K12,7,1),MID($L12,8,1)*MID($K12,8,1),MID($L12,9,1)*MID($K12,1,1),MID($L12,10,1)*MID($K12,2,1),MID($L12,11,1)*MID($K12,3,1),MID($L12,12,1)*MID($K12,4,1),MID($L12,13,1)*MID($K12,5,1),MID($L12,14,1)*MID($K12,6,1),MID($L12,15,1)*MID($K12,7,1),MID($L12,16,1)*MID($K12,8,1),MID($L12,17,1)*MID($K12,1,1),MID($L12,18,1)*MID($K12,2,1),MID($L12,19,1)*MID($K12,3,1),MID($L12,20,1)*MID($K12,4,1),MID($L12,21,1)*MID($K12,5,1),MID($L12,22,1)*MID($K12,6,1),MID($L12,23,1)*MID($K12,7,1),MID($L12,24,1)*MID($K12,8,1),MID($L12,25,1)*MID($K12,1,1),MID($L12,26,1)*MID($K12,2,1),MID($L12,27,1)*MID($K12,3,1),MID($L12,28,1)*MID($K12,4,1),MID($L12,29,1)*MID($K12,5,1),MID($L12,30,1)*MID($K12,6,1),MID($L12,31,1)*MID($K12,7,1),MID($L12,32,1)*MID($K12,8,1))</f>
        <v>00000000010001000000000001000000</v>
      </c>
      <c r="BS12" s="26" t="str">
        <f t="shared" si="62"/>
        <v>00000000</v>
      </c>
      <c r="BT12" s="26" t="str">
        <f t="shared" si="63"/>
        <v>01000100</v>
      </c>
      <c r="BU12" s="26" t="str">
        <f t="shared" si="64"/>
        <v>00000000</v>
      </c>
      <c r="BV12" s="26" t="str">
        <f t="shared" si="65"/>
        <v>01000000</v>
      </c>
      <c r="BW12" s="77">
        <f>BIN2DEC(BS12)-BIN2DEC(BS13)</f>
        <v>-92</v>
      </c>
      <c r="BX12" s="77">
        <f>BIN2DEC(BT12)-BIN2DEC(BT13)</f>
        <v>-128</v>
      </c>
      <c r="BY12" s="77">
        <f>BIN2DEC(BU12)-BIN2DEC(BU13)</f>
        <v>-160</v>
      </c>
      <c r="BZ12" s="77">
        <f>BIN2DEC(BV12)-BIN2DEC(BV13)</f>
        <v>-173</v>
      </c>
      <c r="CA12" s="27" t="str">
        <f t="shared" si="66"/>
        <v>1001</v>
      </c>
      <c r="CB12" s="27" t="str">
        <f t="shared" si="67"/>
        <v>0011</v>
      </c>
      <c r="CC12" s="27" t="str">
        <f t="shared" si="68"/>
        <v>0101</v>
      </c>
      <c r="CD12" s="27" t="str">
        <f t="shared" si="69"/>
        <v>1111</v>
      </c>
      <c r="CE12" s="27" t="str">
        <f t="shared" si="70"/>
        <v>0001</v>
      </c>
      <c r="CF12" s="27" t="str">
        <f t="shared" si="71"/>
        <v>0000</v>
      </c>
      <c r="CG12" s="27" t="str">
        <f t="shared" si="72"/>
        <v>1100</v>
      </c>
      <c r="CH12" s="27" t="str">
        <f t="shared" si="73"/>
        <v>0000</v>
      </c>
      <c r="CI12" s="77">
        <f>BIN2DEC(CA12)-BIN2DEC(CA13)</f>
        <v>4</v>
      </c>
      <c r="CJ12" s="77">
        <f t="shared" ref="CJ12:CO12" si="232">BIN2DEC(CB12)-BIN2DEC(CB13)</f>
        <v>-9</v>
      </c>
      <c r="CK12" s="77">
        <f t="shared" si="232"/>
        <v>-7</v>
      </c>
      <c r="CL12" s="77">
        <f t="shared" si="232"/>
        <v>11</v>
      </c>
      <c r="CM12" s="77">
        <f t="shared" si="232"/>
        <v>-9</v>
      </c>
      <c r="CN12" s="77">
        <f t="shared" si="232"/>
        <v>0</v>
      </c>
      <c r="CO12" s="77">
        <f t="shared" si="232"/>
        <v>-2</v>
      </c>
      <c r="CP12" s="77">
        <f>BIN2DEC(CH12)-BIN2DEC(CH13)</f>
        <v>-13</v>
      </c>
      <c r="CQ12" s="26" t="str">
        <f t="shared" si="9"/>
        <v>0000000001000100</v>
      </c>
      <c r="CR12" s="26" t="str">
        <f t="shared" si="10"/>
        <v>0000000001000000</v>
      </c>
      <c r="CS12" s="77">
        <f>MID(CQ12,16,1)*POWER(2,0)+MID(CQ12,15,1)*POWER(2,1)+MID(CQ12,14,1)*POWER(2,2)+MID(CQ12,13,1)*POWER(2,3)+MID(CQ12,12,1)*POWER(2,4)+MID(CQ12,11,1)*POWER(2,5)+MID(CQ12,10,1)*POWER(2,6)+MID(CQ12,9,1)*POWER(2,7)+MID(CQ12,8,1)*POWER(2,8)+MID(CQ12,7,1)*POWER(2,9)+MID(CQ12,6,1)*POWER(2,10)+MID(CQ12,5,1)*POWER(2,11)+MID(CQ12,4,1)*POWER(2,12)+MID(CQ12,3,1)*POWER(2,13)+MID(CQ12,2,1)*POWER(2,14)+MID(CQ12,1,1)*POWER(2,15)-(MID(CQ13,16,1)*POWER(2,0)+MID(CQ13,15,1)*POWER(2,1)+MID(CQ13,14,1)*POWER(2,2)+MID(CQ13,13,1)*POWER(2,3)+MID(CQ13,12,1)*POWER(2,4)+MID(CQ13,11,1)*POWER(2,5)+MID(CQ13,10,1)*POWER(2,6)+MID(CQ13,9,1)*POWER(2,7)+MID(CQ13,8,1)*POWER(2,8)+MID(CQ13,7,1)*POWER(2,9)+MID(CQ13,6,1)*POWER(2,10)+MID(CQ13,5,1)*POWER(2,11)+MID(CQ13,4,1)*POWER(2,12)+MID(CQ13,3,1)*POWER(2,13)+MID(CQ13,2,1)*POWER(2,14)+MID(CQ13,1,1)*POWER(2,15))</f>
        <v>-23680</v>
      </c>
      <c r="CT12" s="77">
        <f>MID(CR12,16,1)*POWER(2,0)+MID(CR12,15,1)*POWER(2,1)+MID(CR12,14,1)*POWER(2,2)+MID(CR12,13,1)*POWER(2,3)+MID(CR12,12,1)*POWER(2,4)+MID(CR12,11,1)*POWER(2,5)+MID(CR12,10,1)*POWER(2,6)+MID(CR12,9,1)*POWER(2,7)+MID(CR12,8,1)*POWER(2,8)+MID(CR12,7,1)*POWER(2,9)+MID(CR12,6,1)*POWER(2,10)+MID(CR12,5,1)*POWER(2,11)+MID(CR12,4,1)*POWER(2,12)+MID(CR12,3,1)*POWER(2,13)+MID(CR12,2,1)*POWER(2,14)+MID(CR12,1,1)*POWER(2,15)-(MID(CR13,16,1)*POWER(2,0)+MID(CR13,15,1)*POWER(2,1)+MID(CR13,14,1)*POWER(2,2)+MID(CR13,13,1)*POWER(2,3)+MID(CR13,12,1)*POWER(2,4)+MID(CR13,11,1)*POWER(2,5)+MID(CR13,10,1)*POWER(2,6)+MID(CR13,9,1)*POWER(2,7)+MID(CR13,8,1)*POWER(2,8)+MID(CR13,7,1)*POWER(2,9)+MID(CR13,6,1)*POWER(2,10)+MID(CR13,5,1)*POWER(2,11)+MID(CR13,4,1)*POWER(2,12)+MID(CR13,3,1)*POWER(2,13)+MID(CR13,2,1)*POWER(2,14)+MID(CR13,1,1)*POWER(2,15))</f>
        <v>-41133</v>
      </c>
      <c r="CU12" s="45" t="str">
        <f>BR12</f>
        <v>00000000010001000000000001000000</v>
      </c>
      <c r="CV12" s="26" t="str">
        <f t="shared" si="74"/>
        <v>00000000</v>
      </c>
      <c r="CW12" s="26" t="str">
        <f t="shared" si="75"/>
        <v>01000100</v>
      </c>
      <c r="CX12" s="26" t="str">
        <f t="shared" si="76"/>
        <v>00000000</v>
      </c>
      <c r="CY12" s="26" t="str">
        <f t="shared" si="77"/>
        <v>01000000</v>
      </c>
      <c r="CZ12" s="77">
        <f>BIN2DEC(CV12)-BIN2DEC(CV13)</f>
        <v>-68</v>
      </c>
      <c r="DA12" s="77">
        <f>BIN2DEC(CW12)-BIN2DEC(CW13)</f>
        <v>0</v>
      </c>
      <c r="DB12" s="77">
        <f>BIN2DEC(CX12)-BIN2DEC(CX13)</f>
        <v>-32</v>
      </c>
      <c r="DC12" s="77">
        <f>BIN2DEC(CY12)-BIN2DEC(CY13)</f>
        <v>-36</v>
      </c>
      <c r="DD12" s="27" t="str">
        <f t="shared" si="78"/>
        <v>1001</v>
      </c>
      <c r="DE12" s="27" t="str">
        <f t="shared" si="79"/>
        <v>0011</v>
      </c>
      <c r="DF12" s="27" t="str">
        <f t="shared" si="80"/>
        <v>0101</v>
      </c>
      <c r="DG12" s="27" t="str">
        <f t="shared" si="81"/>
        <v>1111</v>
      </c>
      <c r="DH12" s="27" t="str">
        <f t="shared" si="82"/>
        <v>0001</v>
      </c>
      <c r="DI12" s="27" t="str">
        <f t="shared" si="83"/>
        <v>0000</v>
      </c>
      <c r="DJ12" s="27" t="str">
        <f t="shared" si="84"/>
        <v>1100</v>
      </c>
      <c r="DK12" s="27" t="str">
        <f t="shared" si="85"/>
        <v>0000</v>
      </c>
      <c r="DL12" s="77">
        <f>BIN2DEC(DD12)-BIN2DEC(DD13)</f>
        <v>4</v>
      </c>
      <c r="DM12" s="77">
        <f t="shared" ref="DM12:DR12" si="233">BIN2DEC(DE12)-BIN2DEC(DE13)</f>
        <v>-9</v>
      </c>
      <c r="DN12" s="77">
        <f t="shared" si="233"/>
        <v>-7</v>
      </c>
      <c r="DO12" s="77">
        <f t="shared" si="233"/>
        <v>11</v>
      </c>
      <c r="DP12" s="77">
        <f t="shared" si="233"/>
        <v>-9</v>
      </c>
      <c r="DQ12" s="77">
        <f t="shared" si="233"/>
        <v>0</v>
      </c>
      <c r="DR12" s="77">
        <f t="shared" si="233"/>
        <v>-2</v>
      </c>
      <c r="DS12" s="77">
        <f>BIN2DEC(DK12)-BIN2DEC(DK13)</f>
        <v>-13</v>
      </c>
      <c r="DT12" s="26" t="str">
        <f t="shared" si="12"/>
        <v>0000000001000100</v>
      </c>
      <c r="DU12" s="26" t="str">
        <f t="shared" si="13"/>
        <v>0000000001000000</v>
      </c>
      <c r="DV12" s="77">
        <f>MID(DT12,16,1)*POWER(2,0)+MID(DT12,15,1)*POWER(2,1)+MID(DT12,14,1)*POWER(2,2)+MID(DT12,13,1)*POWER(2,3)+MID(DT12,12,1)*POWER(2,4)+MID(DT12,11,1)*POWER(2,5)+MID(DT12,10,1)*POWER(2,6)+MID(DT12,9,1)*POWER(2,7)+MID(DT12,8,1)*POWER(2,8)+MID(DT12,7,1)*POWER(2,9)+MID(DT12,6,1)*POWER(2,10)+MID(DT12,5,1)*POWER(2,11)+MID(DT12,4,1)*POWER(2,12)+MID(DT12,3,1)*POWER(2,13)+MID(DT12,2,1)*POWER(2,14)+MID(DT12,1,1)*POWER(2,15)-(MID(DT13,16,1)*POWER(2,0)+MID(DT13,15,1)*POWER(2,1)+MID(DT13,14,1)*POWER(2,2)+MID(DT13,13,1)*POWER(2,3)+MID(DT13,12,1)*POWER(2,4)+MID(DT13,11,1)*POWER(2,5)+MID(DT13,10,1)*POWER(2,6)+MID(DT13,9,1)*POWER(2,7)+MID(DT13,8,1)*POWER(2,8)+MID(DT13,7,1)*POWER(2,9)+MID(DT13,6,1)*POWER(2,10)+MID(DT13,5,1)*POWER(2,11)+MID(DT13,4,1)*POWER(2,12)+MID(DT13,3,1)*POWER(2,13)+MID(DT13,2,1)*POWER(2,14)+MID(DT13,1,1)*POWER(2,15))</f>
        <v>-17408</v>
      </c>
      <c r="DW12" s="77">
        <f>MID(DU12,16,1)*POWER(2,0)+MID(DU12,15,1)*POWER(2,1)+MID(DU12,14,1)*POWER(2,2)+MID(DU12,13,1)*POWER(2,3)+MID(DU12,12,1)*POWER(2,4)+MID(DU12,11,1)*POWER(2,5)+MID(DU12,10,1)*POWER(2,6)+MID(DU12,9,1)*POWER(2,7)+MID(DU12,8,1)*POWER(2,8)+MID(DU12,7,1)*POWER(2,9)+MID(DU12,6,1)*POWER(2,10)+MID(DU12,5,1)*POWER(2,11)+MID(DU12,4,1)*POWER(2,12)+MID(DU12,3,1)*POWER(2,13)+MID(DU12,2,1)*POWER(2,14)+MID(DU12,1,1)*POWER(2,15)-(MID(DU13,16,1)*POWER(2,0)+MID(DU13,15,1)*POWER(2,1)+MID(DU13,14,1)*POWER(2,2)+MID(DU13,13,1)*POWER(2,3)+MID(DU13,12,1)*POWER(2,4)+MID(DU13,11,1)*POWER(2,5)+MID(DU13,10,1)*POWER(2,6)+MID(DU13,9,1)*POWER(2,7)+MID(DU13,8,1)*POWER(2,8)+MID(DU13,7,1)*POWER(2,9)+MID(DU13,6,1)*POWER(2,10)+MID(DU13,5,1)*POWER(2,11)+MID(DU13,4,1)*POWER(2,12)+MID(DU13,3,1)*POWER(2,13)+MID(DU13,2,1)*POWER(2,14)+MID(DU13,1,1)*POWER(2,15))</f>
        <v>-8228</v>
      </c>
      <c r="DX12" s="22" t="str">
        <f>CONCATENATE(MID($H12,1,1)*MID($K12,1,1),MID($H12,2,1)*MID($K12,2,1),MID($H12,3,1)*MID($K12,3,1),MID($H12,4,1)*MID($K12,4,1),MID($H12,5,1)*MID($K12,5,1),MID($H12,6,1)*MID($K12,6,1),MID($H12,7,1)*MID($K12,7,1),MID($H12,8,1)*MID($K12,8,1),MID($H12,9,1)*MID($K12,1,1),MID($H12,10,1)*MID($K12,2,1),MID($H12,11,1)*MID($K12,3,1),MID($H12,12,1)*MID($K12,4,1),MID($H12,13,1)*MID($K12,5,1),MID($H12,14,1)*MID($K12,6,1),MID($H12,15,1)*MID($K12,7,1),MID($H12,16,1)*MID($K12,8,1),MID($H12,17,1)*MID($K12,1,1),MID($H12,18,1)*MID($K12,2,1),MID($H12,19,1)*MID($K12,3,1),MID($H12,20,1)*MID($K12,4,1),MID($H12,21,1)*MID($K12,5,1),MID($H12,22,1)*MID($K12,6,1),MID($H12,23,1)*MID($K12,7,1),MID($H12,24,1)*MID($K12,8,1),MID($H12,25,1)*MID($K12,1,1),MID($H12,26,1)*MID($K12,2,1),MID($H12,27,1)*MID($K12,3,1),MID($H12,28,1)*MID($K12,4,1),MID($H12,29,1)*MID($K12,5,1),MID($H12,30,1)*MID($K12,6,1),MID($H12,31,1)*MID($K12,7,1),MID($H12,32,1)*MID($K12,8,1))</f>
        <v>00000000010000000000000001000100</v>
      </c>
      <c r="DY12" s="43" t="str">
        <f>L12</f>
        <v>10010011010111110001000011000000</v>
      </c>
      <c r="DZ12" s="26" t="str">
        <f t="shared" si="178"/>
        <v>10010011</v>
      </c>
      <c r="EA12" s="26" t="str">
        <f t="shared" si="86"/>
        <v>01011111</v>
      </c>
      <c r="EB12" s="26" t="str">
        <f t="shared" si="87"/>
        <v>00010000</v>
      </c>
      <c r="EC12" s="26" t="str">
        <f t="shared" si="88"/>
        <v>11000000</v>
      </c>
      <c r="ED12" s="77">
        <f>BIN2DEC(DZ12)-BIN2DEC(DZ13)</f>
        <v>147</v>
      </c>
      <c r="EE12" s="77">
        <f>BIN2DEC(EA12)-BIN2DEC(EA13)</f>
        <v>95</v>
      </c>
      <c r="EF12" s="77">
        <f>BIN2DEC(EB12)-BIN2DEC(EB13)</f>
        <v>-16</v>
      </c>
      <c r="EG12" s="77">
        <f>BIN2DEC(EC12)-BIN2DEC(EC13)</f>
        <v>159</v>
      </c>
      <c r="EH12" s="27" t="str">
        <f t="shared" si="89"/>
        <v>1001</v>
      </c>
      <c r="EI12" s="27" t="str">
        <f t="shared" si="90"/>
        <v>0011</v>
      </c>
      <c r="EJ12" s="27" t="str">
        <f t="shared" si="91"/>
        <v>0101</v>
      </c>
      <c r="EK12" s="27" t="str">
        <f t="shared" si="92"/>
        <v>1111</v>
      </c>
      <c r="EL12" s="27" t="str">
        <f t="shared" si="93"/>
        <v>0001</v>
      </c>
      <c r="EM12" s="27" t="str">
        <f t="shared" si="94"/>
        <v>0000</v>
      </c>
      <c r="EN12" s="27" t="str">
        <f t="shared" si="95"/>
        <v>1100</v>
      </c>
      <c r="EO12" s="27" t="str">
        <f t="shared" si="96"/>
        <v>0000</v>
      </c>
      <c r="EP12" s="77">
        <f>BIN2DEC(EH12)-BIN2DEC(EH13)</f>
        <v>4</v>
      </c>
      <c r="EQ12" s="77">
        <f t="shared" ref="EQ12:EV12" si="234">BIN2DEC(EI12)-BIN2DEC(EI13)</f>
        <v>-9</v>
      </c>
      <c r="ER12" s="77">
        <f t="shared" si="234"/>
        <v>-7</v>
      </c>
      <c r="ES12" s="77">
        <f t="shared" si="234"/>
        <v>11</v>
      </c>
      <c r="ET12" s="77">
        <f t="shared" si="234"/>
        <v>-9</v>
      </c>
      <c r="EU12" s="77">
        <f t="shared" si="234"/>
        <v>0</v>
      </c>
      <c r="EV12" s="77">
        <f t="shared" si="234"/>
        <v>-2</v>
      </c>
      <c r="EW12" s="77">
        <f>BIN2DEC(EO12)-BIN2DEC(EO13)</f>
        <v>-13</v>
      </c>
      <c r="EX12" s="26" t="str">
        <f t="shared" si="15"/>
        <v>1001001101011111</v>
      </c>
      <c r="EY12" s="26" t="str">
        <f t="shared" si="16"/>
        <v>0001000011000000</v>
      </c>
      <c r="EZ12" s="77">
        <f>MID(EX12,16,1)*POWER(2,0)+MID(EX12,15,1)*POWER(2,1)+MID(EX12,14,1)*POWER(2,2)+MID(EX12,13,1)*POWER(2,3)+MID(EX12,12,1)*POWER(2,4)+MID(EX12,11,1)*POWER(2,5)+MID(EX12,10,1)*POWER(2,6)+MID(EX12,9,1)*POWER(2,7)+MID(EX12,8,1)*POWER(2,8)+MID(EX12,7,1)*POWER(2,9)+MID(EX12,6,1)*POWER(2,10)+MID(EX12,5,1)*POWER(2,11)+MID(EX12,4,1)*POWER(2,12)+MID(EX12,3,1)*POWER(2,13)+MID(EX12,2,1)*POWER(2,14)+MID(EX12,1,1)*POWER(2,15)-(MID(EX13,16,1)*POWER(2,0)+MID(EX13,15,1)*POWER(2,1)+MID(EX13,14,1)*POWER(2,2)+MID(EX13,13,1)*POWER(2,3)+MID(EX13,12,1)*POWER(2,4)+MID(EX13,11,1)*POWER(2,5)+MID(EX13,10,1)*POWER(2,6)+MID(EX13,9,1)*POWER(2,7)+MID(EX13,8,1)*POWER(2,8)+MID(EX13,7,1)*POWER(2,9)+MID(EX13,6,1)*POWER(2,10)+MID(EX13,5,1)*POWER(2,11)+MID(EX13,4,1)*POWER(2,12)+MID(EX13,3,1)*POWER(2,13)+MID(EX13,2,1)*POWER(2,14)+MID(EX13,1,1)*POWER(2,15))</f>
        <v>37727</v>
      </c>
      <c r="FA12" s="77">
        <f>MID(EY12,16,1)*POWER(2,0)+MID(EY12,15,1)*POWER(2,1)+MID(EY12,14,1)*POWER(2,2)+MID(EY12,13,1)*POWER(2,3)+MID(EY12,12,1)*POWER(2,4)+MID(EY12,11,1)*POWER(2,5)+MID(EY12,10,1)*POWER(2,6)+MID(EY12,9,1)*POWER(2,7)+MID(EY12,8,1)*POWER(2,8)+MID(EY12,7,1)*POWER(2,9)+MID(EY12,6,1)*POWER(2,10)+MID(EY12,5,1)*POWER(2,11)+MID(EY12,4,1)*POWER(2,12)+MID(EY12,3,1)*POWER(2,13)+MID(EY12,2,1)*POWER(2,14)+MID(EY12,1,1)*POWER(2,15)-(MID(EY13,16,1)*POWER(2,0)+MID(EY13,15,1)*POWER(2,1)+MID(EY13,14,1)*POWER(2,2)+MID(EY13,13,1)*POWER(2,3)+MID(EY13,12,1)*POWER(2,4)+MID(EY13,11,1)*POWER(2,5)+MID(EY13,10,1)*POWER(2,6)+MID(EY13,9,1)*POWER(2,7)+MID(EY13,8,1)*POWER(2,8)+MID(EY13,7,1)*POWER(2,9)+MID(EY13,6,1)*POWER(2,10)+MID(EY13,5,1)*POWER(2,11)+MID(EY13,4,1)*POWER(2,12)+MID(EY13,3,1)*POWER(2,13)+MID(EY13,2,1)*POWER(2,14)+MID(EY13,1,1)*POWER(2,15))</f>
        <v>-3937</v>
      </c>
      <c r="FB12" s="45" t="str">
        <f>L12</f>
        <v>10010011010111110001000011000000</v>
      </c>
      <c r="FC12" s="26" t="str">
        <f t="shared" si="180"/>
        <v>10010011</v>
      </c>
      <c r="FD12" s="26" t="str">
        <f t="shared" si="97"/>
        <v>01011111</v>
      </c>
      <c r="FE12" s="26" t="str">
        <f t="shared" si="98"/>
        <v>00010000</v>
      </c>
      <c r="FF12" s="26" t="str">
        <f t="shared" si="99"/>
        <v>11000000</v>
      </c>
      <c r="FG12" s="77">
        <f>BIN2DEC(FC12)-BIN2DEC(FC13)</f>
        <v>147</v>
      </c>
      <c r="FH12" s="77">
        <f>BIN2DEC(FD12)-BIN2DEC(FD13)</f>
        <v>95</v>
      </c>
      <c r="FI12" s="77">
        <f>BIN2DEC(FE12)-BIN2DEC(FE13)</f>
        <v>-16</v>
      </c>
      <c r="FJ12" s="77">
        <f>BIN2DEC(FF12)-BIN2DEC(FF13)</f>
        <v>160</v>
      </c>
      <c r="FK12" s="27" t="str">
        <f t="shared" si="100"/>
        <v>1001</v>
      </c>
      <c r="FL12" s="27" t="str">
        <f t="shared" si="101"/>
        <v>0011</v>
      </c>
      <c r="FM12" s="27" t="str">
        <f t="shared" si="102"/>
        <v>0101</v>
      </c>
      <c r="FN12" s="27" t="str">
        <f t="shared" si="103"/>
        <v>1111</v>
      </c>
      <c r="FO12" s="27" t="str">
        <f t="shared" si="104"/>
        <v>0001</v>
      </c>
      <c r="FP12" s="27" t="str">
        <f t="shared" si="105"/>
        <v>0000</v>
      </c>
      <c r="FQ12" s="27" t="str">
        <f t="shared" si="106"/>
        <v>1100</v>
      </c>
      <c r="FR12" s="27" t="str">
        <f t="shared" si="107"/>
        <v>0000</v>
      </c>
      <c r="FS12" s="77">
        <f>BIN2DEC(FK12)-BIN2DEC(FK13)</f>
        <v>4</v>
      </c>
      <c r="FT12" s="77">
        <f t="shared" ref="FT12:FY12" si="235">BIN2DEC(FL12)-BIN2DEC(FL13)</f>
        <v>-9</v>
      </c>
      <c r="FU12" s="77">
        <f t="shared" si="235"/>
        <v>-7</v>
      </c>
      <c r="FV12" s="77">
        <f t="shared" si="235"/>
        <v>11</v>
      </c>
      <c r="FW12" s="77">
        <f t="shared" si="235"/>
        <v>-9</v>
      </c>
      <c r="FX12" s="77">
        <f t="shared" si="235"/>
        <v>0</v>
      </c>
      <c r="FY12" s="77">
        <f t="shared" si="235"/>
        <v>-2</v>
      </c>
      <c r="FZ12" s="77">
        <f>BIN2DEC(FR12)-BIN2DEC(FR13)</f>
        <v>-13</v>
      </c>
      <c r="GA12" s="26" t="str">
        <f t="shared" si="18"/>
        <v>1001001101011111</v>
      </c>
      <c r="GB12" s="26" t="str">
        <f t="shared" si="19"/>
        <v>0001000011000000</v>
      </c>
      <c r="GC12" s="77">
        <f>MID(GA12,16,1)*POWER(2,0)+MID(GA12,15,1)*POWER(2,1)+MID(GA12,14,1)*POWER(2,2)+MID(GA12,13,1)*POWER(2,3)+MID(GA12,12,1)*POWER(2,4)+MID(GA12,11,1)*POWER(2,5)+MID(GA12,10,1)*POWER(2,6)+MID(GA12,9,1)*POWER(2,7)+MID(GA12,8,1)*POWER(2,8)+MID(GA12,7,1)*POWER(2,9)+MID(GA12,6,1)*POWER(2,10)+MID(GA12,5,1)*POWER(2,11)+MID(GA12,4,1)*POWER(2,12)+MID(GA12,3,1)*POWER(2,13)+MID(GA12,2,1)*POWER(2,14)+MID(GA12,1,1)*POWER(2,15)-(MID(GA13,16,1)*POWER(2,0)+MID(GA13,15,1)*POWER(2,1)+MID(GA13,14,1)*POWER(2,2)+MID(GA13,13,1)*POWER(2,3)+MID(GA13,12,1)*POWER(2,4)+MID(GA13,11,1)*POWER(2,5)+MID(GA13,10,1)*POWER(2,6)+MID(GA13,9,1)*POWER(2,7)+MID(GA13,8,1)*POWER(2,8)+MID(GA13,7,1)*POWER(2,9)+MID(GA13,6,1)*POWER(2,10)+MID(GA13,5,1)*POWER(2,11)+MID(GA13,4,1)*POWER(2,12)+MID(GA13,3,1)*POWER(2,13)+MID(GA13,2,1)*POWER(2,14)+MID(GA13,1,1)*POWER(2,15))</f>
        <v>37727</v>
      </c>
      <c r="GD12" s="77">
        <f>MID(GB12,16,1)*POWER(2,0)+MID(GB12,15,1)*POWER(2,1)+MID(GB12,14,1)*POWER(2,2)+MID(GB12,13,1)*POWER(2,3)+MID(GB12,12,1)*POWER(2,4)+MID(GB12,11,1)*POWER(2,5)+MID(GB12,10,1)*POWER(2,6)+MID(GB12,9,1)*POWER(2,7)+MID(GB12,8,1)*POWER(2,8)+MID(GB12,7,1)*POWER(2,9)+MID(GB12,6,1)*POWER(2,10)+MID(GB12,5,1)*POWER(2,11)+MID(GB12,4,1)*POWER(2,12)+MID(GB12,3,1)*POWER(2,13)+MID(GB12,2,1)*POWER(2,14)+MID(GB12,1,1)*POWER(2,15)-(MID(GB13,16,1)*POWER(2,0)+MID(GB13,15,1)*POWER(2,1)+MID(GB13,14,1)*POWER(2,2)+MID(GB13,13,1)*POWER(2,3)+MID(GB13,12,1)*POWER(2,4)+MID(GB13,11,1)*POWER(2,5)+MID(GB13,10,1)*POWER(2,6)+MID(GB13,9,1)*POWER(2,7)+MID(GB13,8,1)*POWER(2,8)+MID(GB13,7,1)*POWER(2,9)+MID(GB13,6,1)*POWER(2,10)+MID(GB13,5,1)*POWER(2,11)+MID(GB13,4,1)*POWER(2,12)+MID(GB13,3,1)*POWER(2,13)+MID(GB13,2,1)*POWER(2,14)+MID(GB13,1,1)*POWER(2,15))</f>
        <v>-3936</v>
      </c>
      <c r="GE12" s="47" t="str">
        <f>CU12</f>
        <v>00000000010001000000000001000000</v>
      </c>
      <c r="GF12" s="26" t="str">
        <f t="shared" si="182"/>
        <v>00000000</v>
      </c>
      <c r="GG12" s="26" t="str">
        <f t="shared" si="108"/>
        <v>01000100</v>
      </c>
      <c r="GH12" s="26" t="str">
        <f t="shared" si="109"/>
        <v>00000000</v>
      </c>
      <c r="GI12" s="26" t="str">
        <f t="shared" si="110"/>
        <v>01000000</v>
      </c>
      <c r="GJ12" s="77">
        <f>BIN2DEC(GF12)-BIN2DEC(GF13)</f>
        <v>0</v>
      </c>
      <c r="GK12" s="77">
        <f>BIN2DEC(GG12)-BIN2DEC(GG13)</f>
        <v>68</v>
      </c>
      <c r="GL12" s="77">
        <f>BIN2DEC(GH12)-BIN2DEC(GH13)</f>
        <v>-32</v>
      </c>
      <c r="GM12" s="77">
        <f>BIN2DEC(GI12)-BIN2DEC(GI13)</f>
        <v>31</v>
      </c>
      <c r="GN12" s="27" t="str">
        <f t="shared" si="111"/>
        <v>1001</v>
      </c>
      <c r="GO12" s="27" t="str">
        <f t="shared" si="112"/>
        <v>0011</v>
      </c>
      <c r="GP12" s="27" t="str">
        <f t="shared" si="113"/>
        <v>0101</v>
      </c>
      <c r="GQ12" s="27" t="str">
        <f t="shared" si="114"/>
        <v>1111</v>
      </c>
      <c r="GR12" s="27" t="str">
        <f t="shared" si="115"/>
        <v>0001</v>
      </c>
      <c r="GS12" s="27" t="str">
        <f t="shared" si="116"/>
        <v>0000</v>
      </c>
      <c r="GT12" s="27" t="str">
        <f t="shared" si="117"/>
        <v>1100</v>
      </c>
      <c r="GU12" s="27" t="str">
        <f t="shared" si="118"/>
        <v>0000</v>
      </c>
      <c r="GV12" s="77">
        <f>BIN2DEC(GN12)-BIN2DEC(GN13)</f>
        <v>4</v>
      </c>
      <c r="GW12" s="77">
        <f t="shared" ref="GW12:HB12" si="236">BIN2DEC(GO12)-BIN2DEC(GO13)</f>
        <v>-9</v>
      </c>
      <c r="GX12" s="77">
        <f t="shared" si="236"/>
        <v>-7</v>
      </c>
      <c r="GY12" s="77">
        <f t="shared" si="236"/>
        <v>11</v>
      </c>
      <c r="GZ12" s="77">
        <f t="shared" si="236"/>
        <v>-9</v>
      </c>
      <c r="HA12" s="77">
        <f t="shared" si="236"/>
        <v>0</v>
      </c>
      <c r="HB12" s="77">
        <f t="shared" si="236"/>
        <v>-2</v>
      </c>
      <c r="HC12" s="77">
        <f>BIN2DEC(GU12)-BIN2DEC(GU13)</f>
        <v>-13</v>
      </c>
      <c r="HD12" s="26" t="str">
        <f t="shared" si="21"/>
        <v>0000000001000100</v>
      </c>
      <c r="HE12" s="26" t="str">
        <f t="shared" si="22"/>
        <v>0000000001000000</v>
      </c>
      <c r="HF12" s="77">
        <f>MID(HD12,16,1)*POWER(2,0)+MID(HD12,15,1)*POWER(2,1)+MID(HD12,14,1)*POWER(2,2)+MID(HD12,13,1)*POWER(2,3)+MID(HD12,12,1)*POWER(2,4)+MID(HD12,11,1)*POWER(2,5)+MID(HD12,10,1)*POWER(2,6)+MID(HD12,9,1)*POWER(2,7)+MID(HD12,8,1)*POWER(2,8)+MID(HD12,7,1)*POWER(2,9)+MID(HD12,6,1)*POWER(2,10)+MID(HD12,5,1)*POWER(2,11)+MID(HD12,4,1)*POWER(2,12)+MID(HD12,3,1)*POWER(2,13)+MID(HD12,2,1)*POWER(2,14)+MID(HD12,1,1)*POWER(2,15)-(MID(HD13,16,1)*POWER(2,0)+MID(HD13,15,1)*POWER(2,1)+MID(HD13,14,1)*POWER(2,2)+MID(HD13,13,1)*POWER(2,3)+MID(HD13,12,1)*POWER(2,4)+MID(HD13,11,1)*POWER(2,5)+MID(HD13,10,1)*POWER(2,6)+MID(HD13,9,1)*POWER(2,7)+MID(HD13,8,1)*POWER(2,8)+MID(HD13,7,1)*POWER(2,9)+MID(HD13,6,1)*POWER(2,10)+MID(HD13,5,1)*POWER(2,11)+MID(HD13,4,1)*POWER(2,12)+MID(HD13,3,1)*POWER(2,13)+MID(HD13,2,1)*POWER(2,14)+MID(HD13,1,1)*POWER(2,15))</f>
        <v>68</v>
      </c>
      <c r="HG12" s="77">
        <f>MID(HE12,16,1)*POWER(2,0)+MID(HE12,15,1)*POWER(2,1)+MID(HE12,14,1)*POWER(2,2)+MID(HE12,13,1)*POWER(2,3)+MID(HE12,12,1)*POWER(2,4)+MID(HE12,11,1)*POWER(2,5)+MID(HE12,10,1)*POWER(2,6)+MID(HE12,9,1)*POWER(2,7)+MID(HE12,8,1)*POWER(2,8)+MID(HE12,7,1)*POWER(2,9)+MID(HE12,6,1)*POWER(2,10)+MID(HE12,5,1)*POWER(2,11)+MID(HE12,4,1)*POWER(2,12)+MID(HE12,3,1)*POWER(2,13)+MID(HE12,2,1)*POWER(2,14)+MID(HE12,1,1)*POWER(2,15)-(MID(HE13,16,1)*POWER(2,0)+MID(HE13,15,1)*POWER(2,1)+MID(HE13,14,1)*POWER(2,2)+MID(HE13,13,1)*POWER(2,3)+MID(HE13,12,1)*POWER(2,4)+MID(HE13,11,1)*POWER(2,5)+MID(HE13,10,1)*POWER(2,6)+MID(HE13,9,1)*POWER(2,7)+MID(HE13,8,1)*POWER(2,8)+MID(HE13,7,1)*POWER(2,9)+MID(HE13,6,1)*POWER(2,10)+MID(HE13,5,1)*POWER(2,11)+MID(HE13,4,1)*POWER(2,12)+MID(HE13,3,1)*POWER(2,13)+MID(HE13,2,1)*POWER(2,14)+MID(HE13,1,1)*POWER(2,15))</f>
        <v>-8161</v>
      </c>
      <c r="HH12" s="43" t="str">
        <f>CONCATENATE(MID(DX12,17,16),MID(DX12,1,16))</f>
        <v>00000000010001000000000001000000</v>
      </c>
      <c r="HI12" s="26" t="str">
        <f t="shared" si="184"/>
        <v>00000000</v>
      </c>
      <c r="HJ12" s="26" t="str">
        <f t="shared" si="119"/>
        <v>01000100</v>
      </c>
      <c r="HK12" s="26" t="str">
        <f t="shared" si="120"/>
        <v>00000000</v>
      </c>
      <c r="HL12" s="26" t="str">
        <f t="shared" si="121"/>
        <v>01000000</v>
      </c>
      <c r="HM12" s="77">
        <f>BIN2DEC(HI12)-BIN2DEC(HI13)</f>
        <v>0</v>
      </c>
      <c r="HN12" s="77">
        <f>BIN2DEC(HJ12)-BIN2DEC(HJ13)</f>
        <v>68</v>
      </c>
      <c r="HO12" s="77">
        <f>BIN2DEC(HK12)-BIN2DEC(HK13)</f>
        <v>-32</v>
      </c>
      <c r="HP12" s="77">
        <f>BIN2DEC(HL12)-BIN2DEC(HL13)</f>
        <v>32</v>
      </c>
      <c r="HQ12" s="27" t="str">
        <f t="shared" si="122"/>
        <v>1001</v>
      </c>
      <c r="HR12" s="27" t="str">
        <f t="shared" si="123"/>
        <v>0011</v>
      </c>
      <c r="HS12" s="27" t="str">
        <f t="shared" si="124"/>
        <v>0101</v>
      </c>
      <c r="HT12" s="27" t="str">
        <f t="shared" si="125"/>
        <v>1111</v>
      </c>
      <c r="HU12" s="27" t="str">
        <f t="shared" si="126"/>
        <v>0001</v>
      </c>
      <c r="HV12" s="27" t="str">
        <f t="shared" si="127"/>
        <v>0000</v>
      </c>
      <c r="HW12" s="27" t="str">
        <f t="shared" si="128"/>
        <v>1100</v>
      </c>
      <c r="HX12" s="27" t="str">
        <f t="shared" si="129"/>
        <v>0000</v>
      </c>
      <c r="HY12" s="77">
        <f>BIN2DEC(HQ12)-BIN2DEC(HQ13)</f>
        <v>4</v>
      </c>
      <c r="HZ12" s="77">
        <f t="shared" ref="HZ12:IE12" si="237">BIN2DEC(HR12)-BIN2DEC(HR13)</f>
        <v>-9</v>
      </c>
      <c r="IA12" s="77">
        <f t="shared" si="237"/>
        <v>-7</v>
      </c>
      <c r="IB12" s="77">
        <f t="shared" si="237"/>
        <v>11</v>
      </c>
      <c r="IC12" s="77">
        <f t="shared" si="237"/>
        <v>-9</v>
      </c>
      <c r="ID12" s="77">
        <f t="shared" si="237"/>
        <v>0</v>
      </c>
      <c r="IE12" s="77">
        <f t="shared" si="237"/>
        <v>-2</v>
      </c>
      <c r="IF12" s="77">
        <f>BIN2DEC(HX12)-BIN2DEC(HX13)</f>
        <v>-13</v>
      </c>
      <c r="IG12" s="26" t="str">
        <f t="shared" si="24"/>
        <v>0000000001000100</v>
      </c>
      <c r="IH12" s="26" t="str">
        <f t="shared" si="25"/>
        <v>0000000001000000</v>
      </c>
      <c r="II12" s="77">
        <f>MID(IG12,16,1)*POWER(2,0)+MID(IG12,15,1)*POWER(2,1)+MID(IG12,14,1)*POWER(2,2)+MID(IG12,13,1)*POWER(2,3)+MID(IG12,12,1)*POWER(2,4)+MID(IG12,11,1)*POWER(2,5)+MID(IG12,10,1)*POWER(2,6)+MID(IG12,9,1)*POWER(2,7)+MID(IG12,8,1)*POWER(2,8)+MID(IG12,7,1)*POWER(2,9)+MID(IG12,6,1)*POWER(2,10)+MID(IG12,5,1)*POWER(2,11)+MID(IG12,4,1)*POWER(2,12)+MID(IG12,3,1)*POWER(2,13)+MID(IG12,2,1)*POWER(2,14)+MID(IG12,1,1)*POWER(2,15)-(MID(IG13,16,1)*POWER(2,0)+MID(IG13,15,1)*POWER(2,1)+MID(IG13,14,1)*POWER(2,2)+MID(IG13,13,1)*POWER(2,3)+MID(IG13,12,1)*POWER(2,4)+MID(IG13,11,1)*POWER(2,5)+MID(IG13,10,1)*POWER(2,6)+MID(IG13,9,1)*POWER(2,7)+MID(IG13,8,1)*POWER(2,8)+MID(IG13,7,1)*POWER(2,9)+MID(IG13,6,1)*POWER(2,10)+MID(IG13,5,1)*POWER(2,11)+MID(IG13,4,1)*POWER(2,12)+MID(IG13,3,1)*POWER(2,13)+MID(IG13,2,1)*POWER(2,14)+MID(IG13,1,1)*POWER(2,15))</f>
        <v>68</v>
      </c>
      <c r="IJ12" s="77">
        <f>MID(IH12,16,1)*POWER(2,0)+MID(IH12,15,1)*POWER(2,1)+MID(IH12,14,1)*POWER(2,2)+MID(IH12,13,1)*POWER(2,3)+MID(IH12,12,1)*POWER(2,4)+MID(IH12,11,1)*POWER(2,5)+MID(IH12,10,1)*POWER(2,6)+MID(IH12,9,1)*POWER(2,7)+MID(IH12,8,1)*POWER(2,8)+MID(IH12,7,1)*POWER(2,9)+MID(IH12,6,1)*POWER(2,10)+MID(IH12,5,1)*POWER(2,11)+MID(IH12,4,1)*POWER(2,12)+MID(IH12,3,1)*POWER(2,13)+MID(IH12,2,1)*POWER(2,14)+MID(IH12,1,1)*POWER(2,15)-(MID(IH13,16,1)*POWER(2,0)+MID(IH13,15,1)*POWER(2,1)+MID(IH13,14,1)*POWER(2,2)+MID(IH13,13,1)*POWER(2,3)+MID(IH13,12,1)*POWER(2,4)+MID(IH13,11,1)*POWER(2,5)+MID(IH13,10,1)*POWER(2,6)+MID(IH13,9,1)*POWER(2,7)+MID(IH13,8,1)*POWER(2,8)+MID(IH13,7,1)*POWER(2,9)+MID(IH13,6,1)*POWER(2,10)+MID(IH13,5,1)*POWER(2,11)+MID(IH13,4,1)*POWER(2,12)+MID(IH13,3,1)*POWER(2,13)+MID(IH13,2,1)*POWER(2,14)+MID(IH13,1,1)*POWER(2,15))</f>
        <v>-8160</v>
      </c>
      <c r="IK12" s="43" t="str">
        <f>HH12</f>
        <v>00000000010001000000000001000000</v>
      </c>
      <c r="IL12" s="26" t="str">
        <f t="shared" si="186"/>
        <v>00000000</v>
      </c>
      <c r="IM12" s="26" t="str">
        <f t="shared" si="130"/>
        <v>01000100</v>
      </c>
      <c r="IN12" s="26" t="str">
        <f t="shared" si="131"/>
        <v>00000000</v>
      </c>
      <c r="IO12" s="26" t="str">
        <f t="shared" si="132"/>
        <v>01000000</v>
      </c>
      <c r="IP12" s="77">
        <f>BIN2DEC(IL12)-BIN2DEC(IL13)</f>
        <v>-92</v>
      </c>
      <c r="IQ12" s="77">
        <f>BIN2DEC(IM12)-BIN2DEC(IM13)</f>
        <v>-128</v>
      </c>
      <c r="IR12" s="77">
        <f>BIN2DEC(IN12)-BIN2DEC(IN13)</f>
        <v>-160</v>
      </c>
      <c r="IS12" s="77">
        <f>BIN2DEC(IO12)-BIN2DEC(IO13)</f>
        <v>-173</v>
      </c>
      <c r="IT12" s="27" t="str">
        <f t="shared" si="133"/>
        <v>1001</v>
      </c>
      <c r="IU12" s="27" t="str">
        <f t="shared" si="134"/>
        <v>0011</v>
      </c>
      <c r="IV12" s="27" t="str">
        <f t="shared" si="135"/>
        <v>0101</v>
      </c>
      <c r="IW12" s="27" t="str">
        <f t="shared" si="136"/>
        <v>1111</v>
      </c>
      <c r="IX12" s="27" t="str">
        <f t="shared" si="137"/>
        <v>0001</v>
      </c>
      <c r="IY12" s="27" t="str">
        <f t="shared" si="138"/>
        <v>0000</v>
      </c>
      <c r="IZ12" s="27" t="str">
        <f t="shared" si="139"/>
        <v>1100</v>
      </c>
      <c r="JA12" s="27" t="str">
        <f t="shared" si="140"/>
        <v>0000</v>
      </c>
      <c r="JB12" s="77">
        <f t="shared" ref="JB12:JI12" si="238">BIN2DEC(IT12)-BIN2DEC(IT13)</f>
        <v>4</v>
      </c>
      <c r="JC12" s="77">
        <f t="shared" si="238"/>
        <v>-9</v>
      </c>
      <c r="JD12" s="77">
        <f t="shared" si="238"/>
        <v>-7</v>
      </c>
      <c r="JE12" s="77">
        <f t="shared" si="238"/>
        <v>11</v>
      </c>
      <c r="JF12" s="77">
        <f t="shared" si="238"/>
        <v>-9</v>
      </c>
      <c r="JG12" s="77">
        <f t="shared" si="238"/>
        <v>0</v>
      </c>
      <c r="JH12" s="77">
        <f t="shared" si="238"/>
        <v>-2</v>
      </c>
      <c r="JI12" s="77">
        <f t="shared" si="238"/>
        <v>-13</v>
      </c>
      <c r="JJ12" s="26" t="str">
        <f t="shared" si="27"/>
        <v>0000000001000100</v>
      </c>
      <c r="JK12" s="26" t="str">
        <f t="shared" si="28"/>
        <v>0000000001000000</v>
      </c>
      <c r="JL12" s="77">
        <f>MID(JJ12,16,1)*POWER(2,0)+MID(JJ12,15,1)*POWER(2,1)+MID(JJ12,14,1)*POWER(2,2)+MID(JJ12,13,1)*POWER(2,3)+MID(JJ12,12,1)*POWER(2,4)+MID(JJ12,11,1)*POWER(2,5)+MID(JJ12,10,1)*POWER(2,6)+MID(JJ12,9,1)*POWER(2,7)+MID(JJ12,8,1)*POWER(2,8)+MID(JJ12,7,1)*POWER(2,9)+MID(JJ12,6,1)*POWER(2,10)+MID(JJ12,5,1)*POWER(2,11)+MID(JJ12,4,1)*POWER(2,12)+MID(JJ12,3,1)*POWER(2,13)+MID(JJ12,2,1)*POWER(2,14)+MID(JJ12,1,1)*POWER(2,15)-(MID(JJ13,16,1)*POWER(2,0)+MID(JJ13,15,1)*POWER(2,1)+MID(JJ13,14,1)*POWER(2,2)+MID(JJ13,13,1)*POWER(2,3)+MID(JJ13,12,1)*POWER(2,4)+MID(JJ13,11,1)*POWER(2,5)+MID(JJ13,10,1)*POWER(2,6)+MID(JJ13,9,1)*POWER(2,7)+MID(JJ13,8,1)*POWER(2,8)+MID(JJ13,7,1)*POWER(2,9)+MID(JJ13,6,1)*POWER(2,10)+MID(JJ13,5,1)*POWER(2,11)+MID(JJ13,4,1)*POWER(2,12)+MID(JJ13,3,1)*POWER(2,13)+MID(JJ13,2,1)*POWER(2,14)+MID(JJ13,1,1)*POWER(2,15))</f>
        <v>-23680</v>
      </c>
      <c r="JM12" s="77">
        <f>MID(JK12,16,1)*POWER(2,0)+MID(JK12,15,1)*POWER(2,1)+MID(JK12,14,1)*POWER(2,2)+MID(JK12,13,1)*POWER(2,3)+MID(JK12,12,1)*POWER(2,4)+MID(JK12,11,1)*POWER(2,5)+MID(JK12,10,1)*POWER(2,6)+MID(JK12,9,1)*POWER(2,7)+MID(JK12,8,1)*POWER(2,8)+MID(JK12,7,1)*POWER(2,9)+MID(JK12,6,1)*POWER(2,10)+MID(JK12,5,1)*POWER(2,11)+MID(JK12,4,1)*POWER(2,12)+MID(JK12,3,1)*POWER(2,13)+MID(JK12,2,1)*POWER(2,14)+MID(JK12,1,1)*POWER(2,15)-(MID(JK13,16,1)*POWER(2,0)+MID(JK13,15,1)*POWER(2,1)+MID(JK13,14,1)*POWER(2,2)+MID(JK13,13,1)*POWER(2,3)+MID(JK13,12,1)*POWER(2,4)+MID(JK13,11,1)*POWER(2,5)+MID(JK13,10,1)*POWER(2,6)+MID(JK13,9,1)*POWER(2,7)+MID(JK13,8,1)*POWER(2,8)+MID(JK13,7,1)*POWER(2,9)+MID(JK13,6,1)*POWER(2,10)+MID(JK13,5,1)*POWER(2,11)+MID(JK13,4,1)*POWER(2,12)+MID(JK13,3,1)*POWER(2,13)+MID(JK13,2,1)*POWER(2,14)+MID(JK13,1,1)*POWER(2,15))</f>
        <v>-41133</v>
      </c>
      <c r="JN12" s="45" t="str">
        <f>CONCATENATE(MID(IK12,1,1)*MID($K12,1,1),MID(IK12,2,1)*MID($K12,2,1),MID(IK12,3,1)*MID($K12,3,1),MID(IK12,4,1)*MID($K12,4,1),MID(IK12,5,1)*MID($K12,5,1),MID(IK12,6,1)*MID($K12,6,1),MID(IK12,7,1)*MID($K12,7,1),MID(IK12,8,1)*MID($K12,8,1),MID(IK12,9,1)*MID($K12,1,1),MID(IK12,10,1)*MID($K12,2,1),MID(IK12,11,1)*MID($K12,3,1),MID(IK12,12,1)*MID($K12,4,1),MID(IK12,13,1)*MID($K12,5,1),MID(IK12,14,1)*MID($K12,6,1),MID(IK12,15,1)*MID($K12,7,1),MID(IK12,16,1)*MID($K12,8,1),MID(IK12,17,1)*MID($K12,1,1),MID(IK12,18,1)*MID($K12,2,1),MID(IK12,19,1)*MID($K12,3,1),MID(IK12,20,1)*MID($K12,4,1),MID(IK12,21,1)*MID($K12,5,1),MID(IK12,22,1)*MID($K12,6,1),MID(IK12,23,1)*MID($K12,7,1),MID(IK12,24,1)*MID($K12,8,1),MID(IK12,25,1)*MID($K12,1,1),MID(IK12,26,1)*MID($K12,2,1),MID(IK12,27,1)*MID($K12,3,1),MID(IK12,28,1)*MID($K12,4,1),MID(IK12,29,1)*MID($K12,5,1),MID(IK12,30,1)*MID($K12,6,1),MID(IK12,31,1)*MID($K12,7,1),MID(IK12,32,1)*MID($K12,8,1))</f>
        <v>00000000010001000000000001000000</v>
      </c>
      <c r="JO12" s="26" t="str">
        <f t="shared" si="188"/>
        <v>00000000</v>
      </c>
      <c r="JP12" s="26" t="str">
        <f t="shared" si="141"/>
        <v>01000100</v>
      </c>
      <c r="JQ12" s="26" t="str">
        <f t="shared" si="142"/>
        <v>00000000</v>
      </c>
      <c r="JR12" s="26" t="str">
        <f t="shared" si="143"/>
        <v>01000000</v>
      </c>
      <c r="JS12" s="77">
        <f>BIN2DEC(JO12)-BIN2DEC(JO13)</f>
        <v>-92</v>
      </c>
      <c r="JT12" s="77">
        <f>BIN2DEC(JP12)-BIN2DEC(JP13)</f>
        <v>-128</v>
      </c>
      <c r="JU12" s="77">
        <f>BIN2DEC(JQ12)-BIN2DEC(JQ13)</f>
        <v>-160</v>
      </c>
      <c r="JV12" s="77">
        <f>BIN2DEC(JR12)-BIN2DEC(JR13)</f>
        <v>-173</v>
      </c>
      <c r="JW12" s="27" t="str">
        <f t="shared" si="144"/>
        <v>1001</v>
      </c>
      <c r="JX12" s="27" t="str">
        <f t="shared" si="145"/>
        <v>0011</v>
      </c>
      <c r="JY12" s="27" t="str">
        <f t="shared" si="146"/>
        <v>0101</v>
      </c>
      <c r="JZ12" s="27" t="str">
        <f t="shared" si="147"/>
        <v>1111</v>
      </c>
      <c r="KA12" s="27" t="str">
        <f t="shared" si="148"/>
        <v>0001</v>
      </c>
      <c r="KB12" s="27" t="str">
        <f t="shared" si="149"/>
        <v>0000</v>
      </c>
      <c r="KC12" s="27" t="str">
        <f t="shared" si="150"/>
        <v>1100</v>
      </c>
      <c r="KD12" s="27" t="str">
        <f t="shared" si="151"/>
        <v>0000</v>
      </c>
      <c r="KE12" s="77">
        <f t="shared" ref="KE12:KL12" si="239">BIN2DEC(JW12)-BIN2DEC(JW13)</f>
        <v>4</v>
      </c>
      <c r="KF12" s="77">
        <f t="shared" si="239"/>
        <v>-9</v>
      </c>
      <c r="KG12" s="77">
        <f t="shared" si="239"/>
        <v>-7</v>
      </c>
      <c r="KH12" s="77">
        <f t="shared" si="239"/>
        <v>11</v>
      </c>
      <c r="KI12" s="77">
        <f t="shared" si="239"/>
        <v>-9</v>
      </c>
      <c r="KJ12" s="77">
        <f t="shared" si="239"/>
        <v>0</v>
      </c>
      <c r="KK12" s="77">
        <f t="shared" si="239"/>
        <v>-2</v>
      </c>
      <c r="KL12" s="77">
        <f t="shared" si="239"/>
        <v>-13</v>
      </c>
      <c r="KM12" s="26" t="str">
        <f t="shared" si="30"/>
        <v>0000000001000100</v>
      </c>
      <c r="KN12" s="26" t="str">
        <f t="shared" si="31"/>
        <v>0000000001000000</v>
      </c>
      <c r="KO12" s="77">
        <f>MID(KM12,16,1)*POWER(2,0)+MID(KM12,15,1)*POWER(2,1)+MID(KM12,14,1)*POWER(2,2)+MID(KM12,13,1)*POWER(2,3)+MID(KM12,12,1)*POWER(2,4)+MID(KM12,11,1)*POWER(2,5)+MID(KM12,10,1)*POWER(2,6)+MID(KM12,9,1)*POWER(2,7)+MID(KM12,8,1)*POWER(2,8)+MID(KM12,7,1)*POWER(2,9)+MID(KM12,6,1)*POWER(2,10)+MID(KM12,5,1)*POWER(2,11)+MID(KM12,4,1)*POWER(2,12)+MID(KM12,3,1)*POWER(2,13)+MID(KM12,2,1)*POWER(2,14)+MID(KM12,1,1)*POWER(2,15)-(MID(KM13,16,1)*POWER(2,0)+MID(KM13,15,1)*POWER(2,1)+MID(KM13,14,1)*POWER(2,2)+MID(KM13,13,1)*POWER(2,3)+MID(KM13,12,1)*POWER(2,4)+MID(KM13,11,1)*POWER(2,5)+MID(KM13,10,1)*POWER(2,6)+MID(KM13,9,1)*POWER(2,7)+MID(KM13,8,1)*POWER(2,8)+MID(KM13,7,1)*POWER(2,9)+MID(KM13,6,1)*POWER(2,10)+MID(KM13,5,1)*POWER(2,11)+MID(KM13,4,1)*POWER(2,12)+MID(KM13,3,1)*POWER(2,13)+MID(KM13,2,1)*POWER(2,14)+MID(KM13,1,1)*POWER(2,15))</f>
        <v>-23680</v>
      </c>
      <c r="KP12" s="77">
        <f>MID(KN12,16,1)*POWER(2,0)+MID(KN12,15,1)*POWER(2,1)+MID(KN12,14,1)*POWER(2,2)+MID(KN12,13,1)*POWER(2,3)+MID(KN12,12,1)*POWER(2,4)+MID(KN12,11,1)*POWER(2,5)+MID(KN12,10,1)*POWER(2,6)+MID(KN12,9,1)*POWER(2,7)+MID(KN12,8,1)*POWER(2,8)+MID(KN12,7,1)*POWER(2,9)+MID(KN12,6,1)*POWER(2,10)+MID(KN12,5,1)*POWER(2,11)+MID(KN12,4,1)*POWER(2,12)+MID(KN12,3,1)*POWER(2,13)+MID(KN12,2,1)*POWER(2,14)+MID(KN12,1,1)*POWER(2,15)-(MID(KN13,16,1)*POWER(2,0)+MID(KN13,15,1)*POWER(2,1)+MID(KN13,14,1)*POWER(2,2)+MID(KN13,13,1)*POWER(2,3)+MID(KN13,12,1)*POWER(2,4)+MID(KN13,11,1)*POWER(2,5)+MID(KN13,10,1)*POWER(2,6)+MID(KN13,9,1)*POWER(2,7)+MID(KN13,8,1)*POWER(2,8)+MID(KN13,7,1)*POWER(2,9)+MID(KN13,6,1)*POWER(2,10)+MID(KN13,5,1)*POWER(2,11)+MID(KN13,4,1)*POWER(2,12)+MID(KN13,3,1)*POWER(2,13)+MID(KN13,2,1)*POWER(2,14)+MID(KN13,1,1)*POWER(2,15))</f>
        <v>-41133</v>
      </c>
      <c r="KQ12" s="47" t="str">
        <f>IK12</f>
        <v>00000000010001000000000001000000</v>
      </c>
      <c r="KR12" s="26" t="str">
        <f t="shared" si="190"/>
        <v>00000000</v>
      </c>
      <c r="KS12" s="26" t="str">
        <f t="shared" si="152"/>
        <v>01000100</v>
      </c>
      <c r="KT12" s="26" t="str">
        <f t="shared" si="153"/>
        <v>00000000</v>
      </c>
      <c r="KU12" s="26" t="str">
        <f t="shared" si="154"/>
        <v>01000000</v>
      </c>
      <c r="KV12" s="77">
        <f>BIN2DEC(KR12)-BIN2DEC(KR13)</f>
        <v>-68</v>
      </c>
      <c r="KW12" s="77">
        <f>BIN2DEC(KS12)-BIN2DEC(KS13)</f>
        <v>0</v>
      </c>
      <c r="KX12" s="77">
        <f>BIN2DEC(KT12)-BIN2DEC(KT13)</f>
        <v>-32</v>
      </c>
      <c r="KY12" s="77">
        <f>BIN2DEC(KU12)-BIN2DEC(KU13)</f>
        <v>-36</v>
      </c>
      <c r="KZ12" s="27" t="str">
        <f t="shared" si="155"/>
        <v>1001</v>
      </c>
      <c r="LA12" s="27" t="str">
        <f t="shared" si="156"/>
        <v>0011</v>
      </c>
      <c r="LB12" s="27" t="str">
        <f t="shared" si="157"/>
        <v>0101</v>
      </c>
      <c r="LC12" s="27" t="str">
        <f t="shared" si="158"/>
        <v>1111</v>
      </c>
      <c r="LD12" s="27" t="str">
        <f t="shared" si="159"/>
        <v>0001</v>
      </c>
      <c r="LE12" s="27" t="str">
        <f t="shared" si="160"/>
        <v>0000</v>
      </c>
      <c r="LF12" s="27" t="str">
        <f t="shared" si="161"/>
        <v>1100</v>
      </c>
      <c r="LG12" s="27" t="str">
        <f t="shared" si="162"/>
        <v>0000</v>
      </c>
      <c r="LH12" s="77">
        <f t="shared" ref="LH12:LO12" si="240">BIN2DEC(KZ12)-BIN2DEC(KZ13)</f>
        <v>4</v>
      </c>
      <c r="LI12" s="77">
        <f t="shared" si="240"/>
        <v>-9</v>
      </c>
      <c r="LJ12" s="77">
        <f t="shared" si="240"/>
        <v>-7</v>
      </c>
      <c r="LK12" s="77">
        <f t="shared" si="240"/>
        <v>11</v>
      </c>
      <c r="LL12" s="77">
        <f t="shared" si="240"/>
        <v>-9</v>
      </c>
      <c r="LM12" s="77">
        <f t="shared" si="240"/>
        <v>0</v>
      </c>
      <c r="LN12" s="77">
        <f t="shared" si="240"/>
        <v>-2</v>
      </c>
      <c r="LO12" s="77">
        <f t="shared" si="240"/>
        <v>-13</v>
      </c>
      <c r="LP12" s="26" t="str">
        <f t="shared" si="33"/>
        <v>0000000001000100</v>
      </c>
      <c r="LQ12" s="26" t="str">
        <f t="shared" si="34"/>
        <v>0000000001000000</v>
      </c>
      <c r="LR12" s="77">
        <f>MID(LP12,16,1)*POWER(2,0)+MID(LP12,15,1)*POWER(2,1)+MID(LP12,14,1)*POWER(2,2)+MID(LP12,13,1)*POWER(2,3)+MID(LP12,12,1)*POWER(2,4)+MID(LP12,11,1)*POWER(2,5)+MID(LP12,10,1)*POWER(2,6)+MID(LP12,9,1)*POWER(2,7)+MID(LP12,8,1)*POWER(2,8)+MID(LP12,7,1)*POWER(2,9)+MID(LP12,6,1)*POWER(2,10)+MID(LP12,5,1)*POWER(2,11)+MID(LP12,4,1)*POWER(2,12)+MID(LP12,3,1)*POWER(2,13)+MID(LP12,2,1)*POWER(2,14)+MID(LP12,1,1)*POWER(2,15)-(MID(LP13,16,1)*POWER(2,0)+MID(LP13,15,1)*POWER(2,1)+MID(LP13,14,1)*POWER(2,2)+MID(LP13,13,1)*POWER(2,3)+MID(LP13,12,1)*POWER(2,4)+MID(LP13,11,1)*POWER(2,5)+MID(LP13,10,1)*POWER(2,6)+MID(LP13,9,1)*POWER(2,7)+MID(LP13,8,1)*POWER(2,8)+MID(LP13,7,1)*POWER(2,9)+MID(LP13,6,1)*POWER(2,10)+MID(LP13,5,1)*POWER(2,11)+MID(LP13,4,1)*POWER(2,12)+MID(LP13,3,1)*POWER(2,13)+MID(LP13,2,1)*POWER(2,14)+MID(LP13,1,1)*POWER(2,15))</f>
        <v>-17408</v>
      </c>
      <c r="LS12" s="77">
        <f>MID(LQ12,16,1)*POWER(2,0)+MID(LQ12,15,1)*POWER(2,1)+MID(LQ12,14,1)*POWER(2,2)+MID(LQ12,13,1)*POWER(2,3)+MID(LQ12,12,1)*POWER(2,4)+MID(LQ12,11,1)*POWER(2,5)+MID(LQ12,10,1)*POWER(2,6)+MID(LQ12,9,1)*POWER(2,7)+MID(LQ12,8,1)*POWER(2,8)+MID(LQ12,7,1)*POWER(2,9)+MID(LQ12,6,1)*POWER(2,10)+MID(LQ12,5,1)*POWER(2,11)+MID(LQ12,4,1)*POWER(2,12)+MID(LQ12,3,1)*POWER(2,13)+MID(LQ12,2,1)*POWER(2,14)+MID(LQ12,1,1)*POWER(2,15)-(MID(LQ13,16,1)*POWER(2,0)+MID(LQ13,15,1)*POWER(2,1)+MID(LQ13,14,1)*POWER(2,2)+MID(LQ13,13,1)*POWER(2,3)+MID(LQ13,12,1)*POWER(2,4)+MID(LQ13,11,1)*POWER(2,5)+MID(LQ13,10,1)*POWER(2,6)+MID(LQ13,9,1)*POWER(2,7)+MID(LQ13,8,1)*POWER(2,8)+MID(LQ13,7,1)*POWER(2,9)+MID(LQ13,6,1)*POWER(2,10)+MID(LQ13,5,1)*POWER(2,11)+MID(LQ13,4,1)*POWER(2,12)+MID(LQ13,3,1)*POWER(2,13)+MID(LQ13,2,1)*POWER(2,14)+MID(LQ13,1,1)*POWER(2,15))</f>
        <v>-8228</v>
      </c>
      <c r="LT12" s="43" t="str">
        <f>JN12</f>
        <v>00000000010001000000000001000000</v>
      </c>
      <c r="LU12" s="26" t="str">
        <f t="shared" si="192"/>
        <v>00000000</v>
      </c>
      <c r="LV12" s="26" t="str">
        <f t="shared" si="163"/>
        <v>01000100</v>
      </c>
      <c r="LW12" s="26" t="str">
        <f t="shared" si="164"/>
        <v>00000000</v>
      </c>
      <c r="LX12" s="26" t="str">
        <f t="shared" si="165"/>
        <v>01000000</v>
      </c>
      <c r="LY12" s="77">
        <f>BIN2DEC(LU12)-BIN2DEC(LU13)</f>
        <v>0</v>
      </c>
      <c r="LZ12" s="77">
        <f>BIN2DEC(LV12)-BIN2DEC(LV13)</f>
        <v>68</v>
      </c>
      <c r="MA12" s="77">
        <f>BIN2DEC(LW12)-BIN2DEC(LW13)</f>
        <v>-32</v>
      </c>
      <c r="MB12" s="77">
        <f>BIN2DEC(LX12)-BIN2DEC(LX13)</f>
        <v>31</v>
      </c>
      <c r="MC12" s="27" t="str">
        <f t="shared" si="166"/>
        <v>1001</v>
      </c>
      <c r="MD12" s="27" t="str">
        <f t="shared" si="167"/>
        <v>0011</v>
      </c>
      <c r="ME12" s="27" t="str">
        <f t="shared" si="168"/>
        <v>0101</v>
      </c>
      <c r="MF12" s="27" t="str">
        <f t="shared" si="169"/>
        <v>1111</v>
      </c>
      <c r="MG12" s="27" t="str">
        <f t="shared" si="170"/>
        <v>0001</v>
      </c>
      <c r="MH12" s="27" t="str">
        <f t="shared" si="171"/>
        <v>0000</v>
      </c>
      <c r="MI12" s="27" t="str">
        <f t="shared" si="172"/>
        <v>1100</v>
      </c>
      <c r="MJ12" s="27" t="str">
        <f t="shared" si="173"/>
        <v>0000</v>
      </c>
      <c r="MK12" s="77">
        <f t="shared" ref="MK12:MR12" si="241">BIN2DEC(MC12)-BIN2DEC(MC13)</f>
        <v>4</v>
      </c>
      <c r="ML12" s="77">
        <f t="shared" si="241"/>
        <v>-9</v>
      </c>
      <c r="MM12" s="77">
        <f t="shared" si="241"/>
        <v>-7</v>
      </c>
      <c r="MN12" s="77">
        <f t="shared" si="241"/>
        <v>11</v>
      </c>
      <c r="MO12" s="77">
        <f t="shared" si="241"/>
        <v>-9</v>
      </c>
      <c r="MP12" s="77">
        <f t="shared" si="241"/>
        <v>0</v>
      </c>
      <c r="MQ12" s="77">
        <f t="shared" si="241"/>
        <v>-2</v>
      </c>
      <c r="MR12" s="77">
        <f t="shared" si="241"/>
        <v>-13</v>
      </c>
      <c r="MS12" s="26" t="str">
        <f t="shared" si="36"/>
        <v>0000000001000100</v>
      </c>
      <c r="MT12" s="26" t="str">
        <f t="shared" si="37"/>
        <v>0000000001000000</v>
      </c>
      <c r="MU12" s="77">
        <f>MID(MS12,16,1)*POWER(2,0)+MID(MS12,15,1)*POWER(2,1)+MID(MS12,14,1)*POWER(2,2)+MID(MS12,13,1)*POWER(2,3)+MID(MS12,12,1)*POWER(2,4)+MID(MS12,11,1)*POWER(2,5)+MID(MS12,10,1)*POWER(2,6)+MID(MS12,9,1)*POWER(2,7)+MID(MS12,8,1)*POWER(2,8)+MID(MS12,7,1)*POWER(2,9)+MID(MS12,6,1)*POWER(2,10)+MID(MS12,5,1)*POWER(2,11)+MID(MS12,4,1)*POWER(2,12)+MID(MS12,3,1)*POWER(2,13)+MID(MS12,2,1)*POWER(2,14)+MID(MS12,1,1)*POWER(2,15)-(MID(MS13,16,1)*POWER(2,0)+MID(MS13,15,1)*POWER(2,1)+MID(MS13,14,1)*POWER(2,2)+MID(MS13,13,1)*POWER(2,3)+MID(MS13,12,1)*POWER(2,4)+MID(MS13,11,1)*POWER(2,5)+MID(MS13,10,1)*POWER(2,6)+MID(MS13,9,1)*POWER(2,7)+MID(MS13,8,1)*POWER(2,8)+MID(MS13,7,1)*POWER(2,9)+MID(MS13,6,1)*POWER(2,10)+MID(MS13,5,1)*POWER(2,11)+MID(MS13,4,1)*POWER(2,12)+MID(MS13,3,1)*POWER(2,13)+MID(MS13,2,1)*POWER(2,14)+MID(MS13,1,1)*POWER(2,15))</f>
        <v>68</v>
      </c>
      <c r="MV12" s="77">
        <f>MID(MT12,16,1)*POWER(2,0)+MID(MT12,15,1)*POWER(2,1)+MID(MT12,14,1)*POWER(2,2)+MID(MT12,13,1)*POWER(2,3)+MID(MT12,12,1)*POWER(2,4)+MID(MT12,11,1)*POWER(2,5)+MID(MT12,10,1)*POWER(2,6)+MID(MT12,9,1)*POWER(2,7)+MID(MT12,8,1)*POWER(2,8)+MID(MT12,7,1)*POWER(2,9)+MID(MT12,6,1)*POWER(2,10)+MID(MT12,5,1)*POWER(2,11)+MID(MT12,4,1)*POWER(2,12)+MID(MT12,3,1)*POWER(2,13)+MID(MT12,2,1)*POWER(2,14)+MID(MT12,1,1)*POWER(2,15)-(MID(MT13,16,1)*POWER(2,0)+MID(MT13,15,1)*POWER(2,1)+MID(MT13,14,1)*POWER(2,2)+MID(MT13,13,1)*POWER(2,3)+MID(MT13,12,1)*POWER(2,4)+MID(MT13,11,1)*POWER(2,5)+MID(MT13,10,1)*POWER(2,6)+MID(MT13,9,1)*POWER(2,7)+MID(MT13,8,1)*POWER(2,8)+MID(MT13,7,1)*POWER(2,9)+MID(MT13,6,1)*POWER(2,10)+MID(MT13,5,1)*POWER(2,11)+MID(MT13,4,1)*POWER(2,12)+MID(MT13,3,1)*POWER(2,13)+MID(MT13,2,1)*POWER(2,14)+MID(MT13,1,1)*POWER(2,15))</f>
        <v>-8161</v>
      </c>
    </row>
    <row r="13" spans="1:360" s="31" customFormat="1" ht="18.600000000000001" thickBot="1" x14ac:dyDescent="0.4">
      <c r="A13" s="28"/>
      <c r="B13" s="29"/>
      <c r="C13" s="21" t="s">
        <v>6</v>
      </c>
      <c r="D13" s="21" t="s">
        <v>157</v>
      </c>
      <c r="E13" s="21">
        <v>18</v>
      </c>
      <c r="F13" s="21" t="s">
        <v>155</v>
      </c>
      <c r="G13" s="21" t="s">
        <v>147</v>
      </c>
      <c r="H13" s="21" t="str">
        <f t="shared" si="0"/>
        <v>10001011000110001011010010011101</v>
      </c>
      <c r="I13" s="21">
        <f t="shared" si="1"/>
        <v>15</v>
      </c>
      <c r="J13" s="21"/>
      <c r="K13" s="21"/>
      <c r="L13" s="44" t="str">
        <f>CONCATENATE(MID(H13,4,5),MID(H13,25,3),MID(H13,12,5),MID(H13,1,3),MID(H13,20,5),MID(H13,9,3),MID(H13,28,5),MID(H13,17,3))</f>
        <v>01011100110001001010000011101101</v>
      </c>
      <c r="M13" s="26" t="str">
        <f t="shared" si="38"/>
        <v>01011</v>
      </c>
      <c r="N13" s="26" t="str">
        <f t="shared" si="39"/>
        <v>11000</v>
      </c>
      <c r="O13" s="26" t="str">
        <f t="shared" si="40"/>
        <v>10100</v>
      </c>
      <c r="P13" s="26" t="str">
        <f t="shared" si="41"/>
        <v>11101</v>
      </c>
      <c r="Q13" s="78"/>
      <c r="R13" s="78"/>
      <c r="S13" s="78"/>
      <c r="T13" s="78"/>
      <c r="U13" s="31" t="str">
        <f t="shared" si="42"/>
        <v>0101</v>
      </c>
      <c r="V13" s="31" t="str">
        <f t="shared" si="43"/>
        <v>1100</v>
      </c>
      <c r="W13" s="31" t="str">
        <f t="shared" si="44"/>
        <v>1100</v>
      </c>
      <c r="X13" s="31" t="str">
        <f t="shared" si="45"/>
        <v>0100</v>
      </c>
      <c r="Y13" s="31" t="str">
        <f t="shared" si="46"/>
        <v>1010</v>
      </c>
      <c r="Z13" s="31" t="str">
        <f t="shared" si="47"/>
        <v>0000</v>
      </c>
      <c r="AA13" s="31" t="str">
        <f t="shared" si="48"/>
        <v>1110</v>
      </c>
      <c r="AB13" s="31" t="str">
        <f t="shared" si="49"/>
        <v>1101</v>
      </c>
      <c r="AC13" s="78"/>
      <c r="AD13" s="78"/>
      <c r="AE13" s="78"/>
      <c r="AF13" s="78"/>
      <c r="AG13" s="78"/>
      <c r="AH13" s="78"/>
      <c r="AI13" s="78"/>
      <c r="AJ13" s="78"/>
      <c r="AK13" s="30" t="str">
        <f t="shared" si="3"/>
        <v>0101110011000100</v>
      </c>
      <c r="AL13" s="30" t="str">
        <f t="shared" si="4"/>
        <v>1010000011101101</v>
      </c>
      <c r="AM13" s="78"/>
      <c r="AN13" s="78"/>
      <c r="AO13" s="46" t="str">
        <f>CONCATENATE(MID($L13,1,1)*MID($K12,1,1),MID($L13,2,1)*MID($K12,2,1),MID($L13,3,1)*MID($K12,3,1),MID($L13,4,1)*MID($K12,4,1),MID($L13,5,1)*MID($K12,5,1),MID($L13,6,1)*MID($K12,6,1),MID($L13,7,1)*MID($K12,7,1),MID($L13,8,1)*MID($K12,8,1),MID($L13,9,1)*MID($K12,1,1),MID($L13,10,1)*MID($K12,2,1),MID($L13,11,1)*MID($K12,3,1),MID($L13,12,1)*MID($K12,4,1),MID($L13,13,1)*MID($K12,5,1),MID($L13,14,1)*MID($K12,6,1),MID($L13,15,1)*MID($K12,7,1),MID($L13,16,1)*MID($K12,8,1),MID($L13,17,1)*MID($K12,1,1),MID($L13,18,1)*MID($K12,2,1),MID($L13,19,1)*MID($K12,3,1),MID($L13,20,1)*MID($K12,4,1),MID($L13,21,1)*MID($K12,5,1),MID($L13,22,1)*MID($K12,6,1),MID($L13,23,1)*MID($K12,7,1),MID($L13,24,1)*MID($K12,8,1),MID($L13,25,1)*MID($K12,1,1),MID($L13,26,1)*MID($K12,2,1),MID($L13,27,1)*MID($K12,3,1),MID($L13,28,1)*MID($K12,4,1),MID($L13,29,1)*MID($K12,5,1),MID($L13,30,1)*MID($K12,6,1),MID($L13,31,1)*MID($K12,7,1),MID($L13,32,1)*MID($K12,8,1))</f>
        <v>01000100010001000010000001100100</v>
      </c>
      <c r="AP13" s="30" t="str">
        <f t="shared" si="50"/>
        <v>01000100</v>
      </c>
      <c r="AQ13" s="30" t="str">
        <f t="shared" si="51"/>
        <v>01000100</v>
      </c>
      <c r="AR13" s="30" t="str">
        <f t="shared" si="52"/>
        <v>00100000</v>
      </c>
      <c r="AS13" s="30" t="str">
        <f t="shared" si="53"/>
        <v>01100100</v>
      </c>
      <c r="AT13" s="78"/>
      <c r="AU13" s="78"/>
      <c r="AV13" s="78"/>
      <c r="AW13" s="78"/>
      <c r="AX13" s="31" t="str">
        <f t="shared" si="54"/>
        <v>0101</v>
      </c>
      <c r="AY13" s="31" t="str">
        <f t="shared" si="55"/>
        <v>1100</v>
      </c>
      <c r="AZ13" s="31" t="str">
        <f t="shared" si="56"/>
        <v>1100</v>
      </c>
      <c r="BA13" s="31" t="str">
        <f t="shared" si="57"/>
        <v>0100</v>
      </c>
      <c r="BB13" s="31" t="str">
        <f t="shared" si="58"/>
        <v>1010</v>
      </c>
      <c r="BC13" s="31" t="str">
        <f t="shared" si="59"/>
        <v>0000</v>
      </c>
      <c r="BD13" s="31" t="str">
        <f t="shared" si="60"/>
        <v>1110</v>
      </c>
      <c r="BE13" s="31" t="str">
        <f t="shared" si="61"/>
        <v>1101</v>
      </c>
      <c r="BF13" s="78"/>
      <c r="BG13" s="78"/>
      <c r="BH13" s="78"/>
      <c r="BI13" s="78"/>
      <c r="BJ13" s="78"/>
      <c r="BK13" s="78"/>
      <c r="BL13" s="78"/>
      <c r="BM13" s="78"/>
      <c r="BN13" s="30" t="str">
        <f t="shared" si="6"/>
        <v>0100010001000100</v>
      </c>
      <c r="BO13" s="30" t="str">
        <f t="shared" si="7"/>
        <v>0010000001100100</v>
      </c>
      <c r="BP13" s="78"/>
      <c r="BQ13" s="78"/>
      <c r="BR13" s="46" t="str">
        <f>L13</f>
        <v>01011100110001001010000011101101</v>
      </c>
      <c r="BS13" s="30" t="str">
        <f t="shared" si="62"/>
        <v>01011100</v>
      </c>
      <c r="BT13" s="30" t="str">
        <f t="shared" si="63"/>
        <v>11000100</v>
      </c>
      <c r="BU13" s="30" t="str">
        <f t="shared" si="64"/>
        <v>10100000</v>
      </c>
      <c r="BV13" s="30" t="str">
        <f t="shared" si="65"/>
        <v>11101101</v>
      </c>
      <c r="BW13" s="78"/>
      <c r="BX13" s="78"/>
      <c r="BY13" s="78"/>
      <c r="BZ13" s="78"/>
      <c r="CA13" s="31" t="str">
        <f t="shared" si="66"/>
        <v>0101</v>
      </c>
      <c r="CB13" s="31" t="str">
        <f t="shared" si="67"/>
        <v>1100</v>
      </c>
      <c r="CC13" s="31" t="str">
        <f t="shared" si="68"/>
        <v>1100</v>
      </c>
      <c r="CD13" s="31" t="str">
        <f t="shared" si="69"/>
        <v>0100</v>
      </c>
      <c r="CE13" s="31" t="str">
        <f t="shared" si="70"/>
        <v>1010</v>
      </c>
      <c r="CF13" s="31" t="str">
        <f t="shared" si="71"/>
        <v>0000</v>
      </c>
      <c r="CG13" s="31" t="str">
        <f t="shared" si="72"/>
        <v>1110</v>
      </c>
      <c r="CH13" s="31" t="str">
        <f t="shared" si="73"/>
        <v>1101</v>
      </c>
      <c r="CI13" s="78"/>
      <c r="CJ13" s="78"/>
      <c r="CK13" s="78"/>
      <c r="CL13" s="78"/>
      <c r="CM13" s="78"/>
      <c r="CN13" s="78"/>
      <c r="CO13" s="78"/>
      <c r="CP13" s="78"/>
      <c r="CQ13" s="30" t="str">
        <f t="shared" si="9"/>
        <v>0101110011000100</v>
      </c>
      <c r="CR13" s="30" t="str">
        <f t="shared" si="10"/>
        <v>1010000011101101</v>
      </c>
      <c r="CS13" s="78"/>
      <c r="CT13" s="78"/>
      <c r="CU13" s="46" t="str">
        <f>AO13</f>
        <v>01000100010001000010000001100100</v>
      </c>
      <c r="CV13" s="30" t="str">
        <f t="shared" si="74"/>
        <v>01000100</v>
      </c>
      <c r="CW13" s="30" t="str">
        <f t="shared" si="75"/>
        <v>01000100</v>
      </c>
      <c r="CX13" s="30" t="str">
        <f t="shared" si="76"/>
        <v>00100000</v>
      </c>
      <c r="CY13" s="30" t="str">
        <f t="shared" si="77"/>
        <v>01100100</v>
      </c>
      <c r="CZ13" s="78"/>
      <c r="DA13" s="78"/>
      <c r="DB13" s="78"/>
      <c r="DC13" s="78"/>
      <c r="DD13" s="31" t="str">
        <f t="shared" si="78"/>
        <v>0101</v>
      </c>
      <c r="DE13" s="31" t="str">
        <f t="shared" si="79"/>
        <v>1100</v>
      </c>
      <c r="DF13" s="31" t="str">
        <f t="shared" si="80"/>
        <v>1100</v>
      </c>
      <c r="DG13" s="31" t="str">
        <f t="shared" si="81"/>
        <v>0100</v>
      </c>
      <c r="DH13" s="31" t="str">
        <f t="shared" si="82"/>
        <v>1010</v>
      </c>
      <c r="DI13" s="31" t="str">
        <f t="shared" si="83"/>
        <v>0000</v>
      </c>
      <c r="DJ13" s="31" t="str">
        <f t="shared" si="84"/>
        <v>1110</v>
      </c>
      <c r="DK13" s="31" t="str">
        <f t="shared" si="85"/>
        <v>1101</v>
      </c>
      <c r="DL13" s="78"/>
      <c r="DM13" s="78"/>
      <c r="DN13" s="78"/>
      <c r="DO13" s="78"/>
      <c r="DP13" s="78"/>
      <c r="DQ13" s="78"/>
      <c r="DR13" s="78"/>
      <c r="DS13" s="78"/>
      <c r="DT13" s="30" t="str">
        <f t="shared" si="12"/>
        <v>0100010001000100</v>
      </c>
      <c r="DU13" s="30" t="str">
        <f t="shared" si="13"/>
        <v>0010000001100100</v>
      </c>
      <c r="DV13" s="78"/>
      <c r="DW13" s="78"/>
      <c r="DX13" s="23" t="str">
        <f>CONCATENATE(MID($H13,1,1)*MID($K12,1,1),MID($H13,2,1)*MID($K12,2,1),MID($H13,3,1)*MID($K12,3,1),MID($H13,4,1)*MID($K12,4,1),MID($H13,5,1)*MID($K12,5,1),MID($H13,6,1)*MID($K12,6,1),MID($H13,7,1)*MID($K12,7,1),MID($H13,8,1)*MID($K12,8,1),MID($H13,9,1)*MID($K12,1,1),MID($H13,10,1)*MID($K12,2,1),MID($H13,11,1)*MID($K12,3,1),MID($H13,12,1)*MID($K12,4,1),MID($H13,13,1)*MID($K12,5,1),MID($H13,14,1)*MID($K12,6,1),MID($H13,15,1)*MID($K12,7,1),MID($H13,16,1)*MID($K12,8,1),MID($H13,17,1)*MID($K12,1,1),MID($H13,18,1)*MID($K12,2,1),MID($H13,19,1)*MID($K12,3,1),MID($H13,20,1)*MID($K12,4,1),MID($H13,21,1)*MID($K12,5,1),MID($H13,22,1)*MID($K12,6,1),MID($H13,23,1)*MID($K12,7,1),MID($H13,24,1)*MID($K12,8,1),MID($H13,25,1)*MID($K12,1,1),MID($H13,26,1)*MID($K12,2,1),MID($H13,27,1)*MID($K12,3,1),MID($H13,28,1)*MID($K12,4,1),MID($H13,29,1)*MID($K12,5,1),MID($H13,30,1)*MID($K12,6,1),MID($H13,31,1)*MID($K12,7,1),MID($H13,32,1)*MID($K12,8,1))</f>
        <v>00000000000000000010010000000100</v>
      </c>
      <c r="DY13" s="44" t="str">
        <f>CONCATENATE(MID(DX13,4,5),MID(DX13,25,3),MID(DX13,12,5),MID(DX13,1,3),MID(DX13,20,5),MID(DX13,9,3),MID(DX13,28,5),MID(DX13,17,3))</f>
        <v>00000000000000000010000000100001</v>
      </c>
      <c r="DZ13" s="30" t="str">
        <f t="shared" si="178"/>
        <v>00000000</v>
      </c>
      <c r="EA13" s="30" t="str">
        <f t="shared" si="86"/>
        <v>00000000</v>
      </c>
      <c r="EB13" s="30" t="str">
        <f t="shared" si="87"/>
        <v>00100000</v>
      </c>
      <c r="EC13" s="30" t="str">
        <f t="shared" si="88"/>
        <v>00100001</v>
      </c>
      <c r="ED13" s="78"/>
      <c r="EE13" s="78"/>
      <c r="EF13" s="78"/>
      <c r="EG13" s="78"/>
      <c r="EH13" s="31" t="str">
        <f t="shared" si="89"/>
        <v>0101</v>
      </c>
      <c r="EI13" s="31" t="str">
        <f t="shared" si="90"/>
        <v>1100</v>
      </c>
      <c r="EJ13" s="31" t="str">
        <f t="shared" si="91"/>
        <v>1100</v>
      </c>
      <c r="EK13" s="31" t="str">
        <f t="shared" si="92"/>
        <v>0100</v>
      </c>
      <c r="EL13" s="31" t="str">
        <f t="shared" si="93"/>
        <v>1010</v>
      </c>
      <c r="EM13" s="31" t="str">
        <f t="shared" si="94"/>
        <v>0000</v>
      </c>
      <c r="EN13" s="31" t="str">
        <f t="shared" si="95"/>
        <v>1110</v>
      </c>
      <c r="EO13" s="31" t="str">
        <f t="shared" si="96"/>
        <v>1101</v>
      </c>
      <c r="EP13" s="78"/>
      <c r="EQ13" s="78"/>
      <c r="ER13" s="78"/>
      <c r="ES13" s="78"/>
      <c r="ET13" s="78"/>
      <c r="EU13" s="78"/>
      <c r="EV13" s="78"/>
      <c r="EW13" s="78"/>
      <c r="EX13" s="30" t="str">
        <f t="shared" si="15"/>
        <v>0000000000000000</v>
      </c>
      <c r="EY13" s="30" t="str">
        <f t="shared" si="16"/>
        <v>0010000000100001</v>
      </c>
      <c r="EZ13" s="78"/>
      <c r="FA13" s="78"/>
      <c r="FB13" s="46" t="str">
        <f>CONCATENATE(MID(DY13,1,1)*MID($K12,1,1),MID(DY13,2,1)*MID($K12,2,1),MID(DY13,3,1)*MID($K12,3,1),MID(DY13,4,1)*MID($K12,4,1),MID(DY13,5,1)*MID($K12,5,1),MID(DY13,6,1)*MID($K12,6,1),MID(DY13,7,1)*MID($K12,7,1),MID(DY13,8,1)*MID($K12,8,1),MID(DY13,9,1)*MID($K12,1,1),MID(DY13,10,1)*MID($K12,2,1),MID(DY13,11,1)*MID($K12,3,1),MID(DY13,12,1)*MID($K12,4,1),MID(DY13,13,1)*MID($K12,5,1),MID(DY13,14,1)*MID($K12,6,1),MID(DY13,15,1)*MID($K12,7,1),MID(DY13,16,1)*MID($K12,8,1),MID(DY13,17,1)*MID($K12,1,1),MID(DY13,18,1)*MID($K12,2,1),MID(DY13,19,1)*MID($K12,3,1),MID(DY13,20,1)*MID($K12,4,1),MID(DY13,21,1)*MID($K12,5,1),MID(DY13,22,1)*MID($K12,6,1),MID(DY13,23,1)*MID($K12,7,1),MID(DY13,24,1)*MID($K12,8,1),MID(DY13,25,1)*MID($K12,1,1),MID(DY13,26,1)*MID($K12,2,1),MID(DY13,27,1)*MID($K12,3,1),MID(DY13,28,1)*MID($K12,4,1),MID(DY13,29,1)*MID($K12,5,1),MID(DY13,30,1)*MID($K12,6,1),MID(DY13,31,1)*MID($K12,7,1),MID(DY13,32,1)*MID($K12,8,1))</f>
        <v>00000000000000000010000000100000</v>
      </c>
      <c r="FC13" s="30" t="str">
        <f t="shared" si="180"/>
        <v>00000000</v>
      </c>
      <c r="FD13" s="30" t="str">
        <f t="shared" si="97"/>
        <v>00000000</v>
      </c>
      <c r="FE13" s="30" t="str">
        <f t="shared" si="98"/>
        <v>00100000</v>
      </c>
      <c r="FF13" s="30" t="str">
        <f t="shared" si="99"/>
        <v>00100000</v>
      </c>
      <c r="FG13" s="78"/>
      <c r="FH13" s="78"/>
      <c r="FI13" s="78"/>
      <c r="FJ13" s="78"/>
      <c r="FK13" s="31" t="str">
        <f t="shared" si="100"/>
        <v>0101</v>
      </c>
      <c r="FL13" s="31" t="str">
        <f t="shared" si="101"/>
        <v>1100</v>
      </c>
      <c r="FM13" s="31" t="str">
        <f t="shared" si="102"/>
        <v>1100</v>
      </c>
      <c r="FN13" s="31" t="str">
        <f t="shared" si="103"/>
        <v>0100</v>
      </c>
      <c r="FO13" s="31" t="str">
        <f t="shared" si="104"/>
        <v>1010</v>
      </c>
      <c r="FP13" s="31" t="str">
        <f t="shared" si="105"/>
        <v>0000</v>
      </c>
      <c r="FQ13" s="31" t="str">
        <f t="shared" si="106"/>
        <v>1110</v>
      </c>
      <c r="FR13" s="31" t="str">
        <f t="shared" si="107"/>
        <v>1101</v>
      </c>
      <c r="FS13" s="78"/>
      <c r="FT13" s="78"/>
      <c r="FU13" s="78"/>
      <c r="FV13" s="78"/>
      <c r="FW13" s="78"/>
      <c r="FX13" s="78"/>
      <c r="FY13" s="78"/>
      <c r="FZ13" s="78"/>
      <c r="GA13" s="30" t="str">
        <f t="shared" si="18"/>
        <v>0000000000000000</v>
      </c>
      <c r="GB13" s="30" t="str">
        <f t="shared" si="19"/>
        <v>0010000000100000</v>
      </c>
      <c r="GC13" s="78"/>
      <c r="GD13" s="78"/>
      <c r="GE13" s="48" t="str">
        <f>DY13</f>
        <v>00000000000000000010000000100001</v>
      </c>
      <c r="GF13" s="30" t="str">
        <f t="shared" si="182"/>
        <v>00000000</v>
      </c>
      <c r="GG13" s="30" t="str">
        <f t="shared" si="108"/>
        <v>00000000</v>
      </c>
      <c r="GH13" s="30" t="str">
        <f t="shared" si="109"/>
        <v>00100000</v>
      </c>
      <c r="GI13" s="30" t="str">
        <f t="shared" si="110"/>
        <v>00100001</v>
      </c>
      <c r="GJ13" s="78"/>
      <c r="GK13" s="78"/>
      <c r="GL13" s="78"/>
      <c r="GM13" s="78"/>
      <c r="GN13" s="31" t="str">
        <f t="shared" si="111"/>
        <v>0101</v>
      </c>
      <c r="GO13" s="31" t="str">
        <f t="shared" si="112"/>
        <v>1100</v>
      </c>
      <c r="GP13" s="31" t="str">
        <f t="shared" si="113"/>
        <v>1100</v>
      </c>
      <c r="GQ13" s="31" t="str">
        <f t="shared" si="114"/>
        <v>0100</v>
      </c>
      <c r="GR13" s="31" t="str">
        <f t="shared" si="115"/>
        <v>1010</v>
      </c>
      <c r="GS13" s="31" t="str">
        <f t="shared" si="116"/>
        <v>0000</v>
      </c>
      <c r="GT13" s="31" t="str">
        <f t="shared" si="117"/>
        <v>1110</v>
      </c>
      <c r="GU13" s="31" t="str">
        <f t="shared" si="118"/>
        <v>1101</v>
      </c>
      <c r="GV13" s="78"/>
      <c r="GW13" s="78"/>
      <c r="GX13" s="78"/>
      <c r="GY13" s="78"/>
      <c r="GZ13" s="78"/>
      <c r="HA13" s="78"/>
      <c r="HB13" s="78"/>
      <c r="HC13" s="78"/>
      <c r="HD13" s="30" t="str">
        <f t="shared" si="21"/>
        <v>0000000000000000</v>
      </c>
      <c r="HE13" s="30" t="str">
        <f t="shared" si="22"/>
        <v>0010000000100001</v>
      </c>
      <c r="HF13" s="78"/>
      <c r="HG13" s="78"/>
      <c r="HH13" s="48" t="str">
        <f>FB13</f>
        <v>00000000000000000010000000100000</v>
      </c>
      <c r="HI13" s="30" t="str">
        <f t="shared" si="184"/>
        <v>00000000</v>
      </c>
      <c r="HJ13" s="30" t="str">
        <f t="shared" si="119"/>
        <v>00000000</v>
      </c>
      <c r="HK13" s="30" t="str">
        <f t="shared" si="120"/>
        <v>00100000</v>
      </c>
      <c r="HL13" s="30" t="str">
        <f t="shared" si="121"/>
        <v>00100000</v>
      </c>
      <c r="HM13" s="78"/>
      <c r="HN13" s="78"/>
      <c r="HO13" s="78"/>
      <c r="HP13" s="78"/>
      <c r="HQ13" s="31" t="str">
        <f t="shared" si="122"/>
        <v>0101</v>
      </c>
      <c r="HR13" s="31" t="str">
        <f t="shared" si="123"/>
        <v>1100</v>
      </c>
      <c r="HS13" s="31" t="str">
        <f t="shared" si="124"/>
        <v>1100</v>
      </c>
      <c r="HT13" s="31" t="str">
        <f t="shared" si="125"/>
        <v>0100</v>
      </c>
      <c r="HU13" s="31" t="str">
        <f t="shared" si="126"/>
        <v>1010</v>
      </c>
      <c r="HV13" s="31" t="str">
        <f t="shared" si="127"/>
        <v>0000</v>
      </c>
      <c r="HW13" s="31" t="str">
        <f t="shared" si="128"/>
        <v>1110</v>
      </c>
      <c r="HX13" s="31" t="str">
        <f t="shared" si="129"/>
        <v>1101</v>
      </c>
      <c r="HY13" s="78"/>
      <c r="HZ13" s="78"/>
      <c r="IA13" s="78"/>
      <c r="IB13" s="78"/>
      <c r="IC13" s="78"/>
      <c r="ID13" s="78"/>
      <c r="IE13" s="78"/>
      <c r="IF13" s="78"/>
      <c r="IG13" s="30" t="str">
        <f t="shared" si="24"/>
        <v>0000000000000000</v>
      </c>
      <c r="IH13" s="30" t="str">
        <f t="shared" si="25"/>
        <v>0010000000100000</v>
      </c>
      <c r="II13" s="78"/>
      <c r="IJ13" s="78"/>
      <c r="IK13" s="44" t="str">
        <f>L13</f>
        <v>01011100110001001010000011101101</v>
      </c>
      <c r="IL13" s="30" t="str">
        <f t="shared" si="186"/>
        <v>01011100</v>
      </c>
      <c r="IM13" s="30" t="str">
        <f t="shared" si="130"/>
        <v>11000100</v>
      </c>
      <c r="IN13" s="30" t="str">
        <f t="shared" si="131"/>
        <v>10100000</v>
      </c>
      <c r="IO13" s="30" t="str">
        <f t="shared" si="132"/>
        <v>11101101</v>
      </c>
      <c r="IP13" s="78"/>
      <c r="IQ13" s="78"/>
      <c r="IR13" s="78"/>
      <c r="IS13" s="78"/>
      <c r="IT13" s="31" t="str">
        <f t="shared" si="133"/>
        <v>0101</v>
      </c>
      <c r="IU13" s="31" t="str">
        <f t="shared" si="134"/>
        <v>1100</v>
      </c>
      <c r="IV13" s="31" t="str">
        <f t="shared" si="135"/>
        <v>1100</v>
      </c>
      <c r="IW13" s="31" t="str">
        <f t="shared" si="136"/>
        <v>0100</v>
      </c>
      <c r="IX13" s="31" t="str">
        <f t="shared" si="137"/>
        <v>1010</v>
      </c>
      <c r="IY13" s="31" t="str">
        <f t="shared" si="138"/>
        <v>0000</v>
      </c>
      <c r="IZ13" s="31" t="str">
        <f t="shared" si="139"/>
        <v>1110</v>
      </c>
      <c r="JA13" s="31" t="str">
        <f t="shared" si="140"/>
        <v>1101</v>
      </c>
      <c r="JB13" s="78"/>
      <c r="JC13" s="78"/>
      <c r="JD13" s="78"/>
      <c r="JE13" s="78"/>
      <c r="JF13" s="78"/>
      <c r="JG13" s="78"/>
      <c r="JH13" s="78"/>
      <c r="JI13" s="78"/>
      <c r="JJ13" s="30" t="str">
        <f t="shared" si="27"/>
        <v>0101110011000100</v>
      </c>
      <c r="JK13" s="30" t="str">
        <f t="shared" si="28"/>
        <v>1010000011101101</v>
      </c>
      <c r="JL13" s="78"/>
      <c r="JM13" s="78"/>
      <c r="JN13" s="46" t="str">
        <f>L13</f>
        <v>01011100110001001010000011101101</v>
      </c>
      <c r="JO13" s="30" t="str">
        <f t="shared" si="188"/>
        <v>01011100</v>
      </c>
      <c r="JP13" s="30" t="str">
        <f t="shared" si="141"/>
        <v>11000100</v>
      </c>
      <c r="JQ13" s="30" t="str">
        <f t="shared" si="142"/>
        <v>10100000</v>
      </c>
      <c r="JR13" s="30" t="str">
        <f t="shared" si="143"/>
        <v>11101101</v>
      </c>
      <c r="JS13" s="78"/>
      <c r="JT13" s="78"/>
      <c r="JU13" s="78"/>
      <c r="JV13" s="78"/>
      <c r="JW13" s="31" t="str">
        <f t="shared" si="144"/>
        <v>0101</v>
      </c>
      <c r="JX13" s="31" t="str">
        <f t="shared" si="145"/>
        <v>1100</v>
      </c>
      <c r="JY13" s="31" t="str">
        <f t="shared" si="146"/>
        <v>1100</v>
      </c>
      <c r="JZ13" s="31" t="str">
        <f t="shared" si="147"/>
        <v>0100</v>
      </c>
      <c r="KA13" s="31" t="str">
        <f t="shared" si="148"/>
        <v>1010</v>
      </c>
      <c r="KB13" s="31" t="str">
        <f t="shared" si="149"/>
        <v>0000</v>
      </c>
      <c r="KC13" s="31" t="str">
        <f t="shared" si="150"/>
        <v>1110</v>
      </c>
      <c r="KD13" s="31" t="str">
        <f t="shared" si="151"/>
        <v>1101</v>
      </c>
      <c r="KE13" s="78"/>
      <c r="KF13" s="78"/>
      <c r="KG13" s="78"/>
      <c r="KH13" s="78"/>
      <c r="KI13" s="78"/>
      <c r="KJ13" s="78"/>
      <c r="KK13" s="78"/>
      <c r="KL13" s="78"/>
      <c r="KM13" s="30" t="str">
        <f t="shared" si="30"/>
        <v>0101110011000100</v>
      </c>
      <c r="KN13" s="30" t="str">
        <f t="shared" si="31"/>
        <v>1010000011101101</v>
      </c>
      <c r="KO13" s="78"/>
      <c r="KP13" s="78"/>
      <c r="KQ13" s="48" t="str">
        <f>AO13</f>
        <v>01000100010001000010000001100100</v>
      </c>
      <c r="KR13" s="30" t="str">
        <f t="shared" si="190"/>
        <v>01000100</v>
      </c>
      <c r="KS13" s="30" t="str">
        <f t="shared" si="152"/>
        <v>01000100</v>
      </c>
      <c r="KT13" s="30" t="str">
        <f t="shared" si="153"/>
        <v>00100000</v>
      </c>
      <c r="KU13" s="30" t="str">
        <f t="shared" si="154"/>
        <v>01100100</v>
      </c>
      <c r="KV13" s="78"/>
      <c r="KW13" s="78"/>
      <c r="KX13" s="78"/>
      <c r="KY13" s="78"/>
      <c r="KZ13" s="31" t="str">
        <f t="shared" si="155"/>
        <v>0101</v>
      </c>
      <c r="LA13" s="31" t="str">
        <f t="shared" si="156"/>
        <v>1100</v>
      </c>
      <c r="LB13" s="31" t="str">
        <f t="shared" si="157"/>
        <v>1100</v>
      </c>
      <c r="LC13" s="31" t="str">
        <f t="shared" si="158"/>
        <v>0100</v>
      </c>
      <c r="LD13" s="31" t="str">
        <f t="shared" si="159"/>
        <v>1010</v>
      </c>
      <c r="LE13" s="31" t="str">
        <f t="shared" si="160"/>
        <v>0000</v>
      </c>
      <c r="LF13" s="31" t="str">
        <f t="shared" si="161"/>
        <v>1110</v>
      </c>
      <c r="LG13" s="31" t="str">
        <f t="shared" si="162"/>
        <v>1101</v>
      </c>
      <c r="LH13" s="78"/>
      <c r="LI13" s="78"/>
      <c r="LJ13" s="78"/>
      <c r="LK13" s="78"/>
      <c r="LL13" s="78"/>
      <c r="LM13" s="78"/>
      <c r="LN13" s="78"/>
      <c r="LO13" s="78"/>
      <c r="LP13" s="30" t="str">
        <f t="shared" si="33"/>
        <v>0100010001000100</v>
      </c>
      <c r="LQ13" s="30" t="str">
        <f t="shared" si="34"/>
        <v>0010000001100100</v>
      </c>
      <c r="LR13" s="78"/>
      <c r="LS13" s="78"/>
      <c r="LT13" s="48" t="str">
        <f>GE13</f>
        <v>00000000000000000010000000100001</v>
      </c>
      <c r="LU13" s="30" t="str">
        <f t="shared" si="192"/>
        <v>00000000</v>
      </c>
      <c r="LV13" s="30" t="str">
        <f t="shared" si="163"/>
        <v>00000000</v>
      </c>
      <c r="LW13" s="30" t="str">
        <f t="shared" si="164"/>
        <v>00100000</v>
      </c>
      <c r="LX13" s="30" t="str">
        <f t="shared" si="165"/>
        <v>00100001</v>
      </c>
      <c r="LY13" s="78"/>
      <c r="LZ13" s="78"/>
      <c r="MA13" s="78"/>
      <c r="MB13" s="78"/>
      <c r="MC13" s="31" t="str">
        <f t="shared" si="166"/>
        <v>0101</v>
      </c>
      <c r="MD13" s="31" t="str">
        <f t="shared" si="167"/>
        <v>1100</v>
      </c>
      <c r="ME13" s="31" t="str">
        <f t="shared" si="168"/>
        <v>1100</v>
      </c>
      <c r="MF13" s="31" t="str">
        <f t="shared" si="169"/>
        <v>0100</v>
      </c>
      <c r="MG13" s="31" t="str">
        <f t="shared" si="170"/>
        <v>1010</v>
      </c>
      <c r="MH13" s="31" t="str">
        <f t="shared" si="171"/>
        <v>0000</v>
      </c>
      <c r="MI13" s="31" t="str">
        <f t="shared" si="172"/>
        <v>1110</v>
      </c>
      <c r="MJ13" s="31" t="str">
        <f t="shared" si="173"/>
        <v>1101</v>
      </c>
      <c r="MK13" s="78"/>
      <c r="ML13" s="78"/>
      <c r="MM13" s="78"/>
      <c r="MN13" s="78"/>
      <c r="MO13" s="78"/>
      <c r="MP13" s="78"/>
      <c r="MQ13" s="78"/>
      <c r="MR13" s="78"/>
      <c r="MS13" s="30" t="str">
        <f t="shared" si="36"/>
        <v>0000000000000000</v>
      </c>
      <c r="MT13" s="30" t="str">
        <f t="shared" si="37"/>
        <v>0010000000100001</v>
      </c>
      <c r="MU13" s="78"/>
      <c r="MV13" s="78"/>
    </row>
    <row r="14" spans="1:360" s="27" customFormat="1" ht="18.600000000000001" thickBot="1" x14ac:dyDescent="0.4">
      <c r="A14" s="24"/>
      <c r="B14" s="25"/>
      <c r="C14" s="20" t="s">
        <v>0</v>
      </c>
      <c r="D14" s="20">
        <v>21</v>
      </c>
      <c r="E14" s="20">
        <v>29</v>
      </c>
      <c r="F14" s="20" t="s">
        <v>20</v>
      </c>
      <c r="G14" s="20" t="s">
        <v>127</v>
      </c>
      <c r="H14" s="20" t="str">
        <f t="shared" si="0"/>
        <v>00100001001010010000101010101101</v>
      </c>
      <c r="I14" s="20">
        <f t="shared" si="1"/>
        <v>12</v>
      </c>
      <c r="J14" s="20">
        <v>64</v>
      </c>
      <c r="K14" s="20" t="str">
        <f>HEX2BIN(J14,8)</f>
        <v>01100100</v>
      </c>
      <c r="L14" s="43" t="str">
        <f>CONCATENATE(MID(H14,17,16),MID(H14,1,16))</f>
        <v>00001010101011010010000100101001</v>
      </c>
      <c r="M14" s="26" t="str">
        <f t="shared" si="38"/>
        <v>00001</v>
      </c>
      <c r="N14" s="26" t="str">
        <f t="shared" si="39"/>
        <v>10101</v>
      </c>
      <c r="O14" s="26" t="str">
        <f t="shared" si="40"/>
        <v>00100</v>
      </c>
      <c r="P14" s="26" t="str">
        <f t="shared" si="41"/>
        <v>00101</v>
      </c>
      <c r="Q14" s="77">
        <f>BIN2DEC(M14)-BIN2DEC(M15)</f>
        <v>-25</v>
      </c>
      <c r="R14" s="77">
        <f>BIN2DEC(N14)-BIN2DEC(N15)</f>
        <v>19</v>
      </c>
      <c r="S14" s="77">
        <f>BIN2DEC(O14)-BIN2DEC(O15)</f>
        <v>-18</v>
      </c>
      <c r="T14" s="77">
        <f>BIN2DEC(P14)-BIN2DEC(P15)</f>
        <v>-5</v>
      </c>
      <c r="U14" s="27" t="str">
        <f t="shared" si="42"/>
        <v>0000</v>
      </c>
      <c r="V14" s="27" t="str">
        <f t="shared" si="43"/>
        <v>1010</v>
      </c>
      <c r="W14" s="27" t="str">
        <f t="shared" si="44"/>
        <v>1010</v>
      </c>
      <c r="X14" s="27" t="str">
        <f t="shared" si="45"/>
        <v>1101</v>
      </c>
      <c r="Y14" s="27" t="str">
        <f t="shared" si="46"/>
        <v>0010</v>
      </c>
      <c r="Z14" s="27" t="str">
        <f t="shared" si="47"/>
        <v>0001</v>
      </c>
      <c r="AA14" s="27" t="str">
        <f t="shared" si="48"/>
        <v>0010</v>
      </c>
      <c r="AB14" s="27" t="str">
        <f t="shared" si="49"/>
        <v>1001</v>
      </c>
      <c r="AC14" s="77">
        <f>BIN2DEC(U14)-BIN2DEC(U15)</f>
        <v>-13</v>
      </c>
      <c r="AD14" s="77">
        <f t="shared" ref="AD14:AI14" si="242">BIN2DEC(V14)-BIN2DEC(V15)</f>
        <v>7</v>
      </c>
      <c r="AE14" s="77">
        <f t="shared" si="242"/>
        <v>9</v>
      </c>
      <c r="AF14" s="77">
        <f t="shared" si="242"/>
        <v>12</v>
      </c>
      <c r="AG14" s="77">
        <f t="shared" si="242"/>
        <v>-9</v>
      </c>
      <c r="AH14" s="77">
        <f t="shared" si="242"/>
        <v>0</v>
      </c>
      <c r="AI14" s="77">
        <f t="shared" si="242"/>
        <v>-3</v>
      </c>
      <c r="AJ14" s="77">
        <f>BIN2DEC(AB14)-BIN2DEC(AB15)</f>
        <v>3</v>
      </c>
      <c r="AK14" s="26" t="str">
        <f t="shared" si="3"/>
        <v>0000101010101101</v>
      </c>
      <c r="AL14" s="26" t="str">
        <f t="shared" si="4"/>
        <v>0010000100101001</v>
      </c>
      <c r="AM14" s="77">
        <f>MID(AK14,16,1)*POWER(2,0)+MID(AK14,15,1)*POWER(2,1)+MID(AK14,14,1)*POWER(2,2)+MID(AK14,13,1)*POWER(2,3)+MID(AK14,12,1)*POWER(2,4)+MID(AK14,11,1)*POWER(2,5)+MID(AK14,10,1)*POWER(2,6)+MID(AK14,9,1)*POWER(2,7)+MID(AK14,8,1)*POWER(2,8)+MID(AK14,7,1)*POWER(2,9)+MID(AK14,6,1)*POWER(2,10)+MID(AK14,5,1)*POWER(2,11)+MID(AK14,4,1)*POWER(2,12)+MID(AK14,3,1)*POWER(2,13)+MID(AK14,2,1)*POWER(2,14)+MID(AK14,1,1)*POWER(2,15)-(MID(AK15,16,1)*POWER(2,0)+MID(AK15,15,1)*POWER(2,1)+MID(AK15,14,1)*POWER(2,2)+MID(AK15,13,1)*POWER(2,3)+MID(AK15,12,1)*POWER(2,4)+MID(AK15,11,1)*POWER(2,5)+MID(AK15,10,1)*POWER(2,6)+MID(AK15,9,1)*POWER(2,7)+MID(AK15,8,1)*POWER(2,8)+MID(AK15,7,1)*POWER(2,9)+MID(AK15,6,1)*POWER(2,10)+MID(AK15,5,1)*POWER(2,11)+MID(AK15,4,1)*POWER(2,12)+MID(AK15,3,1)*POWER(2,13)+MID(AK15,2,1)*POWER(2,14)+MID(AK15,1,1)*POWER(2,15))</f>
        <v>-51300</v>
      </c>
      <c r="AN14" s="77">
        <f>MID(AL14,16,1)*POWER(2,0)+MID(AL14,15,1)*POWER(2,1)+MID(AL14,14,1)*POWER(2,2)+MID(AL14,13,1)*POWER(2,3)+MID(AL14,12,1)*POWER(2,4)+MID(AL14,11,1)*POWER(2,5)+MID(AL14,10,1)*POWER(2,6)+MID(AL14,9,1)*POWER(2,7)+MID(AL14,8,1)*POWER(2,8)+MID(AL14,7,1)*POWER(2,9)+MID(AL14,6,1)*POWER(2,10)+MID(AL14,5,1)*POWER(2,11)+MID(AL14,4,1)*POWER(2,12)+MID(AL14,3,1)*POWER(2,13)+MID(AL14,2,1)*POWER(2,14)+MID(AL14,1,1)*POWER(2,15)-(MID(AL15,16,1)*POWER(2,0)+MID(AL15,15,1)*POWER(2,1)+MID(AL15,14,1)*POWER(2,2)+MID(AL15,13,1)*POWER(2,3)+MID(AL15,12,1)*POWER(2,4)+MID(AL15,11,1)*POWER(2,5)+MID(AL15,10,1)*POWER(2,6)+MID(AL15,9,1)*POWER(2,7)+MID(AL15,8,1)*POWER(2,8)+MID(AL15,7,1)*POWER(2,9)+MID(AL15,6,1)*POWER(2,10)+MID(AL15,5,1)*POWER(2,11)+MID(AL15,4,1)*POWER(2,12)+MID(AL15,3,1)*POWER(2,13)+MID(AL15,2,1)*POWER(2,14)+MID(AL15,1,1)*POWER(2,15))</f>
        <v>-36909</v>
      </c>
      <c r="AO14" s="45" t="str">
        <f>L14</f>
        <v>00001010101011010010000100101001</v>
      </c>
      <c r="AP14" s="26" t="str">
        <f t="shared" si="50"/>
        <v>00001010</v>
      </c>
      <c r="AQ14" s="26" t="str">
        <f t="shared" si="51"/>
        <v>10101101</v>
      </c>
      <c r="AR14" s="26" t="str">
        <f t="shared" si="52"/>
        <v>00100001</v>
      </c>
      <c r="AS14" s="26" t="str">
        <f t="shared" si="53"/>
        <v>00101001</v>
      </c>
      <c r="AT14" s="77">
        <f>BIN2DEC(AP14)-BIN2DEC(AP15)</f>
        <v>-54</v>
      </c>
      <c r="AU14" s="77">
        <f>BIN2DEC(AQ14)-BIN2DEC(AQ15)</f>
        <v>173</v>
      </c>
      <c r="AV14" s="77">
        <f>BIN2DEC(AR14)-BIN2DEC(AR15)</f>
        <v>1</v>
      </c>
      <c r="AW14" s="77">
        <f>BIN2DEC(AS14)-BIN2DEC(AS15)</f>
        <v>-27</v>
      </c>
      <c r="AX14" s="27" t="str">
        <f t="shared" si="54"/>
        <v>0000</v>
      </c>
      <c r="AY14" s="27" t="str">
        <f t="shared" si="55"/>
        <v>1010</v>
      </c>
      <c r="AZ14" s="27" t="str">
        <f t="shared" si="56"/>
        <v>1010</v>
      </c>
      <c r="BA14" s="27" t="str">
        <f t="shared" si="57"/>
        <v>1101</v>
      </c>
      <c r="BB14" s="27" t="str">
        <f t="shared" si="58"/>
        <v>0010</v>
      </c>
      <c r="BC14" s="27" t="str">
        <f t="shared" si="59"/>
        <v>0001</v>
      </c>
      <c r="BD14" s="27" t="str">
        <f t="shared" si="60"/>
        <v>0010</v>
      </c>
      <c r="BE14" s="27" t="str">
        <f t="shared" si="61"/>
        <v>1001</v>
      </c>
      <c r="BF14" s="77">
        <f>BIN2DEC(AX14)-BIN2DEC(AX15)</f>
        <v>-13</v>
      </c>
      <c r="BG14" s="77">
        <f t="shared" ref="BG14:BL14" si="243">BIN2DEC(AY14)-BIN2DEC(AY15)</f>
        <v>7</v>
      </c>
      <c r="BH14" s="77">
        <f t="shared" si="243"/>
        <v>9</v>
      </c>
      <c r="BI14" s="77">
        <f t="shared" si="243"/>
        <v>12</v>
      </c>
      <c r="BJ14" s="77">
        <f t="shared" si="243"/>
        <v>-9</v>
      </c>
      <c r="BK14" s="77">
        <f t="shared" si="243"/>
        <v>0</v>
      </c>
      <c r="BL14" s="77">
        <f t="shared" si="243"/>
        <v>-3</v>
      </c>
      <c r="BM14" s="77">
        <f>BIN2DEC(BE14)-BIN2DEC(BE15)</f>
        <v>3</v>
      </c>
      <c r="BN14" s="26" t="str">
        <f t="shared" si="6"/>
        <v>0000101010101101</v>
      </c>
      <c r="BO14" s="26" t="str">
        <f t="shared" si="7"/>
        <v>0010000100101001</v>
      </c>
      <c r="BP14" s="77">
        <f>MID(BN14,16,1)*POWER(2,0)+MID(BN14,15,1)*POWER(2,1)+MID(BN14,14,1)*POWER(2,2)+MID(BN14,13,1)*POWER(2,3)+MID(BN14,12,1)*POWER(2,4)+MID(BN14,11,1)*POWER(2,5)+MID(BN14,10,1)*POWER(2,6)+MID(BN14,9,1)*POWER(2,7)+MID(BN14,8,1)*POWER(2,8)+MID(BN14,7,1)*POWER(2,9)+MID(BN14,6,1)*POWER(2,10)+MID(BN14,5,1)*POWER(2,11)+MID(BN14,4,1)*POWER(2,12)+MID(BN14,3,1)*POWER(2,13)+MID(BN14,2,1)*POWER(2,14)+MID(BN14,1,1)*POWER(2,15)-(MID(BN15,16,1)*POWER(2,0)+MID(BN15,15,1)*POWER(2,1)+MID(BN15,14,1)*POWER(2,2)+MID(BN15,13,1)*POWER(2,3)+MID(BN15,12,1)*POWER(2,4)+MID(BN15,11,1)*POWER(2,5)+MID(BN15,10,1)*POWER(2,6)+MID(BN15,9,1)*POWER(2,7)+MID(BN15,8,1)*POWER(2,8)+MID(BN15,7,1)*POWER(2,9)+MID(BN15,6,1)*POWER(2,10)+MID(BN15,5,1)*POWER(2,11)+MID(BN15,4,1)*POWER(2,12)+MID(BN15,3,1)*POWER(2,13)+MID(BN15,2,1)*POWER(2,14)+MID(BN15,1,1)*POWER(2,15))</f>
        <v>-13651</v>
      </c>
      <c r="BQ14" s="77">
        <f>MID(BO14,16,1)*POWER(2,0)+MID(BO14,15,1)*POWER(2,1)+MID(BO14,14,1)*POWER(2,2)+MID(BO14,13,1)*POWER(2,3)+MID(BO14,12,1)*POWER(2,4)+MID(BO14,11,1)*POWER(2,5)+MID(BO14,10,1)*POWER(2,6)+MID(BO14,9,1)*POWER(2,7)+MID(BO14,8,1)*POWER(2,8)+MID(BO14,7,1)*POWER(2,9)+MID(BO14,6,1)*POWER(2,10)+MID(BO14,5,1)*POWER(2,11)+MID(BO14,4,1)*POWER(2,12)+MID(BO14,3,1)*POWER(2,13)+MID(BO14,2,1)*POWER(2,14)+MID(BO14,1,1)*POWER(2,15)-(MID(BO15,16,1)*POWER(2,0)+MID(BO15,15,1)*POWER(2,1)+MID(BO15,14,1)*POWER(2,2)+MID(BO15,13,1)*POWER(2,3)+MID(BO15,12,1)*POWER(2,4)+MID(BO15,11,1)*POWER(2,5)+MID(BO15,10,1)*POWER(2,6)+MID(BO15,9,1)*POWER(2,7)+MID(BO15,8,1)*POWER(2,8)+MID(BO15,7,1)*POWER(2,9)+MID(BO15,6,1)*POWER(2,10)+MID(BO15,5,1)*POWER(2,11)+MID(BO15,4,1)*POWER(2,12)+MID(BO15,3,1)*POWER(2,13)+MID(BO15,2,1)*POWER(2,14)+MID(BO15,1,1)*POWER(2,15))</f>
        <v>229</v>
      </c>
      <c r="BR14" s="45" t="str">
        <f>CONCATENATE(MID($L14,1,1)*MID($K14,1,1),MID($L14,2,1)*MID($K14,2,1),MID($L14,3,1)*MID($K14,3,1),MID($L14,4,1)*MID($K14,4,1),MID($L14,5,1)*MID($K14,5,1),MID($L14,6,1)*MID($K14,6,1),MID($L14,7,1)*MID($K14,7,1),MID($L14,8,1)*MID($K14,8,1),MID($L14,9,1)*MID($K14,1,1),MID($L14,10,1)*MID($K14,2,1),MID($L14,11,1)*MID($K14,3,1),MID($L14,12,1)*MID($K14,4,1),MID($L14,13,1)*MID($K14,5,1),MID($L14,14,1)*MID($K14,6,1),MID($L14,15,1)*MID($K14,7,1),MID($L14,16,1)*MID($K14,8,1),MID($L14,17,1)*MID($K14,1,1),MID($L14,18,1)*MID($K14,2,1),MID($L14,19,1)*MID($K14,3,1),MID($L14,20,1)*MID($K14,4,1),MID($L14,21,1)*MID($K14,5,1),MID($L14,22,1)*MID($K14,6,1),MID($L14,23,1)*MID($K14,7,1),MID($L14,24,1)*MID($K14,8,1),MID($L14,25,1)*MID($K14,1,1),MID($L14,26,1)*MID($K14,2,1),MID($L14,27,1)*MID($K14,3,1),MID($L14,28,1)*MID($K14,4,1),MID($L14,29,1)*MID($K14,5,1),MID($L14,30,1)*MID($K14,6,1),MID($L14,31,1)*MID($K14,7,1),MID($L14,32,1)*MID($K14,8,1))</f>
        <v>00000000001001000010000000100000</v>
      </c>
      <c r="BS14" s="26" t="str">
        <f t="shared" si="62"/>
        <v>00000000</v>
      </c>
      <c r="BT14" s="26" t="str">
        <f t="shared" si="63"/>
        <v>00100100</v>
      </c>
      <c r="BU14" s="26" t="str">
        <f t="shared" si="64"/>
        <v>00100000</v>
      </c>
      <c r="BV14" s="26" t="str">
        <f t="shared" si="65"/>
        <v>00100000</v>
      </c>
      <c r="BW14" s="77">
        <f>BIN2DEC(BS14)-BIN2DEC(BS15)</f>
        <v>-211</v>
      </c>
      <c r="BX14" s="77">
        <f>BIN2DEC(BT14)-BIN2DEC(BT15)</f>
        <v>19</v>
      </c>
      <c r="BY14" s="77">
        <f>BIN2DEC(BU14)-BIN2DEC(BU15)</f>
        <v>-145</v>
      </c>
      <c r="BZ14" s="77">
        <f>BIN2DEC(BV14)-BIN2DEC(BV15)</f>
        <v>-54</v>
      </c>
      <c r="CA14" s="27" t="str">
        <f t="shared" si="66"/>
        <v>0000</v>
      </c>
      <c r="CB14" s="27" t="str">
        <f t="shared" si="67"/>
        <v>1010</v>
      </c>
      <c r="CC14" s="27" t="str">
        <f t="shared" si="68"/>
        <v>1010</v>
      </c>
      <c r="CD14" s="27" t="str">
        <f t="shared" si="69"/>
        <v>1101</v>
      </c>
      <c r="CE14" s="27" t="str">
        <f t="shared" si="70"/>
        <v>0010</v>
      </c>
      <c r="CF14" s="27" t="str">
        <f t="shared" si="71"/>
        <v>0001</v>
      </c>
      <c r="CG14" s="27" t="str">
        <f t="shared" si="72"/>
        <v>0010</v>
      </c>
      <c r="CH14" s="27" t="str">
        <f t="shared" si="73"/>
        <v>1001</v>
      </c>
      <c r="CI14" s="77">
        <f>BIN2DEC(CA14)-BIN2DEC(CA15)</f>
        <v>-13</v>
      </c>
      <c r="CJ14" s="77">
        <f t="shared" ref="CJ14:CO14" si="244">BIN2DEC(CB14)-BIN2DEC(CB15)</f>
        <v>7</v>
      </c>
      <c r="CK14" s="77">
        <f t="shared" si="244"/>
        <v>9</v>
      </c>
      <c r="CL14" s="77">
        <f t="shared" si="244"/>
        <v>12</v>
      </c>
      <c r="CM14" s="77">
        <f t="shared" si="244"/>
        <v>-9</v>
      </c>
      <c r="CN14" s="77">
        <f t="shared" si="244"/>
        <v>0</v>
      </c>
      <c r="CO14" s="77">
        <f t="shared" si="244"/>
        <v>-3</v>
      </c>
      <c r="CP14" s="77">
        <f>BIN2DEC(CH14)-BIN2DEC(CH15)</f>
        <v>3</v>
      </c>
      <c r="CQ14" s="26" t="str">
        <f t="shared" si="9"/>
        <v>0000000000100100</v>
      </c>
      <c r="CR14" s="26" t="str">
        <f t="shared" si="10"/>
        <v>0010000000100000</v>
      </c>
      <c r="CS14" s="77">
        <f>MID(CQ14,16,1)*POWER(2,0)+MID(CQ14,15,1)*POWER(2,1)+MID(CQ14,14,1)*POWER(2,2)+MID(CQ14,13,1)*POWER(2,3)+MID(CQ14,12,1)*POWER(2,4)+MID(CQ14,11,1)*POWER(2,5)+MID(CQ14,10,1)*POWER(2,6)+MID(CQ14,9,1)*POWER(2,7)+MID(CQ14,8,1)*POWER(2,8)+MID(CQ14,7,1)*POWER(2,9)+MID(CQ14,6,1)*POWER(2,10)+MID(CQ14,5,1)*POWER(2,11)+MID(CQ14,4,1)*POWER(2,12)+MID(CQ14,3,1)*POWER(2,13)+MID(CQ14,2,1)*POWER(2,14)+MID(CQ14,1,1)*POWER(2,15)-(MID(CQ15,16,1)*POWER(2,0)+MID(CQ15,15,1)*POWER(2,1)+MID(CQ15,14,1)*POWER(2,2)+MID(CQ15,13,1)*POWER(2,3)+MID(CQ15,12,1)*POWER(2,4)+MID(CQ15,11,1)*POWER(2,5)+MID(CQ15,10,1)*POWER(2,6)+MID(CQ15,9,1)*POWER(2,7)+MID(CQ15,8,1)*POWER(2,8)+MID(CQ15,7,1)*POWER(2,9)+MID(CQ15,6,1)*POWER(2,10)+MID(CQ15,5,1)*POWER(2,11)+MID(CQ15,4,1)*POWER(2,12)+MID(CQ15,3,1)*POWER(2,13)+MID(CQ15,2,1)*POWER(2,14)+MID(CQ15,1,1)*POWER(2,15))</f>
        <v>-53997</v>
      </c>
      <c r="CT14" s="77">
        <f>MID(CR14,16,1)*POWER(2,0)+MID(CR14,15,1)*POWER(2,1)+MID(CR14,14,1)*POWER(2,2)+MID(CR14,13,1)*POWER(2,3)+MID(CR14,12,1)*POWER(2,4)+MID(CR14,11,1)*POWER(2,5)+MID(CR14,10,1)*POWER(2,6)+MID(CR14,9,1)*POWER(2,7)+MID(CR14,8,1)*POWER(2,8)+MID(CR14,7,1)*POWER(2,9)+MID(CR14,6,1)*POWER(2,10)+MID(CR14,5,1)*POWER(2,11)+MID(CR14,4,1)*POWER(2,12)+MID(CR14,3,1)*POWER(2,13)+MID(CR14,2,1)*POWER(2,14)+MID(CR14,1,1)*POWER(2,15)-(MID(CR15,16,1)*POWER(2,0)+MID(CR15,15,1)*POWER(2,1)+MID(CR15,14,1)*POWER(2,2)+MID(CR15,13,1)*POWER(2,3)+MID(CR15,12,1)*POWER(2,4)+MID(CR15,11,1)*POWER(2,5)+MID(CR15,10,1)*POWER(2,6)+MID(CR15,9,1)*POWER(2,7)+MID(CR15,8,1)*POWER(2,8)+MID(CR15,7,1)*POWER(2,9)+MID(CR15,6,1)*POWER(2,10)+MID(CR15,5,1)*POWER(2,11)+MID(CR15,4,1)*POWER(2,12)+MID(CR15,3,1)*POWER(2,13)+MID(CR15,2,1)*POWER(2,14)+MID(CR15,1,1)*POWER(2,15))</f>
        <v>-37174</v>
      </c>
      <c r="CU14" s="45" t="str">
        <f>BR14</f>
        <v>00000000001001000010000000100000</v>
      </c>
      <c r="CV14" s="26" t="str">
        <f t="shared" si="74"/>
        <v>00000000</v>
      </c>
      <c r="CW14" s="26" t="str">
        <f t="shared" si="75"/>
        <v>00100100</v>
      </c>
      <c r="CX14" s="26" t="str">
        <f t="shared" si="76"/>
        <v>00100000</v>
      </c>
      <c r="CY14" s="26" t="str">
        <f t="shared" si="77"/>
        <v>00100000</v>
      </c>
      <c r="CZ14" s="77">
        <f>BIN2DEC(CV14)-BIN2DEC(CV15)</f>
        <v>-64</v>
      </c>
      <c r="DA14" s="77">
        <f>BIN2DEC(CW14)-BIN2DEC(CW15)</f>
        <v>36</v>
      </c>
      <c r="DB14" s="77">
        <f>BIN2DEC(CX14)-BIN2DEC(CX15)</f>
        <v>0</v>
      </c>
      <c r="DC14" s="77">
        <f>BIN2DEC(CY14)-BIN2DEC(CY15)</f>
        <v>-36</v>
      </c>
      <c r="DD14" s="27" t="str">
        <f t="shared" si="78"/>
        <v>0000</v>
      </c>
      <c r="DE14" s="27" t="str">
        <f t="shared" si="79"/>
        <v>1010</v>
      </c>
      <c r="DF14" s="27" t="str">
        <f t="shared" si="80"/>
        <v>1010</v>
      </c>
      <c r="DG14" s="27" t="str">
        <f t="shared" si="81"/>
        <v>1101</v>
      </c>
      <c r="DH14" s="27" t="str">
        <f t="shared" si="82"/>
        <v>0010</v>
      </c>
      <c r="DI14" s="27" t="str">
        <f t="shared" si="83"/>
        <v>0001</v>
      </c>
      <c r="DJ14" s="27" t="str">
        <f t="shared" si="84"/>
        <v>0010</v>
      </c>
      <c r="DK14" s="27" t="str">
        <f t="shared" si="85"/>
        <v>1001</v>
      </c>
      <c r="DL14" s="77">
        <f>BIN2DEC(DD14)-BIN2DEC(DD15)</f>
        <v>-13</v>
      </c>
      <c r="DM14" s="77">
        <f t="shared" ref="DM14:DR14" si="245">BIN2DEC(DE14)-BIN2DEC(DE15)</f>
        <v>7</v>
      </c>
      <c r="DN14" s="77">
        <f t="shared" si="245"/>
        <v>9</v>
      </c>
      <c r="DO14" s="77">
        <f t="shared" si="245"/>
        <v>12</v>
      </c>
      <c r="DP14" s="77">
        <f t="shared" si="245"/>
        <v>-9</v>
      </c>
      <c r="DQ14" s="77">
        <f t="shared" si="245"/>
        <v>0</v>
      </c>
      <c r="DR14" s="77">
        <f t="shared" si="245"/>
        <v>-3</v>
      </c>
      <c r="DS14" s="77">
        <f>BIN2DEC(DK14)-BIN2DEC(DK15)</f>
        <v>3</v>
      </c>
      <c r="DT14" s="26" t="str">
        <f t="shared" si="12"/>
        <v>0000000000100100</v>
      </c>
      <c r="DU14" s="26" t="str">
        <f t="shared" si="13"/>
        <v>0010000000100000</v>
      </c>
      <c r="DV14" s="77">
        <f>MID(DT14,16,1)*POWER(2,0)+MID(DT14,15,1)*POWER(2,1)+MID(DT14,14,1)*POWER(2,2)+MID(DT14,13,1)*POWER(2,3)+MID(DT14,12,1)*POWER(2,4)+MID(DT14,11,1)*POWER(2,5)+MID(DT14,10,1)*POWER(2,6)+MID(DT14,9,1)*POWER(2,7)+MID(DT14,8,1)*POWER(2,8)+MID(DT14,7,1)*POWER(2,9)+MID(DT14,6,1)*POWER(2,10)+MID(DT14,5,1)*POWER(2,11)+MID(DT14,4,1)*POWER(2,12)+MID(DT14,3,1)*POWER(2,13)+MID(DT14,2,1)*POWER(2,14)+MID(DT14,1,1)*POWER(2,15)-(MID(DT15,16,1)*POWER(2,0)+MID(DT15,15,1)*POWER(2,1)+MID(DT15,14,1)*POWER(2,2)+MID(DT15,13,1)*POWER(2,3)+MID(DT15,12,1)*POWER(2,4)+MID(DT15,11,1)*POWER(2,5)+MID(DT15,10,1)*POWER(2,6)+MID(DT15,9,1)*POWER(2,7)+MID(DT15,8,1)*POWER(2,8)+MID(DT15,7,1)*POWER(2,9)+MID(DT15,6,1)*POWER(2,10)+MID(DT15,5,1)*POWER(2,11)+MID(DT15,4,1)*POWER(2,12)+MID(DT15,3,1)*POWER(2,13)+MID(DT15,2,1)*POWER(2,14)+MID(DT15,1,1)*POWER(2,15))</f>
        <v>-16348</v>
      </c>
      <c r="DW14" s="77">
        <f>MID(DU14,16,1)*POWER(2,0)+MID(DU14,15,1)*POWER(2,1)+MID(DU14,14,1)*POWER(2,2)+MID(DU14,13,1)*POWER(2,3)+MID(DU14,12,1)*POWER(2,4)+MID(DU14,11,1)*POWER(2,5)+MID(DU14,10,1)*POWER(2,6)+MID(DU14,9,1)*POWER(2,7)+MID(DU14,8,1)*POWER(2,8)+MID(DU14,7,1)*POWER(2,9)+MID(DU14,6,1)*POWER(2,10)+MID(DU14,5,1)*POWER(2,11)+MID(DU14,4,1)*POWER(2,12)+MID(DU14,3,1)*POWER(2,13)+MID(DU14,2,1)*POWER(2,14)+MID(DU14,1,1)*POWER(2,15)-(MID(DU15,16,1)*POWER(2,0)+MID(DU15,15,1)*POWER(2,1)+MID(DU15,14,1)*POWER(2,2)+MID(DU15,13,1)*POWER(2,3)+MID(DU15,12,1)*POWER(2,4)+MID(DU15,11,1)*POWER(2,5)+MID(DU15,10,1)*POWER(2,6)+MID(DU15,9,1)*POWER(2,7)+MID(DU15,8,1)*POWER(2,8)+MID(DU15,7,1)*POWER(2,9)+MID(DU15,6,1)*POWER(2,10)+MID(DU15,5,1)*POWER(2,11)+MID(DU15,4,1)*POWER(2,12)+MID(DU15,3,1)*POWER(2,13)+MID(DU15,2,1)*POWER(2,14)+MID(DU15,1,1)*POWER(2,15))</f>
        <v>-36</v>
      </c>
      <c r="DX14" s="22" t="str">
        <f>CONCATENATE(MID($H14,1,1)*MID($K14,1,1),MID($H14,2,1)*MID($K14,2,1),MID($H14,3,1)*MID($K14,3,1),MID($H14,4,1)*MID($K14,4,1),MID($H14,5,1)*MID($K14,5,1),MID($H14,6,1)*MID($K14,6,1),MID($H14,7,1)*MID($K14,7,1),MID($H14,8,1)*MID($K14,8,1),MID($H14,9,1)*MID($K14,1,1),MID($H14,10,1)*MID($K14,2,1),MID($H14,11,1)*MID($K14,3,1),MID($H14,12,1)*MID($K14,4,1),MID($H14,13,1)*MID($K14,5,1),MID($H14,14,1)*MID($K14,6,1),MID($H14,15,1)*MID($K14,7,1),MID($H14,16,1)*MID($K14,8,1),MID($H14,17,1)*MID($K14,1,1),MID($H14,18,1)*MID($K14,2,1),MID($H14,19,1)*MID($K14,3,1),MID($H14,20,1)*MID($K14,4,1),MID($H14,21,1)*MID($K14,5,1),MID($H14,22,1)*MID($K14,6,1),MID($H14,23,1)*MID($K14,7,1),MID($H14,24,1)*MID($K14,8,1),MID($H14,25,1)*MID($K14,1,1),MID($H14,26,1)*MID($K14,2,1),MID($H14,27,1)*MID($K14,3,1),MID($H14,28,1)*MID($K14,4,1),MID($H14,29,1)*MID($K14,5,1),MID($H14,30,1)*MID($K14,6,1),MID($H14,31,1)*MID($K14,7,1),MID($H14,32,1)*MID($K14,8,1))</f>
        <v>00100000001000000000000000100100</v>
      </c>
      <c r="DY14" s="43" t="str">
        <f>L14</f>
        <v>00001010101011010010000100101001</v>
      </c>
      <c r="DZ14" s="26" t="str">
        <f t="shared" si="178"/>
        <v>00001010</v>
      </c>
      <c r="EA14" s="26" t="str">
        <f t="shared" si="86"/>
        <v>10101101</v>
      </c>
      <c r="EB14" s="26" t="str">
        <f t="shared" si="87"/>
        <v>00100001</v>
      </c>
      <c r="EC14" s="26" t="str">
        <f t="shared" si="88"/>
        <v>00101001</v>
      </c>
      <c r="ED14" s="77">
        <f>BIN2DEC(DZ14)-BIN2DEC(DZ15)</f>
        <v>7</v>
      </c>
      <c r="EE14" s="77">
        <f>BIN2DEC(EA14)-BIN2DEC(EA15)</f>
        <v>172</v>
      </c>
      <c r="EF14" s="77">
        <f>BIN2DEC(EB14)-BIN2DEC(EB15)</f>
        <v>0</v>
      </c>
      <c r="EG14" s="77">
        <f>BIN2DEC(EC14)-BIN2DEC(EC15)</f>
        <v>39</v>
      </c>
      <c r="EH14" s="27" t="str">
        <f t="shared" si="89"/>
        <v>0000</v>
      </c>
      <c r="EI14" s="27" t="str">
        <f t="shared" si="90"/>
        <v>1010</v>
      </c>
      <c r="EJ14" s="27" t="str">
        <f t="shared" si="91"/>
        <v>1010</v>
      </c>
      <c r="EK14" s="27" t="str">
        <f t="shared" si="92"/>
        <v>1101</v>
      </c>
      <c r="EL14" s="27" t="str">
        <f t="shared" si="93"/>
        <v>0010</v>
      </c>
      <c r="EM14" s="27" t="str">
        <f t="shared" si="94"/>
        <v>0001</v>
      </c>
      <c r="EN14" s="27" t="str">
        <f t="shared" si="95"/>
        <v>0010</v>
      </c>
      <c r="EO14" s="27" t="str">
        <f t="shared" si="96"/>
        <v>1001</v>
      </c>
      <c r="EP14" s="77">
        <f>BIN2DEC(EH14)-BIN2DEC(EH15)</f>
        <v>-13</v>
      </c>
      <c r="EQ14" s="77">
        <f t="shared" ref="EQ14:EV14" si="246">BIN2DEC(EI14)-BIN2DEC(EI15)</f>
        <v>7</v>
      </c>
      <c r="ER14" s="77">
        <f t="shared" si="246"/>
        <v>9</v>
      </c>
      <c r="ES14" s="77">
        <f t="shared" si="246"/>
        <v>12</v>
      </c>
      <c r="ET14" s="77">
        <f t="shared" si="246"/>
        <v>-9</v>
      </c>
      <c r="EU14" s="77">
        <f t="shared" si="246"/>
        <v>0</v>
      </c>
      <c r="EV14" s="77">
        <f t="shared" si="246"/>
        <v>-3</v>
      </c>
      <c r="EW14" s="77">
        <f>BIN2DEC(EO14)-BIN2DEC(EO15)</f>
        <v>3</v>
      </c>
      <c r="EX14" s="26" t="str">
        <f t="shared" si="15"/>
        <v>0000101010101101</v>
      </c>
      <c r="EY14" s="26" t="str">
        <f t="shared" si="16"/>
        <v>0010000100101001</v>
      </c>
      <c r="EZ14" s="77">
        <f>MID(EX14,16,1)*POWER(2,0)+MID(EX14,15,1)*POWER(2,1)+MID(EX14,14,1)*POWER(2,2)+MID(EX14,13,1)*POWER(2,3)+MID(EX14,12,1)*POWER(2,4)+MID(EX14,11,1)*POWER(2,5)+MID(EX14,10,1)*POWER(2,6)+MID(EX14,9,1)*POWER(2,7)+MID(EX14,8,1)*POWER(2,8)+MID(EX14,7,1)*POWER(2,9)+MID(EX14,6,1)*POWER(2,10)+MID(EX14,5,1)*POWER(2,11)+MID(EX14,4,1)*POWER(2,12)+MID(EX14,3,1)*POWER(2,13)+MID(EX14,2,1)*POWER(2,14)+MID(EX14,1,1)*POWER(2,15)-(MID(EX15,16,1)*POWER(2,0)+MID(EX15,15,1)*POWER(2,1)+MID(EX15,14,1)*POWER(2,2)+MID(EX15,13,1)*POWER(2,3)+MID(EX15,12,1)*POWER(2,4)+MID(EX15,11,1)*POWER(2,5)+MID(EX15,10,1)*POWER(2,6)+MID(EX15,9,1)*POWER(2,7)+MID(EX15,8,1)*POWER(2,8)+MID(EX15,7,1)*POWER(2,9)+MID(EX15,6,1)*POWER(2,10)+MID(EX15,5,1)*POWER(2,11)+MID(EX15,4,1)*POWER(2,12)+MID(EX15,3,1)*POWER(2,13)+MID(EX15,2,1)*POWER(2,14)+MID(EX15,1,1)*POWER(2,15))</f>
        <v>1964</v>
      </c>
      <c r="FA14" s="77">
        <f>MID(EY14,16,1)*POWER(2,0)+MID(EY14,15,1)*POWER(2,1)+MID(EY14,14,1)*POWER(2,2)+MID(EY14,13,1)*POWER(2,3)+MID(EY14,12,1)*POWER(2,4)+MID(EY14,11,1)*POWER(2,5)+MID(EY14,10,1)*POWER(2,6)+MID(EY14,9,1)*POWER(2,7)+MID(EY14,8,1)*POWER(2,8)+MID(EY14,7,1)*POWER(2,9)+MID(EY14,6,1)*POWER(2,10)+MID(EY14,5,1)*POWER(2,11)+MID(EY14,4,1)*POWER(2,12)+MID(EY14,3,1)*POWER(2,13)+MID(EY14,2,1)*POWER(2,14)+MID(EY14,1,1)*POWER(2,15)-(MID(EY15,16,1)*POWER(2,0)+MID(EY15,15,1)*POWER(2,1)+MID(EY15,14,1)*POWER(2,2)+MID(EY15,13,1)*POWER(2,3)+MID(EY15,12,1)*POWER(2,4)+MID(EY15,11,1)*POWER(2,5)+MID(EY15,10,1)*POWER(2,6)+MID(EY15,9,1)*POWER(2,7)+MID(EY15,8,1)*POWER(2,8)+MID(EY15,7,1)*POWER(2,9)+MID(EY15,6,1)*POWER(2,10)+MID(EY15,5,1)*POWER(2,11)+MID(EY15,4,1)*POWER(2,12)+MID(EY15,3,1)*POWER(2,13)+MID(EY15,2,1)*POWER(2,14)+MID(EY15,1,1)*POWER(2,15))</f>
        <v>39</v>
      </c>
      <c r="FB14" s="45" t="str">
        <f>L14</f>
        <v>00001010101011010010000100101001</v>
      </c>
      <c r="FC14" s="26" t="str">
        <f t="shared" si="180"/>
        <v>00001010</v>
      </c>
      <c r="FD14" s="26" t="str">
        <f t="shared" si="97"/>
        <v>10101101</v>
      </c>
      <c r="FE14" s="26" t="str">
        <f t="shared" si="98"/>
        <v>00100001</v>
      </c>
      <c r="FF14" s="26" t="str">
        <f t="shared" si="99"/>
        <v>00101001</v>
      </c>
      <c r="FG14" s="77">
        <f>BIN2DEC(FC14)-BIN2DEC(FC15)</f>
        <v>10</v>
      </c>
      <c r="FH14" s="77">
        <f>BIN2DEC(FD14)-BIN2DEC(FD15)</f>
        <v>173</v>
      </c>
      <c r="FI14" s="77">
        <f>BIN2DEC(FE14)-BIN2DEC(FE15)</f>
        <v>1</v>
      </c>
      <c r="FJ14" s="77">
        <f>BIN2DEC(FF14)-BIN2DEC(FF15)</f>
        <v>41</v>
      </c>
      <c r="FK14" s="27" t="str">
        <f t="shared" si="100"/>
        <v>0000</v>
      </c>
      <c r="FL14" s="27" t="str">
        <f t="shared" si="101"/>
        <v>1010</v>
      </c>
      <c r="FM14" s="27" t="str">
        <f t="shared" si="102"/>
        <v>1010</v>
      </c>
      <c r="FN14" s="27" t="str">
        <f t="shared" si="103"/>
        <v>1101</v>
      </c>
      <c r="FO14" s="27" t="str">
        <f t="shared" si="104"/>
        <v>0010</v>
      </c>
      <c r="FP14" s="27" t="str">
        <f t="shared" si="105"/>
        <v>0001</v>
      </c>
      <c r="FQ14" s="27" t="str">
        <f t="shared" si="106"/>
        <v>0010</v>
      </c>
      <c r="FR14" s="27" t="str">
        <f t="shared" si="107"/>
        <v>1001</v>
      </c>
      <c r="FS14" s="77">
        <f>BIN2DEC(FK14)-BIN2DEC(FK15)</f>
        <v>-13</v>
      </c>
      <c r="FT14" s="77">
        <f t="shared" ref="FT14:FY14" si="247">BIN2DEC(FL14)-BIN2DEC(FL15)</f>
        <v>7</v>
      </c>
      <c r="FU14" s="77">
        <f t="shared" si="247"/>
        <v>9</v>
      </c>
      <c r="FV14" s="77">
        <f t="shared" si="247"/>
        <v>12</v>
      </c>
      <c r="FW14" s="77">
        <f t="shared" si="247"/>
        <v>-9</v>
      </c>
      <c r="FX14" s="77">
        <f t="shared" si="247"/>
        <v>0</v>
      </c>
      <c r="FY14" s="77">
        <f t="shared" si="247"/>
        <v>-3</v>
      </c>
      <c r="FZ14" s="77">
        <f>BIN2DEC(FR14)-BIN2DEC(FR15)</f>
        <v>3</v>
      </c>
      <c r="GA14" s="26" t="str">
        <f t="shared" si="18"/>
        <v>0000101010101101</v>
      </c>
      <c r="GB14" s="26" t="str">
        <f t="shared" si="19"/>
        <v>0010000100101001</v>
      </c>
      <c r="GC14" s="77">
        <f>MID(GA14,16,1)*POWER(2,0)+MID(GA14,15,1)*POWER(2,1)+MID(GA14,14,1)*POWER(2,2)+MID(GA14,13,1)*POWER(2,3)+MID(GA14,12,1)*POWER(2,4)+MID(GA14,11,1)*POWER(2,5)+MID(GA14,10,1)*POWER(2,6)+MID(GA14,9,1)*POWER(2,7)+MID(GA14,8,1)*POWER(2,8)+MID(GA14,7,1)*POWER(2,9)+MID(GA14,6,1)*POWER(2,10)+MID(GA14,5,1)*POWER(2,11)+MID(GA14,4,1)*POWER(2,12)+MID(GA14,3,1)*POWER(2,13)+MID(GA14,2,1)*POWER(2,14)+MID(GA14,1,1)*POWER(2,15)-(MID(GA15,16,1)*POWER(2,0)+MID(GA15,15,1)*POWER(2,1)+MID(GA15,14,1)*POWER(2,2)+MID(GA15,13,1)*POWER(2,3)+MID(GA15,12,1)*POWER(2,4)+MID(GA15,11,1)*POWER(2,5)+MID(GA15,10,1)*POWER(2,6)+MID(GA15,9,1)*POWER(2,7)+MID(GA15,8,1)*POWER(2,8)+MID(GA15,7,1)*POWER(2,9)+MID(GA15,6,1)*POWER(2,10)+MID(GA15,5,1)*POWER(2,11)+MID(GA15,4,1)*POWER(2,12)+MID(GA15,3,1)*POWER(2,13)+MID(GA15,2,1)*POWER(2,14)+MID(GA15,1,1)*POWER(2,15))</f>
        <v>2733</v>
      </c>
      <c r="GD14" s="77">
        <f>MID(GB14,16,1)*POWER(2,0)+MID(GB14,15,1)*POWER(2,1)+MID(GB14,14,1)*POWER(2,2)+MID(GB14,13,1)*POWER(2,3)+MID(GB14,12,1)*POWER(2,4)+MID(GB14,11,1)*POWER(2,5)+MID(GB14,10,1)*POWER(2,6)+MID(GB14,9,1)*POWER(2,7)+MID(GB14,8,1)*POWER(2,8)+MID(GB14,7,1)*POWER(2,9)+MID(GB14,6,1)*POWER(2,10)+MID(GB14,5,1)*POWER(2,11)+MID(GB14,4,1)*POWER(2,12)+MID(GB14,3,1)*POWER(2,13)+MID(GB14,2,1)*POWER(2,14)+MID(GB14,1,1)*POWER(2,15)-(MID(GB15,16,1)*POWER(2,0)+MID(GB15,15,1)*POWER(2,1)+MID(GB15,14,1)*POWER(2,2)+MID(GB15,13,1)*POWER(2,3)+MID(GB15,12,1)*POWER(2,4)+MID(GB15,11,1)*POWER(2,5)+MID(GB15,10,1)*POWER(2,6)+MID(GB15,9,1)*POWER(2,7)+MID(GB15,8,1)*POWER(2,8)+MID(GB15,7,1)*POWER(2,9)+MID(GB15,6,1)*POWER(2,10)+MID(GB15,5,1)*POWER(2,11)+MID(GB15,4,1)*POWER(2,12)+MID(GB15,3,1)*POWER(2,13)+MID(GB15,2,1)*POWER(2,14)+MID(GB15,1,1)*POWER(2,15))</f>
        <v>297</v>
      </c>
      <c r="GE14" s="47" t="str">
        <f>CU14</f>
        <v>00000000001001000010000000100000</v>
      </c>
      <c r="GF14" s="26" t="str">
        <f t="shared" si="182"/>
        <v>00000000</v>
      </c>
      <c r="GG14" s="26" t="str">
        <f t="shared" si="108"/>
        <v>00100100</v>
      </c>
      <c r="GH14" s="26" t="str">
        <f t="shared" si="109"/>
        <v>00100000</v>
      </c>
      <c r="GI14" s="26" t="str">
        <f t="shared" si="110"/>
        <v>00100000</v>
      </c>
      <c r="GJ14" s="77">
        <f>BIN2DEC(GF14)-BIN2DEC(GF15)</f>
        <v>-3</v>
      </c>
      <c r="GK14" s="77">
        <f>BIN2DEC(GG14)-BIN2DEC(GG15)</f>
        <v>35</v>
      </c>
      <c r="GL14" s="77">
        <f>BIN2DEC(GH14)-BIN2DEC(GH15)</f>
        <v>-1</v>
      </c>
      <c r="GM14" s="77">
        <f>BIN2DEC(GI14)-BIN2DEC(GI15)</f>
        <v>30</v>
      </c>
      <c r="GN14" s="27" t="str">
        <f t="shared" si="111"/>
        <v>0000</v>
      </c>
      <c r="GO14" s="27" t="str">
        <f t="shared" si="112"/>
        <v>1010</v>
      </c>
      <c r="GP14" s="27" t="str">
        <f t="shared" si="113"/>
        <v>1010</v>
      </c>
      <c r="GQ14" s="27" t="str">
        <f t="shared" si="114"/>
        <v>1101</v>
      </c>
      <c r="GR14" s="27" t="str">
        <f t="shared" si="115"/>
        <v>0010</v>
      </c>
      <c r="GS14" s="27" t="str">
        <f t="shared" si="116"/>
        <v>0001</v>
      </c>
      <c r="GT14" s="27" t="str">
        <f t="shared" si="117"/>
        <v>0010</v>
      </c>
      <c r="GU14" s="27" t="str">
        <f t="shared" si="118"/>
        <v>1001</v>
      </c>
      <c r="GV14" s="77">
        <f>BIN2DEC(GN14)-BIN2DEC(GN15)</f>
        <v>-13</v>
      </c>
      <c r="GW14" s="77">
        <f t="shared" ref="GW14:HB14" si="248">BIN2DEC(GO14)-BIN2DEC(GO15)</f>
        <v>7</v>
      </c>
      <c r="GX14" s="77">
        <f t="shared" si="248"/>
        <v>9</v>
      </c>
      <c r="GY14" s="77">
        <f t="shared" si="248"/>
        <v>12</v>
      </c>
      <c r="GZ14" s="77">
        <f t="shared" si="248"/>
        <v>-9</v>
      </c>
      <c r="HA14" s="77">
        <f t="shared" si="248"/>
        <v>0</v>
      </c>
      <c r="HB14" s="77">
        <f t="shared" si="248"/>
        <v>-3</v>
      </c>
      <c r="HC14" s="77">
        <f>BIN2DEC(GU14)-BIN2DEC(GU15)</f>
        <v>3</v>
      </c>
      <c r="HD14" s="26" t="str">
        <f t="shared" si="21"/>
        <v>0000000000100100</v>
      </c>
      <c r="HE14" s="26" t="str">
        <f t="shared" si="22"/>
        <v>0010000000100000</v>
      </c>
      <c r="HF14" s="77">
        <f>MID(HD14,16,1)*POWER(2,0)+MID(HD14,15,1)*POWER(2,1)+MID(HD14,14,1)*POWER(2,2)+MID(HD14,13,1)*POWER(2,3)+MID(HD14,12,1)*POWER(2,4)+MID(HD14,11,1)*POWER(2,5)+MID(HD14,10,1)*POWER(2,6)+MID(HD14,9,1)*POWER(2,7)+MID(HD14,8,1)*POWER(2,8)+MID(HD14,7,1)*POWER(2,9)+MID(HD14,6,1)*POWER(2,10)+MID(HD14,5,1)*POWER(2,11)+MID(HD14,4,1)*POWER(2,12)+MID(HD14,3,1)*POWER(2,13)+MID(HD14,2,1)*POWER(2,14)+MID(HD14,1,1)*POWER(2,15)-(MID(HD15,16,1)*POWER(2,0)+MID(HD15,15,1)*POWER(2,1)+MID(HD15,14,1)*POWER(2,2)+MID(HD15,13,1)*POWER(2,3)+MID(HD15,12,1)*POWER(2,4)+MID(HD15,11,1)*POWER(2,5)+MID(HD15,10,1)*POWER(2,6)+MID(HD15,9,1)*POWER(2,7)+MID(HD15,8,1)*POWER(2,8)+MID(HD15,7,1)*POWER(2,9)+MID(HD15,6,1)*POWER(2,10)+MID(HD15,5,1)*POWER(2,11)+MID(HD15,4,1)*POWER(2,12)+MID(HD15,3,1)*POWER(2,13)+MID(HD15,2,1)*POWER(2,14)+MID(HD15,1,1)*POWER(2,15))</f>
        <v>-733</v>
      </c>
      <c r="HG14" s="77">
        <f>MID(HE14,16,1)*POWER(2,0)+MID(HE14,15,1)*POWER(2,1)+MID(HE14,14,1)*POWER(2,2)+MID(HE14,13,1)*POWER(2,3)+MID(HE14,12,1)*POWER(2,4)+MID(HE14,11,1)*POWER(2,5)+MID(HE14,10,1)*POWER(2,6)+MID(HE14,9,1)*POWER(2,7)+MID(HE14,8,1)*POWER(2,8)+MID(HE14,7,1)*POWER(2,9)+MID(HE14,6,1)*POWER(2,10)+MID(HE14,5,1)*POWER(2,11)+MID(HE14,4,1)*POWER(2,12)+MID(HE14,3,1)*POWER(2,13)+MID(HE14,2,1)*POWER(2,14)+MID(HE14,1,1)*POWER(2,15)-(MID(HE15,16,1)*POWER(2,0)+MID(HE15,15,1)*POWER(2,1)+MID(HE15,14,1)*POWER(2,2)+MID(HE15,13,1)*POWER(2,3)+MID(HE15,12,1)*POWER(2,4)+MID(HE15,11,1)*POWER(2,5)+MID(HE15,10,1)*POWER(2,6)+MID(HE15,9,1)*POWER(2,7)+MID(HE15,8,1)*POWER(2,8)+MID(HE15,7,1)*POWER(2,9)+MID(HE15,6,1)*POWER(2,10)+MID(HE15,5,1)*POWER(2,11)+MID(HE15,4,1)*POWER(2,12)+MID(HE15,3,1)*POWER(2,13)+MID(HE15,2,1)*POWER(2,14)+MID(HE15,1,1)*POWER(2,15))</f>
        <v>-226</v>
      </c>
      <c r="HH14" s="43" t="str">
        <f>CONCATENATE(MID(DX14,17,16),MID(DX14,1,16))</f>
        <v>00000000001001000010000000100000</v>
      </c>
      <c r="HI14" s="26" t="str">
        <f t="shared" si="184"/>
        <v>00000000</v>
      </c>
      <c r="HJ14" s="26" t="str">
        <f t="shared" si="119"/>
        <v>00100100</v>
      </c>
      <c r="HK14" s="26" t="str">
        <f t="shared" si="120"/>
        <v>00100000</v>
      </c>
      <c r="HL14" s="26" t="str">
        <f t="shared" si="121"/>
        <v>00100000</v>
      </c>
      <c r="HM14" s="77">
        <f>BIN2DEC(HI14)-BIN2DEC(HI15)</f>
        <v>0</v>
      </c>
      <c r="HN14" s="77">
        <f>BIN2DEC(HJ14)-BIN2DEC(HJ15)</f>
        <v>36</v>
      </c>
      <c r="HO14" s="77">
        <f>BIN2DEC(HK14)-BIN2DEC(HK15)</f>
        <v>0</v>
      </c>
      <c r="HP14" s="77">
        <f>BIN2DEC(HL14)-BIN2DEC(HL15)</f>
        <v>32</v>
      </c>
      <c r="HQ14" s="27" t="str">
        <f t="shared" si="122"/>
        <v>0000</v>
      </c>
      <c r="HR14" s="27" t="str">
        <f t="shared" si="123"/>
        <v>1010</v>
      </c>
      <c r="HS14" s="27" t="str">
        <f t="shared" si="124"/>
        <v>1010</v>
      </c>
      <c r="HT14" s="27" t="str">
        <f t="shared" si="125"/>
        <v>1101</v>
      </c>
      <c r="HU14" s="27" t="str">
        <f t="shared" si="126"/>
        <v>0010</v>
      </c>
      <c r="HV14" s="27" t="str">
        <f t="shared" si="127"/>
        <v>0001</v>
      </c>
      <c r="HW14" s="27" t="str">
        <f t="shared" si="128"/>
        <v>0010</v>
      </c>
      <c r="HX14" s="27" t="str">
        <f t="shared" si="129"/>
        <v>1001</v>
      </c>
      <c r="HY14" s="77">
        <f>BIN2DEC(HQ14)-BIN2DEC(HQ15)</f>
        <v>-13</v>
      </c>
      <c r="HZ14" s="77">
        <f t="shared" ref="HZ14:IE14" si="249">BIN2DEC(HR14)-BIN2DEC(HR15)</f>
        <v>7</v>
      </c>
      <c r="IA14" s="77">
        <f t="shared" si="249"/>
        <v>9</v>
      </c>
      <c r="IB14" s="77">
        <f t="shared" si="249"/>
        <v>12</v>
      </c>
      <c r="IC14" s="77">
        <f t="shared" si="249"/>
        <v>-9</v>
      </c>
      <c r="ID14" s="77">
        <f t="shared" si="249"/>
        <v>0</v>
      </c>
      <c r="IE14" s="77">
        <f t="shared" si="249"/>
        <v>-3</v>
      </c>
      <c r="IF14" s="77">
        <f>BIN2DEC(HX14)-BIN2DEC(HX15)</f>
        <v>3</v>
      </c>
      <c r="IG14" s="26" t="str">
        <f t="shared" si="24"/>
        <v>0000000000100100</v>
      </c>
      <c r="IH14" s="26" t="str">
        <f t="shared" si="25"/>
        <v>0010000000100000</v>
      </c>
      <c r="II14" s="77">
        <f>MID(IG14,16,1)*POWER(2,0)+MID(IG14,15,1)*POWER(2,1)+MID(IG14,14,1)*POWER(2,2)+MID(IG14,13,1)*POWER(2,3)+MID(IG14,12,1)*POWER(2,4)+MID(IG14,11,1)*POWER(2,5)+MID(IG14,10,1)*POWER(2,6)+MID(IG14,9,1)*POWER(2,7)+MID(IG14,8,1)*POWER(2,8)+MID(IG14,7,1)*POWER(2,9)+MID(IG14,6,1)*POWER(2,10)+MID(IG14,5,1)*POWER(2,11)+MID(IG14,4,1)*POWER(2,12)+MID(IG14,3,1)*POWER(2,13)+MID(IG14,2,1)*POWER(2,14)+MID(IG14,1,1)*POWER(2,15)-(MID(IG15,16,1)*POWER(2,0)+MID(IG15,15,1)*POWER(2,1)+MID(IG15,14,1)*POWER(2,2)+MID(IG15,13,1)*POWER(2,3)+MID(IG15,12,1)*POWER(2,4)+MID(IG15,11,1)*POWER(2,5)+MID(IG15,10,1)*POWER(2,6)+MID(IG15,9,1)*POWER(2,7)+MID(IG15,8,1)*POWER(2,8)+MID(IG15,7,1)*POWER(2,9)+MID(IG15,6,1)*POWER(2,10)+MID(IG15,5,1)*POWER(2,11)+MID(IG15,4,1)*POWER(2,12)+MID(IG15,3,1)*POWER(2,13)+MID(IG15,2,1)*POWER(2,14)+MID(IG15,1,1)*POWER(2,15))</f>
        <v>36</v>
      </c>
      <c r="IJ14" s="77">
        <f>MID(IH14,16,1)*POWER(2,0)+MID(IH14,15,1)*POWER(2,1)+MID(IH14,14,1)*POWER(2,2)+MID(IH14,13,1)*POWER(2,3)+MID(IH14,12,1)*POWER(2,4)+MID(IH14,11,1)*POWER(2,5)+MID(IH14,10,1)*POWER(2,6)+MID(IH14,9,1)*POWER(2,7)+MID(IH14,8,1)*POWER(2,8)+MID(IH14,7,1)*POWER(2,9)+MID(IH14,6,1)*POWER(2,10)+MID(IH14,5,1)*POWER(2,11)+MID(IH14,4,1)*POWER(2,12)+MID(IH14,3,1)*POWER(2,13)+MID(IH14,2,1)*POWER(2,14)+MID(IH14,1,1)*POWER(2,15)-(MID(IH15,16,1)*POWER(2,0)+MID(IH15,15,1)*POWER(2,1)+MID(IH15,14,1)*POWER(2,2)+MID(IH15,13,1)*POWER(2,3)+MID(IH15,12,1)*POWER(2,4)+MID(IH15,11,1)*POWER(2,5)+MID(IH15,10,1)*POWER(2,6)+MID(IH15,9,1)*POWER(2,7)+MID(IH15,8,1)*POWER(2,8)+MID(IH15,7,1)*POWER(2,9)+MID(IH15,6,1)*POWER(2,10)+MID(IH15,5,1)*POWER(2,11)+MID(IH15,4,1)*POWER(2,12)+MID(IH15,3,1)*POWER(2,13)+MID(IH15,2,1)*POWER(2,14)+MID(IH15,1,1)*POWER(2,15))</f>
        <v>32</v>
      </c>
      <c r="IK14" s="43" t="str">
        <f>HH14</f>
        <v>00000000001001000010000000100000</v>
      </c>
      <c r="IL14" s="26" t="str">
        <f t="shared" si="186"/>
        <v>00000000</v>
      </c>
      <c r="IM14" s="26" t="str">
        <f t="shared" si="130"/>
        <v>00100100</v>
      </c>
      <c r="IN14" s="26" t="str">
        <f t="shared" si="131"/>
        <v>00100000</v>
      </c>
      <c r="IO14" s="26" t="str">
        <f t="shared" si="132"/>
        <v>00100000</v>
      </c>
      <c r="IP14" s="77">
        <f>BIN2DEC(IL14)-BIN2DEC(IL15)</f>
        <v>-211</v>
      </c>
      <c r="IQ14" s="77">
        <f>BIN2DEC(IM14)-BIN2DEC(IM15)</f>
        <v>19</v>
      </c>
      <c r="IR14" s="77">
        <f>BIN2DEC(IN14)-BIN2DEC(IN15)</f>
        <v>-145</v>
      </c>
      <c r="IS14" s="77">
        <f>BIN2DEC(IO14)-BIN2DEC(IO15)</f>
        <v>-54</v>
      </c>
      <c r="IT14" s="27" t="str">
        <f t="shared" si="133"/>
        <v>0000</v>
      </c>
      <c r="IU14" s="27" t="str">
        <f t="shared" si="134"/>
        <v>1010</v>
      </c>
      <c r="IV14" s="27" t="str">
        <f t="shared" si="135"/>
        <v>1010</v>
      </c>
      <c r="IW14" s="27" t="str">
        <f t="shared" si="136"/>
        <v>1101</v>
      </c>
      <c r="IX14" s="27" t="str">
        <f t="shared" si="137"/>
        <v>0010</v>
      </c>
      <c r="IY14" s="27" t="str">
        <f t="shared" si="138"/>
        <v>0001</v>
      </c>
      <c r="IZ14" s="27" t="str">
        <f t="shared" si="139"/>
        <v>0010</v>
      </c>
      <c r="JA14" s="27" t="str">
        <f t="shared" si="140"/>
        <v>1001</v>
      </c>
      <c r="JB14" s="77">
        <f t="shared" ref="JB14:JI14" si="250">BIN2DEC(IT14)-BIN2DEC(IT15)</f>
        <v>-13</v>
      </c>
      <c r="JC14" s="77">
        <f t="shared" si="250"/>
        <v>7</v>
      </c>
      <c r="JD14" s="77">
        <f t="shared" si="250"/>
        <v>9</v>
      </c>
      <c r="JE14" s="77">
        <f t="shared" si="250"/>
        <v>12</v>
      </c>
      <c r="JF14" s="77">
        <f t="shared" si="250"/>
        <v>-9</v>
      </c>
      <c r="JG14" s="77">
        <f t="shared" si="250"/>
        <v>0</v>
      </c>
      <c r="JH14" s="77">
        <f t="shared" si="250"/>
        <v>-3</v>
      </c>
      <c r="JI14" s="77">
        <f t="shared" si="250"/>
        <v>3</v>
      </c>
      <c r="JJ14" s="26" t="str">
        <f t="shared" si="27"/>
        <v>0000000000100100</v>
      </c>
      <c r="JK14" s="26" t="str">
        <f t="shared" si="28"/>
        <v>0010000000100000</v>
      </c>
      <c r="JL14" s="77">
        <f>MID(JJ14,16,1)*POWER(2,0)+MID(JJ14,15,1)*POWER(2,1)+MID(JJ14,14,1)*POWER(2,2)+MID(JJ14,13,1)*POWER(2,3)+MID(JJ14,12,1)*POWER(2,4)+MID(JJ14,11,1)*POWER(2,5)+MID(JJ14,10,1)*POWER(2,6)+MID(JJ14,9,1)*POWER(2,7)+MID(JJ14,8,1)*POWER(2,8)+MID(JJ14,7,1)*POWER(2,9)+MID(JJ14,6,1)*POWER(2,10)+MID(JJ14,5,1)*POWER(2,11)+MID(JJ14,4,1)*POWER(2,12)+MID(JJ14,3,1)*POWER(2,13)+MID(JJ14,2,1)*POWER(2,14)+MID(JJ14,1,1)*POWER(2,15)-(MID(JJ15,16,1)*POWER(2,0)+MID(JJ15,15,1)*POWER(2,1)+MID(JJ15,14,1)*POWER(2,2)+MID(JJ15,13,1)*POWER(2,3)+MID(JJ15,12,1)*POWER(2,4)+MID(JJ15,11,1)*POWER(2,5)+MID(JJ15,10,1)*POWER(2,6)+MID(JJ15,9,1)*POWER(2,7)+MID(JJ15,8,1)*POWER(2,8)+MID(JJ15,7,1)*POWER(2,9)+MID(JJ15,6,1)*POWER(2,10)+MID(JJ15,5,1)*POWER(2,11)+MID(JJ15,4,1)*POWER(2,12)+MID(JJ15,3,1)*POWER(2,13)+MID(JJ15,2,1)*POWER(2,14)+MID(JJ15,1,1)*POWER(2,15))</f>
        <v>-53997</v>
      </c>
      <c r="JM14" s="77">
        <f>MID(JK14,16,1)*POWER(2,0)+MID(JK14,15,1)*POWER(2,1)+MID(JK14,14,1)*POWER(2,2)+MID(JK14,13,1)*POWER(2,3)+MID(JK14,12,1)*POWER(2,4)+MID(JK14,11,1)*POWER(2,5)+MID(JK14,10,1)*POWER(2,6)+MID(JK14,9,1)*POWER(2,7)+MID(JK14,8,1)*POWER(2,8)+MID(JK14,7,1)*POWER(2,9)+MID(JK14,6,1)*POWER(2,10)+MID(JK14,5,1)*POWER(2,11)+MID(JK14,4,1)*POWER(2,12)+MID(JK14,3,1)*POWER(2,13)+MID(JK14,2,1)*POWER(2,14)+MID(JK14,1,1)*POWER(2,15)-(MID(JK15,16,1)*POWER(2,0)+MID(JK15,15,1)*POWER(2,1)+MID(JK15,14,1)*POWER(2,2)+MID(JK15,13,1)*POWER(2,3)+MID(JK15,12,1)*POWER(2,4)+MID(JK15,11,1)*POWER(2,5)+MID(JK15,10,1)*POWER(2,6)+MID(JK15,9,1)*POWER(2,7)+MID(JK15,8,1)*POWER(2,8)+MID(JK15,7,1)*POWER(2,9)+MID(JK15,6,1)*POWER(2,10)+MID(JK15,5,1)*POWER(2,11)+MID(JK15,4,1)*POWER(2,12)+MID(JK15,3,1)*POWER(2,13)+MID(JK15,2,1)*POWER(2,14)+MID(JK15,1,1)*POWER(2,15))</f>
        <v>-37174</v>
      </c>
      <c r="JN14" s="45" t="str">
        <f>CONCATENATE(MID(IK14,1,1)*MID($K14,1,1),MID(IK14,2,1)*MID($K14,2,1),MID(IK14,3,1)*MID($K14,3,1),MID(IK14,4,1)*MID($K14,4,1),MID(IK14,5,1)*MID($K14,5,1),MID(IK14,6,1)*MID($K14,6,1),MID(IK14,7,1)*MID($K14,7,1),MID(IK14,8,1)*MID($K14,8,1),MID(IK14,9,1)*MID($K14,1,1),MID(IK14,10,1)*MID($K14,2,1),MID(IK14,11,1)*MID($K14,3,1),MID(IK14,12,1)*MID($K14,4,1),MID(IK14,13,1)*MID($K14,5,1),MID(IK14,14,1)*MID($K14,6,1),MID(IK14,15,1)*MID($K14,7,1),MID(IK14,16,1)*MID($K14,8,1),MID(IK14,17,1)*MID($K14,1,1),MID(IK14,18,1)*MID($K14,2,1),MID(IK14,19,1)*MID($K14,3,1),MID(IK14,20,1)*MID($K14,4,1),MID(IK14,21,1)*MID($K14,5,1),MID(IK14,22,1)*MID($K14,6,1),MID(IK14,23,1)*MID($K14,7,1),MID(IK14,24,1)*MID($K14,8,1),MID(IK14,25,1)*MID($K14,1,1),MID(IK14,26,1)*MID($K14,2,1),MID(IK14,27,1)*MID($K14,3,1),MID(IK14,28,1)*MID($K14,4,1),MID(IK14,29,1)*MID($K14,5,1),MID(IK14,30,1)*MID($K14,6,1),MID(IK14,31,1)*MID($K14,7,1),MID(IK14,32,1)*MID($K14,8,1))</f>
        <v>00000000001001000010000000100000</v>
      </c>
      <c r="JO14" s="26" t="str">
        <f t="shared" si="188"/>
        <v>00000000</v>
      </c>
      <c r="JP14" s="26" t="str">
        <f t="shared" si="141"/>
        <v>00100100</v>
      </c>
      <c r="JQ14" s="26" t="str">
        <f t="shared" si="142"/>
        <v>00100000</v>
      </c>
      <c r="JR14" s="26" t="str">
        <f t="shared" si="143"/>
        <v>00100000</v>
      </c>
      <c r="JS14" s="77">
        <f>BIN2DEC(JO14)-BIN2DEC(JO15)</f>
        <v>-211</v>
      </c>
      <c r="JT14" s="77">
        <f>BIN2DEC(JP14)-BIN2DEC(JP15)</f>
        <v>19</v>
      </c>
      <c r="JU14" s="77">
        <f>BIN2DEC(JQ14)-BIN2DEC(JQ15)</f>
        <v>-145</v>
      </c>
      <c r="JV14" s="77">
        <f>BIN2DEC(JR14)-BIN2DEC(JR15)</f>
        <v>-54</v>
      </c>
      <c r="JW14" s="27" t="str">
        <f t="shared" si="144"/>
        <v>0000</v>
      </c>
      <c r="JX14" s="27" t="str">
        <f t="shared" si="145"/>
        <v>1010</v>
      </c>
      <c r="JY14" s="27" t="str">
        <f t="shared" si="146"/>
        <v>1010</v>
      </c>
      <c r="JZ14" s="27" t="str">
        <f t="shared" si="147"/>
        <v>1101</v>
      </c>
      <c r="KA14" s="27" t="str">
        <f t="shared" si="148"/>
        <v>0010</v>
      </c>
      <c r="KB14" s="27" t="str">
        <f t="shared" si="149"/>
        <v>0001</v>
      </c>
      <c r="KC14" s="27" t="str">
        <f t="shared" si="150"/>
        <v>0010</v>
      </c>
      <c r="KD14" s="27" t="str">
        <f t="shared" si="151"/>
        <v>1001</v>
      </c>
      <c r="KE14" s="77">
        <f t="shared" ref="KE14:KL14" si="251">BIN2DEC(JW14)-BIN2DEC(JW15)</f>
        <v>-13</v>
      </c>
      <c r="KF14" s="77">
        <f t="shared" si="251"/>
        <v>7</v>
      </c>
      <c r="KG14" s="77">
        <f t="shared" si="251"/>
        <v>9</v>
      </c>
      <c r="KH14" s="77">
        <f t="shared" si="251"/>
        <v>12</v>
      </c>
      <c r="KI14" s="77">
        <f t="shared" si="251"/>
        <v>-9</v>
      </c>
      <c r="KJ14" s="77">
        <f t="shared" si="251"/>
        <v>0</v>
      </c>
      <c r="KK14" s="77">
        <f t="shared" si="251"/>
        <v>-3</v>
      </c>
      <c r="KL14" s="77">
        <f t="shared" si="251"/>
        <v>3</v>
      </c>
      <c r="KM14" s="26" t="str">
        <f t="shared" si="30"/>
        <v>0000000000100100</v>
      </c>
      <c r="KN14" s="26" t="str">
        <f t="shared" si="31"/>
        <v>0010000000100000</v>
      </c>
      <c r="KO14" s="77">
        <f>MID(KM14,16,1)*POWER(2,0)+MID(KM14,15,1)*POWER(2,1)+MID(KM14,14,1)*POWER(2,2)+MID(KM14,13,1)*POWER(2,3)+MID(KM14,12,1)*POWER(2,4)+MID(KM14,11,1)*POWER(2,5)+MID(KM14,10,1)*POWER(2,6)+MID(KM14,9,1)*POWER(2,7)+MID(KM14,8,1)*POWER(2,8)+MID(KM14,7,1)*POWER(2,9)+MID(KM14,6,1)*POWER(2,10)+MID(KM14,5,1)*POWER(2,11)+MID(KM14,4,1)*POWER(2,12)+MID(KM14,3,1)*POWER(2,13)+MID(KM14,2,1)*POWER(2,14)+MID(KM14,1,1)*POWER(2,15)-(MID(KM15,16,1)*POWER(2,0)+MID(KM15,15,1)*POWER(2,1)+MID(KM15,14,1)*POWER(2,2)+MID(KM15,13,1)*POWER(2,3)+MID(KM15,12,1)*POWER(2,4)+MID(KM15,11,1)*POWER(2,5)+MID(KM15,10,1)*POWER(2,6)+MID(KM15,9,1)*POWER(2,7)+MID(KM15,8,1)*POWER(2,8)+MID(KM15,7,1)*POWER(2,9)+MID(KM15,6,1)*POWER(2,10)+MID(KM15,5,1)*POWER(2,11)+MID(KM15,4,1)*POWER(2,12)+MID(KM15,3,1)*POWER(2,13)+MID(KM15,2,1)*POWER(2,14)+MID(KM15,1,1)*POWER(2,15))</f>
        <v>-53997</v>
      </c>
      <c r="KP14" s="77">
        <f>MID(KN14,16,1)*POWER(2,0)+MID(KN14,15,1)*POWER(2,1)+MID(KN14,14,1)*POWER(2,2)+MID(KN14,13,1)*POWER(2,3)+MID(KN14,12,1)*POWER(2,4)+MID(KN14,11,1)*POWER(2,5)+MID(KN14,10,1)*POWER(2,6)+MID(KN14,9,1)*POWER(2,7)+MID(KN14,8,1)*POWER(2,8)+MID(KN14,7,1)*POWER(2,9)+MID(KN14,6,1)*POWER(2,10)+MID(KN14,5,1)*POWER(2,11)+MID(KN14,4,1)*POWER(2,12)+MID(KN14,3,1)*POWER(2,13)+MID(KN14,2,1)*POWER(2,14)+MID(KN14,1,1)*POWER(2,15)-(MID(KN15,16,1)*POWER(2,0)+MID(KN15,15,1)*POWER(2,1)+MID(KN15,14,1)*POWER(2,2)+MID(KN15,13,1)*POWER(2,3)+MID(KN15,12,1)*POWER(2,4)+MID(KN15,11,1)*POWER(2,5)+MID(KN15,10,1)*POWER(2,6)+MID(KN15,9,1)*POWER(2,7)+MID(KN15,8,1)*POWER(2,8)+MID(KN15,7,1)*POWER(2,9)+MID(KN15,6,1)*POWER(2,10)+MID(KN15,5,1)*POWER(2,11)+MID(KN15,4,1)*POWER(2,12)+MID(KN15,3,1)*POWER(2,13)+MID(KN15,2,1)*POWER(2,14)+MID(KN15,1,1)*POWER(2,15))</f>
        <v>-37174</v>
      </c>
      <c r="KQ14" s="47" t="str">
        <f>IK14</f>
        <v>00000000001001000010000000100000</v>
      </c>
      <c r="KR14" s="26" t="str">
        <f t="shared" si="190"/>
        <v>00000000</v>
      </c>
      <c r="KS14" s="26" t="str">
        <f t="shared" si="152"/>
        <v>00100100</v>
      </c>
      <c r="KT14" s="26" t="str">
        <f t="shared" si="153"/>
        <v>00100000</v>
      </c>
      <c r="KU14" s="26" t="str">
        <f t="shared" si="154"/>
        <v>00100000</v>
      </c>
      <c r="KV14" s="77">
        <f>BIN2DEC(KR14)-BIN2DEC(KR15)</f>
        <v>-64</v>
      </c>
      <c r="KW14" s="77">
        <f>BIN2DEC(KS14)-BIN2DEC(KS15)</f>
        <v>36</v>
      </c>
      <c r="KX14" s="77">
        <f>BIN2DEC(KT14)-BIN2DEC(KT15)</f>
        <v>0</v>
      </c>
      <c r="KY14" s="77">
        <f>BIN2DEC(KU14)-BIN2DEC(KU15)</f>
        <v>-36</v>
      </c>
      <c r="KZ14" s="27" t="str">
        <f t="shared" si="155"/>
        <v>0000</v>
      </c>
      <c r="LA14" s="27" t="str">
        <f t="shared" si="156"/>
        <v>1010</v>
      </c>
      <c r="LB14" s="27" t="str">
        <f t="shared" si="157"/>
        <v>1010</v>
      </c>
      <c r="LC14" s="27" t="str">
        <f t="shared" si="158"/>
        <v>1101</v>
      </c>
      <c r="LD14" s="27" t="str">
        <f t="shared" si="159"/>
        <v>0010</v>
      </c>
      <c r="LE14" s="27" t="str">
        <f t="shared" si="160"/>
        <v>0001</v>
      </c>
      <c r="LF14" s="27" t="str">
        <f t="shared" si="161"/>
        <v>0010</v>
      </c>
      <c r="LG14" s="27" t="str">
        <f t="shared" si="162"/>
        <v>1001</v>
      </c>
      <c r="LH14" s="77">
        <f t="shared" ref="LH14:LO14" si="252">BIN2DEC(KZ14)-BIN2DEC(KZ15)</f>
        <v>-13</v>
      </c>
      <c r="LI14" s="77">
        <f t="shared" si="252"/>
        <v>7</v>
      </c>
      <c r="LJ14" s="77">
        <f t="shared" si="252"/>
        <v>9</v>
      </c>
      <c r="LK14" s="77">
        <f t="shared" si="252"/>
        <v>12</v>
      </c>
      <c r="LL14" s="77">
        <f t="shared" si="252"/>
        <v>-9</v>
      </c>
      <c r="LM14" s="77">
        <f t="shared" si="252"/>
        <v>0</v>
      </c>
      <c r="LN14" s="77">
        <f t="shared" si="252"/>
        <v>-3</v>
      </c>
      <c r="LO14" s="77">
        <f t="shared" si="252"/>
        <v>3</v>
      </c>
      <c r="LP14" s="26" t="str">
        <f t="shared" si="33"/>
        <v>0000000000100100</v>
      </c>
      <c r="LQ14" s="26" t="str">
        <f t="shared" si="34"/>
        <v>0010000000100000</v>
      </c>
      <c r="LR14" s="77">
        <f>MID(LP14,16,1)*POWER(2,0)+MID(LP14,15,1)*POWER(2,1)+MID(LP14,14,1)*POWER(2,2)+MID(LP14,13,1)*POWER(2,3)+MID(LP14,12,1)*POWER(2,4)+MID(LP14,11,1)*POWER(2,5)+MID(LP14,10,1)*POWER(2,6)+MID(LP14,9,1)*POWER(2,7)+MID(LP14,8,1)*POWER(2,8)+MID(LP14,7,1)*POWER(2,9)+MID(LP14,6,1)*POWER(2,10)+MID(LP14,5,1)*POWER(2,11)+MID(LP14,4,1)*POWER(2,12)+MID(LP14,3,1)*POWER(2,13)+MID(LP14,2,1)*POWER(2,14)+MID(LP14,1,1)*POWER(2,15)-(MID(LP15,16,1)*POWER(2,0)+MID(LP15,15,1)*POWER(2,1)+MID(LP15,14,1)*POWER(2,2)+MID(LP15,13,1)*POWER(2,3)+MID(LP15,12,1)*POWER(2,4)+MID(LP15,11,1)*POWER(2,5)+MID(LP15,10,1)*POWER(2,6)+MID(LP15,9,1)*POWER(2,7)+MID(LP15,8,1)*POWER(2,8)+MID(LP15,7,1)*POWER(2,9)+MID(LP15,6,1)*POWER(2,10)+MID(LP15,5,1)*POWER(2,11)+MID(LP15,4,1)*POWER(2,12)+MID(LP15,3,1)*POWER(2,13)+MID(LP15,2,1)*POWER(2,14)+MID(LP15,1,1)*POWER(2,15))</f>
        <v>-16348</v>
      </c>
      <c r="LS14" s="77">
        <f>MID(LQ14,16,1)*POWER(2,0)+MID(LQ14,15,1)*POWER(2,1)+MID(LQ14,14,1)*POWER(2,2)+MID(LQ14,13,1)*POWER(2,3)+MID(LQ14,12,1)*POWER(2,4)+MID(LQ14,11,1)*POWER(2,5)+MID(LQ14,10,1)*POWER(2,6)+MID(LQ14,9,1)*POWER(2,7)+MID(LQ14,8,1)*POWER(2,8)+MID(LQ14,7,1)*POWER(2,9)+MID(LQ14,6,1)*POWER(2,10)+MID(LQ14,5,1)*POWER(2,11)+MID(LQ14,4,1)*POWER(2,12)+MID(LQ14,3,1)*POWER(2,13)+MID(LQ14,2,1)*POWER(2,14)+MID(LQ14,1,1)*POWER(2,15)-(MID(LQ15,16,1)*POWER(2,0)+MID(LQ15,15,1)*POWER(2,1)+MID(LQ15,14,1)*POWER(2,2)+MID(LQ15,13,1)*POWER(2,3)+MID(LQ15,12,1)*POWER(2,4)+MID(LQ15,11,1)*POWER(2,5)+MID(LQ15,10,1)*POWER(2,6)+MID(LQ15,9,1)*POWER(2,7)+MID(LQ15,8,1)*POWER(2,8)+MID(LQ15,7,1)*POWER(2,9)+MID(LQ15,6,1)*POWER(2,10)+MID(LQ15,5,1)*POWER(2,11)+MID(LQ15,4,1)*POWER(2,12)+MID(LQ15,3,1)*POWER(2,13)+MID(LQ15,2,1)*POWER(2,14)+MID(LQ15,1,1)*POWER(2,15))</f>
        <v>-36</v>
      </c>
      <c r="LT14" s="43" t="str">
        <f>JN14</f>
        <v>00000000001001000010000000100000</v>
      </c>
      <c r="LU14" s="26" t="str">
        <f t="shared" si="192"/>
        <v>00000000</v>
      </c>
      <c r="LV14" s="26" t="str">
        <f t="shared" si="163"/>
        <v>00100100</v>
      </c>
      <c r="LW14" s="26" t="str">
        <f t="shared" si="164"/>
        <v>00100000</v>
      </c>
      <c r="LX14" s="26" t="str">
        <f t="shared" si="165"/>
        <v>00100000</v>
      </c>
      <c r="LY14" s="77">
        <f>BIN2DEC(LU14)-BIN2DEC(LU15)</f>
        <v>-3</v>
      </c>
      <c r="LZ14" s="77">
        <f>BIN2DEC(LV14)-BIN2DEC(LV15)</f>
        <v>35</v>
      </c>
      <c r="MA14" s="77">
        <f>BIN2DEC(LW14)-BIN2DEC(LW15)</f>
        <v>-1</v>
      </c>
      <c r="MB14" s="77">
        <f>BIN2DEC(LX14)-BIN2DEC(LX15)</f>
        <v>30</v>
      </c>
      <c r="MC14" s="27" t="str">
        <f t="shared" si="166"/>
        <v>0000</v>
      </c>
      <c r="MD14" s="27" t="str">
        <f t="shared" si="167"/>
        <v>1010</v>
      </c>
      <c r="ME14" s="27" t="str">
        <f t="shared" si="168"/>
        <v>1010</v>
      </c>
      <c r="MF14" s="27" t="str">
        <f t="shared" si="169"/>
        <v>1101</v>
      </c>
      <c r="MG14" s="27" t="str">
        <f t="shared" si="170"/>
        <v>0010</v>
      </c>
      <c r="MH14" s="27" t="str">
        <f t="shared" si="171"/>
        <v>0001</v>
      </c>
      <c r="MI14" s="27" t="str">
        <f t="shared" si="172"/>
        <v>0010</v>
      </c>
      <c r="MJ14" s="27" t="str">
        <f t="shared" si="173"/>
        <v>1001</v>
      </c>
      <c r="MK14" s="77">
        <f t="shared" ref="MK14:MR14" si="253">BIN2DEC(MC14)-BIN2DEC(MC15)</f>
        <v>-13</v>
      </c>
      <c r="ML14" s="77">
        <f t="shared" si="253"/>
        <v>7</v>
      </c>
      <c r="MM14" s="77">
        <f t="shared" si="253"/>
        <v>9</v>
      </c>
      <c r="MN14" s="77">
        <f t="shared" si="253"/>
        <v>12</v>
      </c>
      <c r="MO14" s="77">
        <f t="shared" si="253"/>
        <v>-9</v>
      </c>
      <c r="MP14" s="77">
        <f t="shared" si="253"/>
        <v>0</v>
      </c>
      <c r="MQ14" s="77">
        <f t="shared" si="253"/>
        <v>-3</v>
      </c>
      <c r="MR14" s="77">
        <f t="shared" si="253"/>
        <v>3</v>
      </c>
      <c r="MS14" s="26" t="str">
        <f t="shared" si="36"/>
        <v>0000000000100100</v>
      </c>
      <c r="MT14" s="26" t="str">
        <f t="shared" si="37"/>
        <v>0010000000100000</v>
      </c>
      <c r="MU14" s="77">
        <f>MID(MS14,16,1)*POWER(2,0)+MID(MS14,15,1)*POWER(2,1)+MID(MS14,14,1)*POWER(2,2)+MID(MS14,13,1)*POWER(2,3)+MID(MS14,12,1)*POWER(2,4)+MID(MS14,11,1)*POWER(2,5)+MID(MS14,10,1)*POWER(2,6)+MID(MS14,9,1)*POWER(2,7)+MID(MS14,8,1)*POWER(2,8)+MID(MS14,7,1)*POWER(2,9)+MID(MS14,6,1)*POWER(2,10)+MID(MS14,5,1)*POWER(2,11)+MID(MS14,4,1)*POWER(2,12)+MID(MS14,3,1)*POWER(2,13)+MID(MS14,2,1)*POWER(2,14)+MID(MS14,1,1)*POWER(2,15)-(MID(MS15,16,1)*POWER(2,0)+MID(MS15,15,1)*POWER(2,1)+MID(MS15,14,1)*POWER(2,2)+MID(MS15,13,1)*POWER(2,3)+MID(MS15,12,1)*POWER(2,4)+MID(MS15,11,1)*POWER(2,5)+MID(MS15,10,1)*POWER(2,6)+MID(MS15,9,1)*POWER(2,7)+MID(MS15,8,1)*POWER(2,8)+MID(MS15,7,1)*POWER(2,9)+MID(MS15,6,1)*POWER(2,10)+MID(MS15,5,1)*POWER(2,11)+MID(MS15,4,1)*POWER(2,12)+MID(MS15,3,1)*POWER(2,13)+MID(MS15,2,1)*POWER(2,14)+MID(MS15,1,1)*POWER(2,15))</f>
        <v>-733</v>
      </c>
      <c r="MV14" s="77">
        <f>MID(MT14,16,1)*POWER(2,0)+MID(MT14,15,1)*POWER(2,1)+MID(MT14,14,1)*POWER(2,2)+MID(MT14,13,1)*POWER(2,3)+MID(MT14,12,1)*POWER(2,4)+MID(MT14,11,1)*POWER(2,5)+MID(MT14,10,1)*POWER(2,6)+MID(MT14,9,1)*POWER(2,7)+MID(MT14,8,1)*POWER(2,8)+MID(MT14,7,1)*POWER(2,9)+MID(MT14,6,1)*POWER(2,10)+MID(MT14,5,1)*POWER(2,11)+MID(MT14,4,1)*POWER(2,12)+MID(MT14,3,1)*POWER(2,13)+MID(MT14,2,1)*POWER(2,14)+MID(MT14,1,1)*POWER(2,15)-(MID(MT15,16,1)*POWER(2,0)+MID(MT15,15,1)*POWER(2,1)+MID(MT15,14,1)*POWER(2,2)+MID(MT15,13,1)*POWER(2,3)+MID(MT15,12,1)*POWER(2,4)+MID(MT15,11,1)*POWER(2,5)+MID(MT15,10,1)*POWER(2,6)+MID(MT15,9,1)*POWER(2,7)+MID(MT15,8,1)*POWER(2,8)+MID(MT15,7,1)*POWER(2,9)+MID(MT15,6,1)*POWER(2,10)+MID(MT15,5,1)*POWER(2,11)+MID(MT15,4,1)*POWER(2,12)+MID(MT15,3,1)*POWER(2,13)+MID(MT15,2,1)*POWER(2,14)+MID(MT15,1,1)*POWER(2,15))</f>
        <v>-226</v>
      </c>
    </row>
    <row r="15" spans="1:360" s="31" customFormat="1" ht="18.600000000000001" thickBot="1" x14ac:dyDescent="0.4">
      <c r="A15" s="28"/>
      <c r="B15" s="29"/>
      <c r="C15" s="21" t="s">
        <v>6</v>
      </c>
      <c r="D15" s="21" t="s">
        <v>115</v>
      </c>
      <c r="E15" s="21">
        <v>22</v>
      </c>
      <c r="F15" s="21" t="s">
        <v>35</v>
      </c>
      <c r="G15" s="21" t="s">
        <v>59</v>
      </c>
      <c r="H15" s="21" t="str">
        <f t="shared" si="0"/>
        <v>00111010001000101101011001101010</v>
      </c>
      <c r="I15" s="21">
        <f t="shared" si="1"/>
        <v>15</v>
      </c>
      <c r="J15" s="21"/>
      <c r="K15" s="21"/>
      <c r="L15" s="44" t="str">
        <f>CONCATENATE(MID(H15,4,5),MID(H15,25,3),MID(H15,12,5),MID(H15,1,3),MID(H15,20,5),MID(H15,9,3),MID(H15,28,5),MID(H15,17,3))</f>
        <v>11010011000100011011000101010110</v>
      </c>
      <c r="M15" s="26" t="str">
        <f t="shared" si="38"/>
        <v>11010</v>
      </c>
      <c r="N15" s="26" t="str">
        <f t="shared" si="39"/>
        <v>00010</v>
      </c>
      <c r="O15" s="26" t="str">
        <f t="shared" si="40"/>
        <v>10110</v>
      </c>
      <c r="P15" s="26" t="str">
        <f t="shared" si="41"/>
        <v>01010</v>
      </c>
      <c r="Q15" s="78"/>
      <c r="R15" s="78"/>
      <c r="S15" s="78"/>
      <c r="T15" s="78"/>
      <c r="U15" s="31" t="str">
        <f t="shared" si="42"/>
        <v>1101</v>
      </c>
      <c r="V15" s="31" t="str">
        <f t="shared" si="43"/>
        <v>0011</v>
      </c>
      <c r="W15" s="31" t="str">
        <f t="shared" si="44"/>
        <v>0001</v>
      </c>
      <c r="X15" s="31" t="str">
        <f t="shared" si="45"/>
        <v>0001</v>
      </c>
      <c r="Y15" s="31" t="str">
        <f t="shared" si="46"/>
        <v>1011</v>
      </c>
      <c r="Z15" s="31" t="str">
        <f t="shared" si="47"/>
        <v>0001</v>
      </c>
      <c r="AA15" s="31" t="str">
        <f t="shared" si="48"/>
        <v>0101</v>
      </c>
      <c r="AB15" s="31" t="str">
        <f t="shared" si="49"/>
        <v>0110</v>
      </c>
      <c r="AC15" s="78"/>
      <c r="AD15" s="78"/>
      <c r="AE15" s="78"/>
      <c r="AF15" s="78"/>
      <c r="AG15" s="78"/>
      <c r="AH15" s="78"/>
      <c r="AI15" s="78"/>
      <c r="AJ15" s="78"/>
      <c r="AK15" s="30" t="str">
        <f t="shared" si="3"/>
        <v>1101001100010001</v>
      </c>
      <c r="AL15" s="30" t="str">
        <f t="shared" si="4"/>
        <v>1011000101010110</v>
      </c>
      <c r="AM15" s="78"/>
      <c r="AN15" s="78"/>
      <c r="AO15" s="46" t="str">
        <f>CONCATENATE(MID($L15,1,1)*MID($K14,1,1),MID($L15,2,1)*MID($K14,2,1),MID($L15,3,1)*MID($K14,3,1),MID($L15,4,1)*MID($K14,4,1),MID($L15,5,1)*MID($K14,5,1),MID($L15,6,1)*MID($K14,6,1),MID($L15,7,1)*MID($K14,7,1),MID($L15,8,1)*MID($K14,8,1),MID($L15,9,1)*MID($K14,1,1),MID($L15,10,1)*MID($K14,2,1),MID($L15,11,1)*MID($K14,3,1),MID($L15,12,1)*MID($K14,4,1),MID($L15,13,1)*MID($K14,5,1),MID($L15,14,1)*MID($K14,6,1),MID($L15,15,1)*MID($K14,7,1),MID($L15,16,1)*MID($K14,8,1),MID($L15,17,1)*MID($K14,1,1),MID($L15,18,1)*MID($K14,2,1),MID($L15,19,1)*MID($K14,3,1),MID($L15,20,1)*MID($K14,4,1),MID($L15,21,1)*MID($K14,5,1),MID($L15,22,1)*MID($K14,6,1),MID($L15,23,1)*MID($K14,7,1),MID($L15,24,1)*MID($K14,8,1),MID($L15,25,1)*MID($K14,1,1),MID($L15,26,1)*MID($K14,2,1),MID($L15,27,1)*MID($K14,3,1),MID($L15,28,1)*MID($K14,4,1),MID($L15,29,1)*MID($K14,5,1),MID($L15,30,1)*MID($K14,6,1),MID($L15,31,1)*MID($K14,7,1),MID($L15,32,1)*MID($K14,8,1))</f>
        <v>01000000000000000010000001000100</v>
      </c>
      <c r="AP15" s="30" t="str">
        <f t="shared" si="50"/>
        <v>01000000</v>
      </c>
      <c r="AQ15" s="30" t="str">
        <f t="shared" si="51"/>
        <v>00000000</v>
      </c>
      <c r="AR15" s="30" t="str">
        <f t="shared" si="52"/>
        <v>00100000</v>
      </c>
      <c r="AS15" s="30" t="str">
        <f t="shared" si="53"/>
        <v>01000100</v>
      </c>
      <c r="AT15" s="78"/>
      <c r="AU15" s="78"/>
      <c r="AV15" s="78"/>
      <c r="AW15" s="78"/>
      <c r="AX15" s="31" t="str">
        <f t="shared" si="54"/>
        <v>1101</v>
      </c>
      <c r="AY15" s="31" t="str">
        <f t="shared" si="55"/>
        <v>0011</v>
      </c>
      <c r="AZ15" s="31" t="str">
        <f t="shared" si="56"/>
        <v>0001</v>
      </c>
      <c r="BA15" s="31" t="str">
        <f t="shared" si="57"/>
        <v>0001</v>
      </c>
      <c r="BB15" s="31" t="str">
        <f t="shared" si="58"/>
        <v>1011</v>
      </c>
      <c r="BC15" s="31" t="str">
        <f t="shared" si="59"/>
        <v>0001</v>
      </c>
      <c r="BD15" s="31" t="str">
        <f t="shared" si="60"/>
        <v>0101</v>
      </c>
      <c r="BE15" s="31" t="str">
        <f t="shared" si="61"/>
        <v>0110</v>
      </c>
      <c r="BF15" s="78"/>
      <c r="BG15" s="78"/>
      <c r="BH15" s="78"/>
      <c r="BI15" s="78"/>
      <c r="BJ15" s="78"/>
      <c r="BK15" s="78"/>
      <c r="BL15" s="78"/>
      <c r="BM15" s="78"/>
      <c r="BN15" s="30" t="str">
        <f t="shared" si="6"/>
        <v>0100000000000000</v>
      </c>
      <c r="BO15" s="30" t="str">
        <f t="shared" si="7"/>
        <v>0010000001000100</v>
      </c>
      <c r="BP15" s="78"/>
      <c r="BQ15" s="78"/>
      <c r="BR15" s="46" t="str">
        <f>L15</f>
        <v>11010011000100011011000101010110</v>
      </c>
      <c r="BS15" s="30" t="str">
        <f t="shared" si="62"/>
        <v>11010011</v>
      </c>
      <c r="BT15" s="30" t="str">
        <f t="shared" si="63"/>
        <v>00010001</v>
      </c>
      <c r="BU15" s="30" t="str">
        <f t="shared" si="64"/>
        <v>10110001</v>
      </c>
      <c r="BV15" s="30" t="str">
        <f t="shared" si="65"/>
        <v>01010110</v>
      </c>
      <c r="BW15" s="78"/>
      <c r="BX15" s="78"/>
      <c r="BY15" s="78"/>
      <c r="BZ15" s="78"/>
      <c r="CA15" s="31" t="str">
        <f t="shared" si="66"/>
        <v>1101</v>
      </c>
      <c r="CB15" s="31" t="str">
        <f t="shared" si="67"/>
        <v>0011</v>
      </c>
      <c r="CC15" s="31" t="str">
        <f t="shared" si="68"/>
        <v>0001</v>
      </c>
      <c r="CD15" s="31" t="str">
        <f t="shared" si="69"/>
        <v>0001</v>
      </c>
      <c r="CE15" s="31" t="str">
        <f t="shared" si="70"/>
        <v>1011</v>
      </c>
      <c r="CF15" s="31" t="str">
        <f t="shared" si="71"/>
        <v>0001</v>
      </c>
      <c r="CG15" s="31" t="str">
        <f t="shared" si="72"/>
        <v>0101</v>
      </c>
      <c r="CH15" s="31" t="str">
        <f t="shared" si="73"/>
        <v>0110</v>
      </c>
      <c r="CI15" s="78"/>
      <c r="CJ15" s="78"/>
      <c r="CK15" s="78"/>
      <c r="CL15" s="78"/>
      <c r="CM15" s="78"/>
      <c r="CN15" s="78"/>
      <c r="CO15" s="78"/>
      <c r="CP15" s="78"/>
      <c r="CQ15" s="30" t="str">
        <f t="shared" si="9"/>
        <v>1101001100010001</v>
      </c>
      <c r="CR15" s="30" t="str">
        <f t="shared" si="10"/>
        <v>1011000101010110</v>
      </c>
      <c r="CS15" s="78"/>
      <c r="CT15" s="78"/>
      <c r="CU15" s="46" t="str">
        <f>AO15</f>
        <v>01000000000000000010000001000100</v>
      </c>
      <c r="CV15" s="30" t="str">
        <f t="shared" si="74"/>
        <v>01000000</v>
      </c>
      <c r="CW15" s="30" t="str">
        <f t="shared" si="75"/>
        <v>00000000</v>
      </c>
      <c r="CX15" s="30" t="str">
        <f t="shared" si="76"/>
        <v>00100000</v>
      </c>
      <c r="CY15" s="30" t="str">
        <f t="shared" si="77"/>
        <v>01000100</v>
      </c>
      <c r="CZ15" s="78"/>
      <c r="DA15" s="78"/>
      <c r="DB15" s="78"/>
      <c r="DC15" s="78"/>
      <c r="DD15" s="31" t="str">
        <f t="shared" si="78"/>
        <v>1101</v>
      </c>
      <c r="DE15" s="31" t="str">
        <f t="shared" si="79"/>
        <v>0011</v>
      </c>
      <c r="DF15" s="31" t="str">
        <f t="shared" si="80"/>
        <v>0001</v>
      </c>
      <c r="DG15" s="31" t="str">
        <f t="shared" si="81"/>
        <v>0001</v>
      </c>
      <c r="DH15" s="31" t="str">
        <f t="shared" si="82"/>
        <v>1011</v>
      </c>
      <c r="DI15" s="31" t="str">
        <f t="shared" si="83"/>
        <v>0001</v>
      </c>
      <c r="DJ15" s="31" t="str">
        <f t="shared" si="84"/>
        <v>0101</v>
      </c>
      <c r="DK15" s="31" t="str">
        <f t="shared" si="85"/>
        <v>0110</v>
      </c>
      <c r="DL15" s="78"/>
      <c r="DM15" s="78"/>
      <c r="DN15" s="78"/>
      <c r="DO15" s="78"/>
      <c r="DP15" s="78"/>
      <c r="DQ15" s="78"/>
      <c r="DR15" s="78"/>
      <c r="DS15" s="78"/>
      <c r="DT15" s="30" t="str">
        <f t="shared" si="12"/>
        <v>0100000000000000</v>
      </c>
      <c r="DU15" s="30" t="str">
        <f t="shared" si="13"/>
        <v>0010000001000100</v>
      </c>
      <c r="DV15" s="78"/>
      <c r="DW15" s="78"/>
      <c r="DX15" s="23" t="str">
        <f>CONCATENATE(MID($H15,1,1)*MID($K14,1,1),MID($H15,2,1)*MID($K14,2,1),MID($H15,3,1)*MID($K14,3,1),MID($H15,4,1)*MID($K14,4,1),MID($H15,5,1)*MID($K14,5,1),MID($H15,6,1)*MID($K14,6,1),MID($H15,7,1)*MID($K14,7,1),MID($H15,8,1)*MID($K14,8,1),MID($H15,9,1)*MID($K14,1,1),MID($H15,10,1)*MID($K14,2,1),MID($H15,11,1)*MID($K14,3,1),MID($H15,12,1)*MID($K14,4,1),MID($H15,13,1)*MID($K14,5,1),MID($H15,14,1)*MID($K14,6,1),MID($H15,15,1)*MID($K14,7,1),MID($H15,16,1)*MID($K14,8,1),MID($H15,17,1)*MID($K14,1,1),MID($H15,18,1)*MID($K14,2,1),MID($H15,19,1)*MID($K14,3,1),MID($H15,20,1)*MID($K14,4,1),MID($H15,21,1)*MID($K14,5,1),MID($H15,22,1)*MID($K14,6,1),MID($H15,23,1)*MID($K14,7,1),MID($H15,24,1)*MID($K14,8,1),MID($H15,25,1)*MID($K14,1,1),MID($H15,26,1)*MID($K14,2,1),MID($H15,27,1)*MID($K14,3,1),MID($H15,28,1)*MID($K14,4,1),MID($H15,29,1)*MID($K14,5,1),MID($H15,30,1)*MID($K14,6,1),MID($H15,31,1)*MID($K14,7,1),MID($H15,32,1)*MID($K14,8,1))</f>
        <v>00100000001000000100010001100000</v>
      </c>
      <c r="DY15" s="44" t="str">
        <f>CONCATENATE(MID(DX15,4,5),MID(DX15,25,3),MID(DX15,12,5),MID(DX15,1,3),MID(DX15,20,5),MID(DX15,9,3),MID(DX15,28,5),MID(DX15,17,3))</f>
        <v>00000011000000010010000100000010</v>
      </c>
      <c r="DZ15" s="30" t="str">
        <f t="shared" si="178"/>
        <v>00000011</v>
      </c>
      <c r="EA15" s="30" t="str">
        <f t="shared" si="86"/>
        <v>00000001</v>
      </c>
      <c r="EB15" s="30" t="str">
        <f t="shared" si="87"/>
        <v>00100001</v>
      </c>
      <c r="EC15" s="30" t="str">
        <f t="shared" si="88"/>
        <v>00000010</v>
      </c>
      <c r="ED15" s="78"/>
      <c r="EE15" s="78"/>
      <c r="EF15" s="78"/>
      <c r="EG15" s="78"/>
      <c r="EH15" s="31" t="str">
        <f t="shared" si="89"/>
        <v>1101</v>
      </c>
      <c r="EI15" s="31" t="str">
        <f t="shared" si="90"/>
        <v>0011</v>
      </c>
      <c r="EJ15" s="31" t="str">
        <f t="shared" si="91"/>
        <v>0001</v>
      </c>
      <c r="EK15" s="31" t="str">
        <f t="shared" si="92"/>
        <v>0001</v>
      </c>
      <c r="EL15" s="31" t="str">
        <f t="shared" si="93"/>
        <v>1011</v>
      </c>
      <c r="EM15" s="31" t="str">
        <f t="shared" si="94"/>
        <v>0001</v>
      </c>
      <c r="EN15" s="31" t="str">
        <f t="shared" si="95"/>
        <v>0101</v>
      </c>
      <c r="EO15" s="31" t="str">
        <f t="shared" si="96"/>
        <v>0110</v>
      </c>
      <c r="EP15" s="78"/>
      <c r="EQ15" s="78"/>
      <c r="ER15" s="78"/>
      <c r="ES15" s="78"/>
      <c r="ET15" s="78"/>
      <c r="EU15" s="78"/>
      <c r="EV15" s="78"/>
      <c r="EW15" s="78"/>
      <c r="EX15" s="30" t="str">
        <f t="shared" si="15"/>
        <v>0000001100000001</v>
      </c>
      <c r="EY15" s="30" t="str">
        <f t="shared" si="16"/>
        <v>0010000100000010</v>
      </c>
      <c r="EZ15" s="78"/>
      <c r="FA15" s="78"/>
      <c r="FB15" s="46" t="str">
        <f>CONCATENATE(MID(DY15,1,1)*MID($K14,1,1),MID(DY15,2,1)*MID($K14,2,1),MID(DY15,3,1)*MID($K14,3,1),MID(DY15,4,1)*MID($K14,4,1),MID(DY15,5,1)*MID($K14,5,1),MID(DY15,6,1)*MID($K14,6,1),MID(DY15,7,1)*MID($K14,7,1),MID(DY15,8,1)*MID($K14,8,1),MID(DY15,9,1)*MID($K14,1,1),MID(DY15,10,1)*MID($K14,2,1),MID(DY15,11,1)*MID($K14,3,1),MID(DY15,12,1)*MID($K14,4,1),MID(DY15,13,1)*MID($K14,5,1),MID(DY15,14,1)*MID($K14,6,1),MID(DY15,15,1)*MID($K14,7,1),MID(DY15,16,1)*MID($K14,8,1),MID(DY15,17,1)*MID($K14,1,1),MID(DY15,18,1)*MID($K14,2,1),MID(DY15,19,1)*MID($K14,3,1),MID(DY15,20,1)*MID($K14,4,1),MID(DY15,21,1)*MID($K14,5,1),MID(DY15,22,1)*MID($K14,6,1),MID(DY15,23,1)*MID($K14,7,1),MID(DY15,24,1)*MID($K14,8,1),MID(DY15,25,1)*MID($K14,1,1),MID(DY15,26,1)*MID($K14,2,1),MID(DY15,27,1)*MID($K14,3,1),MID(DY15,28,1)*MID($K14,4,1),MID(DY15,29,1)*MID($K14,5,1),MID(DY15,30,1)*MID($K14,6,1),MID(DY15,31,1)*MID($K14,7,1),MID(DY15,32,1)*MID($K14,8,1))</f>
        <v>00000000000000000010000000000000</v>
      </c>
      <c r="FC15" s="30" t="str">
        <f t="shared" si="180"/>
        <v>00000000</v>
      </c>
      <c r="FD15" s="30" t="str">
        <f t="shared" si="97"/>
        <v>00000000</v>
      </c>
      <c r="FE15" s="30" t="str">
        <f t="shared" si="98"/>
        <v>00100000</v>
      </c>
      <c r="FF15" s="30" t="str">
        <f t="shared" si="99"/>
        <v>00000000</v>
      </c>
      <c r="FG15" s="78"/>
      <c r="FH15" s="78"/>
      <c r="FI15" s="78"/>
      <c r="FJ15" s="78"/>
      <c r="FK15" s="31" t="str">
        <f t="shared" si="100"/>
        <v>1101</v>
      </c>
      <c r="FL15" s="31" t="str">
        <f t="shared" si="101"/>
        <v>0011</v>
      </c>
      <c r="FM15" s="31" t="str">
        <f t="shared" si="102"/>
        <v>0001</v>
      </c>
      <c r="FN15" s="31" t="str">
        <f t="shared" si="103"/>
        <v>0001</v>
      </c>
      <c r="FO15" s="31" t="str">
        <f t="shared" si="104"/>
        <v>1011</v>
      </c>
      <c r="FP15" s="31" t="str">
        <f t="shared" si="105"/>
        <v>0001</v>
      </c>
      <c r="FQ15" s="31" t="str">
        <f t="shared" si="106"/>
        <v>0101</v>
      </c>
      <c r="FR15" s="31" t="str">
        <f t="shared" si="107"/>
        <v>0110</v>
      </c>
      <c r="FS15" s="78"/>
      <c r="FT15" s="78"/>
      <c r="FU15" s="78"/>
      <c r="FV15" s="78"/>
      <c r="FW15" s="78"/>
      <c r="FX15" s="78"/>
      <c r="FY15" s="78"/>
      <c r="FZ15" s="78"/>
      <c r="GA15" s="30" t="str">
        <f t="shared" si="18"/>
        <v>0000000000000000</v>
      </c>
      <c r="GB15" s="30" t="str">
        <f t="shared" si="19"/>
        <v>0010000000000000</v>
      </c>
      <c r="GC15" s="78"/>
      <c r="GD15" s="78"/>
      <c r="GE15" s="48" t="str">
        <f>DY15</f>
        <v>00000011000000010010000100000010</v>
      </c>
      <c r="GF15" s="30" t="str">
        <f t="shared" si="182"/>
        <v>00000011</v>
      </c>
      <c r="GG15" s="30" t="str">
        <f t="shared" si="108"/>
        <v>00000001</v>
      </c>
      <c r="GH15" s="30" t="str">
        <f t="shared" si="109"/>
        <v>00100001</v>
      </c>
      <c r="GI15" s="30" t="str">
        <f t="shared" si="110"/>
        <v>00000010</v>
      </c>
      <c r="GJ15" s="78"/>
      <c r="GK15" s="78"/>
      <c r="GL15" s="78"/>
      <c r="GM15" s="78"/>
      <c r="GN15" s="31" t="str">
        <f t="shared" si="111"/>
        <v>1101</v>
      </c>
      <c r="GO15" s="31" t="str">
        <f t="shared" si="112"/>
        <v>0011</v>
      </c>
      <c r="GP15" s="31" t="str">
        <f t="shared" si="113"/>
        <v>0001</v>
      </c>
      <c r="GQ15" s="31" t="str">
        <f t="shared" si="114"/>
        <v>0001</v>
      </c>
      <c r="GR15" s="31" t="str">
        <f t="shared" si="115"/>
        <v>1011</v>
      </c>
      <c r="GS15" s="31" t="str">
        <f t="shared" si="116"/>
        <v>0001</v>
      </c>
      <c r="GT15" s="31" t="str">
        <f t="shared" si="117"/>
        <v>0101</v>
      </c>
      <c r="GU15" s="31" t="str">
        <f t="shared" si="118"/>
        <v>0110</v>
      </c>
      <c r="GV15" s="78"/>
      <c r="GW15" s="78"/>
      <c r="GX15" s="78"/>
      <c r="GY15" s="78"/>
      <c r="GZ15" s="78"/>
      <c r="HA15" s="78"/>
      <c r="HB15" s="78"/>
      <c r="HC15" s="78"/>
      <c r="HD15" s="30" t="str">
        <f t="shared" si="21"/>
        <v>0000001100000001</v>
      </c>
      <c r="HE15" s="30" t="str">
        <f t="shared" si="22"/>
        <v>0010000100000010</v>
      </c>
      <c r="HF15" s="78"/>
      <c r="HG15" s="78"/>
      <c r="HH15" s="48" t="str">
        <f>FB15</f>
        <v>00000000000000000010000000000000</v>
      </c>
      <c r="HI15" s="30" t="str">
        <f t="shared" si="184"/>
        <v>00000000</v>
      </c>
      <c r="HJ15" s="30" t="str">
        <f t="shared" si="119"/>
        <v>00000000</v>
      </c>
      <c r="HK15" s="30" t="str">
        <f t="shared" si="120"/>
        <v>00100000</v>
      </c>
      <c r="HL15" s="30" t="str">
        <f t="shared" si="121"/>
        <v>00000000</v>
      </c>
      <c r="HM15" s="78"/>
      <c r="HN15" s="78"/>
      <c r="HO15" s="78"/>
      <c r="HP15" s="78"/>
      <c r="HQ15" s="31" t="str">
        <f t="shared" si="122"/>
        <v>1101</v>
      </c>
      <c r="HR15" s="31" t="str">
        <f t="shared" si="123"/>
        <v>0011</v>
      </c>
      <c r="HS15" s="31" t="str">
        <f t="shared" si="124"/>
        <v>0001</v>
      </c>
      <c r="HT15" s="31" t="str">
        <f t="shared" si="125"/>
        <v>0001</v>
      </c>
      <c r="HU15" s="31" t="str">
        <f t="shared" si="126"/>
        <v>1011</v>
      </c>
      <c r="HV15" s="31" t="str">
        <f t="shared" si="127"/>
        <v>0001</v>
      </c>
      <c r="HW15" s="31" t="str">
        <f t="shared" si="128"/>
        <v>0101</v>
      </c>
      <c r="HX15" s="31" t="str">
        <f t="shared" si="129"/>
        <v>0110</v>
      </c>
      <c r="HY15" s="78"/>
      <c r="HZ15" s="78"/>
      <c r="IA15" s="78"/>
      <c r="IB15" s="78"/>
      <c r="IC15" s="78"/>
      <c r="ID15" s="78"/>
      <c r="IE15" s="78"/>
      <c r="IF15" s="78"/>
      <c r="IG15" s="30" t="str">
        <f t="shared" si="24"/>
        <v>0000000000000000</v>
      </c>
      <c r="IH15" s="30" t="str">
        <f t="shared" si="25"/>
        <v>0010000000000000</v>
      </c>
      <c r="II15" s="78"/>
      <c r="IJ15" s="78"/>
      <c r="IK15" s="44" t="str">
        <f>L15</f>
        <v>11010011000100011011000101010110</v>
      </c>
      <c r="IL15" s="30" t="str">
        <f t="shared" si="186"/>
        <v>11010011</v>
      </c>
      <c r="IM15" s="30" t="str">
        <f t="shared" si="130"/>
        <v>00010001</v>
      </c>
      <c r="IN15" s="30" t="str">
        <f t="shared" si="131"/>
        <v>10110001</v>
      </c>
      <c r="IO15" s="30" t="str">
        <f t="shared" si="132"/>
        <v>01010110</v>
      </c>
      <c r="IP15" s="78"/>
      <c r="IQ15" s="78"/>
      <c r="IR15" s="78"/>
      <c r="IS15" s="78"/>
      <c r="IT15" s="31" t="str">
        <f t="shared" si="133"/>
        <v>1101</v>
      </c>
      <c r="IU15" s="31" t="str">
        <f t="shared" si="134"/>
        <v>0011</v>
      </c>
      <c r="IV15" s="31" t="str">
        <f t="shared" si="135"/>
        <v>0001</v>
      </c>
      <c r="IW15" s="31" t="str">
        <f t="shared" si="136"/>
        <v>0001</v>
      </c>
      <c r="IX15" s="31" t="str">
        <f t="shared" si="137"/>
        <v>1011</v>
      </c>
      <c r="IY15" s="31" t="str">
        <f t="shared" si="138"/>
        <v>0001</v>
      </c>
      <c r="IZ15" s="31" t="str">
        <f t="shared" si="139"/>
        <v>0101</v>
      </c>
      <c r="JA15" s="31" t="str">
        <f t="shared" si="140"/>
        <v>0110</v>
      </c>
      <c r="JB15" s="78"/>
      <c r="JC15" s="78"/>
      <c r="JD15" s="78"/>
      <c r="JE15" s="78"/>
      <c r="JF15" s="78"/>
      <c r="JG15" s="78"/>
      <c r="JH15" s="78"/>
      <c r="JI15" s="78"/>
      <c r="JJ15" s="30" t="str">
        <f t="shared" si="27"/>
        <v>1101001100010001</v>
      </c>
      <c r="JK15" s="30" t="str">
        <f t="shared" si="28"/>
        <v>1011000101010110</v>
      </c>
      <c r="JL15" s="78"/>
      <c r="JM15" s="78"/>
      <c r="JN15" s="46" t="str">
        <f>L15</f>
        <v>11010011000100011011000101010110</v>
      </c>
      <c r="JO15" s="30" t="str">
        <f t="shared" si="188"/>
        <v>11010011</v>
      </c>
      <c r="JP15" s="30" t="str">
        <f t="shared" si="141"/>
        <v>00010001</v>
      </c>
      <c r="JQ15" s="30" t="str">
        <f t="shared" si="142"/>
        <v>10110001</v>
      </c>
      <c r="JR15" s="30" t="str">
        <f t="shared" si="143"/>
        <v>01010110</v>
      </c>
      <c r="JS15" s="78"/>
      <c r="JT15" s="78"/>
      <c r="JU15" s="78"/>
      <c r="JV15" s="78"/>
      <c r="JW15" s="31" t="str">
        <f t="shared" si="144"/>
        <v>1101</v>
      </c>
      <c r="JX15" s="31" t="str">
        <f t="shared" si="145"/>
        <v>0011</v>
      </c>
      <c r="JY15" s="31" t="str">
        <f t="shared" si="146"/>
        <v>0001</v>
      </c>
      <c r="JZ15" s="31" t="str">
        <f t="shared" si="147"/>
        <v>0001</v>
      </c>
      <c r="KA15" s="31" t="str">
        <f t="shared" si="148"/>
        <v>1011</v>
      </c>
      <c r="KB15" s="31" t="str">
        <f t="shared" si="149"/>
        <v>0001</v>
      </c>
      <c r="KC15" s="31" t="str">
        <f t="shared" si="150"/>
        <v>0101</v>
      </c>
      <c r="KD15" s="31" t="str">
        <f t="shared" si="151"/>
        <v>0110</v>
      </c>
      <c r="KE15" s="78"/>
      <c r="KF15" s="78"/>
      <c r="KG15" s="78"/>
      <c r="KH15" s="78"/>
      <c r="KI15" s="78"/>
      <c r="KJ15" s="78"/>
      <c r="KK15" s="78"/>
      <c r="KL15" s="78"/>
      <c r="KM15" s="30" t="str">
        <f t="shared" si="30"/>
        <v>1101001100010001</v>
      </c>
      <c r="KN15" s="30" t="str">
        <f t="shared" si="31"/>
        <v>1011000101010110</v>
      </c>
      <c r="KO15" s="78"/>
      <c r="KP15" s="78"/>
      <c r="KQ15" s="48" t="str">
        <f>AO15</f>
        <v>01000000000000000010000001000100</v>
      </c>
      <c r="KR15" s="30" t="str">
        <f t="shared" si="190"/>
        <v>01000000</v>
      </c>
      <c r="KS15" s="30" t="str">
        <f t="shared" si="152"/>
        <v>00000000</v>
      </c>
      <c r="KT15" s="30" t="str">
        <f t="shared" si="153"/>
        <v>00100000</v>
      </c>
      <c r="KU15" s="30" t="str">
        <f t="shared" si="154"/>
        <v>01000100</v>
      </c>
      <c r="KV15" s="78"/>
      <c r="KW15" s="78"/>
      <c r="KX15" s="78"/>
      <c r="KY15" s="78"/>
      <c r="KZ15" s="31" t="str">
        <f t="shared" si="155"/>
        <v>1101</v>
      </c>
      <c r="LA15" s="31" t="str">
        <f t="shared" si="156"/>
        <v>0011</v>
      </c>
      <c r="LB15" s="31" t="str">
        <f t="shared" si="157"/>
        <v>0001</v>
      </c>
      <c r="LC15" s="31" t="str">
        <f t="shared" si="158"/>
        <v>0001</v>
      </c>
      <c r="LD15" s="31" t="str">
        <f t="shared" si="159"/>
        <v>1011</v>
      </c>
      <c r="LE15" s="31" t="str">
        <f t="shared" si="160"/>
        <v>0001</v>
      </c>
      <c r="LF15" s="31" t="str">
        <f t="shared" si="161"/>
        <v>0101</v>
      </c>
      <c r="LG15" s="31" t="str">
        <f t="shared" si="162"/>
        <v>0110</v>
      </c>
      <c r="LH15" s="78"/>
      <c r="LI15" s="78"/>
      <c r="LJ15" s="78"/>
      <c r="LK15" s="78"/>
      <c r="LL15" s="78"/>
      <c r="LM15" s="78"/>
      <c r="LN15" s="78"/>
      <c r="LO15" s="78"/>
      <c r="LP15" s="30" t="str">
        <f t="shared" si="33"/>
        <v>0100000000000000</v>
      </c>
      <c r="LQ15" s="30" t="str">
        <f t="shared" si="34"/>
        <v>0010000001000100</v>
      </c>
      <c r="LR15" s="78"/>
      <c r="LS15" s="78"/>
      <c r="LT15" s="48" t="str">
        <f>GE15</f>
        <v>00000011000000010010000100000010</v>
      </c>
      <c r="LU15" s="30" t="str">
        <f t="shared" si="192"/>
        <v>00000011</v>
      </c>
      <c r="LV15" s="30" t="str">
        <f t="shared" si="163"/>
        <v>00000001</v>
      </c>
      <c r="LW15" s="30" t="str">
        <f t="shared" si="164"/>
        <v>00100001</v>
      </c>
      <c r="LX15" s="30" t="str">
        <f t="shared" si="165"/>
        <v>00000010</v>
      </c>
      <c r="LY15" s="78"/>
      <c r="LZ15" s="78"/>
      <c r="MA15" s="78"/>
      <c r="MB15" s="78"/>
      <c r="MC15" s="31" t="str">
        <f t="shared" si="166"/>
        <v>1101</v>
      </c>
      <c r="MD15" s="31" t="str">
        <f t="shared" si="167"/>
        <v>0011</v>
      </c>
      <c r="ME15" s="31" t="str">
        <f t="shared" si="168"/>
        <v>0001</v>
      </c>
      <c r="MF15" s="31" t="str">
        <f t="shared" si="169"/>
        <v>0001</v>
      </c>
      <c r="MG15" s="31" t="str">
        <f t="shared" si="170"/>
        <v>1011</v>
      </c>
      <c r="MH15" s="31" t="str">
        <f t="shared" si="171"/>
        <v>0001</v>
      </c>
      <c r="MI15" s="31" t="str">
        <f t="shared" si="172"/>
        <v>0101</v>
      </c>
      <c r="MJ15" s="31" t="str">
        <f t="shared" si="173"/>
        <v>0110</v>
      </c>
      <c r="MK15" s="78"/>
      <c r="ML15" s="78"/>
      <c r="MM15" s="78"/>
      <c r="MN15" s="78"/>
      <c r="MO15" s="78"/>
      <c r="MP15" s="78"/>
      <c r="MQ15" s="78"/>
      <c r="MR15" s="78"/>
      <c r="MS15" s="30" t="str">
        <f t="shared" si="36"/>
        <v>0000001100000001</v>
      </c>
      <c r="MT15" s="30" t="str">
        <f t="shared" si="37"/>
        <v>0010000100000010</v>
      </c>
      <c r="MU15" s="78"/>
      <c r="MV15" s="78"/>
    </row>
    <row r="16" spans="1:360" s="27" customFormat="1" ht="18.600000000000001" thickBot="1" x14ac:dyDescent="0.4">
      <c r="A16" s="24"/>
      <c r="B16" s="25"/>
      <c r="C16" s="20" t="s">
        <v>0</v>
      </c>
      <c r="D16" s="20">
        <v>54</v>
      </c>
      <c r="E16" s="20">
        <v>68</v>
      </c>
      <c r="F16" s="20" t="s">
        <v>137</v>
      </c>
      <c r="G16" s="20" t="s">
        <v>157</v>
      </c>
      <c r="H16" s="20" t="str">
        <f>CONCATENATE(HEX2BIN(D16,8),HEX2BIN(E16,8),HEX2BIN(F16,8),HEX2BIN(G16,8))</f>
        <v>01010100011010001001101010001011</v>
      </c>
      <c r="I16" s="20">
        <f>MID(H16,1,1)+MID(H16,2,1)+MID(H16,3,1)+MID(H16,4,1)+MID(H16,5,1)+MID(H16,6,1)+MID(H16,7,1)+MID(H16,8,1)+MID(H16,9,1)+MID(H16,10,1)+MID(H16,11,1)+MID(H16,12,1)+MID(H16,13,1)+MID(H16,14,1)+MID(H16,15,1)+MID(H16,16,1)+MID(H16,17,1)+MID(H16,18,1)+MID(H16,19,1)+MID(H16,20,1)+MID(H16,21,1)+MID(H16,22,1)+MID(H16,23,1)+MID(H16,24,1)+MID(H16,25,1)+MID(H16,26,1)+MID(H16,27,1)+MID(H16,28,1)+MID(H16,29,1)+MID(H16,30,1)+MID(H16,31,1)+MID(H16,32,1)</f>
        <v>14</v>
      </c>
      <c r="J16" s="20">
        <v>64</v>
      </c>
      <c r="K16" s="20" t="str">
        <f>HEX2BIN(J16,8)</f>
        <v>01100100</v>
      </c>
      <c r="L16" s="43" t="str">
        <f>CONCATENATE(MID(H16,17,16),MID(H16,1,16))</f>
        <v>10011010100010110101010001101000</v>
      </c>
      <c r="M16" s="26" t="str">
        <f t="shared" si="38"/>
        <v>10011</v>
      </c>
      <c r="N16" s="26" t="str">
        <f t="shared" si="39"/>
        <v>10001</v>
      </c>
      <c r="O16" s="26" t="str">
        <f t="shared" si="40"/>
        <v>01010</v>
      </c>
      <c r="P16" s="26" t="str">
        <f t="shared" si="41"/>
        <v>01101</v>
      </c>
      <c r="Q16" s="77">
        <f>BIN2DEC(M16)-BIN2DEC(M17)</f>
        <v>7</v>
      </c>
      <c r="R16" s="77">
        <f>BIN2DEC(N16)-BIN2DEC(N17)</f>
        <v>-13</v>
      </c>
      <c r="S16" s="77">
        <f>BIN2DEC(O16)-BIN2DEC(O17)</f>
        <v>-18</v>
      </c>
      <c r="T16" s="77">
        <f>BIN2DEC(P16)-BIN2DEC(P17)</f>
        <v>-5</v>
      </c>
      <c r="U16" s="27" t="str">
        <f t="shared" si="42"/>
        <v>1001</v>
      </c>
      <c r="V16" s="27" t="str">
        <f t="shared" si="43"/>
        <v>1010</v>
      </c>
      <c r="W16" s="27" t="str">
        <f t="shared" si="44"/>
        <v>1000</v>
      </c>
      <c r="X16" s="27" t="str">
        <f t="shared" si="45"/>
        <v>1011</v>
      </c>
      <c r="Y16" s="27" t="str">
        <f t="shared" si="46"/>
        <v>0101</v>
      </c>
      <c r="Z16" s="27" t="str">
        <f t="shared" si="47"/>
        <v>0100</v>
      </c>
      <c r="AA16" s="27" t="str">
        <f t="shared" si="48"/>
        <v>0110</v>
      </c>
      <c r="AB16" s="27" t="str">
        <f t="shared" si="49"/>
        <v>1000</v>
      </c>
      <c r="AC16" s="77">
        <f>BIN2DEC(U16)-BIN2DEC(U17)</f>
        <v>3</v>
      </c>
      <c r="AD16" s="77">
        <f t="shared" ref="AD16:AI16" si="254">BIN2DEC(V16)-BIN2DEC(V17)</f>
        <v>7</v>
      </c>
      <c r="AE16" s="77">
        <f t="shared" si="254"/>
        <v>-7</v>
      </c>
      <c r="AF16" s="77">
        <f t="shared" si="254"/>
        <v>11</v>
      </c>
      <c r="AG16" s="77">
        <f t="shared" si="254"/>
        <v>-9</v>
      </c>
      <c r="AH16" s="77">
        <f t="shared" si="254"/>
        <v>0</v>
      </c>
      <c r="AI16" s="77">
        <f t="shared" si="254"/>
        <v>-3</v>
      </c>
      <c r="AJ16" s="77">
        <f>BIN2DEC(AB16)-BIN2DEC(AB17)</f>
        <v>3</v>
      </c>
      <c r="AK16" s="26" t="str">
        <f t="shared" si="3"/>
        <v>1001101010001011</v>
      </c>
      <c r="AL16" s="26" t="str">
        <f t="shared" si="4"/>
        <v>0101010001101000</v>
      </c>
      <c r="AM16" s="77">
        <f>MID(AK16,16,1)*POWER(2,0)+MID(AK16,15,1)*POWER(2,1)+MID(AK16,14,1)*POWER(2,2)+MID(AK16,13,1)*POWER(2,3)+MID(AK16,12,1)*POWER(2,4)+MID(AK16,11,1)*POWER(2,5)+MID(AK16,10,1)*POWER(2,6)+MID(AK16,9,1)*POWER(2,7)+MID(AK16,8,1)*POWER(2,8)+MID(AK16,7,1)*POWER(2,9)+MID(AK16,6,1)*POWER(2,10)+MID(AK16,5,1)*POWER(2,11)+MID(AK16,4,1)*POWER(2,12)+MID(AK16,3,1)*POWER(2,13)+MID(AK16,2,1)*POWER(2,14)+MID(AK16,1,1)*POWER(2,15)-(MID(AK17,16,1)*POWER(2,0)+MID(AK17,15,1)*POWER(2,1)+MID(AK17,14,1)*POWER(2,2)+MID(AK17,13,1)*POWER(2,3)+MID(AK17,12,1)*POWER(2,4)+MID(AK17,11,1)*POWER(2,5)+MID(AK17,10,1)*POWER(2,6)+MID(AK17,9,1)*POWER(2,7)+MID(AK17,8,1)*POWER(2,8)+MID(AK17,7,1)*POWER(2,9)+MID(AK17,6,1)*POWER(2,10)+MID(AK17,5,1)*POWER(2,11)+MID(AK17,4,1)*POWER(2,12)+MID(AK17,3,1)*POWER(2,13)+MID(AK17,2,1)*POWER(2,14)+MID(AK17,1,1)*POWER(2,15))</f>
        <v>13979</v>
      </c>
      <c r="AN16" s="77">
        <f>MID(AL16,16,1)*POWER(2,0)+MID(AL16,15,1)*POWER(2,1)+MID(AL16,14,1)*POWER(2,2)+MID(AL16,13,1)*POWER(2,3)+MID(AL16,12,1)*POWER(2,4)+MID(AL16,11,1)*POWER(2,5)+MID(AL16,10,1)*POWER(2,6)+MID(AL16,9,1)*POWER(2,7)+MID(AL16,8,1)*POWER(2,8)+MID(AL16,7,1)*POWER(2,9)+MID(AL16,6,1)*POWER(2,10)+MID(AL16,5,1)*POWER(2,11)+MID(AL16,4,1)*POWER(2,12)+MID(AL16,3,1)*POWER(2,13)+MID(AL16,2,1)*POWER(2,14)+MID(AL16,1,1)*POWER(2,15)-(MID(AL17,16,1)*POWER(2,0)+MID(AL17,15,1)*POWER(2,1)+MID(AL17,14,1)*POWER(2,2)+MID(AL17,13,1)*POWER(2,3)+MID(AL17,12,1)*POWER(2,4)+MID(AL17,11,1)*POWER(2,5)+MID(AL17,10,1)*POWER(2,6)+MID(AL17,9,1)*POWER(2,7)+MID(AL17,8,1)*POWER(2,8)+MID(AL17,7,1)*POWER(2,9)+MID(AL17,6,1)*POWER(2,10)+MID(AL17,5,1)*POWER(2,11)+MID(AL17,4,1)*POWER(2,12)+MID(AL17,3,1)*POWER(2,13)+MID(AL17,2,1)*POWER(2,14)+MID(AL17,1,1)*POWER(2,15))</f>
        <v>-36909</v>
      </c>
      <c r="AO16" s="45" t="str">
        <f>L16</f>
        <v>10011010100010110101010001101000</v>
      </c>
      <c r="AP16" s="26" t="str">
        <f t="shared" si="50"/>
        <v>10011010</v>
      </c>
      <c r="AQ16" s="26" t="str">
        <f t="shared" si="51"/>
        <v>10001011</v>
      </c>
      <c r="AR16" s="26" t="str">
        <f t="shared" si="52"/>
        <v>01010100</v>
      </c>
      <c r="AS16" s="26" t="str">
        <f t="shared" si="53"/>
        <v>01101000</v>
      </c>
      <c r="AT16" s="77">
        <f>BIN2DEC(AP16)-BIN2DEC(AP17)</f>
        <v>58</v>
      </c>
      <c r="AU16" s="77">
        <f>BIN2DEC(AQ16)-BIN2DEC(AQ17)</f>
        <v>43</v>
      </c>
      <c r="AV16" s="77">
        <f>BIN2DEC(AR16)-BIN2DEC(AR17)</f>
        <v>-16</v>
      </c>
      <c r="AW16" s="77">
        <f>BIN2DEC(AS16)-BIN2DEC(AS17)</f>
        <v>100</v>
      </c>
      <c r="AX16" s="27" t="str">
        <f t="shared" si="54"/>
        <v>1001</v>
      </c>
      <c r="AY16" s="27" t="str">
        <f t="shared" si="55"/>
        <v>1010</v>
      </c>
      <c r="AZ16" s="27" t="str">
        <f t="shared" si="56"/>
        <v>1000</v>
      </c>
      <c r="BA16" s="27" t="str">
        <f t="shared" si="57"/>
        <v>1011</v>
      </c>
      <c r="BB16" s="27" t="str">
        <f t="shared" si="58"/>
        <v>0101</v>
      </c>
      <c r="BC16" s="27" t="str">
        <f t="shared" si="59"/>
        <v>0100</v>
      </c>
      <c r="BD16" s="27" t="str">
        <f t="shared" si="60"/>
        <v>0110</v>
      </c>
      <c r="BE16" s="27" t="str">
        <f t="shared" si="61"/>
        <v>1000</v>
      </c>
      <c r="BF16" s="77">
        <f>BIN2DEC(AX16)-BIN2DEC(AX17)</f>
        <v>3</v>
      </c>
      <c r="BG16" s="77">
        <f t="shared" ref="BG16:BL16" si="255">BIN2DEC(AY16)-BIN2DEC(AY17)</f>
        <v>7</v>
      </c>
      <c r="BH16" s="77">
        <f t="shared" si="255"/>
        <v>-7</v>
      </c>
      <c r="BI16" s="77">
        <f t="shared" si="255"/>
        <v>11</v>
      </c>
      <c r="BJ16" s="77">
        <f t="shared" si="255"/>
        <v>-9</v>
      </c>
      <c r="BK16" s="77">
        <f t="shared" si="255"/>
        <v>0</v>
      </c>
      <c r="BL16" s="77">
        <f t="shared" si="255"/>
        <v>-3</v>
      </c>
      <c r="BM16" s="77">
        <f>BIN2DEC(BE16)-BIN2DEC(BE17)</f>
        <v>3</v>
      </c>
      <c r="BN16" s="26" t="str">
        <f t="shared" si="6"/>
        <v>1001101010001011</v>
      </c>
      <c r="BO16" s="26" t="str">
        <f t="shared" si="7"/>
        <v>0101010001101000</v>
      </c>
      <c r="BP16" s="77">
        <f>MID(BN16,16,1)*POWER(2,0)+MID(BN16,15,1)*POWER(2,1)+MID(BN16,14,1)*POWER(2,2)+MID(BN16,13,1)*POWER(2,3)+MID(BN16,12,1)*POWER(2,4)+MID(BN16,11,1)*POWER(2,5)+MID(BN16,10,1)*POWER(2,6)+MID(BN16,9,1)*POWER(2,7)+MID(BN16,8,1)*POWER(2,8)+MID(BN16,7,1)*POWER(2,9)+MID(BN16,6,1)*POWER(2,10)+MID(BN16,5,1)*POWER(2,11)+MID(BN16,4,1)*POWER(2,12)+MID(BN16,3,1)*POWER(2,13)+MID(BN16,2,1)*POWER(2,14)+MID(BN16,1,1)*POWER(2,15)-(MID(BN17,16,1)*POWER(2,0)+MID(BN17,15,1)*POWER(2,1)+MID(BN17,14,1)*POWER(2,2)+MID(BN17,13,1)*POWER(2,3)+MID(BN17,12,1)*POWER(2,4)+MID(BN17,11,1)*POWER(2,5)+MID(BN17,10,1)*POWER(2,6)+MID(BN17,9,1)*POWER(2,7)+MID(BN17,8,1)*POWER(2,8)+MID(BN17,7,1)*POWER(2,9)+MID(BN17,6,1)*POWER(2,10)+MID(BN17,5,1)*POWER(2,11)+MID(BN17,4,1)*POWER(2,12)+MID(BN17,3,1)*POWER(2,13)+MID(BN17,2,1)*POWER(2,14)+MID(BN17,1,1)*POWER(2,15))</f>
        <v>14891</v>
      </c>
      <c r="BQ16" s="77">
        <f>MID(BO16,16,1)*POWER(2,0)+MID(BO16,15,1)*POWER(2,1)+MID(BO16,14,1)*POWER(2,2)+MID(BO16,13,1)*POWER(2,3)+MID(BO16,12,1)*POWER(2,4)+MID(BO16,11,1)*POWER(2,5)+MID(BO16,10,1)*POWER(2,6)+MID(BO16,9,1)*POWER(2,7)+MID(BO16,8,1)*POWER(2,8)+MID(BO16,7,1)*POWER(2,9)+MID(BO16,6,1)*POWER(2,10)+MID(BO16,5,1)*POWER(2,11)+MID(BO16,4,1)*POWER(2,12)+MID(BO16,3,1)*POWER(2,13)+MID(BO16,2,1)*POWER(2,14)+MID(BO16,1,1)*POWER(2,15)-(MID(BO17,16,1)*POWER(2,0)+MID(BO17,15,1)*POWER(2,1)+MID(BO17,14,1)*POWER(2,2)+MID(BO17,13,1)*POWER(2,3)+MID(BO17,12,1)*POWER(2,4)+MID(BO17,11,1)*POWER(2,5)+MID(BO17,10,1)*POWER(2,6)+MID(BO17,9,1)*POWER(2,7)+MID(BO17,8,1)*POWER(2,8)+MID(BO17,7,1)*POWER(2,9)+MID(BO17,6,1)*POWER(2,10)+MID(BO17,5,1)*POWER(2,11)+MID(BO17,4,1)*POWER(2,12)+MID(BO17,3,1)*POWER(2,13)+MID(BO17,2,1)*POWER(2,14)+MID(BO17,1,1)*POWER(2,15))</f>
        <v>-3996</v>
      </c>
      <c r="BR16" s="45" t="str">
        <f>CONCATENATE(MID($L16,1,1)*MID($K16,1,1),MID($L16,2,1)*MID($K16,2,1),MID($L16,3,1)*MID($K16,3,1),MID($L16,4,1)*MID($K16,4,1),MID($L16,5,1)*MID($K16,5,1),MID($L16,6,1)*MID($K16,6,1),MID($L16,7,1)*MID($K16,7,1),MID($L16,8,1)*MID($K16,8,1),MID($L16,9,1)*MID($K16,1,1),MID($L16,10,1)*MID($K16,2,1),MID($L16,11,1)*MID($K16,3,1),MID($L16,12,1)*MID($K16,4,1),MID($L16,13,1)*MID($K16,5,1),MID($L16,14,1)*MID($K16,6,1),MID($L16,15,1)*MID($K16,7,1),MID($L16,16,1)*MID($K16,8,1),MID($L16,17,1)*MID($K16,1,1),MID($L16,18,1)*MID($K16,2,1),MID($L16,19,1)*MID($K16,3,1),MID($L16,20,1)*MID($K16,4,1),MID($L16,21,1)*MID($K16,5,1),MID($L16,22,1)*MID($K16,6,1),MID($L16,23,1)*MID($K16,7,1),MID($L16,24,1)*MID($K16,8,1),MID($L16,25,1)*MID($K16,1,1),MID($L16,26,1)*MID($K16,2,1),MID($L16,27,1)*MID($K16,3,1),MID($L16,28,1)*MID($K16,4,1),MID($L16,29,1)*MID($K16,5,1),MID($L16,30,1)*MID($K16,6,1),MID($L16,31,1)*MID($K16,7,1),MID($L16,32,1)*MID($K16,8,1))</f>
        <v>00000000000000000100010001100000</v>
      </c>
      <c r="BS16" s="26" t="str">
        <f t="shared" si="62"/>
        <v>00000000</v>
      </c>
      <c r="BT16" s="26" t="str">
        <f t="shared" si="63"/>
        <v>00000000</v>
      </c>
      <c r="BU16" s="26" t="str">
        <f t="shared" si="64"/>
        <v>01000100</v>
      </c>
      <c r="BV16" s="26" t="str">
        <f t="shared" si="65"/>
        <v>01100000</v>
      </c>
      <c r="BW16" s="77">
        <f>BIN2DEC(BS16)-BIN2DEC(BS17)</f>
        <v>-99</v>
      </c>
      <c r="BX16" s="77">
        <f>BIN2DEC(BT16)-BIN2DEC(BT17)</f>
        <v>-240</v>
      </c>
      <c r="BY16" s="77">
        <f>BIN2DEC(BU16)-BIN2DEC(BU17)</f>
        <v>-160</v>
      </c>
      <c r="BZ16" s="77">
        <f>BIN2DEC(BV16)-BIN2DEC(BV17)</f>
        <v>-53</v>
      </c>
      <c r="CA16" s="27" t="str">
        <f t="shared" si="66"/>
        <v>1001</v>
      </c>
      <c r="CB16" s="27" t="str">
        <f t="shared" si="67"/>
        <v>1010</v>
      </c>
      <c r="CC16" s="27" t="str">
        <f t="shared" si="68"/>
        <v>1000</v>
      </c>
      <c r="CD16" s="27" t="str">
        <f t="shared" si="69"/>
        <v>1011</v>
      </c>
      <c r="CE16" s="27" t="str">
        <f t="shared" si="70"/>
        <v>0101</v>
      </c>
      <c r="CF16" s="27" t="str">
        <f t="shared" si="71"/>
        <v>0100</v>
      </c>
      <c r="CG16" s="27" t="str">
        <f t="shared" si="72"/>
        <v>0110</v>
      </c>
      <c r="CH16" s="27" t="str">
        <f t="shared" si="73"/>
        <v>1000</v>
      </c>
      <c r="CI16" s="77">
        <f>BIN2DEC(CA16)-BIN2DEC(CA17)</f>
        <v>3</v>
      </c>
      <c r="CJ16" s="77">
        <f t="shared" ref="CJ16:CO16" si="256">BIN2DEC(CB16)-BIN2DEC(CB17)</f>
        <v>7</v>
      </c>
      <c r="CK16" s="77">
        <f t="shared" si="256"/>
        <v>-7</v>
      </c>
      <c r="CL16" s="77">
        <f t="shared" si="256"/>
        <v>11</v>
      </c>
      <c r="CM16" s="77">
        <f t="shared" si="256"/>
        <v>-9</v>
      </c>
      <c r="CN16" s="77">
        <f t="shared" si="256"/>
        <v>0</v>
      </c>
      <c r="CO16" s="77">
        <f t="shared" si="256"/>
        <v>-3</v>
      </c>
      <c r="CP16" s="77">
        <f>BIN2DEC(CH16)-BIN2DEC(CH17)</f>
        <v>3</v>
      </c>
      <c r="CQ16" s="26" t="str">
        <f t="shared" si="9"/>
        <v>0000000000000000</v>
      </c>
      <c r="CR16" s="26" t="str">
        <f t="shared" si="10"/>
        <v>0100010001100000</v>
      </c>
      <c r="CS16" s="77">
        <f>MID(CQ16,16,1)*POWER(2,0)+MID(CQ16,15,1)*POWER(2,1)+MID(CQ16,14,1)*POWER(2,2)+MID(CQ16,13,1)*POWER(2,3)+MID(CQ16,12,1)*POWER(2,4)+MID(CQ16,11,1)*POWER(2,5)+MID(CQ16,10,1)*POWER(2,6)+MID(CQ16,9,1)*POWER(2,7)+MID(CQ16,8,1)*POWER(2,8)+MID(CQ16,7,1)*POWER(2,9)+MID(CQ16,6,1)*POWER(2,10)+MID(CQ16,5,1)*POWER(2,11)+MID(CQ16,4,1)*POWER(2,12)+MID(CQ16,3,1)*POWER(2,13)+MID(CQ16,2,1)*POWER(2,14)+MID(CQ16,1,1)*POWER(2,15)-(MID(CQ17,16,1)*POWER(2,0)+MID(CQ17,15,1)*POWER(2,1)+MID(CQ17,14,1)*POWER(2,2)+MID(CQ17,13,1)*POWER(2,3)+MID(CQ17,12,1)*POWER(2,4)+MID(CQ17,11,1)*POWER(2,5)+MID(CQ17,10,1)*POWER(2,6)+MID(CQ17,9,1)*POWER(2,7)+MID(CQ17,8,1)*POWER(2,8)+MID(CQ17,7,1)*POWER(2,9)+MID(CQ17,6,1)*POWER(2,10)+MID(CQ17,5,1)*POWER(2,11)+MID(CQ17,4,1)*POWER(2,12)+MID(CQ17,3,1)*POWER(2,13)+MID(CQ17,2,1)*POWER(2,14)+MID(CQ17,1,1)*POWER(2,15))</f>
        <v>-25584</v>
      </c>
      <c r="CT16" s="77">
        <f>MID(CR16,16,1)*POWER(2,0)+MID(CR16,15,1)*POWER(2,1)+MID(CR16,14,1)*POWER(2,2)+MID(CR16,13,1)*POWER(2,3)+MID(CR16,12,1)*POWER(2,4)+MID(CR16,11,1)*POWER(2,5)+MID(CR16,10,1)*POWER(2,6)+MID(CR16,9,1)*POWER(2,7)+MID(CR16,8,1)*POWER(2,8)+MID(CR16,7,1)*POWER(2,9)+MID(CR16,6,1)*POWER(2,10)+MID(CR16,5,1)*POWER(2,11)+MID(CR16,4,1)*POWER(2,12)+MID(CR16,3,1)*POWER(2,13)+MID(CR16,2,1)*POWER(2,14)+MID(CR16,1,1)*POWER(2,15)-(MID(CR17,16,1)*POWER(2,0)+MID(CR17,15,1)*POWER(2,1)+MID(CR17,14,1)*POWER(2,2)+MID(CR17,13,1)*POWER(2,3)+MID(CR17,12,1)*POWER(2,4)+MID(CR17,11,1)*POWER(2,5)+MID(CR17,10,1)*POWER(2,6)+MID(CR17,9,1)*POWER(2,7)+MID(CR17,8,1)*POWER(2,8)+MID(CR17,7,1)*POWER(2,9)+MID(CR17,6,1)*POWER(2,10)+MID(CR17,5,1)*POWER(2,11)+MID(CR17,4,1)*POWER(2,12)+MID(CR17,3,1)*POWER(2,13)+MID(CR17,2,1)*POWER(2,14)+MID(CR17,1,1)*POWER(2,15))</f>
        <v>-41013</v>
      </c>
      <c r="CU16" s="45" t="str">
        <f>BR16</f>
        <v>00000000000000000100010001100000</v>
      </c>
      <c r="CV16" s="26" t="str">
        <f t="shared" si="74"/>
        <v>00000000</v>
      </c>
      <c r="CW16" s="26" t="str">
        <f t="shared" si="75"/>
        <v>00000000</v>
      </c>
      <c r="CX16" s="26" t="str">
        <f t="shared" si="76"/>
        <v>01000100</v>
      </c>
      <c r="CY16" s="26" t="str">
        <f t="shared" si="77"/>
        <v>01100000</v>
      </c>
      <c r="CZ16" s="77">
        <f>BIN2DEC(CV16)-BIN2DEC(CV17)</f>
        <v>-96</v>
      </c>
      <c r="DA16" s="77">
        <f>BIN2DEC(CW16)-BIN2DEC(CW17)</f>
        <v>-96</v>
      </c>
      <c r="DB16" s="77">
        <f>BIN2DEC(CX16)-BIN2DEC(CX17)</f>
        <v>-32</v>
      </c>
      <c r="DC16" s="77">
        <f>BIN2DEC(CY16)-BIN2DEC(CY17)</f>
        <v>92</v>
      </c>
      <c r="DD16" s="27" t="str">
        <f t="shared" si="78"/>
        <v>1001</v>
      </c>
      <c r="DE16" s="27" t="str">
        <f t="shared" si="79"/>
        <v>1010</v>
      </c>
      <c r="DF16" s="27" t="str">
        <f t="shared" si="80"/>
        <v>1000</v>
      </c>
      <c r="DG16" s="27" t="str">
        <f t="shared" si="81"/>
        <v>1011</v>
      </c>
      <c r="DH16" s="27" t="str">
        <f t="shared" si="82"/>
        <v>0101</v>
      </c>
      <c r="DI16" s="27" t="str">
        <f t="shared" si="83"/>
        <v>0100</v>
      </c>
      <c r="DJ16" s="27" t="str">
        <f t="shared" si="84"/>
        <v>0110</v>
      </c>
      <c r="DK16" s="27" t="str">
        <f t="shared" si="85"/>
        <v>1000</v>
      </c>
      <c r="DL16" s="77">
        <f>BIN2DEC(DD16)-BIN2DEC(DD17)</f>
        <v>3</v>
      </c>
      <c r="DM16" s="77">
        <f t="shared" ref="DM16:DR16" si="257">BIN2DEC(DE16)-BIN2DEC(DE17)</f>
        <v>7</v>
      </c>
      <c r="DN16" s="77">
        <f t="shared" si="257"/>
        <v>-7</v>
      </c>
      <c r="DO16" s="77">
        <f t="shared" si="257"/>
        <v>11</v>
      </c>
      <c r="DP16" s="77">
        <f t="shared" si="257"/>
        <v>-9</v>
      </c>
      <c r="DQ16" s="77">
        <f t="shared" si="257"/>
        <v>0</v>
      </c>
      <c r="DR16" s="77">
        <f t="shared" si="257"/>
        <v>-3</v>
      </c>
      <c r="DS16" s="77">
        <f>BIN2DEC(DK16)-BIN2DEC(DK17)</f>
        <v>3</v>
      </c>
      <c r="DT16" s="26" t="str">
        <f t="shared" si="12"/>
        <v>0000000000000000</v>
      </c>
      <c r="DU16" s="26" t="str">
        <f t="shared" si="13"/>
        <v>0100010001100000</v>
      </c>
      <c r="DV16" s="77">
        <f>MID(DT16,16,1)*POWER(2,0)+MID(DT16,15,1)*POWER(2,1)+MID(DT16,14,1)*POWER(2,2)+MID(DT16,13,1)*POWER(2,3)+MID(DT16,12,1)*POWER(2,4)+MID(DT16,11,1)*POWER(2,5)+MID(DT16,10,1)*POWER(2,6)+MID(DT16,9,1)*POWER(2,7)+MID(DT16,8,1)*POWER(2,8)+MID(DT16,7,1)*POWER(2,9)+MID(DT16,6,1)*POWER(2,10)+MID(DT16,5,1)*POWER(2,11)+MID(DT16,4,1)*POWER(2,12)+MID(DT16,3,1)*POWER(2,13)+MID(DT16,2,1)*POWER(2,14)+MID(DT16,1,1)*POWER(2,15)-(MID(DT17,16,1)*POWER(2,0)+MID(DT17,15,1)*POWER(2,1)+MID(DT17,14,1)*POWER(2,2)+MID(DT17,13,1)*POWER(2,3)+MID(DT17,12,1)*POWER(2,4)+MID(DT17,11,1)*POWER(2,5)+MID(DT17,10,1)*POWER(2,6)+MID(DT17,9,1)*POWER(2,7)+MID(DT17,8,1)*POWER(2,8)+MID(DT17,7,1)*POWER(2,9)+MID(DT17,6,1)*POWER(2,10)+MID(DT17,5,1)*POWER(2,11)+MID(DT17,4,1)*POWER(2,12)+MID(DT17,3,1)*POWER(2,13)+MID(DT17,2,1)*POWER(2,14)+MID(DT17,1,1)*POWER(2,15))</f>
        <v>-24672</v>
      </c>
      <c r="DW16" s="77">
        <f>MID(DU16,16,1)*POWER(2,0)+MID(DU16,15,1)*POWER(2,1)+MID(DU16,14,1)*POWER(2,2)+MID(DU16,13,1)*POWER(2,3)+MID(DU16,12,1)*POWER(2,4)+MID(DU16,11,1)*POWER(2,5)+MID(DU16,10,1)*POWER(2,6)+MID(DU16,9,1)*POWER(2,7)+MID(DU16,8,1)*POWER(2,8)+MID(DU16,7,1)*POWER(2,9)+MID(DU16,6,1)*POWER(2,10)+MID(DU16,5,1)*POWER(2,11)+MID(DU16,4,1)*POWER(2,12)+MID(DU16,3,1)*POWER(2,13)+MID(DU16,2,1)*POWER(2,14)+MID(DU16,1,1)*POWER(2,15)-(MID(DU17,16,1)*POWER(2,0)+MID(DU17,15,1)*POWER(2,1)+MID(DU17,14,1)*POWER(2,2)+MID(DU17,13,1)*POWER(2,3)+MID(DU17,12,1)*POWER(2,4)+MID(DU17,11,1)*POWER(2,5)+MID(DU17,10,1)*POWER(2,6)+MID(DU17,9,1)*POWER(2,7)+MID(DU17,8,1)*POWER(2,8)+MID(DU17,7,1)*POWER(2,9)+MID(DU17,6,1)*POWER(2,10)+MID(DU17,5,1)*POWER(2,11)+MID(DU17,4,1)*POWER(2,12)+MID(DU17,3,1)*POWER(2,13)+MID(DU17,2,1)*POWER(2,14)+MID(DU17,1,1)*POWER(2,15))</f>
        <v>-8100</v>
      </c>
      <c r="DX16" s="22" t="str">
        <f>CONCATENATE(MID($H16,1,1)*MID($K16,1,1),MID($H16,2,1)*MID($K16,2,1),MID($H16,3,1)*MID($K16,3,1),MID($H16,4,1)*MID($K16,4,1),MID($H16,5,1)*MID($K16,5,1),MID($H16,6,1)*MID($K16,6,1),MID($H16,7,1)*MID($K16,7,1),MID($H16,8,1)*MID($K16,8,1),MID($H16,9,1)*MID($K16,1,1),MID($H16,10,1)*MID($K16,2,1),MID($H16,11,1)*MID($K16,3,1),MID($H16,12,1)*MID($K16,4,1),MID($H16,13,1)*MID($K16,5,1),MID($H16,14,1)*MID($K16,6,1),MID($H16,15,1)*MID($K16,7,1),MID($H16,16,1)*MID($K16,8,1),MID($H16,17,1)*MID($K16,1,1),MID($H16,18,1)*MID($K16,2,1),MID($H16,19,1)*MID($K16,3,1),MID($H16,20,1)*MID($K16,4,1),MID($H16,21,1)*MID($K16,5,1),MID($H16,22,1)*MID($K16,6,1),MID($H16,23,1)*MID($K16,7,1),MID($H16,24,1)*MID($K16,8,1),MID($H16,25,1)*MID($K16,1,1),MID($H16,26,1)*MID($K16,2,1),MID($H16,27,1)*MID($K16,3,1),MID($H16,28,1)*MID($K16,4,1),MID($H16,29,1)*MID($K16,5,1),MID($H16,30,1)*MID($K16,6,1),MID($H16,31,1)*MID($K16,7,1),MID($H16,32,1)*MID($K16,8,1))</f>
        <v>01000100011000000000000000000000</v>
      </c>
      <c r="DY16" s="43" t="str">
        <f>L16</f>
        <v>10011010100010110101010001101000</v>
      </c>
      <c r="DZ16" s="26" t="str">
        <f t="shared" si="178"/>
        <v>10011010</v>
      </c>
      <c r="EA16" s="26" t="str">
        <f t="shared" si="86"/>
        <v>10001011</v>
      </c>
      <c r="EB16" s="26" t="str">
        <f t="shared" si="87"/>
        <v>01010100</v>
      </c>
      <c r="EC16" s="26" t="str">
        <f t="shared" si="88"/>
        <v>01101000</v>
      </c>
      <c r="ED16" s="77">
        <f>BIN2DEC(DZ16)-BIN2DEC(DZ17)</f>
        <v>119</v>
      </c>
      <c r="EE16" s="77">
        <f>BIN2DEC(EA16)-BIN2DEC(EA17)</f>
        <v>107</v>
      </c>
      <c r="EF16" s="77">
        <f>BIN2DEC(EB16)-BIN2DEC(EB17)</f>
        <v>52</v>
      </c>
      <c r="EG16" s="77">
        <f>BIN2DEC(EC16)-BIN2DEC(EC17)</f>
        <v>103</v>
      </c>
      <c r="EH16" s="27" t="str">
        <f t="shared" si="89"/>
        <v>1001</v>
      </c>
      <c r="EI16" s="27" t="str">
        <f t="shared" si="90"/>
        <v>1010</v>
      </c>
      <c r="EJ16" s="27" t="str">
        <f t="shared" si="91"/>
        <v>1000</v>
      </c>
      <c r="EK16" s="27" t="str">
        <f t="shared" si="92"/>
        <v>1011</v>
      </c>
      <c r="EL16" s="27" t="str">
        <f t="shared" si="93"/>
        <v>0101</v>
      </c>
      <c r="EM16" s="27" t="str">
        <f t="shared" si="94"/>
        <v>0100</v>
      </c>
      <c r="EN16" s="27" t="str">
        <f t="shared" si="95"/>
        <v>0110</v>
      </c>
      <c r="EO16" s="27" t="str">
        <f t="shared" si="96"/>
        <v>1000</v>
      </c>
      <c r="EP16" s="77">
        <f>BIN2DEC(EH16)-BIN2DEC(EH17)</f>
        <v>3</v>
      </c>
      <c r="EQ16" s="77">
        <f t="shared" ref="EQ16:EV16" si="258">BIN2DEC(EI16)-BIN2DEC(EI17)</f>
        <v>7</v>
      </c>
      <c r="ER16" s="77">
        <f t="shared" si="258"/>
        <v>-7</v>
      </c>
      <c r="ES16" s="77">
        <f t="shared" si="258"/>
        <v>11</v>
      </c>
      <c r="ET16" s="77">
        <f t="shared" si="258"/>
        <v>-9</v>
      </c>
      <c r="EU16" s="77">
        <f t="shared" si="258"/>
        <v>0</v>
      </c>
      <c r="EV16" s="77">
        <f t="shared" si="258"/>
        <v>-3</v>
      </c>
      <c r="EW16" s="77">
        <f>BIN2DEC(EO16)-BIN2DEC(EO17)</f>
        <v>3</v>
      </c>
      <c r="EX16" s="26" t="str">
        <f t="shared" si="15"/>
        <v>1001101010001011</v>
      </c>
      <c r="EY16" s="26" t="str">
        <f t="shared" si="16"/>
        <v>0101010001101000</v>
      </c>
      <c r="EZ16" s="77">
        <f>MID(EX16,16,1)*POWER(2,0)+MID(EX16,15,1)*POWER(2,1)+MID(EX16,14,1)*POWER(2,2)+MID(EX16,13,1)*POWER(2,3)+MID(EX16,12,1)*POWER(2,4)+MID(EX16,11,1)*POWER(2,5)+MID(EX16,10,1)*POWER(2,6)+MID(EX16,9,1)*POWER(2,7)+MID(EX16,8,1)*POWER(2,8)+MID(EX16,7,1)*POWER(2,9)+MID(EX16,6,1)*POWER(2,10)+MID(EX16,5,1)*POWER(2,11)+MID(EX16,4,1)*POWER(2,12)+MID(EX16,3,1)*POWER(2,13)+MID(EX16,2,1)*POWER(2,14)+MID(EX16,1,1)*POWER(2,15)-(MID(EX17,16,1)*POWER(2,0)+MID(EX17,15,1)*POWER(2,1)+MID(EX17,14,1)*POWER(2,2)+MID(EX17,13,1)*POWER(2,3)+MID(EX17,12,1)*POWER(2,4)+MID(EX17,11,1)*POWER(2,5)+MID(EX17,10,1)*POWER(2,6)+MID(EX17,9,1)*POWER(2,7)+MID(EX17,8,1)*POWER(2,8)+MID(EX17,7,1)*POWER(2,9)+MID(EX17,6,1)*POWER(2,10)+MID(EX17,5,1)*POWER(2,11)+MID(EX17,4,1)*POWER(2,12)+MID(EX17,3,1)*POWER(2,13)+MID(EX17,2,1)*POWER(2,14)+MID(EX17,1,1)*POWER(2,15))</f>
        <v>30571</v>
      </c>
      <c r="FA16" s="77">
        <f>MID(EY16,16,1)*POWER(2,0)+MID(EY16,15,1)*POWER(2,1)+MID(EY16,14,1)*POWER(2,2)+MID(EY16,13,1)*POWER(2,3)+MID(EY16,12,1)*POWER(2,4)+MID(EY16,11,1)*POWER(2,5)+MID(EY16,10,1)*POWER(2,6)+MID(EY16,9,1)*POWER(2,7)+MID(EY16,8,1)*POWER(2,8)+MID(EY16,7,1)*POWER(2,9)+MID(EY16,6,1)*POWER(2,10)+MID(EY16,5,1)*POWER(2,11)+MID(EY16,4,1)*POWER(2,12)+MID(EY16,3,1)*POWER(2,13)+MID(EY16,2,1)*POWER(2,14)+MID(EY16,1,1)*POWER(2,15)-(MID(EY17,16,1)*POWER(2,0)+MID(EY17,15,1)*POWER(2,1)+MID(EY17,14,1)*POWER(2,2)+MID(EY17,13,1)*POWER(2,3)+MID(EY17,12,1)*POWER(2,4)+MID(EY17,11,1)*POWER(2,5)+MID(EY17,10,1)*POWER(2,6)+MID(EY17,9,1)*POWER(2,7)+MID(EY17,8,1)*POWER(2,8)+MID(EY17,7,1)*POWER(2,9)+MID(EY17,6,1)*POWER(2,10)+MID(EY17,5,1)*POWER(2,11)+MID(EY17,4,1)*POWER(2,12)+MID(EY17,3,1)*POWER(2,13)+MID(EY17,2,1)*POWER(2,14)+MID(EY17,1,1)*POWER(2,15))</f>
        <v>13415</v>
      </c>
      <c r="FB16" s="45" t="str">
        <f>L16</f>
        <v>10011010100010110101010001101000</v>
      </c>
      <c r="FC16" s="26" t="str">
        <f t="shared" si="180"/>
        <v>10011010</v>
      </c>
      <c r="FD16" s="26" t="str">
        <f t="shared" si="97"/>
        <v>10001011</v>
      </c>
      <c r="FE16" s="26" t="str">
        <f t="shared" si="98"/>
        <v>01010100</v>
      </c>
      <c r="FF16" s="26" t="str">
        <f t="shared" si="99"/>
        <v>01101000</v>
      </c>
      <c r="FG16" s="77">
        <f>BIN2DEC(FC16)-BIN2DEC(FC17)</f>
        <v>122</v>
      </c>
      <c r="FH16" s="77">
        <f>BIN2DEC(FD16)-BIN2DEC(FD17)</f>
        <v>107</v>
      </c>
      <c r="FI16" s="77">
        <f>BIN2DEC(FE16)-BIN2DEC(FE17)</f>
        <v>52</v>
      </c>
      <c r="FJ16" s="77">
        <f>BIN2DEC(FF16)-BIN2DEC(FF17)</f>
        <v>104</v>
      </c>
      <c r="FK16" s="27" t="str">
        <f t="shared" si="100"/>
        <v>1001</v>
      </c>
      <c r="FL16" s="27" t="str">
        <f t="shared" si="101"/>
        <v>1010</v>
      </c>
      <c r="FM16" s="27" t="str">
        <f t="shared" si="102"/>
        <v>1000</v>
      </c>
      <c r="FN16" s="27" t="str">
        <f t="shared" si="103"/>
        <v>1011</v>
      </c>
      <c r="FO16" s="27" t="str">
        <f t="shared" si="104"/>
        <v>0101</v>
      </c>
      <c r="FP16" s="27" t="str">
        <f t="shared" si="105"/>
        <v>0100</v>
      </c>
      <c r="FQ16" s="27" t="str">
        <f t="shared" si="106"/>
        <v>0110</v>
      </c>
      <c r="FR16" s="27" t="str">
        <f t="shared" si="107"/>
        <v>1000</v>
      </c>
      <c r="FS16" s="77">
        <f>BIN2DEC(FK16)-BIN2DEC(FK17)</f>
        <v>3</v>
      </c>
      <c r="FT16" s="77">
        <f t="shared" ref="FT16:FY16" si="259">BIN2DEC(FL16)-BIN2DEC(FL17)</f>
        <v>7</v>
      </c>
      <c r="FU16" s="77">
        <f t="shared" si="259"/>
        <v>-7</v>
      </c>
      <c r="FV16" s="77">
        <f t="shared" si="259"/>
        <v>11</v>
      </c>
      <c r="FW16" s="77">
        <f t="shared" si="259"/>
        <v>-9</v>
      </c>
      <c r="FX16" s="77">
        <f t="shared" si="259"/>
        <v>0</v>
      </c>
      <c r="FY16" s="77">
        <f t="shared" si="259"/>
        <v>-3</v>
      </c>
      <c r="FZ16" s="77">
        <f>BIN2DEC(FR16)-BIN2DEC(FR17)</f>
        <v>3</v>
      </c>
      <c r="GA16" s="26" t="str">
        <f t="shared" si="18"/>
        <v>1001101010001011</v>
      </c>
      <c r="GB16" s="26" t="str">
        <f t="shared" si="19"/>
        <v>0101010001101000</v>
      </c>
      <c r="GC16" s="77">
        <f>MID(GA16,16,1)*POWER(2,0)+MID(GA16,15,1)*POWER(2,1)+MID(GA16,14,1)*POWER(2,2)+MID(GA16,13,1)*POWER(2,3)+MID(GA16,12,1)*POWER(2,4)+MID(GA16,11,1)*POWER(2,5)+MID(GA16,10,1)*POWER(2,6)+MID(GA16,9,1)*POWER(2,7)+MID(GA16,8,1)*POWER(2,8)+MID(GA16,7,1)*POWER(2,9)+MID(GA16,6,1)*POWER(2,10)+MID(GA16,5,1)*POWER(2,11)+MID(GA16,4,1)*POWER(2,12)+MID(GA16,3,1)*POWER(2,13)+MID(GA16,2,1)*POWER(2,14)+MID(GA16,1,1)*POWER(2,15)-(MID(GA17,16,1)*POWER(2,0)+MID(GA17,15,1)*POWER(2,1)+MID(GA17,14,1)*POWER(2,2)+MID(GA17,13,1)*POWER(2,3)+MID(GA17,12,1)*POWER(2,4)+MID(GA17,11,1)*POWER(2,5)+MID(GA17,10,1)*POWER(2,6)+MID(GA17,9,1)*POWER(2,7)+MID(GA17,8,1)*POWER(2,8)+MID(GA17,7,1)*POWER(2,9)+MID(GA17,6,1)*POWER(2,10)+MID(GA17,5,1)*POWER(2,11)+MID(GA17,4,1)*POWER(2,12)+MID(GA17,3,1)*POWER(2,13)+MID(GA17,2,1)*POWER(2,14)+MID(GA17,1,1)*POWER(2,15))</f>
        <v>31339</v>
      </c>
      <c r="GD16" s="77">
        <f>MID(GB16,16,1)*POWER(2,0)+MID(GB16,15,1)*POWER(2,1)+MID(GB16,14,1)*POWER(2,2)+MID(GB16,13,1)*POWER(2,3)+MID(GB16,12,1)*POWER(2,4)+MID(GB16,11,1)*POWER(2,5)+MID(GB16,10,1)*POWER(2,6)+MID(GB16,9,1)*POWER(2,7)+MID(GB16,8,1)*POWER(2,8)+MID(GB16,7,1)*POWER(2,9)+MID(GB16,6,1)*POWER(2,10)+MID(GB16,5,1)*POWER(2,11)+MID(GB16,4,1)*POWER(2,12)+MID(GB16,3,1)*POWER(2,13)+MID(GB16,2,1)*POWER(2,14)+MID(GB16,1,1)*POWER(2,15)-(MID(GB17,16,1)*POWER(2,0)+MID(GB17,15,1)*POWER(2,1)+MID(GB17,14,1)*POWER(2,2)+MID(GB17,13,1)*POWER(2,3)+MID(GB17,12,1)*POWER(2,4)+MID(GB17,11,1)*POWER(2,5)+MID(GB17,10,1)*POWER(2,6)+MID(GB17,9,1)*POWER(2,7)+MID(GB17,8,1)*POWER(2,8)+MID(GB17,7,1)*POWER(2,9)+MID(GB17,6,1)*POWER(2,10)+MID(GB17,5,1)*POWER(2,11)+MID(GB17,4,1)*POWER(2,12)+MID(GB17,3,1)*POWER(2,13)+MID(GB17,2,1)*POWER(2,14)+MID(GB17,1,1)*POWER(2,15))</f>
        <v>13416</v>
      </c>
      <c r="GE16" s="47" t="str">
        <f>CU16</f>
        <v>00000000000000000100010001100000</v>
      </c>
      <c r="GF16" s="26" t="str">
        <f t="shared" si="182"/>
        <v>00000000</v>
      </c>
      <c r="GG16" s="26" t="str">
        <f t="shared" si="108"/>
        <v>00000000</v>
      </c>
      <c r="GH16" s="26" t="str">
        <f t="shared" si="109"/>
        <v>01000100</v>
      </c>
      <c r="GI16" s="26" t="str">
        <f t="shared" si="110"/>
        <v>01100000</v>
      </c>
      <c r="GJ16" s="77">
        <f>BIN2DEC(GF16)-BIN2DEC(GF17)</f>
        <v>-35</v>
      </c>
      <c r="GK16" s="77">
        <f>BIN2DEC(GG16)-BIN2DEC(GG17)</f>
        <v>-32</v>
      </c>
      <c r="GL16" s="77">
        <f>BIN2DEC(GH16)-BIN2DEC(GH17)</f>
        <v>36</v>
      </c>
      <c r="GM16" s="77">
        <f>BIN2DEC(GI16)-BIN2DEC(GI17)</f>
        <v>95</v>
      </c>
      <c r="GN16" s="27" t="str">
        <f t="shared" si="111"/>
        <v>1001</v>
      </c>
      <c r="GO16" s="27" t="str">
        <f t="shared" si="112"/>
        <v>1010</v>
      </c>
      <c r="GP16" s="27" t="str">
        <f t="shared" si="113"/>
        <v>1000</v>
      </c>
      <c r="GQ16" s="27" t="str">
        <f t="shared" si="114"/>
        <v>1011</v>
      </c>
      <c r="GR16" s="27" t="str">
        <f t="shared" si="115"/>
        <v>0101</v>
      </c>
      <c r="GS16" s="27" t="str">
        <f t="shared" si="116"/>
        <v>0100</v>
      </c>
      <c r="GT16" s="27" t="str">
        <f t="shared" si="117"/>
        <v>0110</v>
      </c>
      <c r="GU16" s="27" t="str">
        <f t="shared" si="118"/>
        <v>1000</v>
      </c>
      <c r="GV16" s="77">
        <f>BIN2DEC(GN16)-BIN2DEC(GN17)</f>
        <v>3</v>
      </c>
      <c r="GW16" s="77">
        <f t="shared" ref="GW16:HB16" si="260">BIN2DEC(GO16)-BIN2DEC(GO17)</f>
        <v>7</v>
      </c>
      <c r="GX16" s="77">
        <f t="shared" si="260"/>
        <v>-7</v>
      </c>
      <c r="GY16" s="77">
        <f t="shared" si="260"/>
        <v>11</v>
      </c>
      <c r="GZ16" s="77">
        <f t="shared" si="260"/>
        <v>-9</v>
      </c>
      <c r="HA16" s="77">
        <f t="shared" si="260"/>
        <v>0</v>
      </c>
      <c r="HB16" s="77">
        <f t="shared" si="260"/>
        <v>-3</v>
      </c>
      <c r="HC16" s="77">
        <f>BIN2DEC(GU16)-BIN2DEC(GU17)</f>
        <v>3</v>
      </c>
      <c r="HD16" s="26" t="str">
        <f t="shared" si="21"/>
        <v>0000000000000000</v>
      </c>
      <c r="HE16" s="26" t="str">
        <f t="shared" si="22"/>
        <v>0100010001100000</v>
      </c>
      <c r="HF16" s="77">
        <f>MID(HD16,16,1)*POWER(2,0)+MID(HD16,15,1)*POWER(2,1)+MID(HD16,14,1)*POWER(2,2)+MID(HD16,13,1)*POWER(2,3)+MID(HD16,12,1)*POWER(2,4)+MID(HD16,11,1)*POWER(2,5)+MID(HD16,10,1)*POWER(2,6)+MID(HD16,9,1)*POWER(2,7)+MID(HD16,8,1)*POWER(2,8)+MID(HD16,7,1)*POWER(2,9)+MID(HD16,6,1)*POWER(2,10)+MID(HD16,5,1)*POWER(2,11)+MID(HD16,4,1)*POWER(2,12)+MID(HD16,3,1)*POWER(2,13)+MID(HD16,2,1)*POWER(2,14)+MID(HD16,1,1)*POWER(2,15)-(MID(HD17,16,1)*POWER(2,0)+MID(HD17,15,1)*POWER(2,1)+MID(HD17,14,1)*POWER(2,2)+MID(HD17,13,1)*POWER(2,3)+MID(HD17,12,1)*POWER(2,4)+MID(HD17,11,1)*POWER(2,5)+MID(HD17,10,1)*POWER(2,6)+MID(HD17,9,1)*POWER(2,7)+MID(HD17,8,1)*POWER(2,8)+MID(HD17,7,1)*POWER(2,9)+MID(HD17,6,1)*POWER(2,10)+MID(HD17,5,1)*POWER(2,11)+MID(HD17,4,1)*POWER(2,12)+MID(HD17,3,1)*POWER(2,13)+MID(HD17,2,1)*POWER(2,14)+MID(HD17,1,1)*POWER(2,15))</f>
        <v>-8992</v>
      </c>
      <c r="HG16" s="77">
        <f>MID(HE16,16,1)*POWER(2,0)+MID(HE16,15,1)*POWER(2,1)+MID(HE16,14,1)*POWER(2,2)+MID(HE16,13,1)*POWER(2,3)+MID(HE16,12,1)*POWER(2,4)+MID(HE16,11,1)*POWER(2,5)+MID(HE16,10,1)*POWER(2,6)+MID(HE16,9,1)*POWER(2,7)+MID(HE16,8,1)*POWER(2,8)+MID(HE16,7,1)*POWER(2,9)+MID(HE16,6,1)*POWER(2,10)+MID(HE16,5,1)*POWER(2,11)+MID(HE16,4,1)*POWER(2,12)+MID(HE16,3,1)*POWER(2,13)+MID(HE16,2,1)*POWER(2,14)+MID(HE16,1,1)*POWER(2,15)-(MID(HE17,16,1)*POWER(2,0)+MID(HE17,15,1)*POWER(2,1)+MID(HE17,14,1)*POWER(2,2)+MID(HE17,13,1)*POWER(2,3)+MID(HE17,12,1)*POWER(2,4)+MID(HE17,11,1)*POWER(2,5)+MID(HE17,10,1)*POWER(2,6)+MID(HE17,9,1)*POWER(2,7)+MID(HE17,8,1)*POWER(2,8)+MID(HE17,7,1)*POWER(2,9)+MID(HE17,6,1)*POWER(2,10)+MID(HE17,5,1)*POWER(2,11)+MID(HE17,4,1)*POWER(2,12)+MID(HE17,3,1)*POWER(2,13)+MID(HE17,2,1)*POWER(2,14)+MID(HE17,1,1)*POWER(2,15))</f>
        <v>9311</v>
      </c>
      <c r="HH16" s="43" t="str">
        <f>CONCATENATE(MID(DX16,17,16),MID(DX16,1,16))</f>
        <v>00000000000000000100010001100000</v>
      </c>
      <c r="HI16" s="26" t="str">
        <f t="shared" si="184"/>
        <v>00000000</v>
      </c>
      <c r="HJ16" s="26" t="str">
        <f t="shared" si="119"/>
        <v>00000000</v>
      </c>
      <c r="HK16" s="26" t="str">
        <f t="shared" si="120"/>
        <v>01000100</v>
      </c>
      <c r="HL16" s="26" t="str">
        <f t="shared" si="121"/>
        <v>01100000</v>
      </c>
      <c r="HM16" s="77">
        <f>BIN2DEC(HI16)-BIN2DEC(HI17)</f>
        <v>-32</v>
      </c>
      <c r="HN16" s="77">
        <f>BIN2DEC(HJ16)-BIN2DEC(HJ17)</f>
        <v>-32</v>
      </c>
      <c r="HO16" s="77">
        <f>BIN2DEC(HK16)-BIN2DEC(HK17)</f>
        <v>36</v>
      </c>
      <c r="HP16" s="77">
        <f>BIN2DEC(HL16)-BIN2DEC(HL17)</f>
        <v>96</v>
      </c>
      <c r="HQ16" s="27" t="str">
        <f t="shared" si="122"/>
        <v>1001</v>
      </c>
      <c r="HR16" s="27" t="str">
        <f t="shared" si="123"/>
        <v>1010</v>
      </c>
      <c r="HS16" s="27" t="str">
        <f t="shared" si="124"/>
        <v>1000</v>
      </c>
      <c r="HT16" s="27" t="str">
        <f t="shared" si="125"/>
        <v>1011</v>
      </c>
      <c r="HU16" s="27" t="str">
        <f t="shared" si="126"/>
        <v>0101</v>
      </c>
      <c r="HV16" s="27" t="str">
        <f t="shared" si="127"/>
        <v>0100</v>
      </c>
      <c r="HW16" s="27" t="str">
        <f t="shared" si="128"/>
        <v>0110</v>
      </c>
      <c r="HX16" s="27" t="str">
        <f t="shared" si="129"/>
        <v>1000</v>
      </c>
      <c r="HY16" s="77">
        <f>BIN2DEC(HQ16)-BIN2DEC(HQ17)</f>
        <v>3</v>
      </c>
      <c r="HZ16" s="77">
        <f t="shared" ref="HZ16:IE16" si="261">BIN2DEC(HR16)-BIN2DEC(HR17)</f>
        <v>7</v>
      </c>
      <c r="IA16" s="77">
        <f t="shared" si="261"/>
        <v>-7</v>
      </c>
      <c r="IB16" s="77">
        <f t="shared" si="261"/>
        <v>11</v>
      </c>
      <c r="IC16" s="77">
        <f t="shared" si="261"/>
        <v>-9</v>
      </c>
      <c r="ID16" s="77">
        <f t="shared" si="261"/>
        <v>0</v>
      </c>
      <c r="IE16" s="77">
        <f t="shared" si="261"/>
        <v>-3</v>
      </c>
      <c r="IF16" s="77">
        <f>BIN2DEC(HX16)-BIN2DEC(HX17)</f>
        <v>3</v>
      </c>
      <c r="IG16" s="26" t="str">
        <f t="shared" si="24"/>
        <v>0000000000000000</v>
      </c>
      <c r="IH16" s="26" t="str">
        <f t="shared" si="25"/>
        <v>0100010001100000</v>
      </c>
      <c r="II16" s="77">
        <f>MID(IG16,16,1)*POWER(2,0)+MID(IG16,15,1)*POWER(2,1)+MID(IG16,14,1)*POWER(2,2)+MID(IG16,13,1)*POWER(2,3)+MID(IG16,12,1)*POWER(2,4)+MID(IG16,11,1)*POWER(2,5)+MID(IG16,10,1)*POWER(2,6)+MID(IG16,9,1)*POWER(2,7)+MID(IG16,8,1)*POWER(2,8)+MID(IG16,7,1)*POWER(2,9)+MID(IG16,6,1)*POWER(2,10)+MID(IG16,5,1)*POWER(2,11)+MID(IG16,4,1)*POWER(2,12)+MID(IG16,3,1)*POWER(2,13)+MID(IG16,2,1)*POWER(2,14)+MID(IG16,1,1)*POWER(2,15)-(MID(IG17,16,1)*POWER(2,0)+MID(IG17,15,1)*POWER(2,1)+MID(IG17,14,1)*POWER(2,2)+MID(IG17,13,1)*POWER(2,3)+MID(IG17,12,1)*POWER(2,4)+MID(IG17,11,1)*POWER(2,5)+MID(IG17,10,1)*POWER(2,6)+MID(IG17,9,1)*POWER(2,7)+MID(IG17,8,1)*POWER(2,8)+MID(IG17,7,1)*POWER(2,9)+MID(IG17,6,1)*POWER(2,10)+MID(IG17,5,1)*POWER(2,11)+MID(IG17,4,1)*POWER(2,12)+MID(IG17,3,1)*POWER(2,13)+MID(IG17,2,1)*POWER(2,14)+MID(IG17,1,1)*POWER(2,15))</f>
        <v>-8224</v>
      </c>
      <c r="IJ16" s="77">
        <f>MID(IH16,16,1)*POWER(2,0)+MID(IH16,15,1)*POWER(2,1)+MID(IH16,14,1)*POWER(2,2)+MID(IH16,13,1)*POWER(2,3)+MID(IH16,12,1)*POWER(2,4)+MID(IH16,11,1)*POWER(2,5)+MID(IH16,10,1)*POWER(2,6)+MID(IH16,9,1)*POWER(2,7)+MID(IH16,8,1)*POWER(2,8)+MID(IH16,7,1)*POWER(2,9)+MID(IH16,6,1)*POWER(2,10)+MID(IH16,5,1)*POWER(2,11)+MID(IH16,4,1)*POWER(2,12)+MID(IH16,3,1)*POWER(2,13)+MID(IH16,2,1)*POWER(2,14)+MID(IH16,1,1)*POWER(2,15)-(MID(IH17,16,1)*POWER(2,0)+MID(IH17,15,1)*POWER(2,1)+MID(IH17,14,1)*POWER(2,2)+MID(IH17,13,1)*POWER(2,3)+MID(IH17,12,1)*POWER(2,4)+MID(IH17,11,1)*POWER(2,5)+MID(IH17,10,1)*POWER(2,6)+MID(IH17,9,1)*POWER(2,7)+MID(IH17,8,1)*POWER(2,8)+MID(IH17,7,1)*POWER(2,9)+MID(IH17,6,1)*POWER(2,10)+MID(IH17,5,1)*POWER(2,11)+MID(IH17,4,1)*POWER(2,12)+MID(IH17,3,1)*POWER(2,13)+MID(IH17,2,1)*POWER(2,14)+MID(IH17,1,1)*POWER(2,15))</f>
        <v>9312</v>
      </c>
      <c r="IK16" s="43" t="str">
        <f>HH16</f>
        <v>00000000000000000100010001100000</v>
      </c>
      <c r="IL16" s="26" t="str">
        <f t="shared" si="186"/>
        <v>00000000</v>
      </c>
      <c r="IM16" s="26" t="str">
        <f t="shared" si="130"/>
        <v>00000000</v>
      </c>
      <c r="IN16" s="26" t="str">
        <f t="shared" si="131"/>
        <v>01000100</v>
      </c>
      <c r="IO16" s="26" t="str">
        <f t="shared" si="132"/>
        <v>01100000</v>
      </c>
      <c r="IP16" s="77">
        <f>BIN2DEC(IL16)-BIN2DEC(IL17)</f>
        <v>-99</v>
      </c>
      <c r="IQ16" s="77">
        <f>BIN2DEC(IM16)-BIN2DEC(IM17)</f>
        <v>-240</v>
      </c>
      <c r="IR16" s="77">
        <f>BIN2DEC(IN16)-BIN2DEC(IN17)</f>
        <v>-160</v>
      </c>
      <c r="IS16" s="77">
        <f>BIN2DEC(IO16)-BIN2DEC(IO17)</f>
        <v>-53</v>
      </c>
      <c r="IT16" s="27" t="str">
        <f t="shared" si="133"/>
        <v>1001</v>
      </c>
      <c r="IU16" s="27" t="str">
        <f t="shared" si="134"/>
        <v>1010</v>
      </c>
      <c r="IV16" s="27" t="str">
        <f t="shared" si="135"/>
        <v>1000</v>
      </c>
      <c r="IW16" s="27" t="str">
        <f t="shared" si="136"/>
        <v>1011</v>
      </c>
      <c r="IX16" s="27" t="str">
        <f t="shared" si="137"/>
        <v>0101</v>
      </c>
      <c r="IY16" s="27" t="str">
        <f t="shared" si="138"/>
        <v>0100</v>
      </c>
      <c r="IZ16" s="27" t="str">
        <f t="shared" si="139"/>
        <v>0110</v>
      </c>
      <c r="JA16" s="27" t="str">
        <f t="shared" si="140"/>
        <v>1000</v>
      </c>
      <c r="JB16" s="77">
        <f t="shared" ref="JB16:JI16" si="262">BIN2DEC(IT16)-BIN2DEC(IT17)</f>
        <v>3</v>
      </c>
      <c r="JC16" s="77">
        <f t="shared" si="262"/>
        <v>7</v>
      </c>
      <c r="JD16" s="77">
        <f t="shared" si="262"/>
        <v>-7</v>
      </c>
      <c r="JE16" s="77">
        <f t="shared" si="262"/>
        <v>11</v>
      </c>
      <c r="JF16" s="77">
        <f t="shared" si="262"/>
        <v>-9</v>
      </c>
      <c r="JG16" s="77">
        <f t="shared" si="262"/>
        <v>0</v>
      </c>
      <c r="JH16" s="77">
        <f t="shared" si="262"/>
        <v>-3</v>
      </c>
      <c r="JI16" s="77">
        <f t="shared" si="262"/>
        <v>3</v>
      </c>
      <c r="JJ16" s="26" t="str">
        <f t="shared" si="27"/>
        <v>0000000000000000</v>
      </c>
      <c r="JK16" s="26" t="str">
        <f t="shared" si="28"/>
        <v>0100010001100000</v>
      </c>
      <c r="JL16" s="77">
        <f>MID(JJ16,16,1)*POWER(2,0)+MID(JJ16,15,1)*POWER(2,1)+MID(JJ16,14,1)*POWER(2,2)+MID(JJ16,13,1)*POWER(2,3)+MID(JJ16,12,1)*POWER(2,4)+MID(JJ16,11,1)*POWER(2,5)+MID(JJ16,10,1)*POWER(2,6)+MID(JJ16,9,1)*POWER(2,7)+MID(JJ16,8,1)*POWER(2,8)+MID(JJ16,7,1)*POWER(2,9)+MID(JJ16,6,1)*POWER(2,10)+MID(JJ16,5,1)*POWER(2,11)+MID(JJ16,4,1)*POWER(2,12)+MID(JJ16,3,1)*POWER(2,13)+MID(JJ16,2,1)*POWER(2,14)+MID(JJ16,1,1)*POWER(2,15)-(MID(JJ17,16,1)*POWER(2,0)+MID(JJ17,15,1)*POWER(2,1)+MID(JJ17,14,1)*POWER(2,2)+MID(JJ17,13,1)*POWER(2,3)+MID(JJ17,12,1)*POWER(2,4)+MID(JJ17,11,1)*POWER(2,5)+MID(JJ17,10,1)*POWER(2,6)+MID(JJ17,9,1)*POWER(2,7)+MID(JJ17,8,1)*POWER(2,8)+MID(JJ17,7,1)*POWER(2,9)+MID(JJ17,6,1)*POWER(2,10)+MID(JJ17,5,1)*POWER(2,11)+MID(JJ17,4,1)*POWER(2,12)+MID(JJ17,3,1)*POWER(2,13)+MID(JJ17,2,1)*POWER(2,14)+MID(JJ17,1,1)*POWER(2,15))</f>
        <v>-25584</v>
      </c>
      <c r="JM16" s="77">
        <f>MID(JK16,16,1)*POWER(2,0)+MID(JK16,15,1)*POWER(2,1)+MID(JK16,14,1)*POWER(2,2)+MID(JK16,13,1)*POWER(2,3)+MID(JK16,12,1)*POWER(2,4)+MID(JK16,11,1)*POWER(2,5)+MID(JK16,10,1)*POWER(2,6)+MID(JK16,9,1)*POWER(2,7)+MID(JK16,8,1)*POWER(2,8)+MID(JK16,7,1)*POWER(2,9)+MID(JK16,6,1)*POWER(2,10)+MID(JK16,5,1)*POWER(2,11)+MID(JK16,4,1)*POWER(2,12)+MID(JK16,3,1)*POWER(2,13)+MID(JK16,2,1)*POWER(2,14)+MID(JK16,1,1)*POWER(2,15)-(MID(JK17,16,1)*POWER(2,0)+MID(JK17,15,1)*POWER(2,1)+MID(JK17,14,1)*POWER(2,2)+MID(JK17,13,1)*POWER(2,3)+MID(JK17,12,1)*POWER(2,4)+MID(JK17,11,1)*POWER(2,5)+MID(JK17,10,1)*POWER(2,6)+MID(JK17,9,1)*POWER(2,7)+MID(JK17,8,1)*POWER(2,8)+MID(JK17,7,1)*POWER(2,9)+MID(JK17,6,1)*POWER(2,10)+MID(JK17,5,1)*POWER(2,11)+MID(JK17,4,1)*POWER(2,12)+MID(JK17,3,1)*POWER(2,13)+MID(JK17,2,1)*POWER(2,14)+MID(JK17,1,1)*POWER(2,15))</f>
        <v>-41013</v>
      </c>
      <c r="JN16" s="45" t="str">
        <f>CONCATENATE(MID(IK16,1,1)*MID($K16,1,1),MID(IK16,2,1)*MID($K16,2,1),MID(IK16,3,1)*MID($K16,3,1),MID(IK16,4,1)*MID($K16,4,1),MID(IK16,5,1)*MID($K16,5,1),MID(IK16,6,1)*MID($K16,6,1),MID(IK16,7,1)*MID($K16,7,1),MID(IK16,8,1)*MID($K16,8,1),MID(IK16,9,1)*MID($K16,1,1),MID(IK16,10,1)*MID($K16,2,1),MID(IK16,11,1)*MID($K16,3,1),MID(IK16,12,1)*MID($K16,4,1),MID(IK16,13,1)*MID($K16,5,1),MID(IK16,14,1)*MID($K16,6,1),MID(IK16,15,1)*MID($K16,7,1),MID(IK16,16,1)*MID($K16,8,1),MID(IK16,17,1)*MID($K16,1,1),MID(IK16,18,1)*MID($K16,2,1),MID(IK16,19,1)*MID($K16,3,1),MID(IK16,20,1)*MID($K16,4,1),MID(IK16,21,1)*MID($K16,5,1),MID(IK16,22,1)*MID($K16,6,1),MID(IK16,23,1)*MID($K16,7,1),MID(IK16,24,1)*MID($K16,8,1),MID(IK16,25,1)*MID($K16,1,1),MID(IK16,26,1)*MID($K16,2,1),MID(IK16,27,1)*MID($K16,3,1),MID(IK16,28,1)*MID($K16,4,1),MID(IK16,29,1)*MID($K16,5,1),MID(IK16,30,1)*MID($K16,6,1),MID(IK16,31,1)*MID($K16,7,1),MID(IK16,32,1)*MID($K16,8,1))</f>
        <v>00000000000000000100010001100000</v>
      </c>
      <c r="JO16" s="26" t="str">
        <f t="shared" si="188"/>
        <v>00000000</v>
      </c>
      <c r="JP16" s="26" t="str">
        <f t="shared" si="141"/>
        <v>00000000</v>
      </c>
      <c r="JQ16" s="26" t="str">
        <f t="shared" si="142"/>
        <v>01000100</v>
      </c>
      <c r="JR16" s="26" t="str">
        <f t="shared" si="143"/>
        <v>01100000</v>
      </c>
      <c r="JS16" s="77">
        <f>BIN2DEC(JO16)-BIN2DEC(JO17)</f>
        <v>-99</v>
      </c>
      <c r="JT16" s="77">
        <f>BIN2DEC(JP16)-BIN2DEC(JP17)</f>
        <v>-240</v>
      </c>
      <c r="JU16" s="77">
        <f>BIN2DEC(JQ16)-BIN2DEC(JQ17)</f>
        <v>-160</v>
      </c>
      <c r="JV16" s="77">
        <f>BIN2DEC(JR16)-BIN2DEC(JR17)</f>
        <v>-53</v>
      </c>
      <c r="JW16" s="27" t="str">
        <f t="shared" si="144"/>
        <v>1001</v>
      </c>
      <c r="JX16" s="27" t="str">
        <f t="shared" si="145"/>
        <v>1010</v>
      </c>
      <c r="JY16" s="27" t="str">
        <f t="shared" si="146"/>
        <v>1000</v>
      </c>
      <c r="JZ16" s="27" t="str">
        <f t="shared" si="147"/>
        <v>1011</v>
      </c>
      <c r="KA16" s="27" t="str">
        <f t="shared" si="148"/>
        <v>0101</v>
      </c>
      <c r="KB16" s="27" t="str">
        <f t="shared" si="149"/>
        <v>0100</v>
      </c>
      <c r="KC16" s="27" t="str">
        <f t="shared" si="150"/>
        <v>0110</v>
      </c>
      <c r="KD16" s="27" t="str">
        <f t="shared" si="151"/>
        <v>1000</v>
      </c>
      <c r="KE16" s="77">
        <f t="shared" ref="KE16:KL16" si="263">BIN2DEC(JW16)-BIN2DEC(JW17)</f>
        <v>3</v>
      </c>
      <c r="KF16" s="77">
        <f t="shared" si="263"/>
        <v>7</v>
      </c>
      <c r="KG16" s="77">
        <f t="shared" si="263"/>
        <v>-7</v>
      </c>
      <c r="KH16" s="77">
        <f t="shared" si="263"/>
        <v>11</v>
      </c>
      <c r="KI16" s="77">
        <f t="shared" si="263"/>
        <v>-9</v>
      </c>
      <c r="KJ16" s="77">
        <f t="shared" si="263"/>
        <v>0</v>
      </c>
      <c r="KK16" s="77">
        <f t="shared" si="263"/>
        <v>-3</v>
      </c>
      <c r="KL16" s="77">
        <f t="shared" si="263"/>
        <v>3</v>
      </c>
      <c r="KM16" s="26" t="str">
        <f t="shared" si="30"/>
        <v>0000000000000000</v>
      </c>
      <c r="KN16" s="26" t="str">
        <f t="shared" si="31"/>
        <v>0100010001100000</v>
      </c>
      <c r="KO16" s="77">
        <f>MID(KM16,16,1)*POWER(2,0)+MID(KM16,15,1)*POWER(2,1)+MID(KM16,14,1)*POWER(2,2)+MID(KM16,13,1)*POWER(2,3)+MID(KM16,12,1)*POWER(2,4)+MID(KM16,11,1)*POWER(2,5)+MID(KM16,10,1)*POWER(2,6)+MID(KM16,9,1)*POWER(2,7)+MID(KM16,8,1)*POWER(2,8)+MID(KM16,7,1)*POWER(2,9)+MID(KM16,6,1)*POWER(2,10)+MID(KM16,5,1)*POWER(2,11)+MID(KM16,4,1)*POWER(2,12)+MID(KM16,3,1)*POWER(2,13)+MID(KM16,2,1)*POWER(2,14)+MID(KM16,1,1)*POWER(2,15)-(MID(KM17,16,1)*POWER(2,0)+MID(KM17,15,1)*POWER(2,1)+MID(KM17,14,1)*POWER(2,2)+MID(KM17,13,1)*POWER(2,3)+MID(KM17,12,1)*POWER(2,4)+MID(KM17,11,1)*POWER(2,5)+MID(KM17,10,1)*POWER(2,6)+MID(KM17,9,1)*POWER(2,7)+MID(KM17,8,1)*POWER(2,8)+MID(KM17,7,1)*POWER(2,9)+MID(KM17,6,1)*POWER(2,10)+MID(KM17,5,1)*POWER(2,11)+MID(KM17,4,1)*POWER(2,12)+MID(KM17,3,1)*POWER(2,13)+MID(KM17,2,1)*POWER(2,14)+MID(KM17,1,1)*POWER(2,15))</f>
        <v>-25584</v>
      </c>
      <c r="KP16" s="77">
        <f>MID(KN16,16,1)*POWER(2,0)+MID(KN16,15,1)*POWER(2,1)+MID(KN16,14,1)*POWER(2,2)+MID(KN16,13,1)*POWER(2,3)+MID(KN16,12,1)*POWER(2,4)+MID(KN16,11,1)*POWER(2,5)+MID(KN16,10,1)*POWER(2,6)+MID(KN16,9,1)*POWER(2,7)+MID(KN16,8,1)*POWER(2,8)+MID(KN16,7,1)*POWER(2,9)+MID(KN16,6,1)*POWER(2,10)+MID(KN16,5,1)*POWER(2,11)+MID(KN16,4,1)*POWER(2,12)+MID(KN16,3,1)*POWER(2,13)+MID(KN16,2,1)*POWER(2,14)+MID(KN16,1,1)*POWER(2,15)-(MID(KN17,16,1)*POWER(2,0)+MID(KN17,15,1)*POWER(2,1)+MID(KN17,14,1)*POWER(2,2)+MID(KN17,13,1)*POWER(2,3)+MID(KN17,12,1)*POWER(2,4)+MID(KN17,11,1)*POWER(2,5)+MID(KN17,10,1)*POWER(2,6)+MID(KN17,9,1)*POWER(2,7)+MID(KN17,8,1)*POWER(2,8)+MID(KN17,7,1)*POWER(2,9)+MID(KN17,6,1)*POWER(2,10)+MID(KN17,5,1)*POWER(2,11)+MID(KN17,4,1)*POWER(2,12)+MID(KN17,3,1)*POWER(2,13)+MID(KN17,2,1)*POWER(2,14)+MID(KN17,1,1)*POWER(2,15))</f>
        <v>-41013</v>
      </c>
      <c r="KQ16" s="47" t="str">
        <f>IK16</f>
        <v>00000000000000000100010001100000</v>
      </c>
      <c r="KR16" s="26" t="str">
        <f t="shared" si="190"/>
        <v>00000000</v>
      </c>
      <c r="KS16" s="26" t="str">
        <f t="shared" si="152"/>
        <v>00000000</v>
      </c>
      <c r="KT16" s="26" t="str">
        <f t="shared" si="153"/>
        <v>01000100</v>
      </c>
      <c r="KU16" s="26" t="str">
        <f t="shared" si="154"/>
        <v>01100000</v>
      </c>
      <c r="KV16" s="77">
        <f>BIN2DEC(KR16)-BIN2DEC(KR17)</f>
        <v>-96</v>
      </c>
      <c r="KW16" s="77">
        <f>BIN2DEC(KS16)-BIN2DEC(KS17)</f>
        <v>-96</v>
      </c>
      <c r="KX16" s="77">
        <f>BIN2DEC(KT16)-BIN2DEC(KT17)</f>
        <v>-32</v>
      </c>
      <c r="KY16" s="77">
        <f>BIN2DEC(KU16)-BIN2DEC(KU17)</f>
        <v>92</v>
      </c>
      <c r="KZ16" s="27" t="str">
        <f t="shared" si="155"/>
        <v>1001</v>
      </c>
      <c r="LA16" s="27" t="str">
        <f t="shared" si="156"/>
        <v>1010</v>
      </c>
      <c r="LB16" s="27" t="str">
        <f t="shared" si="157"/>
        <v>1000</v>
      </c>
      <c r="LC16" s="27" t="str">
        <f t="shared" si="158"/>
        <v>1011</v>
      </c>
      <c r="LD16" s="27" t="str">
        <f t="shared" si="159"/>
        <v>0101</v>
      </c>
      <c r="LE16" s="27" t="str">
        <f t="shared" si="160"/>
        <v>0100</v>
      </c>
      <c r="LF16" s="27" t="str">
        <f t="shared" si="161"/>
        <v>0110</v>
      </c>
      <c r="LG16" s="27" t="str">
        <f t="shared" si="162"/>
        <v>1000</v>
      </c>
      <c r="LH16" s="77">
        <f t="shared" ref="LH16:LO16" si="264">BIN2DEC(KZ16)-BIN2DEC(KZ17)</f>
        <v>3</v>
      </c>
      <c r="LI16" s="77">
        <f t="shared" si="264"/>
        <v>7</v>
      </c>
      <c r="LJ16" s="77">
        <f t="shared" si="264"/>
        <v>-7</v>
      </c>
      <c r="LK16" s="77">
        <f t="shared" si="264"/>
        <v>11</v>
      </c>
      <c r="LL16" s="77">
        <f t="shared" si="264"/>
        <v>-9</v>
      </c>
      <c r="LM16" s="77">
        <f t="shared" si="264"/>
        <v>0</v>
      </c>
      <c r="LN16" s="77">
        <f t="shared" si="264"/>
        <v>-3</v>
      </c>
      <c r="LO16" s="77">
        <f t="shared" si="264"/>
        <v>3</v>
      </c>
      <c r="LP16" s="26" t="str">
        <f t="shared" si="33"/>
        <v>0000000000000000</v>
      </c>
      <c r="LQ16" s="26" t="str">
        <f t="shared" si="34"/>
        <v>0100010001100000</v>
      </c>
      <c r="LR16" s="77">
        <f>MID(LP16,16,1)*POWER(2,0)+MID(LP16,15,1)*POWER(2,1)+MID(LP16,14,1)*POWER(2,2)+MID(LP16,13,1)*POWER(2,3)+MID(LP16,12,1)*POWER(2,4)+MID(LP16,11,1)*POWER(2,5)+MID(LP16,10,1)*POWER(2,6)+MID(LP16,9,1)*POWER(2,7)+MID(LP16,8,1)*POWER(2,8)+MID(LP16,7,1)*POWER(2,9)+MID(LP16,6,1)*POWER(2,10)+MID(LP16,5,1)*POWER(2,11)+MID(LP16,4,1)*POWER(2,12)+MID(LP16,3,1)*POWER(2,13)+MID(LP16,2,1)*POWER(2,14)+MID(LP16,1,1)*POWER(2,15)-(MID(LP17,16,1)*POWER(2,0)+MID(LP17,15,1)*POWER(2,1)+MID(LP17,14,1)*POWER(2,2)+MID(LP17,13,1)*POWER(2,3)+MID(LP17,12,1)*POWER(2,4)+MID(LP17,11,1)*POWER(2,5)+MID(LP17,10,1)*POWER(2,6)+MID(LP17,9,1)*POWER(2,7)+MID(LP17,8,1)*POWER(2,8)+MID(LP17,7,1)*POWER(2,9)+MID(LP17,6,1)*POWER(2,10)+MID(LP17,5,1)*POWER(2,11)+MID(LP17,4,1)*POWER(2,12)+MID(LP17,3,1)*POWER(2,13)+MID(LP17,2,1)*POWER(2,14)+MID(LP17,1,1)*POWER(2,15))</f>
        <v>-24672</v>
      </c>
      <c r="LS16" s="77">
        <f>MID(LQ16,16,1)*POWER(2,0)+MID(LQ16,15,1)*POWER(2,1)+MID(LQ16,14,1)*POWER(2,2)+MID(LQ16,13,1)*POWER(2,3)+MID(LQ16,12,1)*POWER(2,4)+MID(LQ16,11,1)*POWER(2,5)+MID(LQ16,10,1)*POWER(2,6)+MID(LQ16,9,1)*POWER(2,7)+MID(LQ16,8,1)*POWER(2,8)+MID(LQ16,7,1)*POWER(2,9)+MID(LQ16,6,1)*POWER(2,10)+MID(LQ16,5,1)*POWER(2,11)+MID(LQ16,4,1)*POWER(2,12)+MID(LQ16,3,1)*POWER(2,13)+MID(LQ16,2,1)*POWER(2,14)+MID(LQ16,1,1)*POWER(2,15)-(MID(LQ17,16,1)*POWER(2,0)+MID(LQ17,15,1)*POWER(2,1)+MID(LQ17,14,1)*POWER(2,2)+MID(LQ17,13,1)*POWER(2,3)+MID(LQ17,12,1)*POWER(2,4)+MID(LQ17,11,1)*POWER(2,5)+MID(LQ17,10,1)*POWER(2,6)+MID(LQ17,9,1)*POWER(2,7)+MID(LQ17,8,1)*POWER(2,8)+MID(LQ17,7,1)*POWER(2,9)+MID(LQ17,6,1)*POWER(2,10)+MID(LQ17,5,1)*POWER(2,11)+MID(LQ17,4,1)*POWER(2,12)+MID(LQ17,3,1)*POWER(2,13)+MID(LQ17,2,1)*POWER(2,14)+MID(LQ17,1,1)*POWER(2,15))</f>
        <v>-8100</v>
      </c>
      <c r="LT16" s="43" t="str">
        <f>JN16</f>
        <v>00000000000000000100010001100000</v>
      </c>
      <c r="LU16" s="26" t="str">
        <f t="shared" si="192"/>
        <v>00000000</v>
      </c>
      <c r="LV16" s="26" t="str">
        <f t="shared" si="163"/>
        <v>00000000</v>
      </c>
      <c r="LW16" s="26" t="str">
        <f t="shared" si="164"/>
        <v>01000100</v>
      </c>
      <c r="LX16" s="26" t="str">
        <f t="shared" si="165"/>
        <v>01100000</v>
      </c>
      <c r="LY16" s="77">
        <f>BIN2DEC(LU16)-BIN2DEC(LU17)</f>
        <v>-35</v>
      </c>
      <c r="LZ16" s="77">
        <f>BIN2DEC(LV16)-BIN2DEC(LV17)</f>
        <v>-32</v>
      </c>
      <c r="MA16" s="77">
        <f>BIN2DEC(LW16)-BIN2DEC(LW17)</f>
        <v>36</v>
      </c>
      <c r="MB16" s="77">
        <f>BIN2DEC(LX16)-BIN2DEC(LX17)</f>
        <v>95</v>
      </c>
      <c r="MC16" s="27" t="str">
        <f t="shared" si="166"/>
        <v>1001</v>
      </c>
      <c r="MD16" s="27" t="str">
        <f t="shared" si="167"/>
        <v>1010</v>
      </c>
      <c r="ME16" s="27" t="str">
        <f t="shared" si="168"/>
        <v>1000</v>
      </c>
      <c r="MF16" s="27" t="str">
        <f t="shared" si="169"/>
        <v>1011</v>
      </c>
      <c r="MG16" s="27" t="str">
        <f t="shared" si="170"/>
        <v>0101</v>
      </c>
      <c r="MH16" s="27" t="str">
        <f t="shared" si="171"/>
        <v>0100</v>
      </c>
      <c r="MI16" s="27" t="str">
        <f t="shared" si="172"/>
        <v>0110</v>
      </c>
      <c r="MJ16" s="27" t="str">
        <f t="shared" si="173"/>
        <v>1000</v>
      </c>
      <c r="MK16" s="77">
        <f t="shared" ref="MK16:MR16" si="265">BIN2DEC(MC16)-BIN2DEC(MC17)</f>
        <v>3</v>
      </c>
      <c r="ML16" s="77">
        <f t="shared" si="265"/>
        <v>7</v>
      </c>
      <c r="MM16" s="77">
        <f t="shared" si="265"/>
        <v>-7</v>
      </c>
      <c r="MN16" s="77">
        <f t="shared" si="265"/>
        <v>11</v>
      </c>
      <c r="MO16" s="77">
        <f t="shared" si="265"/>
        <v>-9</v>
      </c>
      <c r="MP16" s="77">
        <f t="shared" si="265"/>
        <v>0</v>
      </c>
      <c r="MQ16" s="77">
        <f t="shared" si="265"/>
        <v>-3</v>
      </c>
      <c r="MR16" s="77">
        <f t="shared" si="265"/>
        <v>3</v>
      </c>
      <c r="MS16" s="26" t="str">
        <f t="shared" si="36"/>
        <v>0000000000000000</v>
      </c>
      <c r="MT16" s="26" t="str">
        <f t="shared" si="37"/>
        <v>0100010001100000</v>
      </c>
      <c r="MU16" s="77">
        <f>MID(MS16,16,1)*POWER(2,0)+MID(MS16,15,1)*POWER(2,1)+MID(MS16,14,1)*POWER(2,2)+MID(MS16,13,1)*POWER(2,3)+MID(MS16,12,1)*POWER(2,4)+MID(MS16,11,1)*POWER(2,5)+MID(MS16,10,1)*POWER(2,6)+MID(MS16,9,1)*POWER(2,7)+MID(MS16,8,1)*POWER(2,8)+MID(MS16,7,1)*POWER(2,9)+MID(MS16,6,1)*POWER(2,10)+MID(MS16,5,1)*POWER(2,11)+MID(MS16,4,1)*POWER(2,12)+MID(MS16,3,1)*POWER(2,13)+MID(MS16,2,1)*POWER(2,14)+MID(MS16,1,1)*POWER(2,15)-(MID(MS17,16,1)*POWER(2,0)+MID(MS17,15,1)*POWER(2,1)+MID(MS17,14,1)*POWER(2,2)+MID(MS17,13,1)*POWER(2,3)+MID(MS17,12,1)*POWER(2,4)+MID(MS17,11,1)*POWER(2,5)+MID(MS17,10,1)*POWER(2,6)+MID(MS17,9,1)*POWER(2,7)+MID(MS17,8,1)*POWER(2,8)+MID(MS17,7,1)*POWER(2,9)+MID(MS17,6,1)*POWER(2,10)+MID(MS17,5,1)*POWER(2,11)+MID(MS17,4,1)*POWER(2,12)+MID(MS17,3,1)*POWER(2,13)+MID(MS17,2,1)*POWER(2,14)+MID(MS17,1,1)*POWER(2,15))</f>
        <v>-8992</v>
      </c>
      <c r="MV16" s="77">
        <f>MID(MT16,16,1)*POWER(2,0)+MID(MT16,15,1)*POWER(2,1)+MID(MT16,14,1)*POWER(2,2)+MID(MT16,13,1)*POWER(2,3)+MID(MT16,12,1)*POWER(2,4)+MID(MT16,11,1)*POWER(2,5)+MID(MT16,10,1)*POWER(2,6)+MID(MT16,9,1)*POWER(2,7)+MID(MT16,8,1)*POWER(2,8)+MID(MT16,7,1)*POWER(2,9)+MID(MT16,6,1)*POWER(2,10)+MID(MT16,5,1)*POWER(2,11)+MID(MT16,4,1)*POWER(2,12)+MID(MT16,3,1)*POWER(2,13)+MID(MT16,2,1)*POWER(2,14)+MID(MT16,1,1)*POWER(2,15)-(MID(MT17,16,1)*POWER(2,0)+MID(MT17,15,1)*POWER(2,1)+MID(MT17,14,1)*POWER(2,2)+MID(MT17,13,1)*POWER(2,3)+MID(MT17,12,1)*POWER(2,4)+MID(MT17,11,1)*POWER(2,5)+MID(MT17,10,1)*POWER(2,6)+MID(MT17,9,1)*POWER(2,7)+MID(MT17,8,1)*POWER(2,8)+MID(MT17,7,1)*POWER(2,9)+MID(MT17,6,1)*POWER(2,10)+MID(MT17,5,1)*POWER(2,11)+MID(MT17,4,1)*POWER(2,12)+MID(MT17,3,1)*POWER(2,13)+MID(MT17,2,1)*POWER(2,14)+MID(MT17,1,1)*POWER(2,15))</f>
        <v>9311</v>
      </c>
    </row>
    <row r="17" spans="1:360" s="31" customFormat="1" ht="18.600000000000001" thickBot="1" x14ac:dyDescent="0.4">
      <c r="A17" s="28"/>
      <c r="B17" s="29"/>
      <c r="C17" s="21" t="s">
        <v>6</v>
      </c>
      <c r="D17" s="21" t="s">
        <v>118</v>
      </c>
      <c r="E17" s="21" t="s">
        <v>13</v>
      </c>
      <c r="F17" s="21" t="s">
        <v>102</v>
      </c>
      <c r="G17" s="21">
        <v>72</v>
      </c>
      <c r="H17" s="21" t="str">
        <f>CONCATENATE(HEX2BIN(D17,8),HEX2BIN(E17,8),HEX2BIN(F17,8),HEX2BIN(G17,8))</f>
        <v>00001100100111101011110001110010</v>
      </c>
      <c r="I17" s="21">
        <f>MID(H17,1,1)+MID(H17,2,1)+MID(H17,3,1)+MID(H17,4,1)+MID(H17,5,1)+MID(H17,6,1)+MID(H17,7,1)+MID(H17,8,1)+MID(H17,9,1)+MID(H17,10,1)+MID(H17,11,1)+MID(H17,12,1)+MID(H17,13,1)+MID(H17,14,1)+MID(H17,15,1)+MID(H17,16,1)+MID(H17,17,1)+MID(H17,18,1)+MID(H17,19,1)+MID(H17,20,1)+MID(H17,21,1)+MID(H17,22,1)+MID(H17,23,1)+MID(H17,24,1)+MID(H17,25,1)+MID(H17,26,1)+MID(H17,27,1)+MID(H17,28,1)+MID(H17,29,1)+MID(H17,30,1)+MID(H17,31,1)+MID(H17,32,1)</f>
        <v>16</v>
      </c>
      <c r="J17" s="21"/>
      <c r="K17" s="21"/>
      <c r="L17" s="44" t="str">
        <f>CONCATENATE(MID(H17,4,5),MID(H17,25,3),MID(H17,12,5),MID(H17,1,3),MID(H17,20,5),MID(H17,9,3),MID(H17,28,5),MID(H17,17,3))</f>
        <v>01100011111100001110010010010101</v>
      </c>
      <c r="M17" s="26" t="str">
        <f t="shared" si="38"/>
        <v>01100</v>
      </c>
      <c r="N17" s="26" t="str">
        <f t="shared" si="39"/>
        <v>11110</v>
      </c>
      <c r="O17" s="26" t="str">
        <f t="shared" si="40"/>
        <v>11100</v>
      </c>
      <c r="P17" s="26" t="str">
        <f t="shared" si="41"/>
        <v>10010</v>
      </c>
      <c r="Q17" s="78"/>
      <c r="R17" s="78"/>
      <c r="S17" s="78"/>
      <c r="T17" s="78"/>
      <c r="U17" s="31" t="str">
        <f t="shared" si="42"/>
        <v>0110</v>
      </c>
      <c r="V17" s="31" t="str">
        <f t="shared" si="43"/>
        <v>0011</v>
      </c>
      <c r="W17" s="31" t="str">
        <f t="shared" si="44"/>
        <v>1111</v>
      </c>
      <c r="X17" s="31" t="str">
        <f t="shared" si="45"/>
        <v>0000</v>
      </c>
      <c r="Y17" s="31" t="str">
        <f t="shared" si="46"/>
        <v>1110</v>
      </c>
      <c r="Z17" s="31" t="str">
        <f t="shared" si="47"/>
        <v>0100</v>
      </c>
      <c r="AA17" s="31" t="str">
        <f t="shared" si="48"/>
        <v>1001</v>
      </c>
      <c r="AB17" s="31" t="str">
        <f t="shared" si="49"/>
        <v>0101</v>
      </c>
      <c r="AC17" s="78"/>
      <c r="AD17" s="78"/>
      <c r="AE17" s="78"/>
      <c r="AF17" s="78"/>
      <c r="AG17" s="78"/>
      <c r="AH17" s="78"/>
      <c r="AI17" s="78"/>
      <c r="AJ17" s="78"/>
      <c r="AK17" s="30" t="str">
        <f t="shared" si="3"/>
        <v>0110001111110000</v>
      </c>
      <c r="AL17" s="30" t="str">
        <f t="shared" si="4"/>
        <v>1110010010010101</v>
      </c>
      <c r="AM17" s="78"/>
      <c r="AN17" s="78"/>
      <c r="AO17" s="46" t="str">
        <f>CONCATENATE(MID($L17,1,1)*MID($K16,1,1),MID($L17,2,1)*MID($K16,2,1),MID($L17,3,1)*MID($K16,3,1),MID($L17,4,1)*MID($K16,4,1),MID($L17,5,1)*MID($K16,5,1),MID($L17,6,1)*MID($K16,6,1),MID($L17,7,1)*MID($K16,7,1),MID($L17,8,1)*MID($K16,8,1),MID($L17,9,1)*MID($K16,1,1),MID($L17,10,1)*MID($K16,2,1),MID($L17,11,1)*MID($K16,3,1),MID($L17,12,1)*MID($K16,4,1),MID($L17,13,1)*MID($K16,5,1),MID($L17,14,1)*MID($K16,6,1),MID($L17,15,1)*MID($K16,7,1),MID($L17,16,1)*MID($K16,8,1),MID($L17,17,1)*MID($K16,1,1),MID($L17,18,1)*MID($K16,2,1),MID($L17,19,1)*MID($K16,3,1),MID($L17,20,1)*MID($K16,4,1),MID($L17,21,1)*MID($K16,5,1),MID($L17,22,1)*MID($K16,6,1),MID($L17,23,1)*MID($K16,7,1),MID($L17,24,1)*MID($K16,8,1),MID($L17,25,1)*MID($K16,1,1),MID($L17,26,1)*MID($K16,2,1),MID($L17,27,1)*MID($K16,3,1),MID($L17,28,1)*MID($K16,4,1),MID($L17,29,1)*MID($K16,5,1),MID($L17,30,1)*MID($K16,6,1),MID($L17,31,1)*MID($K16,7,1),MID($L17,32,1)*MID($K16,8,1))</f>
        <v>01100000011000000110010000000100</v>
      </c>
      <c r="AP17" s="30" t="str">
        <f t="shared" si="50"/>
        <v>01100000</v>
      </c>
      <c r="AQ17" s="30" t="str">
        <f t="shared" si="51"/>
        <v>01100000</v>
      </c>
      <c r="AR17" s="30" t="str">
        <f t="shared" si="52"/>
        <v>01100100</v>
      </c>
      <c r="AS17" s="30" t="str">
        <f t="shared" si="53"/>
        <v>00000100</v>
      </c>
      <c r="AT17" s="78"/>
      <c r="AU17" s="78"/>
      <c r="AV17" s="78"/>
      <c r="AW17" s="78"/>
      <c r="AX17" s="31" t="str">
        <f t="shared" si="54"/>
        <v>0110</v>
      </c>
      <c r="AY17" s="31" t="str">
        <f t="shared" si="55"/>
        <v>0011</v>
      </c>
      <c r="AZ17" s="31" t="str">
        <f t="shared" si="56"/>
        <v>1111</v>
      </c>
      <c r="BA17" s="31" t="str">
        <f t="shared" si="57"/>
        <v>0000</v>
      </c>
      <c r="BB17" s="31" t="str">
        <f t="shared" si="58"/>
        <v>1110</v>
      </c>
      <c r="BC17" s="31" t="str">
        <f t="shared" si="59"/>
        <v>0100</v>
      </c>
      <c r="BD17" s="31" t="str">
        <f t="shared" si="60"/>
        <v>1001</v>
      </c>
      <c r="BE17" s="31" t="str">
        <f t="shared" si="61"/>
        <v>0101</v>
      </c>
      <c r="BF17" s="78"/>
      <c r="BG17" s="78"/>
      <c r="BH17" s="78"/>
      <c r="BI17" s="78"/>
      <c r="BJ17" s="78"/>
      <c r="BK17" s="78"/>
      <c r="BL17" s="78"/>
      <c r="BM17" s="78"/>
      <c r="BN17" s="30" t="str">
        <f t="shared" si="6"/>
        <v>0110000001100000</v>
      </c>
      <c r="BO17" s="30" t="str">
        <f t="shared" si="7"/>
        <v>0110010000000100</v>
      </c>
      <c r="BP17" s="78"/>
      <c r="BQ17" s="78"/>
      <c r="BR17" s="46" t="str">
        <f>L17</f>
        <v>01100011111100001110010010010101</v>
      </c>
      <c r="BS17" s="30" t="str">
        <f t="shared" si="62"/>
        <v>01100011</v>
      </c>
      <c r="BT17" s="30" t="str">
        <f t="shared" si="63"/>
        <v>11110000</v>
      </c>
      <c r="BU17" s="30" t="str">
        <f t="shared" si="64"/>
        <v>11100100</v>
      </c>
      <c r="BV17" s="30" t="str">
        <f t="shared" si="65"/>
        <v>10010101</v>
      </c>
      <c r="BW17" s="78"/>
      <c r="BX17" s="78"/>
      <c r="BY17" s="78"/>
      <c r="BZ17" s="78"/>
      <c r="CA17" s="31" t="str">
        <f t="shared" si="66"/>
        <v>0110</v>
      </c>
      <c r="CB17" s="31" t="str">
        <f t="shared" si="67"/>
        <v>0011</v>
      </c>
      <c r="CC17" s="31" t="str">
        <f t="shared" si="68"/>
        <v>1111</v>
      </c>
      <c r="CD17" s="31" t="str">
        <f t="shared" si="69"/>
        <v>0000</v>
      </c>
      <c r="CE17" s="31" t="str">
        <f t="shared" si="70"/>
        <v>1110</v>
      </c>
      <c r="CF17" s="31" t="str">
        <f t="shared" si="71"/>
        <v>0100</v>
      </c>
      <c r="CG17" s="31" t="str">
        <f t="shared" si="72"/>
        <v>1001</v>
      </c>
      <c r="CH17" s="31" t="str">
        <f t="shared" si="73"/>
        <v>0101</v>
      </c>
      <c r="CI17" s="78"/>
      <c r="CJ17" s="78"/>
      <c r="CK17" s="78"/>
      <c r="CL17" s="78"/>
      <c r="CM17" s="78"/>
      <c r="CN17" s="78"/>
      <c r="CO17" s="78"/>
      <c r="CP17" s="78"/>
      <c r="CQ17" s="30" t="str">
        <f t="shared" si="9"/>
        <v>0110001111110000</v>
      </c>
      <c r="CR17" s="30" t="str">
        <f t="shared" si="10"/>
        <v>1110010010010101</v>
      </c>
      <c r="CS17" s="78"/>
      <c r="CT17" s="78"/>
      <c r="CU17" s="46" t="str">
        <f>AO17</f>
        <v>01100000011000000110010000000100</v>
      </c>
      <c r="CV17" s="30" t="str">
        <f t="shared" si="74"/>
        <v>01100000</v>
      </c>
      <c r="CW17" s="30" t="str">
        <f t="shared" si="75"/>
        <v>01100000</v>
      </c>
      <c r="CX17" s="30" t="str">
        <f t="shared" si="76"/>
        <v>01100100</v>
      </c>
      <c r="CY17" s="30" t="str">
        <f t="shared" si="77"/>
        <v>00000100</v>
      </c>
      <c r="CZ17" s="78"/>
      <c r="DA17" s="78"/>
      <c r="DB17" s="78"/>
      <c r="DC17" s="78"/>
      <c r="DD17" s="31" t="str">
        <f t="shared" si="78"/>
        <v>0110</v>
      </c>
      <c r="DE17" s="31" t="str">
        <f t="shared" si="79"/>
        <v>0011</v>
      </c>
      <c r="DF17" s="31" t="str">
        <f t="shared" si="80"/>
        <v>1111</v>
      </c>
      <c r="DG17" s="31" t="str">
        <f t="shared" si="81"/>
        <v>0000</v>
      </c>
      <c r="DH17" s="31" t="str">
        <f t="shared" si="82"/>
        <v>1110</v>
      </c>
      <c r="DI17" s="31" t="str">
        <f t="shared" si="83"/>
        <v>0100</v>
      </c>
      <c r="DJ17" s="31" t="str">
        <f t="shared" si="84"/>
        <v>1001</v>
      </c>
      <c r="DK17" s="31" t="str">
        <f t="shared" si="85"/>
        <v>0101</v>
      </c>
      <c r="DL17" s="78"/>
      <c r="DM17" s="78"/>
      <c r="DN17" s="78"/>
      <c r="DO17" s="78"/>
      <c r="DP17" s="78"/>
      <c r="DQ17" s="78"/>
      <c r="DR17" s="78"/>
      <c r="DS17" s="78"/>
      <c r="DT17" s="30" t="str">
        <f t="shared" si="12"/>
        <v>0110000001100000</v>
      </c>
      <c r="DU17" s="30" t="str">
        <f t="shared" si="13"/>
        <v>0110010000000100</v>
      </c>
      <c r="DV17" s="78"/>
      <c r="DW17" s="78"/>
      <c r="DX17" s="23" t="str">
        <f>CONCATENATE(MID($H17,1,1)*MID($K16,1,1),MID($H17,2,1)*MID($K16,2,1),MID($H17,3,1)*MID($K16,3,1),MID($H17,4,1)*MID($K16,4,1),MID($H17,5,1)*MID($K16,5,1),MID($H17,6,1)*MID($K16,6,1),MID($H17,7,1)*MID($K16,7,1),MID($H17,8,1)*MID($K16,8,1),MID($H17,9,1)*MID($K16,1,1),MID($H17,10,1)*MID($K16,2,1),MID($H17,11,1)*MID($K16,3,1),MID($H17,12,1)*MID($K16,4,1),MID($H17,13,1)*MID($K16,5,1),MID($H17,14,1)*MID($K16,6,1),MID($H17,15,1)*MID($K16,7,1),MID($H17,16,1)*MID($K16,8,1),MID($H17,17,1)*MID($K16,1,1),MID($H17,18,1)*MID($K16,2,1),MID($H17,19,1)*MID($K16,3,1),MID($H17,20,1)*MID($K16,4,1),MID($H17,21,1)*MID($K16,5,1),MID($H17,22,1)*MID($K16,6,1),MID($H17,23,1)*MID($K16,7,1),MID($H17,24,1)*MID($K16,8,1),MID($H17,25,1)*MID($K16,1,1),MID($H17,26,1)*MID($K16,2,1),MID($H17,27,1)*MID($K16,3,1),MID($H17,28,1)*MID($K16,4,1),MID($H17,29,1)*MID($K16,5,1),MID($H17,30,1)*MID($K16,6,1),MID($H17,31,1)*MID($K16,7,1),MID($H17,32,1)*MID($K16,8,1))</f>
        <v>00000100000001000010010001100000</v>
      </c>
      <c r="DY17" s="44" t="str">
        <f>CONCATENATE(MID(DX17,4,5),MID(DX17,25,3),MID(DX17,12,5),MID(DX17,1,3),MID(DX17,20,5),MID(DX17,9,3),MID(DX17,28,5),MID(DX17,17,3))</f>
        <v>00100011001000000010000000000001</v>
      </c>
      <c r="DZ17" s="30" t="str">
        <f t="shared" si="178"/>
        <v>00100011</v>
      </c>
      <c r="EA17" s="30" t="str">
        <f t="shared" si="86"/>
        <v>00100000</v>
      </c>
      <c r="EB17" s="30" t="str">
        <f t="shared" si="87"/>
        <v>00100000</v>
      </c>
      <c r="EC17" s="30" t="str">
        <f t="shared" si="88"/>
        <v>00000001</v>
      </c>
      <c r="ED17" s="78"/>
      <c r="EE17" s="78"/>
      <c r="EF17" s="78"/>
      <c r="EG17" s="78"/>
      <c r="EH17" s="31" t="str">
        <f t="shared" si="89"/>
        <v>0110</v>
      </c>
      <c r="EI17" s="31" t="str">
        <f t="shared" si="90"/>
        <v>0011</v>
      </c>
      <c r="EJ17" s="31" t="str">
        <f t="shared" si="91"/>
        <v>1111</v>
      </c>
      <c r="EK17" s="31" t="str">
        <f t="shared" si="92"/>
        <v>0000</v>
      </c>
      <c r="EL17" s="31" t="str">
        <f t="shared" si="93"/>
        <v>1110</v>
      </c>
      <c r="EM17" s="31" t="str">
        <f t="shared" si="94"/>
        <v>0100</v>
      </c>
      <c r="EN17" s="31" t="str">
        <f t="shared" si="95"/>
        <v>1001</v>
      </c>
      <c r="EO17" s="31" t="str">
        <f t="shared" si="96"/>
        <v>0101</v>
      </c>
      <c r="EP17" s="78"/>
      <c r="EQ17" s="78"/>
      <c r="ER17" s="78"/>
      <c r="ES17" s="78"/>
      <c r="ET17" s="78"/>
      <c r="EU17" s="78"/>
      <c r="EV17" s="78"/>
      <c r="EW17" s="78"/>
      <c r="EX17" s="30" t="str">
        <f t="shared" si="15"/>
        <v>0010001100100000</v>
      </c>
      <c r="EY17" s="30" t="str">
        <f t="shared" si="16"/>
        <v>0010000000000001</v>
      </c>
      <c r="EZ17" s="78"/>
      <c r="FA17" s="78"/>
      <c r="FB17" s="46" t="str">
        <f>CONCATENATE(MID(DY17,1,1)*MID($K16,1,1),MID(DY17,2,1)*MID($K16,2,1),MID(DY17,3,1)*MID($K16,3,1),MID(DY17,4,1)*MID($K16,4,1),MID(DY17,5,1)*MID($K16,5,1),MID(DY17,6,1)*MID($K16,6,1),MID(DY17,7,1)*MID($K16,7,1),MID(DY17,8,1)*MID($K16,8,1),MID(DY17,9,1)*MID($K16,1,1),MID(DY17,10,1)*MID($K16,2,1),MID(DY17,11,1)*MID($K16,3,1),MID(DY17,12,1)*MID($K16,4,1),MID(DY17,13,1)*MID($K16,5,1),MID(DY17,14,1)*MID($K16,6,1),MID(DY17,15,1)*MID($K16,7,1),MID(DY17,16,1)*MID($K16,8,1),MID(DY17,17,1)*MID($K16,1,1),MID(DY17,18,1)*MID($K16,2,1),MID(DY17,19,1)*MID($K16,3,1),MID(DY17,20,1)*MID($K16,4,1),MID(DY17,21,1)*MID($K16,5,1),MID(DY17,22,1)*MID($K16,6,1),MID(DY17,23,1)*MID($K16,7,1),MID(DY17,24,1)*MID($K16,8,1),MID(DY17,25,1)*MID($K16,1,1),MID(DY17,26,1)*MID($K16,2,1),MID(DY17,27,1)*MID($K16,3,1),MID(DY17,28,1)*MID($K16,4,1),MID(DY17,29,1)*MID($K16,5,1),MID(DY17,30,1)*MID($K16,6,1),MID(DY17,31,1)*MID($K16,7,1),MID(DY17,32,1)*MID($K16,8,1))</f>
        <v>00100000001000000010000000000000</v>
      </c>
      <c r="FC17" s="30" t="str">
        <f t="shared" si="180"/>
        <v>00100000</v>
      </c>
      <c r="FD17" s="30" t="str">
        <f t="shared" si="97"/>
        <v>00100000</v>
      </c>
      <c r="FE17" s="30" t="str">
        <f t="shared" si="98"/>
        <v>00100000</v>
      </c>
      <c r="FF17" s="30" t="str">
        <f t="shared" si="99"/>
        <v>00000000</v>
      </c>
      <c r="FG17" s="78"/>
      <c r="FH17" s="78"/>
      <c r="FI17" s="78"/>
      <c r="FJ17" s="78"/>
      <c r="FK17" s="31" t="str">
        <f t="shared" si="100"/>
        <v>0110</v>
      </c>
      <c r="FL17" s="31" t="str">
        <f t="shared" si="101"/>
        <v>0011</v>
      </c>
      <c r="FM17" s="31" t="str">
        <f t="shared" si="102"/>
        <v>1111</v>
      </c>
      <c r="FN17" s="31" t="str">
        <f t="shared" si="103"/>
        <v>0000</v>
      </c>
      <c r="FO17" s="31" t="str">
        <f t="shared" si="104"/>
        <v>1110</v>
      </c>
      <c r="FP17" s="31" t="str">
        <f t="shared" si="105"/>
        <v>0100</v>
      </c>
      <c r="FQ17" s="31" t="str">
        <f t="shared" si="106"/>
        <v>1001</v>
      </c>
      <c r="FR17" s="31" t="str">
        <f t="shared" si="107"/>
        <v>0101</v>
      </c>
      <c r="FS17" s="78"/>
      <c r="FT17" s="78"/>
      <c r="FU17" s="78"/>
      <c r="FV17" s="78"/>
      <c r="FW17" s="78"/>
      <c r="FX17" s="78"/>
      <c r="FY17" s="78"/>
      <c r="FZ17" s="78"/>
      <c r="GA17" s="30" t="str">
        <f t="shared" si="18"/>
        <v>0010000000100000</v>
      </c>
      <c r="GB17" s="30" t="str">
        <f t="shared" si="19"/>
        <v>0010000000000000</v>
      </c>
      <c r="GC17" s="78"/>
      <c r="GD17" s="78"/>
      <c r="GE17" s="48" t="str">
        <f>DY17</f>
        <v>00100011001000000010000000000001</v>
      </c>
      <c r="GF17" s="30" t="str">
        <f t="shared" si="182"/>
        <v>00100011</v>
      </c>
      <c r="GG17" s="30" t="str">
        <f t="shared" si="108"/>
        <v>00100000</v>
      </c>
      <c r="GH17" s="30" t="str">
        <f t="shared" si="109"/>
        <v>00100000</v>
      </c>
      <c r="GI17" s="30" t="str">
        <f t="shared" si="110"/>
        <v>00000001</v>
      </c>
      <c r="GJ17" s="78"/>
      <c r="GK17" s="78"/>
      <c r="GL17" s="78"/>
      <c r="GM17" s="78"/>
      <c r="GN17" s="31" t="str">
        <f t="shared" si="111"/>
        <v>0110</v>
      </c>
      <c r="GO17" s="31" t="str">
        <f t="shared" si="112"/>
        <v>0011</v>
      </c>
      <c r="GP17" s="31" t="str">
        <f t="shared" si="113"/>
        <v>1111</v>
      </c>
      <c r="GQ17" s="31" t="str">
        <f t="shared" si="114"/>
        <v>0000</v>
      </c>
      <c r="GR17" s="31" t="str">
        <f t="shared" si="115"/>
        <v>1110</v>
      </c>
      <c r="GS17" s="31" t="str">
        <f t="shared" si="116"/>
        <v>0100</v>
      </c>
      <c r="GT17" s="31" t="str">
        <f t="shared" si="117"/>
        <v>1001</v>
      </c>
      <c r="GU17" s="31" t="str">
        <f t="shared" si="118"/>
        <v>0101</v>
      </c>
      <c r="GV17" s="78"/>
      <c r="GW17" s="78"/>
      <c r="GX17" s="78"/>
      <c r="GY17" s="78"/>
      <c r="GZ17" s="78"/>
      <c r="HA17" s="78"/>
      <c r="HB17" s="78"/>
      <c r="HC17" s="78"/>
      <c r="HD17" s="30" t="str">
        <f t="shared" si="21"/>
        <v>0010001100100000</v>
      </c>
      <c r="HE17" s="30" t="str">
        <f t="shared" si="22"/>
        <v>0010000000000001</v>
      </c>
      <c r="HF17" s="78"/>
      <c r="HG17" s="78"/>
      <c r="HH17" s="48" t="str">
        <f>FB17</f>
        <v>00100000001000000010000000000000</v>
      </c>
      <c r="HI17" s="30" t="str">
        <f t="shared" si="184"/>
        <v>00100000</v>
      </c>
      <c r="HJ17" s="30" t="str">
        <f t="shared" si="119"/>
        <v>00100000</v>
      </c>
      <c r="HK17" s="30" t="str">
        <f t="shared" si="120"/>
        <v>00100000</v>
      </c>
      <c r="HL17" s="30" t="str">
        <f t="shared" si="121"/>
        <v>00000000</v>
      </c>
      <c r="HM17" s="78"/>
      <c r="HN17" s="78"/>
      <c r="HO17" s="78"/>
      <c r="HP17" s="78"/>
      <c r="HQ17" s="31" t="str">
        <f t="shared" si="122"/>
        <v>0110</v>
      </c>
      <c r="HR17" s="31" t="str">
        <f t="shared" si="123"/>
        <v>0011</v>
      </c>
      <c r="HS17" s="31" t="str">
        <f t="shared" si="124"/>
        <v>1111</v>
      </c>
      <c r="HT17" s="31" t="str">
        <f t="shared" si="125"/>
        <v>0000</v>
      </c>
      <c r="HU17" s="31" t="str">
        <f t="shared" si="126"/>
        <v>1110</v>
      </c>
      <c r="HV17" s="31" t="str">
        <f t="shared" si="127"/>
        <v>0100</v>
      </c>
      <c r="HW17" s="31" t="str">
        <f t="shared" si="128"/>
        <v>1001</v>
      </c>
      <c r="HX17" s="31" t="str">
        <f t="shared" si="129"/>
        <v>0101</v>
      </c>
      <c r="HY17" s="78"/>
      <c r="HZ17" s="78"/>
      <c r="IA17" s="78"/>
      <c r="IB17" s="78"/>
      <c r="IC17" s="78"/>
      <c r="ID17" s="78"/>
      <c r="IE17" s="78"/>
      <c r="IF17" s="78"/>
      <c r="IG17" s="30" t="str">
        <f t="shared" si="24"/>
        <v>0010000000100000</v>
      </c>
      <c r="IH17" s="30" t="str">
        <f t="shared" si="25"/>
        <v>0010000000000000</v>
      </c>
      <c r="II17" s="78"/>
      <c r="IJ17" s="78"/>
      <c r="IK17" s="44" t="str">
        <f>L17</f>
        <v>01100011111100001110010010010101</v>
      </c>
      <c r="IL17" s="30" t="str">
        <f t="shared" si="186"/>
        <v>01100011</v>
      </c>
      <c r="IM17" s="30" t="str">
        <f t="shared" si="130"/>
        <v>11110000</v>
      </c>
      <c r="IN17" s="30" t="str">
        <f t="shared" si="131"/>
        <v>11100100</v>
      </c>
      <c r="IO17" s="30" t="str">
        <f t="shared" si="132"/>
        <v>10010101</v>
      </c>
      <c r="IP17" s="78"/>
      <c r="IQ17" s="78"/>
      <c r="IR17" s="78"/>
      <c r="IS17" s="78"/>
      <c r="IT17" s="31" t="str">
        <f t="shared" si="133"/>
        <v>0110</v>
      </c>
      <c r="IU17" s="31" t="str">
        <f t="shared" si="134"/>
        <v>0011</v>
      </c>
      <c r="IV17" s="31" t="str">
        <f t="shared" si="135"/>
        <v>1111</v>
      </c>
      <c r="IW17" s="31" t="str">
        <f t="shared" si="136"/>
        <v>0000</v>
      </c>
      <c r="IX17" s="31" t="str">
        <f t="shared" si="137"/>
        <v>1110</v>
      </c>
      <c r="IY17" s="31" t="str">
        <f t="shared" si="138"/>
        <v>0100</v>
      </c>
      <c r="IZ17" s="31" t="str">
        <f t="shared" si="139"/>
        <v>1001</v>
      </c>
      <c r="JA17" s="31" t="str">
        <f t="shared" si="140"/>
        <v>0101</v>
      </c>
      <c r="JB17" s="78"/>
      <c r="JC17" s="78"/>
      <c r="JD17" s="78"/>
      <c r="JE17" s="78"/>
      <c r="JF17" s="78"/>
      <c r="JG17" s="78"/>
      <c r="JH17" s="78"/>
      <c r="JI17" s="78"/>
      <c r="JJ17" s="30" t="str">
        <f t="shared" si="27"/>
        <v>0110001111110000</v>
      </c>
      <c r="JK17" s="30" t="str">
        <f t="shared" si="28"/>
        <v>1110010010010101</v>
      </c>
      <c r="JL17" s="78"/>
      <c r="JM17" s="78"/>
      <c r="JN17" s="46" t="str">
        <f>L17</f>
        <v>01100011111100001110010010010101</v>
      </c>
      <c r="JO17" s="30" t="str">
        <f t="shared" si="188"/>
        <v>01100011</v>
      </c>
      <c r="JP17" s="30" t="str">
        <f t="shared" si="141"/>
        <v>11110000</v>
      </c>
      <c r="JQ17" s="30" t="str">
        <f t="shared" si="142"/>
        <v>11100100</v>
      </c>
      <c r="JR17" s="30" t="str">
        <f t="shared" si="143"/>
        <v>10010101</v>
      </c>
      <c r="JS17" s="78"/>
      <c r="JT17" s="78"/>
      <c r="JU17" s="78"/>
      <c r="JV17" s="78"/>
      <c r="JW17" s="31" t="str">
        <f t="shared" si="144"/>
        <v>0110</v>
      </c>
      <c r="JX17" s="31" t="str">
        <f t="shared" si="145"/>
        <v>0011</v>
      </c>
      <c r="JY17" s="31" t="str">
        <f t="shared" si="146"/>
        <v>1111</v>
      </c>
      <c r="JZ17" s="31" t="str">
        <f t="shared" si="147"/>
        <v>0000</v>
      </c>
      <c r="KA17" s="31" t="str">
        <f t="shared" si="148"/>
        <v>1110</v>
      </c>
      <c r="KB17" s="31" t="str">
        <f t="shared" si="149"/>
        <v>0100</v>
      </c>
      <c r="KC17" s="31" t="str">
        <f t="shared" si="150"/>
        <v>1001</v>
      </c>
      <c r="KD17" s="31" t="str">
        <f t="shared" si="151"/>
        <v>0101</v>
      </c>
      <c r="KE17" s="78"/>
      <c r="KF17" s="78"/>
      <c r="KG17" s="78"/>
      <c r="KH17" s="78"/>
      <c r="KI17" s="78"/>
      <c r="KJ17" s="78"/>
      <c r="KK17" s="78"/>
      <c r="KL17" s="78"/>
      <c r="KM17" s="30" t="str">
        <f t="shared" si="30"/>
        <v>0110001111110000</v>
      </c>
      <c r="KN17" s="30" t="str">
        <f t="shared" si="31"/>
        <v>1110010010010101</v>
      </c>
      <c r="KO17" s="78"/>
      <c r="KP17" s="78"/>
      <c r="KQ17" s="48" t="str">
        <f>AO17</f>
        <v>01100000011000000110010000000100</v>
      </c>
      <c r="KR17" s="30" t="str">
        <f t="shared" si="190"/>
        <v>01100000</v>
      </c>
      <c r="KS17" s="30" t="str">
        <f t="shared" si="152"/>
        <v>01100000</v>
      </c>
      <c r="KT17" s="30" t="str">
        <f t="shared" si="153"/>
        <v>01100100</v>
      </c>
      <c r="KU17" s="30" t="str">
        <f t="shared" si="154"/>
        <v>00000100</v>
      </c>
      <c r="KV17" s="78"/>
      <c r="KW17" s="78"/>
      <c r="KX17" s="78"/>
      <c r="KY17" s="78"/>
      <c r="KZ17" s="31" t="str">
        <f t="shared" si="155"/>
        <v>0110</v>
      </c>
      <c r="LA17" s="31" t="str">
        <f t="shared" si="156"/>
        <v>0011</v>
      </c>
      <c r="LB17" s="31" t="str">
        <f t="shared" si="157"/>
        <v>1111</v>
      </c>
      <c r="LC17" s="31" t="str">
        <f t="shared" si="158"/>
        <v>0000</v>
      </c>
      <c r="LD17" s="31" t="str">
        <f t="shared" si="159"/>
        <v>1110</v>
      </c>
      <c r="LE17" s="31" t="str">
        <f t="shared" si="160"/>
        <v>0100</v>
      </c>
      <c r="LF17" s="31" t="str">
        <f t="shared" si="161"/>
        <v>1001</v>
      </c>
      <c r="LG17" s="31" t="str">
        <f t="shared" si="162"/>
        <v>0101</v>
      </c>
      <c r="LH17" s="78"/>
      <c r="LI17" s="78"/>
      <c r="LJ17" s="78"/>
      <c r="LK17" s="78"/>
      <c r="LL17" s="78"/>
      <c r="LM17" s="78"/>
      <c r="LN17" s="78"/>
      <c r="LO17" s="78"/>
      <c r="LP17" s="30" t="str">
        <f t="shared" si="33"/>
        <v>0110000001100000</v>
      </c>
      <c r="LQ17" s="30" t="str">
        <f t="shared" si="34"/>
        <v>0110010000000100</v>
      </c>
      <c r="LR17" s="78"/>
      <c r="LS17" s="78"/>
      <c r="LT17" s="48" t="str">
        <f>GE17</f>
        <v>00100011001000000010000000000001</v>
      </c>
      <c r="LU17" s="30" t="str">
        <f t="shared" si="192"/>
        <v>00100011</v>
      </c>
      <c r="LV17" s="30" t="str">
        <f t="shared" si="163"/>
        <v>00100000</v>
      </c>
      <c r="LW17" s="30" t="str">
        <f t="shared" si="164"/>
        <v>00100000</v>
      </c>
      <c r="LX17" s="30" t="str">
        <f t="shared" si="165"/>
        <v>00000001</v>
      </c>
      <c r="LY17" s="78"/>
      <c r="LZ17" s="78"/>
      <c r="MA17" s="78"/>
      <c r="MB17" s="78"/>
      <c r="MC17" s="31" t="str">
        <f t="shared" si="166"/>
        <v>0110</v>
      </c>
      <c r="MD17" s="31" t="str">
        <f t="shared" si="167"/>
        <v>0011</v>
      </c>
      <c r="ME17" s="31" t="str">
        <f t="shared" si="168"/>
        <v>1111</v>
      </c>
      <c r="MF17" s="31" t="str">
        <f t="shared" si="169"/>
        <v>0000</v>
      </c>
      <c r="MG17" s="31" t="str">
        <f t="shared" si="170"/>
        <v>1110</v>
      </c>
      <c r="MH17" s="31" t="str">
        <f t="shared" si="171"/>
        <v>0100</v>
      </c>
      <c r="MI17" s="31" t="str">
        <f t="shared" si="172"/>
        <v>1001</v>
      </c>
      <c r="MJ17" s="31" t="str">
        <f t="shared" si="173"/>
        <v>0101</v>
      </c>
      <c r="MK17" s="78"/>
      <c r="ML17" s="78"/>
      <c r="MM17" s="78"/>
      <c r="MN17" s="78"/>
      <c r="MO17" s="78"/>
      <c r="MP17" s="78"/>
      <c r="MQ17" s="78"/>
      <c r="MR17" s="78"/>
      <c r="MS17" s="30" t="str">
        <f t="shared" si="36"/>
        <v>0010001100100000</v>
      </c>
      <c r="MT17" s="30" t="str">
        <f t="shared" si="37"/>
        <v>0010000000000001</v>
      </c>
      <c r="MU17" s="78"/>
      <c r="MV17" s="78"/>
    </row>
    <row r="18" spans="1:360" s="27" customFormat="1" ht="18.600000000000001" thickBot="1" x14ac:dyDescent="0.4">
      <c r="A18" s="24"/>
      <c r="B18" s="25"/>
      <c r="C18" s="20" t="s">
        <v>0</v>
      </c>
      <c r="D18" s="20" t="s">
        <v>72</v>
      </c>
      <c r="E18" s="20">
        <v>94</v>
      </c>
      <c r="F18" s="20" t="s">
        <v>12</v>
      </c>
      <c r="G18" s="20" t="s">
        <v>45</v>
      </c>
      <c r="H18" s="20" t="str">
        <f>CONCATENATE(HEX2BIN(D18,8),HEX2BIN(E18,8),HEX2BIN(F18,8),HEX2BIN(G18,8))</f>
        <v>01011010100101001010001101111100</v>
      </c>
      <c r="I18" s="20">
        <f>MID(H18,1,1)+MID(H18,2,1)+MID(H18,3,1)+MID(H18,4,1)+MID(H18,5,1)+MID(H18,6,1)+MID(H18,7,1)+MID(H18,8,1)+MID(H18,9,1)+MID(H18,10,1)+MID(H18,11,1)+MID(H18,12,1)+MID(H18,13,1)+MID(H18,14,1)+MID(H18,15,1)+MID(H18,16,1)+MID(H18,17,1)+MID(H18,18,1)+MID(H18,19,1)+MID(H18,20,1)+MID(H18,21,1)+MID(H18,22,1)+MID(H18,23,1)+MID(H18,24,1)+MID(H18,25,1)+MID(H18,26,1)+MID(H18,27,1)+MID(H18,28,1)+MID(H18,29,1)+MID(H18,30,1)+MID(H18,31,1)+MID(H18,32,1)</f>
        <v>16</v>
      </c>
      <c r="J18" s="20">
        <v>64</v>
      </c>
      <c r="K18" s="20" t="str">
        <f>HEX2BIN(J18,8)</f>
        <v>01100100</v>
      </c>
      <c r="L18" s="43" t="str">
        <f>CONCATENATE(MID(H18,17,16),MID(H18,1,16))</f>
        <v>10100011011111000101101010010100</v>
      </c>
      <c r="M18" s="26" t="str">
        <f t="shared" si="38"/>
        <v>10100</v>
      </c>
      <c r="N18" s="26" t="str">
        <f t="shared" si="39"/>
        <v>01111</v>
      </c>
      <c r="O18" s="26" t="str">
        <f t="shared" si="40"/>
        <v>01011</v>
      </c>
      <c r="P18" s="26" t="str">
        <f t="shared" si="41"/>
        <v>10010</v>
      </c>
      <c r="Q18" s="77">
        <f>BIN2DEC(M18)-BIN2DEC(M19)</f>
        <v>7</v>
      </c>
      <c r="R18" s="77">
        <f>BIN2DEC(N18)-BIN2DEC(N19)</f>
        <v>-13</v>
      </c>
      <c r="S18" s="77">
        <f>BIN2DEC(O18)-BIN2DEC(O19)</f>
        <v>-18</v>
      </c>
      <c r="T18" s="77">
        <f>BIN2DEC(P18)-BIN2DEC(P19)</f>
        <v>-6</v>
      </c>
      <c r="U18" s="27" t="str">
        <f t="shared" si="42"/>
        <v>1010</v>
      </c>
      <c r="V18" s="27" t="str">
        <f t="shared" si="43"/>
        <v>0011</v>
      </c>
      <c r="W18" s="27" t="str">
        <f t="shared" si="44"/>
        <v>0111</v>
      </c>
      <c r="X18" s="27" t="str">
        <f t="shared" si="45"/>
        <v>1100</v>
      </c>
      <c r="Y18" s="27" t="str">
        <f t="shared" si="46"/>
        <v>0101</v>
      </c>
      <c r="Z18" s="27" t="str">
        <f t="shared" si="47"/>
        <v>1010</v>
      </c>
      <c r="AA18" s="27" t="str">
        <f t="shared" si="48"/>
        <v>1001</v>
      </c>
      <c r="AB18" s="27" t="str">
        <f t="shared" si="49"/>
        <v>0100</v>
      </c>
      <c r="AC18" s="77">
        <f>BIN2DEC(U18)-BIN2DEC(U19)</f>
        <v>4</v>
      </c>
      <c r="AD18" s="77">
        <f t="shared" ref="AD18:AI18" si="266">BIN2DEC(V18)-BIN2DEC(V19)</f>
        <v>-9</v>
      </c>
      <c r="AE18" s="77">
        <f t="shared" si="266"/>
        <v>-7</v>
      </c>
      <c r="AF18" s="77">
        <f t="shared" si="266"/>
        <v>11</v>
      </c>
      <c r="AG18" s="77">
        <f t="shared" si="266"/>
        <v>-9</v>
      </c>
      <c r="AH18" s="77">
        <f t="shared" si="266"/>
        <v>0</v>
      </c>
      <c r="AI18" s="77">
        <f t="shared" si="266"/>
        <v>-3</v>
      </c>
      <c r="AJ18" s="77">
        <f>BIN2DEC(AB18)-BIN2DEC(AB19)</f>
        <v>3</v>
      </c>
      <c r="AK18" s="26" t="str">
        <f t="shared" si="3"/>
        <v>1010001101111100</v>
      </c>
      <c r="AL18" s="26" t="str">
        <f t="shared" si="4"/>
        <v>0101101010010100</v>
      </c>
      <c r="AM18" s="77">
        <f>MID(AK18,16,1)*POWER(2,0)+MID(AK18,15,1)*POWER(2,1)+MID(AK18,14,1)*POWER(2,2)+MID(AK18,13,1)*POWER(2,3)+MID(AK18,12,1)*POWER(2,4)+MID(AK18,11,1)*POWER(2,5)+MID(AK18,10,1)*POWER(2,6)+MID(AK18,9,1)*POWER(2,7)+MID(AK18,8,1)*POWER(2,8)+MID(AK18,7,1)*POWER(2,9)+MID(AK18,6,1)*POWER(2,10)+MID(AK18,5,1)*POWER(2,11)+MID(AK18,4,1)*POWER(2,12)+MID(AK18,3,1)*POWER(2,13)+MID(AK18,2,1)*POWER(2,14)+MID(AK18,1,1)*POWER(2,15)-(MID(AK19,16,1)*POWER(2,0)+MID(AK19,15,1)*POWER(2,1)+MID(AK19,14,1)*POWER(2,2)+MID(AK19,13,1)*POWER(2,3)+MID(AK19,12,1)*POWER(2,4)+MID(AK19,11,1)*POWER(2,5)+MID(AK19,10,1)*POWER(2,6)+MID(AK19,9,1)*POWER(2,7)+MID(AK19,8,1)*POWER(2,8)+MID(AK19,7,1)*POWER(2,9)+MID(AK19,6,1)*POWER(2,10)+MID(AK19,5,1)*POWER(2,11)+MID(AK19,4,1)*POWER(2,12)+MID(AK19,3,1)*POWER(2,13)+MID(AK19,2,1)*POWER(2,14)+MID(AK19,1,1)*POWER(2,15))</f>
        <v>13979</v>
      </c>
      <c r="AN18" s="77">
        <f>MID(AL18,16,1)*POWER(2,0)+MID(AL18,15,1)*POWER(2,1)+MID(AL18,14,1)*POWER(2,2)+MID(AL18,13,1)*POWER(2,3)+MID(AL18,12,1)*POWER(2,4)+MID(AL18,11,1)*POWER(2,5)+MID(AL18,10,1)*POWER(2,6)+MID(AL18,9,1)*POWER(2,7)+MID(AL18,8,1)*POWER(2,8)+MID(AL18,7,1)*POWER(2,9)+MID(AL18,6,1)*POWER(2,10)+MID(AL18,5,1)*POWER(2,11)+MID(AL18,4,1)*POWER(2,12)+MID(AL18,3,1)*POWER(2,13)+MID(AL18,2,1)*POWER(2,14)+MID(AL18,1,1)*POWER(2,15)-(MID(AL19,16,1)*POWER(2,0)+MID(AL19,15,1)*POWER(2,1)+MID(AL19,14,1)*POWER(2,2)+MID(AL19,13,1)*POWER(2,3)+MID(AL19,12,1)*POWER(2,4)+MID(AL19,11,1)*POWER(2,5)+MID(AL19,10,1)*POWER(2,6)+MID(AL19,9,1)*POWER(2,7)+MID(AL19,8,1)*POWER(2,8)+MID(AL19,7,1)*POWER(2,9)+MID(AL19,6,1)*POWER(2,10)+MID(AL19,5,1)*POWER(2,11)+MID(AL19,4,1)*POWER(2,12)+MID(AL19,3,1)*POWER(2,13)+MID(AL19,2,1)*POWER(2,14)+MID(AL19,1,1)*POWER(2,15))</f>
        <v>-36909</v>
      </c>
      <c r="AO18" s="45" t="str">
        <f>L18</f>
        <v>10100011011111000101101010010100</v>
      </c>
      <c r="AP18" s="26" t="str">
        <f t="shared" si="50"/>
        <v>10100011</v>
      </c>
      <c r="AQ18" s="26" t="str">
        <f t="shared" si="51"/>
        <v>01111100</v>
      </c>
      <c r="AR18" s="26" t="str">
        <f t="shared" si="52"/>
        <v>01011010</v>
      </c>
      <c r="AS18" s="26" t="str">
        <f t="shared" si="53"/>
        <v>10010100</v>
      </c>
      <c r="AT18" s="77">
        <f>BIN2DEC(AP18)-BIN2DEC(AP19)</f>
        <v>63</v>
      </c>
      <c r="AU18" s="77">
        <f>BIN2DEC(AQ18)-BIN2DEC(AQ19)</f>
        <v>28</v>
      </c>
      <c r="AV18" s="77">
        <f>BIN2DEC(AR18)-BIN2DEC(AR19)</f>
        <v>-6</v>
      </c>
      <c r="AW18" s="77">
        <f>BIN2DEC(AS18)-BIN2DEC(AS19)</f>
        <v>84</v>
      </c>
      <c r="AX18" s="27" t="str">
        <f t="shared" si="54"/>
        <v>1010</v>
      </c>
      <c r="AY18" s="27" t="str">
        <f t="shared" si="55"/>
        <v>0011</v>
      </c>
      <c r="AZ18" s="27" t="str">
        <f t="shared" si="56"/>
        <v>0111</v>
      </c>
      <c r="BA18" s="27" t="str">
        <f t="shared" si="57"/>
        <v>1100</v>
      </c>
      <c r="BB18" s="27" t="str">
        <f t="shared" si="58"/>
        <v>0101</v>
      </c>
      <c r="BC18" s="27" t="str">
        <f t="shared" si="59"/>
        <v>1010</v>
      </c>
      <c r="BD18" s="27" t="str">
        <f t="shared" si="60"/>
        <v>1001</v>
      </c>
      <c r="BE18" s="27" t="str">
        <f t="shared" si="61"/>
        <v>0100</v>
      </c>
      <c r="BF18" s="77">
        <f>BIN2DEC(AX18)-BIN2DEC(AX19)</f>
        <v>4</v>
      </c>
      <c r="BG18" s="77">
        <f t="shared" ref="BG18:BL18" si="267">BIN2DEC(AY18)-BIN2DEC(AY19)</f>
        <v>-9</v>
      </c>
      <c r="BH18" s="77">
        <f t="shared" si="267"/>
        <v>-7</v>
      </c>
      <c r="BI18" s="77">
        <f t="shared" si="267"/>
        <v>11</v>
      </c>
      <c r="BJ18" s="77">
        <f t="shared" si="267"/>
        <v>-9</v>
      </c>
      <c r="BK18" s="77">
        <f t="shared" si="267"/>
        <v>0</v>
      </c>
      <c r="BL18" s="77">
        <f t="shared" si="267"/>
        <v>-3</v>
      </c>
      <c r="BM18" s="77">
        <f>BIN2DEC(BE18)-BIN2DEC(BE19)</f>
        <v>3</v>
      </c>
      <c r="BN18" s="26" t="str">
        <f t="shared" si="6"/>
        <v>1010001101111100</v>
      </c>
      <c r="BO18" s="26" t="str">
        <f t="shared" si="7"/>
        <v>0101101010010100</v>
      </c>
      <c r="BP18" s="77">
        <f>MID(BN18,16,1)*POWER(2,0)+MID(BN18,15,1)*POWER(2,1)+MID(BN18,14,1)*POWER(2,2)+MID(BN18,13,1)*POWER(2,3)+MID(BN18,12,1)*POWER(2,4)+MID(BN18,11,1)*POWER(2,5)+MID(BN18,10,1)*POWER(2,6)+MID(BN18,9,1)*POWER(2,7)+MID(BN18,8,1)*POWER(2,8)+MID(BN18,7,1)*POWER(2,9)+MID(BN18,6,1)*POWER(2,10)+MID(BN18,5,1)*POWER(2,11)+MID(BN18,4,1)*POWER(2,12)+MID(BN18,3,1)*POWER(2,13)+MID(BN18,2,1)*POWER(2,14)+MID(BN18,1,1)*POWER(2,15)-(MID(BN19,16,1)*POWER(2,0)+MID(BN19,15,1)*POWER(2,1)+MID(BN19,14,1)*POWER(2,2)+MID(BN19,13,1)*POWER(2,3)+MID(BN19,12,1)*POWER(2,4)+MID(BN19,11,1)*POWER(2,5)+MID(BN19,10,1)*POWER(2,6)+MID(BN19,9,1)*POWER(2,7)+MID(BN19,8,1)*POWER(2,8)+MID(BN19,7,1)*POWER(2,9)+MID(BN19,6,1)*POWER(2,10)+MID(BN19,5,1)*POWER(2,11)+MID(BN19,4,1)*POWER(2,12)+MID(BN19,3,1)*POWER(2,13)+MID(BN19,2,1)*POWER(2,14)+MID(BN19,1,1)*POWER(2,15))</f>
        <v>16156</v>
      </c>
      <c r="BQ18" s="77">
        <f>MID(BO18,16,1)*POWER(2,0)+MID(BO18,15,1)*POWER(2,1)+MID(BO18,14,1)*POWER(2,2)+MID(BO18,13,1)*POWER(2,3)+MID(BO18,12,1)*POWER(2,4)+MID(BO18,11,1)*POWER(2,5)+MID(BO18,10,1)*POWER(2,6)+MID(BO18,9,1)*POWER(2,7)+MID(BO18,8,1)*POWER(2,8)+MID(BO18,7,1)*POWER(2,9)+MID(BO18,6,1)*POWER(2,10)+MID(BO18,5,1)*POWER(2,11)+MID(BO18,4,1)*POWER(2,12)+MID(BO18,3,1)*POWER(2,13)+MID(BO18,2,1)*POWER(2,14)+MID(BO18,1,1)*POWER(2,15)-(MID(BO19,16,1)*POWER(2,0)+MID(BO19,15,1)*POWER(2,1)+MID(BO19,14,1)*POWER(2,2)+MID(BO19,13,1)*POWER(2,3)+MID(BO19,12,1)*POWER(2,4)+MID(BO19,11,1)*POWER(2,5)+MID(BO19,10,1)*POWER(2,6)+MID(BO19,9,1)*POWER(2,7)+MID(BO19,8,1)*POWER(2,8)+MID(BO19,7,1)*POWER(2,9)+MID(BO19,6,1)*POWER(2,10)+MID(BO19,5,1)*POWER(2,11)+MID(BO19,4,1)*POWER(2,12)+MID(BO19,3,1)*POWER(2,13)+MID(BO19,2,1)*POWER(2,14)+MID(BO19,1,1)*POWER(2,15))</f>
        <v>-1452</v>
      </c>
      <c r="BR18" s="45" t="str">
        <f>CONCATENATE(MID($L18,1,1)*MID($K18,1,1),MID($L18,2,1)*MID($K18,2,1),MID($L18,3,1)*MID($K18,3,1),MID($L18,4,1)*MID($K18,4,1),MID($L18,5,1)*MID($K18,5,1),MID($L18,6,1)*MID($K18,6,1),MID($L18,7,1)*MID($K18,7,1),MID($L18,8,1)*MID($K18,8,1),MID($L18,9,1)*MID($K18,1,1),MID($L18,10,1)*MID($K18,2,1),MID($L18,11,1)*MID($K18,3,1),MID($L18,12,1)*MID($K18,4,1),MID($L18,13,1)*MID($K18,5,1),MID($L18,14,1)*MID($K18,6,1),MID($L18,15,1)*MID($K18,7,1),MID($L18,16,1)*MID($K18,8,1),MID($L18,17,1)*MID($K18,1,1),MID($L18,18,1)*MID($K18,2,1),MID($L18,19,1)*MID($K18,3,1),MID($L18,20,1)*MID($K18,4,1),MID($L18,21,1)*MID($K18,5,1),MID($L18,22,1)*MID($K18,6,1),MID($L18,23,1)*MID($K18,7,1),MID($L18,24,1)*MID($K18,8,1),MID($L18,25,1)*MID($K18,1,1),MID($L18,26,1)*MID($K18,2,1),MID($L18,27,1)*MID($K18,3,1),MID($L18,28,1)*MID($K18,4,1),MID($L18,29,1)*MID($K18,5,1),MID($L18,30,1)*MID($K18,6,1),MID($L18,31,1)*MID($K18,7,1),MID($L18,32,1)*MID($K18,8,1))</f>
        <v>00100000011001000100000000000100</v>
      </c>
      <c r="BS18" s="26" t="str">
        <f t="shared" si="62"/>
        <v>00100000</v>
      </c>
      <c r="BT18" s="26" t="str">
        <f t="shared" si="63"/>
        <v>01100100</v>
      </c>
      <c r="BU18" s="26" t="str">
        <f t="shared" si="64"/>
        <v>01000000</v>
      </c>
      <c r="BV18" s="26" t="str">
        <f t="shared" si="65"/>
        <v>00000100</v>
      </c>
      <c r="BW18" s="77">
        <f>BIN2DEC(BS18)-BIN2DEC(BS19)</f>
        <v>-76</v>
      </c>
      <c r="BX18" s="77">
        <f>BIN2DEC(BT18)-BIN2DEC(BT19)</f>
        <v>-125</v>
      </c>
      <c r="BY18" s="77">
        <f>BIN2DEC(BU18)-BIN2DEC(BU19)</f>
        <v>-170</v>
      </c>
      <c r="BZ18" s="77">
        <f>BIN2DEC(BV18)-BIN2DEC(BV19)</f>
        <v>-189</v>
      </c>
      <c r="CA18" s="27" t="str">
        <f t="shared" si="66"/>
        <v>1010</v>
      </c>
      <c r="CB18" s="27" t="str">
        <f t="shared" si="67"/>
        <v>0011</v>
      </c>
      <c r="CC18" s="27" t="str">
        <f t="shared" si="68"/>
        <v>0111</v>
      </c>
      <c r="CD18" s="27" t="str">
        <f t="shared" si="69"/>
        <v>1100</v>
      </c>
      <c r="CE18" s="27" t="str">
        <f t="shared" si="70"/>
        <v>0101</v>
      </c>
      <c r="CF18" s="27" t="str">
        <f t="shared" si="71"/>
        <v>1010</v>
      </c>
      <c r="CG18" s="27" t="str">
        <f t="shared" si="72"/>
        <v>1001</v>
      </c>
      <c r="CH18" s="27" t="str">
        <f t="shared" si="73"/>
        <v>0100</v>
      </c>
      <c r="CI18" s="77">
        <f>BIN2DEC(CA18)-BIN2DEC(CA19)</f>
        <v>4</v>
      </c>
      <c r="CJ18" s="77">
        <f t="shared" ref="CJ18:CO18" si="268">BIN2DEC(CB18)-BIN2DEC(CB19)</f>
        <v>-9</v>
      </c>
      <c r="CK18" s="77">
        <f t="shared" si="268"/>
        <v>-7</v>
      </c>
      <c r="CL18" s="77">
        <f t="shared" si="268"/>
        <v>11</v>
      </c>
      <c r="CM18" s="77">
        <f t="shared" si="268"/>
        <v>-9</v>
      </c>
      <c r="CN18" s="77">
        <f t="shared" si="268"/>
        <v>0</v>
      </c>
      <c r="CO18" s="77">
        <f t="shared" si="268"/>
        <v>-3</v>
      </c>
      <c r="CP18" s="77">
        <f>BIN2DEC(CH18)-BIN2DEC(CH19)</f>
        <v>3</v>
      </c>
      <c r="CQ18" s="26" t="str">
        <f t="shared" si="9"/>
        <v>0010000001100100</v>
      </c>
      <c r="CR18" s="26" t="str">
        <f t="shared" si="10"/>
        <v>0100000000000100</v>
      </c>
      <c r="CS18" s="77">
        <f>MID(CQ18,16,1)*POWER(2,0)+MID(CQ18,15,1)*POWER(2,1)+MID(CQ18,14,1)*POWER(2,2)+MID(CQ18,13,1)*POWER(2,3)+MID(CQ18,12,1)*POWER(2,4)+MID(CQ18,11,1)*POWER(2,5)+MID(CQ18,10,1)*POWER(2,6)+MID(CQ18,9,1)*POWER(2,7)+MID(CQ18,8,1)*POWER(2,8)+MID(CQ18,7,1)*POWER(2,9)+MID(CQ18,6,1)*POWER(2,10)+MID(CQ18,5,1)*POWER(2,11)+MID(CQ18,4,1)*POWER(2,12)+MID(CQ18,3,1)*POWER(2,13)+MID(CQ18,2,1)*POWER(2,14)+MID(CQ18,1,1)*POWER(2,15)-(MID(CQ19,16,1)*POWER(2,0)+MID(CQ19,15,1)*POWER(2,1)+MID(CQ19,14,1)*POWER(2,2)+MID(CQ19,13,1)*POWER(2,3)+MID(CQ19,12,1)*POWER(2,4)+MID(CQ19,11,1)*POWER(2,5)+MID(CQ19,10,1)*POWER(2,6)+MID(CQ19,9,1)*POWER(2,7)+MID(CQ19,8,1)*POWER(2,8)+MID(CQ19,7,1)*POWER(2,9)+MID(CQ19,6,1)*POWER(2,10)+MID(CQ19,5,1)*POWER(2,11)+MID(CQ19,4,1)*POWER(2,12)+MID(CQ19,3,1)*POWER(2,13)+MID(CQ19,2,1)*POWER(2,14)+MID(CQ19,1,1)*POWER(2,15))</f>
        <v>-19581</v>
      </c>
      <c r="CT18" s="77">
        <f>MID(CR18,16,1)*POWER(2,0)+MID(CR18,15,1)*POWER(2,1)+MID(CR18,14,1)*POWER(2,2)+MID(CR18,13,1)*POWER(2,3)+MID(CR18,12,1)*POWER(2,4)+MID(CR18,11,1)*POWER(2,5)+MID(CR18,10,1)*POWER(2,6)+MID(CR18,9,1)*POWER(2,7)+MID(CR18,8,1)*POWER(2,8)+MID(CR18,7,1)*POWER(2,9)+MID(CR18,6,1)*POWER(2,10)+MID(CR18,5,1)*POWER(2,11)+MID(CR18,4,1)*POWER(2,12)+MID(CR18,3,1)*POWER(2,13)+MID(CR18,2,1)*POWER(2,14)+MID(CR18,1,1)*POWER(2,15)-(MID(CR19,16,1)*POWER(2,0)+MID(CR19,15,1)*POWER(2,1)+MID(CR19,14,1)*POWER(2,2)+MID(CR19,13,1)*POWER(2,3)+MID(CR19,12,1)*POWER(2,4)+MID(CR19,11,1)*POWER(2,5)+MID(CR19,10,1)*POWER(2,6)+MID(CR19,9,1)*POWER(2,7)+MID(CR19,8,1)*POWER(2,8)+MID(CR19,7,1)*POWER(2,9)+MID(CR19,6,1)*POWER(2,10)+MID(CR19,5,1)*POWER(2,11)+MID(CR19,4,1)*POWER(2,12)+MID(CR19,3,1)*POWER(2,13)+MID(CR19,2,1)*POWER(2,14)+MID(CR19,1,1)*POWER(2,15))</f>
        <v>-43709</v>
      </c>
      <c r="CU18" s="45" t="str">
        <f>BR18</f>
        <v>00100000011001000100000000000100</v>
      </c>
      <c r="CV18" s="26" t="str">
        <f t="shared" si="74"/>
        <v>00100000</v>
      </c>
      <c r="CW18" s="26" t="str">
        <f t="shared" si="75"/>
        <v>01100100</v>
      </c>
      <c r="CX18" s="26" t="str">
        <f t="shared" si="76"/>
        <v>01000000</v>
      </c>
      <c r="CY18" s="26" t="str">
        <f t="shared" si="77"/>
        <v>00000100</v>
      </c>
      <c r="CZ18" s="77">
        <f>BIN2DEC(CV18)-BIN2DEC(CV19)</f>
        <v>-68</v>
      </c>
      <c r="DA18" s="77">
        <f>BIN2DEC(CW18)-BIN2DEC(CW19)</f>
        <v>4</v>
      </c>
      <c r="DB18" s="77">
        <f>BIN2DEC(CX18)-BIN2DEC(CX19)</f>
        <v>-32</v>
      </c>
      <c r="DC18" s="77">
        <f>BIN2DEC(CY18)-BIN2DEC(CY19)</f>
        <v>-60</v>
      </c>
      <c r="DD18" s="27" t="str">
        <f t="shared" si="78"/>
        <v>1010</v>
      </c>
      <c r="DE18" s="27" t="str">
        <f t="shared" si="79"/>
        <v>0011</v>
      </c>
      <c r="DF18" s="27" t="str">
        <f t="shared" si="80"/>
        <v>0111</v>
      </c>
      <c r="DG18" s="27" t="str">
        <f t="shared" si="81"/>
        <v>1100</v>
      </c>
      <c r="DH18" s="27" t="str">
        <f t="shared" si="82"/>
        <v>0101</v>
      </c>
      <c r="DI18" s="27" t="str">
        <f t="shared" si="83"/>
        <v>1010</v>
      </c>
      <c r="DJ18" s="27" t="str">
        <f t="shared" si="84"/>
        <v>1001</v>
      </c>
      <c r="DK18" s="27" t="str">
        <f t="shared" si="85"/>
        <v>0100</v>
      </c>
      <c r="DL18" s="77">
        <f>BIN2DEC(DD18)-BIN2DEC(DD19)</f>
        <v>4</v>
      </c>
      <c r="DM18" s="77">
        <f t="shared" ref="DM18:DR18" si="269">BIN2DEC(DE18)-BIN2DEC(DE19)</f>
        <v>-9</v>
      </c>
      <c r="DN18" s="77">
        <f t="shared" si="269"/>
        <v>-7</v>
      </c>
      <c r="DO18" s="77">
        <f t="shared" si="269"/>
        <v>11</v>
      </c>
      <c r="DP18" s="77">
        <f t="shared" si="269"/>
        <v>-9</v>
      </c>
      <c r="DQ18" s="77">
        <f t="shared" si="269"/>
        <v>0</v>
      </c>
      <c r="DR18" s="77">
        <f t="shared" si="269"/>
        <v>-3</v>
      </c>
      <c r="DS18" s="77">
        <f>BIN2DEC(DK18)-BIN2DEC(DK19)</f>
        <v>3</v>
      </c>
      <c r="DT18" s="26" t="str">
        <f t="shared" si="12"/>
        <v>0010000001100100</v>
      </c>
      <c r="DU18" s="26" t="str">
        <f t="shared" si="13"/>
        <v>0100000000000100</v>
      </c>
      <c r="DV18" s="77">
        <f>MID(DT18,16,1)*POWER(2,0)+MID(DT18,15,1)*POWER(2,1)+MID(DT18,14,1)*POWER(2,2)+MID(DT18,13,1)*POWER(2,3)+MID(DT18,12,1)*POWER(2,4)+MID(DT18,11,1)*POWER(2,5)+MID(DT18,10,1)*POWER(2,6)+MID(DT18,9,1)*POWER(2,7)+MID(DT18,8,1)*POWER(2,8)+MID(DT18,7,1)*POWER(2,9)+MID(DT18,6,1)*POWER(2,10)+MID(DT18,5,1)*POWER(2,11)+MID(DT18,4,1)*POWER(2,12)+MID(DT18,3,1)*POWER(2,13)+MID(DT18,2,1)*POWER(2,14)+MID(DT18,1,1)*POWER(2,15)-(MID(DT19,16,1)*POWER(2,0)+MID(DT19,15,1)*POWER(2,1)+MID(DT19,14,1)*POWER(2,2)+MID(DT19,13,1)*POWER(2,3)+MID(DT19,12,1)*POWER(2,4)+MID(DT19,11,1)*POWER(2,5)+MID(DT19,10,1)*POWER(2,6)+MID(DT19,9,1)*POWER(2,7)+MID(DT19,8,1)*POWER(2,8)+MID(DT19,7,1)*POWER(2,9)+MID(DT19,6,1)*POWER(2,10)+MID(DT19,5,1)*POWER(2,11)+MID(DT19,4,1)*POWER(2,12)+MID(DT19,3,1)*POWER(2,13)+MID(DT19,2,1)*POWER(2,14)+MID(DT19,1,1)*POWER(2,15))</f>
        <v>-17404</v>
      </c>
      <c r="DW18" s="77">
        <f>MID(DU18,16,1)*POWER(2,0)+MID(DU18,15,1)*POWER(2,1)+MID(DU18,14,1)*POWER(2,2)+MID(DU18,13,1)*POWER(2,3)+MID(DU18,12,1)*POWER(2,4)+MID(DU18,11,1)*POWER(2,5)+MID(DU18,10,1)*POWER(2,6)+MID(DU18,9,1)*POWER(2,7)+MID(DU18,8,1)*POWER(2,8)+MID(DU18,7,1)*POWER(2,9)+MID(DU18,6,1)*POWER(2,10)+MID(DU18,5,1)*POWER(2,11)+MID(DU18,4,1)*POWER(2,12)+MID(DU18,3,1)*POWER(2,13)+MID(DU18,2,1)*POWER(2,14)+MID(DU18,1,1)*POWER(2,15)-(MID(DU19,16,1)*POWER(2,0)+MID(DU19,15,1)*POWER(2,1)+MID(DU19,14,1)*POWER(2,2)+MID(DU19,13,1)*POWER(2,3)+MID(DU19,12,1)*POWER(2,4)+MID(DU19,11,1)*POWER(2,5)+MID(DU19,10,1)*POWER(2,6)+MID(DU19,9,1)*POWER(2,7)+MID(DU19,8,1)*POWER(2,8)+MID(DU19,7,1)*POWER(2,9)+MID(DU19,6,1)*POWER(2,10)+MID(DU19,5,1)*POWER(2,11)+MID(DU19,4,1)*POWER(2,12)+MID(DU19,3,1)*POWER(2,13)+MID(DU19,2,1)*POWER(2,14)+MID(DU19,1,1)*POWER(2,15))</f>
        <v>-8252</v>
      </c>
      <c r="DX18" s="22" t="str">
        <f>CONCATENATE(MID($H18,1,1)*MID($K18,1,1),MID($H18,2,1)*MID($K18,2,1),MID($H18,3,1)*MID($K18,3,1),MID($H18,4,1)*MID($K18,4,1),MID($H18,5,1)*MID($K18,5,1),MID($H18,6,1)*MID($K18,6,1),MID($H18,7,1)*MID($K18,7,1),MID($H18,8,1)*MID($K18,8,1),MID($H18,9,1)*MID($K18,1,1),MID($H18,10,1)*MID($K18,2,1),MID($H18,11,1)*MID($K18,3,1),MID($H18,12,1)*MID($K18,4,1),MID($H18,13,1)*MID($K18,5,1),MID($H18,14,1)*MID($K18,6,1),MID($H18,15,1)*MID($K18,7,1),MID($H18,16,1)*MID($K18,8,1),MID($H18,17,1)*MID($K18,1,1),MID($H18,18,1)*MID($K18,2,1),MID($H18,19,1)*MID($K18,3,1),MID($H18,20,1)*MID($K18,4,1),MID($H18,21,1)*MID($K18,5,1),MID($H18,22,1)*MID($K18,6,1),MID($H18,23,1)*MID($K18,7,1),MID($H18,24,1)*MID($K18,8,1),MID($H18,25,1)*MID($K18,1,1),MID($H18,26,1)*MID($K18,2,1),MID($H18,27,1)*MID($K18,3,1),MID($H18,28,1)*MID($K18,4,1),MID($H18,29,1)*MID($K18,5,1),MID($H18,30,1)*MID($K18,6,1),MID($H18,31,1)*MID($K18,7,1),MID($H18,32,1)*MID($K18,8,1))</f>
        <v>01000000000001000010000001100100</v>
      </c>
      <c r="DY18" s="43" t="str">
        <f>L18</f>
        <v>10100011011111000101101010010100</v>
      </c>
      <c r="DZ18" s="26" t="str">
        <f t="shared" si="178"/>
        <v>10100011</v>
      </c>
      <c r="EA18" s="26" t="str">
        <f t="shared" si="86"/>
        <v>01111100</v>
      </c>
      <c r="EB18" s="26" t="str">
        <f t="shared" si="87"/>
        <v>01011010</v>
      </c>
      <c r="EC18" s="26" t="str">
        <f t="shared" si="88"/>
        <v>10010100</v>
      </c>
      <c r="ED18" s="77">
        <f>BIN2DEC(DZ18)-BIN2DEC(DZ19)</f>
        <v>131</v>
      </c>
      <c r="EE18" s="77">
        <f>BIN2DEC(EA18)-BIN2DEC(EA19)</f>
        <v>91</v>
      </c>
      <c r="EF18" s="77">
        <f>BIN2DEC(EB18)-BIN2DEC(EB19)</f>
        <v>56</v>
      </c>
      <c r="EG18" s="77">
        <f>BIN2DEC(EC18)-BIN2DEC(EC19)</f>
        <v>147</v>
      </c>
      <c r="EH18" s="27" t="str">
        <f t="shared" si="89"/>
        <v>1010</v>
      </c>
      <c r="EI18" s="27" t="str">
        <f t="shared" si="90"/>
        <v>0011</v>
      </c>
      <c r="EJ18" s="27" t="str">
        <f t="shared" si="91"/>
        <v>0111</v>
      </c>
      <c r="EK18" s="27" t="str">
        <f t="shared" si="92"/>
        <v>1100</v>
      </c>
      <c r="EL18" s="27" t="str">
        <f t="shared" si="93"/>
        <v>0101</v>
      </c>
      <c r="EM18" s="27" t="str">
        <f t="shared" si="94"/>
        <v>1010</v>
      </c>
      <c r="EN18" s="27" t="str">
        <f t="shared" si="95"/>
        <v>1001</v>
      </c>
      <c r="EO18" s="27" t="str">
        <f t="shared" si="96"/>
        <v>0100</v>
      </c>
      <c r="EP18" s="77">
        <f>BIN2DEC(EH18)-BIN2DEC(EH19)</f>
        <v>4</v>
      </c>
      <c r="EQ18" s="77">
        <f t="shared" ref="EQ18:EV18" si="270">BIN2DEC(EI18)-BIN2DEC(EI19)</f>
        <v>-9</v>
      </c>
      <c r="ER18" s="77">
        <f t="shared" si="270"/>
        <v>-7</v>
      </c>
      <c r="ES18" s="77">
        <f t="shared" si="270"/>
        <v>11</v>
      </c>
      <c r="ET18" s="77">
        <f t="shared" si="270"/>
        <v>-9</v>
      </c>
      <c r="EU18" s="77">
        <f t="shared" si="270"/>
        <v>0</v>
      </c>
      <c r="EV18" s="77">
        <f t="shared" si="270"/>
        <v>-3</v>
      </c>
      <c r="EW18" s="77">
        <f>BIN2DEC(EO18)-BIN2DEC(EO19)</f>
        <v>3</v>
      </c>
      <c r="EX18" s="26" t="str">
        <f t="shared" si="15"/>
        <v>1010001101111100</v>
      </c>
      <c r="EY18" s="26" t="str">
        <f t="shared" si="16"/>
        <v>0101101010010100</v>
      </c>
      <c r="EZ18" s="77">
        <f>MID(EX18,16,1)*POWER(2,0)+MID(EX18,15,1)*POWER(2,1)+MID(EX18,14,1)*POWER(2,2)+MID(EX18,13,1)*POWER(2,3)+MID(EX18,12,1)*POWER(2,4)+MID(EX18,11,1)*POWER(2,5)+MID(EX18,10,1)*POWER(2,6)+MID(EX18,9,1)*POWER(2,7)+MID(EX18,8,1)*POWER(2,8)+MID(EX18,7,1)*POWER(2,9)+MID(EX18,6,1)*POWER(2,10)+MID(EX18,5,1)*POWER(2,11)+MID(EX18,4,1)*POWER(2,12)+MID(EX18,3,1)*POWER(2,13)+MID(EX18,2,1)*POWER(2,14)+MID(EX18,1,1)*POWER(2,15)-(MID(EX19,16,1)*POWER(2,0)+MID(EX19,15,1)*POWER(2,1)+MID(EX19,14,1)*POWER(2,2)+MID(EX19,13,1)*POWER(2,3)+MID(EX19,12,1)*POWER(2,4)+MID(EX19,11,1)*POWER(2,5)+MID(EX19,10,1)*POWER(2,6)+MID(EX19,9,1)*POWER(2,7)+MID(EX19,8,1)*POWER(2,8)+MID(EX19,7,1)*POWER(2,9)+MID(EX19,6,1)*POWER(2,10)+MID(EX19,5,1)*POWER(2,11)+MID(EX19,4,1)*POWER(2,12)+MID(EX19,3,1)*POWER(2,13)+MID(EX19,2,1)*POWER(2,14)+MID(EX19,1,1)*POWER(2,15))</f>
        <v>33627</v>
      </c>
      <c r="FA18" s="77">
        <f>MID(EY18,16,1)*POWER(2,0)+MID(EY18,15,1)*POWER(2,1)+MID(EY18,14,1)*POWER(2,2)+MID(EY18,13,1)*POWER(2,3)+MID(EY18,12,1)*POWER(2,4)+MID(EY18,11,1)*POWER(2,5)+MID(EY18,10,1)*POWER(2,6)+MID(EY18,9,1)*POWER(2,7)+MID(EY18,8,1)*POWER(2,8)+MID(EY18,7,1)*POWER(2,9)+MID(EY18,6,1)*POWER(2,10)+MID(EY18,5,1)*POWER(2,11)+MID(EY18,4,1)*POWER(2,12)+MID(EY18,3,1)*POWER(2,13)+MID(EY18,2,1)*POWER(2,14)+MID(EY18,1,1)*POWER(2,15)-(MID(EY19,16,1)*POWER(2,0)+MID(EY19,15,1)*POWER(2,1)+MID(EY19,14,1)*POWER(2,2)+MID(EY19,13,1)*POWER(2,3)+MID(EY19,12,1)*POWER(2,4)+MID(EY19,11,1)*POWER(2,5)+MID(EY19,10,1)*POWER(2,6)+MID(EY19,9,1)*POWER(2,7)+MID(EY19,8,1)*POWER(2,8)+MID(EY19,7,1)*POWER(2,9)+MID(EY19,6,1)*POWER(2,10)+MID(EY19,5,1)*POWER(2,11)+MID(EY19,4,1)*POWER(2,12)+MID(EY19,3,1)*POWER(2,13)+MID(EY19,2,1)*POWER(2,14)+MID(EY19,1,1)*POWER(2,15))</f>
        <v>14483</v>
      </c>
      <c r="FB18" s="45" t="str">
        <f>L18</f>
        <v>10100011011111000101101010010100</v>
      </c>
      <c r="FC18" s="26" t="str">
        <f t="shared" si="180"/>
        <v>10100011</v>
      </c>
      <c r="FD18" s="26" t="str">
        <f t="shared" si="97"/>
        <v>01111100</v>
      </c>
      <c r="FE18" s="26" t="str">
        <f t="shared" si="98"/>
        <v>01011010</v>
      </c>
      <c r="FF18" s="26" t="str">
        <f t="shared" si="99"/>
        <v>10010100</v>
      </c>
      <c r="FG18" s="77">
        <f>BIN2DEC(FC18)-BIN2DEC(FC19)</f>
        <v>131</v>
      </c>
      <c r="FH18" s="77">
        <f>BIN2DEC(FD18)-BIN2DEC(FD19)</f>
        <v>92</v>
      </c>
      <c r="FI18" s="77">
        <f>BIN2DEC(FE18)-BIN2DEC(FE19)</f>
        <v>58</v>
      </c>
      <c r="FJ18" s="77">
        <f>BIN2DEC(FF18)-BIN2DEC(FF19)</f>
        <v>148</v>
      </c>
      <c r="FK18" s="27" t="str">
        <f t="shared" si="100"/>
        <v>1010</v>
      </c>
      <c r="FL18" s="27" t="str">
        <f t="shared" si="101"/>
        <v>0011</v>
      </c>
      <c r="FM18" s="27" t="str">
        <f t="shared" si="102"/>
        <v>0111</v>
      </c>
      <c r="FN18" s="27" t="str">
        <f t="shared" si="103"/>
        <v>1100</v>
      </c>
      <c r="FO18" s="27" t="str">
        <f t="shared" si="104"/>
        <v>0101</v>
      </c>
      <c r="FP18" s="27" t="str">
        <f t="shared" si="105"/>
        <v>1010</v>
      </c>
      <c r="FQ18" s="27" t="str">
        <f t="shared" si="106"/>
        <v>1001</v>
      </c>
      <c r="FR18" s="27" t="str">
        <f t="shared" si="107"/>
        <v>0100</v>
      </c>
      <c r="FS18" s="77">
        <f>BIN2DEC(FK18)-BIN2DEC(FK19)</f>
        <v>4</v>
      </c>
      <c r="FT18" s="77">
        <f t="shared" ref="FT18:FY18" si="271">BIN2DEC(FL18)-BIN2DEC(FL19)</f>
        <v>-9</v>
      </c>
      <c r="FU18" s="77">
        <f t="shared" si="271"/>
        <v>-7</v>
      </c>
      <c r="FV18" s="77">
        <f t="shared" si="271"/>
        <v>11</v>
      </c>
      <c r="FW18" s="77">
        <f t="shared" si="271"/>
        <v>-9</v>
      </c>
      <c r="FX18" s="77">
        <f t="shared" si="271"/>
        <v>0</v>
      </c>
      <c r="FY18" s="77">
        <f t="shared" si="271"/>
        <v>-3</v>
      </c>
      <c r="FZ18" s="77">
        <f>BIN2DEC(FR18)-BIN2DEC(FR19)</f>
        <v>3</v>
      </c>
      <c r="GA18" s="26" t="str">
        <f t="shared" si="18"/>
        <v>1010001101111100</v>
      </c>
      <c r="GB18" s="26" t="str">
        <f t="shared" si="19"/>
        <v>0101101010010100</v>
      </c>
      <c r="GC18" s="77">
        <f>MID(GA18,16,1)*POWER(2,0)+MID(GA18,15,1)*POWER(2,1)+MID(GA18,14,1)*POWER(2,2)+MID(GA18,13,1)*POWER(2,3)+MID(GA18,12,1)*POWER(2,4)+MID(GA18,11,1)*POWER(2,5)+MID(GA18,10,1)*POWER(2,6)+MID(GA18,9,1)*POWER(2,7)+MID(GA18,8,1)*POWER(2,8)+MID(GA18,7,1)*POWER(2,9)+MID(GA18,6,1)*POWER(2,10)+MID(GA18,5,1)*POWER(2,11)+MID(GA18,4,1)*POWER(2,12)+MID(GA18,3,1)*POWER(2,13)+MID(GA18,2,1)*POWER(2,14)+MID(GA18,1,1)*POWER(2,15)-(MID(GA19,16,1)*POWER(2,0)+MID(GA19,15,1)*POWER(2,1)+MID(GA19,14,1)*POWER(2,2)+MID(GA19,13,1)*POWER(2,3)+MID(GA19,12,1)*POWER(2,4)+MID(GA19,11,1)*POWER(2,5)+MID(GA19,10,1)*POWER(2,6)+MID(GA19,9,1)*POWER(2,7)+MID(GA19,8,1)*POWER(2,8)+MID(GA19,7,1)*POWER(2,9)+MID(GA19,6,1)*POWER(2,10)+MID(GA19,5,1)*POWER(2,11)+MID(GA19,4,1)*POWER(2,12)+MID(GA19,3,1)*POWER(2,13)+MID(GA19,2,1)*POWER(2,14)+MID(GA19,1,1)*POWER(2,15))</f>
        <v>33628</v>
      </c>
      <c r="GD18" s="77">
        <f>MID(GB18,16,1)*POWER(2,0)+MID(GB18,15,1)*POWER(2,1)+MID(GB18,14,1)*POWER(2,2)+MID(GB18,13,1)*POWER(2,3)+MID(GB18,12,1)*POWER(2,4)+MID(GB18,11,1)*POWER(2,5)+MID(GB18,10,1)*POWER(2,6)+MID(GB18,9,1)*POWER(2,7)+MID(GB18,8,1)*POWER(2,8)+MID(GB18,7,1)*POWER(2,9)+MID(GB18,6,1)*POWER(2,10)+MID(GB18,5,1)*POWER(2,11)+MID(GB18,4,1)*POWER(2,12)+MID(GB18,3,1)*POWER(2,13)+MID(GB18,2,1)*POWER(2,14)+MID(GB18,1,1)*POWER(2,15)-(MID(GB19,16,1)*POWER(2,0)+MID(GB19,15,1)*POWER(2,1)+MID(GB19,14,1)*POWER(2,2)+MID(GB19,13,1)*POWER(2,3)+MID(GB19,12,1)*POWER(2,4)+MID(GB19,11,1)*POWER(2,5)+MID(GB19,10,1)*POWER(2,6)+MID(GB19,9,1)*POWER(2,7)+MID(GB19,8,1)*POWER(2,8)+MID(GB19,7,1)*POWER(2,9)+MID(GB19,6,1)*POWER(2,10)+MID(GB19,5,1)*POWER(2,11)+MID(GB19,4,1)*POWER(2,12)+MID(GB19,3,1)*POWER(2,13)+MID(GB19,2,1)*POWER(2,14)+MID(GB19,1,1)*POWER(2,15))</f>
        <v>14996</v>
      </c>
      <c r="GE18" s="47" t="str">
        <f>CU18</f>
        <v>00100000011001000100000000000100</v>
      </c>
      <c r="GF18" s="26" t="str">
        <f t="shared" si="182"/>
        <v>00100000</v>
      </c>
      <c r="GG18" s="26" t="str">
        <f t="shared" si="108"/>
        <v>01100100</v>
      </c>
      <c r="GH18" s="26" t="str">
        <f t="shared" si="109"/>
        <v>01000000</v>
      </c>
      <c r="GI18" s="26" t="str">
        <f t="shared" si="110"/>
        <v>00000100</v>
      </c>
      <c r="GJ18" s="77">
        <f>BIN2DEC(GF18)-BIN2DEC(GF19)</f>
        <v>0</v>
      </c>
      <c r="GK18" s="77">
        <f>BIN2DEC(GG18)-BIN2DEC(GG19)</f>
        <v>67</v>
      </c>
      <c r="GL18" s="77">
        <f>BIN2DEC(GH18)-BIN2DEC(GH19)</f>
        <v>30</v>
      </c>
      <c r="GM18" s="77">
        <f>BIN2DEC(GI18)-BIN2DEC(GI19)</f>
        <v>3</v>
      </c>
      <c r="GN18" s="27" t="str">
        <f t="shared" si="111"/>
        <v>1010</v>
      </c>
      <c r="GO18" s="27" t="str">
        <f t="shared" si="112"/>
        <v>0011</v>
      </c>
      <c r="GP18" s="27" t="str">
        <f t="shared" si="113"/>
        <v>0111</v>
      </c>
      <c r="GQ18" s="27" t="str">
        <f t="shared" si="114"/>
        <v>1100</v>
      </c>
      <c r="GR18" s="27" t="str">
        <f t="shared" si="115"/>
        <v>0101</v>
      </c>
      <c r="GS18" s="27" t="str">
        <f t="shared" si="116"/>
        <v>1010</v>
      </c>
      <c r="GT18" s="27" t="str">
        <f t="shared" si="117"/>
        <v>1001</v>
      </c>
      <c r="GU18" s="27" t="str">
        <f t="shared" si="118"/>
        <v>0100</v>
      </c>
      <c r="GV18" s="77">
        <f>BIN2DEC(GN18)-BIN2DEC(GN19)</f>
        <v>4</v>
      </c>
      <c r="GW18" s="77">
        <f t="shared" ref="GW18:HB18" si="272">BIN2DEC(GO18)-BIN2DEC(GO19)</f>
        <v>-9</v>
      </c>
      <c r="GX18" s="77">
        <f t="shared" si="272"/>
        <v>-7</v>
      </c>
      <c r="GY18" s="77">
        <f t="shared" si="272"/>
        <v>11</v>
      </c>
      <c r="GZ18" s="77">
        <f t="shared" si="272"/>
        <v>-9</v>
      </c>
      <c r="HA18" s="77">
        <f t="shared" si="272"/>
        <v>0</v>
      </c>
      <c r="HB18" s="77">
        <f t="shared" si="272"/>
        <v>-3</v>
      </c>
      <c r="HC18" s="77">
        <f>BIN2DEC(GU18)-BIN2DEC(GU19)</f>
        <v>3</v>
      </c>
      <c r="HD18" s="26" t="str">
        <f t="shared" si="21"/>
        <v>0010000001100100</v>
      </c>
      <c r="HE18" s="26" t="str">
        <f t="shared" si="22"/>
        <v>0100000000000100</v>
      </c>
      <c r="HF18" s="77">
        <f>MID(HD18,16,1)*POWER(2,0)+MID(HD18,15,1)*POWER(2,1)+MID(HD18,14,1)*POWER(2,2)+MID(HD18,13,1)*POWER(2,3)+MID(HD18,12,1)*POWER(2,4)+MID(HD18,11,1)*POWER(2,5)+MID(HD18,10,1)*POWER(2,6)+MID(HD18,9,1)*POWER(2,7)+MID(HD18,8,1)*POWER(2,8)+MID(HD18,7,1)*POWER(2,9)+MID(HD18,6,1)*POWER(2,10)+MID(HD18,5,1)*POWER(2,11)+MID(HD18,4,1)*POWER(2,12)+MID(HD18,3,1)*POWER(2,13)+MID(HD18,2,1)*POWER(2,14)+MID(HD18,1,1)*POWER(2,15)-(MID(HD19,16,1)*POWER(2,0)+MID(HD19,15,1)*POWER(2,1)+MID(HD19,14,1)*POWER(2,2)+MID(HD19,13,1)*POWER(2,3)+MID(HD19,12,1)*POWER(2,4)+MID(HD19,11,1)*POWER(2,5)+MID(HD19,10,1)*POWER(2,6)+MID(HD19,9,1)*POWER(2,7)+MID(HD19,8,1)*POWER(2,8)+MID(HD19,7,1)*POWER(2,9)+MID(HD19,6,1)*POWER(2,10)+MID(HD19,5,1)*POWER(2,11)+MID(HD19,4,1)*POWER(2,12)+MID(HD19,3,1)*POWER(2,13)+MID(HD19,2,1)*POWER(2,14)+MID(HD19,1,1)*POWER(2,15))</f>
        <v>67</v>
      </c>
      <c r="HG18" s="77">
        <f>MID(HE18,16,1)*POWER(2,0)+MID(HE18,15,1)*POWER(2,1)+MID(HE18,14,1)*POWER(2,2)+MID(HE18,13,1)*POWER(2,3)+MID(HE18,12,1)*POWER(2,4)+MID(HE18,11,1)*POWER(2,5)+MID(HE18,10,1)*POWER(2,6)+MID(HE18,9,1)*POWER(2,7)+MID(HE18,8,1)*POWER(2,8)+MID(HE18,7,1)*POWER(2,9)+MID(HE18,6,1)*POWER(2,10)+MID(HE18,5,1)*POWER(2,11)+MID(HE18,4,1)*POWER(2,12)+MID(HE18,3,1)*POWER(2,13)+MID(HE18,2,1)*POWER(2,14)+MID(HE18,1,1)*POWER(2,15)-(MID(HE19,16,1)*POWER(2,0)+MID(HE19,15,1)*POWER(2,1)+MID(HE19,14,1)*POWER(2,2)+MID(HE19,13,1)*POWER(2,3)+MID(HE19,12,1)*POWER(2,4)+MID(HE19,11,1)*POWER(2,5)+MID(HE19,10,1)*POWER(2,6)+MID(HE19,9,1)*POWER(2,7)+MID(HE19,8,1)*POWER(2,8)+MID(HE19,7,1)*POWER(2,9)+MID(HE19,6,1)*POWER(2,10)+MID(HE19,5,1)*POWER(2,11)+MID(HE19,4,1)*POWER(2,12)+MID(HE19,3,1)*POWER(2,13)+MID(HE19,2,1)*POWER(2,14)+MID(HE19,1,1)*POWER(2,15))</f>
        <v>7683</v>
      </c>
      <c r="HH18" s="43" t="str">
        <f>CONCATENATE(MID(DX18,17,16),MID(DX18,1,16))</f>
        <v>00100000011001000100000000000100</v>
      </c>
      <c r="HI18" s="26" t="str">
        <f t="shared" si="184"/>
        <v>00100000</v>
      </c>
      <c r="HJ18" s="26" t="str">
        <f t="shared" si="119"/>
        <v>01100100</v>
      </c>
      <c r="HK18" s="26" t="str">
        <f t="shared" si="120"/>
        <v>01000000</v>
      </c>
      <c r="HL18" s="26" t="str">
        <f t="shared" si="121"/>
        <v>00000100</v>
      </c>
      <c r="HM18" s="77">
        <f>BIN2DEC(HI18)-BIN2DEC(HI19)</f>
        <v>0</v>
      </c>
      <c r="HN18" s="77">
        <f>BIN2DEC(HJ18)-BIN2DEC(HJ19)</f>
        <v>68</v>
      </c>
      <c r="HO18" s="77">
        <f>BIN2DEC(HK18)-BIN2DEC(HK19)</f>
        <v>32</v>
      </c>
      <c r="HP18" s="77">
        <f>BIN2DEC(HL18)-BIN2DEC(HL19)</f>
        <v>4</v>
      </c>
      <c r="HQ18" s="27" t="str">
        <f t="shared" si="122"/>
        <v>1010</v>
      </c>
      <c r="HR18" s="27" t="str">
        <f t="shared" si="123"/>
        <v>0011</v>
      </c>
      <c r="HS18" s="27" t="str">
        <f t="shared" si="124"/>
        <v>0111</v>
      </c>
      <c r="HT18" s="27" t="str">
        <f t="shared" si="125"/>
        <v>1100</v>
      </c>
      <c r="HU18" s="27" t="str">
        <f t="shared" si="126"/>
        <v>0101</v>
      </c>
      <c r="HV18" s="27" t="str">
        <f t="shared" si="127"/>
        <v>1010</v>
      </c>
      <c r="HW18" s="27" t="str">
        <f t="shared" si="128"/>
        <v>1001</v>
      </c>
      <c r="HX18" s="27" t="str">
        <f t="shared" si="129"/>
        <v>0100</v>
      </c>
      <c r="HY18" s="77">
        <f>BIN2DEC(HQ18)-BIN2DEC(HQ19)</f>
        <v>4</v>
      </c>
      <c r="HZ18" s="77">
        <f t="shared" ref="HZ18:IE18" si="273">BIN2DEC(HR18)-BIN2DEC(HR19)</f>
        <v>-9</v>
      </c>
      <c r="IA18" s="77">
        <f t="shared" si="273"/>
        <v>-7</v>
      </c>
      <c r="IB18" s="77">
        <f t="shared" si="273"/>
        <v>11</v>
      </c>
      <c r="IC18" s="77">
        <f t="shared" si="273"/>
        <v>-9</v>
      </c>
      <c r="ID18" s="77">
        <f t="shared" si="273"/>
        <v>0</v>
      </c>
      <c r="IE18" s="77">
        <f t="shared" si="273"/>
        <v>-3</v>
      </c>
      <c r="IF18" s="77">
        <f>BIN2DEC(HX18)-BIN2DEC(HX19)</f>
        <v>3</v>
      </c>
      <c r="IG18" s="26" t="str">
        <f t="shared" si="24"/>
        <v>0010000001100100</v>
      </c>
      <c r="IH18" s="26" t="str">
        <f t="shared" si="25"/>
        <v>0100000000000100</v>
      </c>
      <c r="II18" s="77">
        <f>MID(IG18,16,1)*POWER(2,0)+MID(IG18,15,1)*POWER(2,1)+MID(IG18,14,1)*POWER(2,2)+MID(IG18,13,1)*POWER(2,3)+MID(IG18,12,1)*POWER(2,4)+MID(IG18,11,1)*POWER(2,5)+MID(IG18,10,1)*POWER(2,6)+MID(IG18,9,1)*POWER(2,7)+MID(IG18,8,1)*POWER(2,8)+MID(IG18,7,1)*POWER(2,9)+MID(IG18,6,1)*POWER(2,10)+MID(IG18,5,1)*POWER(2,11)+MID(IG18,4,1)*POWER(2,12)+MID(IG18,3,1)*POWER(2,13)+MID(IG18,2,1)*POWER(2,14)+MID(IG18,1,1)*POWER(2,15)-(MID(IG19,16,1)*POWER(2,0)+MID(IG19,15,1)*POWER(2,1)+MID(IG19,14,1)*POWER(2,2)+MID(IG19,13,1)*POWER(2,3)+MID(IG19,12,1)*POWER(2,4)+MID(IG19,11,1)*POWER(2,5)+MID(IG19,10,1)*POWER(2,6)+MID(IG19,9,1)*POWER(2,7)+MID(IG19,8,1)*POWER(2,8)+MID(IG19,7,1)*POWER(2,9)+MID(IG19,6,1)*POWER(2,10)+MID(IG19,5,1)*POWER(2,11)+MID(IG19,4,1)*POWER(2,12)+MID(IG19,3,1)*POWER(2,13)+MID(IG19,2,1)*POWER(2,14)+MID(IG19,1,1)*POWER(2,15))</f>
        <v>68</v>
      </c>
      <c r="IJ18" s="77">
        <f>MID(IH18,16,1)*POWER(2,0)+MID(IH18,15,1)*POWER(2,1)+MID(IH18,14,1)*POWER(2,2)+MID(IH18,13,1)*POWER(2,3)+MID(IH18,12,1)*POWER(2,4)+MID(IH18,11,1)*POWER(2,5)+MID(IH18,10,1)*POWER(2,6)+MID(IH18,9,1)*POWER(2,7)+MID(IH18,8,1)*POWER(2,8)+MID(IH18,7,1)*POWER(2,9)+MID(IH18,6,1)*POWER(2,10)+MID(IH18,5,1)*POWER(2,11)+MID(IH18,4,1)*POWER(2,12)+MID(IH18,3,1)*POWER(2,13)+MID(IH18,2,1)*POWER(2,14)+MID(IH18,1,1)*POWER(2,15)-(MID(IH19,16,1)*POWER(2,0)+MID(IH19,15,1)*POWER(2,1)+MID(IH19,14,1)*POWER(2,2)+MID(IH19,13,1)*POWER(2,3)+MID(IH19,12,1)*POWER(2,4)+MID(IH19,11,1)*POWER(2,5)+MID(IH19,10,1)*POWER(2,6)+MID(IH19,9,1)*POWER(2,7)+MID(IH19,8,1)*POWER(2,8)+MID(IH19,7,1)*POWER(2,9)+MID(IH19,6,1)*POWER(2,10)+MID(IH19,5,1)*POWER(2,11)+MID(IH19,4,1)*POWER(2,12)+MID(IH19,3,1)*POWER(2,13)+MID(IH19,2,1)*POWER(2,14)+MID(IH19,1,1)*POWER(2,15))</f>
        <v>8196</v>
      </c>
      <c r="IK18" s="43" t="str">
        <f>HH18</f>
        <v>00100000011001000100000000000100</v>
      </c>
      <c r="IL18" s="26" t="str">
        <f t="shared" si="186"/>
        <v>00100000</v>
      </c>
      <c r="IM18" s="26" t="str">
        <f t="shared" si="130"/>
        <v>01100100</v>
      </c>
      <c r="IN18" s="26" t="str">
        <f t="shared" si="131"/>
        <v>01000000</v>
      </c>
      <c r="IO18" s="26" t="str">
        <f t="shared" si="132"/>
        <v>00000100</v>
      </c>
      <c r="IP18" s="77">
        <f>BIN2DEC(IL18)-BIN2DEC(IL19)</f>
        <v>-76</v>
      </c>
      <c r="IQ18" s="77">
        <f>BIN2DEC(IM18)-BIN2DEC(IM19)</f>
        <v>-125</v>
      </c>
      <c r="IR18" s="77">
        <f>BIN2DEC(IN18)-BIN2DEC(IN19)</f>
        <v>-170</v>
      </c>
      <c r="IS18" s="77">
        <f>BIN2DEC(IO18)-BIN2DEC(IO19)</f>
        <v>-189</v>
      </c>
      <c r="IT18" s="27" t="str">
        <f t="shared" si="133"/>
        <v>1010</v>
      </c>
      <c r="IU18" s="27" t="str">
        <f t="shared" si="134"/>
        <v>0011</v>
      </c>
      <c r="IV18" s="27" t="str">
        <f t="shared" si="135"/>
        <v>0111</v>
      </c>
      <c r="IW18" s="27" t="str">
        <f t="shared" si="136"/>
        <v>1100</v>
      </c>
      <c r="IX18" s="27" t="str">
        <f t="shared" si="137"/>
        <v>0101</v>
      </c>
      <c r="IY18" s="27" t="str">
        <f t="shared" si="138"/>
        <v>1010</v>
      </c>
      <c r="IZ18" s="27" t="str">
        <f t="shared" si="139"/>
        <v>1001</v>
      </c>
      <c r="JA18" s="27" t="str">
        <f t="shared" si="140"/>
        <v>0100</v>
      </c>
      <c r="JB18" s="77">
        <f t="shared" ref="JB18:JI18" si="274">BIN2DEC(IT18)-BIN2DEC(IT19)</f>
        <v>4</v>
      </c>
      <c r="JC18" s="77">
        <f t="shared" si="274"/>
        <v>-9</v>
      </c>
      <c r="JD18" s="77">
        <f t="shared" si="274"/>
        <v>-7</v>
      </c>
      <c r="JE18" s="77">
        <f t="shared" si="274"/>
        <v>11</v>
      </c>
      <c r="JF18" s="77">
        <f t="shared" si="274"/>
        <v>-9</v>
      </c>
      <c r="JG18" s="77">
        <f t="shared" si="274"/>
        <v>0</v>
      </c>
      <c r="JH18" s="77">
        <f t="shared" si="274"/>
        <v>-3</v>
      </c>
      <c r="JI18" s="77">
        <f t="shared" si="274"/>
        <v>3</v>
      </c>
      <c r="JJ18" s="26" t="str">
        <f t="shared" si="27"/>
        <v>0010000001100100</v>
      </c>
      <c r="JK18" s="26" t="str">
        <f t="shared" si="28"/>
        <v>0100000000000100</v>
      </c>
      <c r="JL18" s="77">
        <f>MID(JJ18,16,1)*POWER(2,0)+MID(JJ18,15,1)*POWER(2,1)+MID(JJ18,14,1)*POWER(2,2)+MID(JJ18,13,1)*POWER(2,3)+MID(JJ18,12,1)*POWER(2,4)+MID(JJ18,11,1)*POWER(2,5)+MID(JJ18,10,1)*POWER(2,6)+MID(JJ18,9,1)*POWER(2,7)+MID(JJ18,8,1)*POWER(2,8)+MID(JJ18,7,1)*POWER(2,9)+MID(JJ18,6,1)*POWER(2,10)+MID(JJ18,5,1)*POWER(2,11)+MID(JJ18,4,1)*POWER(2,12)+MID(JJ18,3,1)*POWER(2,13)+MID(JJ18,2,1)*POWER(2,14)+MID(JJ18,1,1)*POWER(2,15)-(MID(JJ19,16,1)*POWER(2,0)+MID(JJ19,15,1)*POWER(2,1)+MID(JJ19,14,1)*POWER(2,2)+MID(JJ19,13,1)*POWER(2,3)+MID(JJ19,12,1)*POWER(2,4)+MID(JJ19,11,1)*POWER(2,5)+MID(JJ19,10,1)*POWER(2,6)+MID(JJ19,9,1)*POWER(2,7)+MID(JJ19,8,1)*POWER(2,8)+MID(JJ19,7,1)*POWER(2,9)+MID(JJ19,6,1)*POWER(2,10)+MID(JJ19,5,1)*POWER(2,11)+MID(JJ19,4,1)*POWER(2,12)+MID(JJ19,3,1)*POWER(2,13)+MID(JJ19,2,1)*POWER(2,14)+MID(JJ19,1,1)*POWER(2,15))</f>
        <v>-19581</v>
      </c>
      <c r="JM18" s="77">
        <f>MID(JK18,16,1)*POWER(2,0)+MID(JK18,15,1)*POWER(2,1)+MID(JK18,14,1)*POWER(2,2)+MID(JK18,13,1)*POWER(2,3)+MID(JK18,12,1)*POWER(2,4)+MID(JK18,11,1)*POWER(2,5)+MID(JK18,10,1)*POWER(2,6)+MID(JK18,9,1)*POWER(2,7)+MID(JK18,8,1)*POWER(2,8)+MID(JK18,7,1)*POWER(2,9)+MID(JK18,6,1)*POWER(2,10)+MID(JK18,5,1)*POWER(2,11)+MID(JK18,4,1)*POWER(2,12)+MID(JK18,3,1)*POWER(2,13)+MID(JK18,2,1)*POWER(2,14)+MID(JK18,1,1)*POWER(2,15)-(MID(JK19,16,1)*POWER(2,0)+MID(JK19,15,1)*POWER(2,1)+MID(JK19,14,1)*POWER(2,2)+MID(JK19,13,1)*POWER(2,3)+MID(JK19,12,1)*POWER(2,4)+MID(JK19,11,1)*POWER(2,5)+MID(JK19,10,1)*POWER(2,6)+MID(JK19,9,1)*POWER(2,7)+MID(JK19,8,1)*POWER(2,8)+MID(JK19,7,1)*POWER(2,9)+MID(JK19,6,1)*POWER(2,10)+MID(JK19,5,1)*POWER(2,11)+MID(JK19,4,1)*POWER(2,12)+MID(JK19,3,1)*POWER(2,13)+MID(JK19,2,1)*POWER(2,14)+MID(JK19,1,1)*POWER(2,15))</f>
        <v>-43709</v>
      </c>
      <c r="JN18" s="45" t="str">
        <f>CONCATENATE(MID(IK18,1,1)*MID($K18,1,1),MID(IK18,2,1)*MID($K18,2,1),MID(IK18,3,1)*MID($K18,3,1),MID(IK18,4,1)*MID($K18,4,1),MID(IK18,5,1)*MID($K18,5,1),MID(IK18,6,1)*MID($K18,6,1),MID(IK18,7,1)*MID($K18,7,1),MID(IK18,8,1)*MID($K18,8,1),MID(IK18,9,1)*MID($K18,1,1),MID(IK18,10,1)*MID($K18,2,1),MID(IK18,11,1)*MID($K18,3,1),MID(IK18,12,1)*MID($K18,4,1),MID(IK18,13,1)*MID($K18,5,1),MID(IK18,14,1)*MID($K18,6,1),MID(IK18,15,1)*MID($K18,7,1),MID(IK18,16,1)*MID($K18,8,1),MID(IK18,17,1)*MID($K18,1,1),MID(IK18,18,1)*MID($K18,2,1),MID(IK18,19,1)*MID($K18,3,1),MID(IK18,20,1)*MID($K18,4,1),MID(IK18,21,1)*MID($K18,5,1),MID(IK18,22,1)*MID($K18,6,1),MID(IK18,23,1)*MID($K18,7,1),MID(IK18,24,1)*MID($K18,8,1),MID(IK18,25,1)*MID($K18,1,1),MID(IK18,26,1)*MID($K18,2,1),MID(IK18,27,1)*MID($K18,3,1),MID(IK18,28,1)*MID($K18,4,1),MID(IK18,29,1)*MID($K18,5,1),MID(IK18,30,1)*MID($K18,6,1),MID(IK18,31,1)*MID($K18,7,1),MID(IK18,32,1)*MID($K18,8,1))</f>
        <v>00100000011001000100000000000100</v>
      </c>
      <c r="JO18" s="26" t="str">
        <f t="shared" si="188"/>
        <v>00100000</v>
      </c>
      <c r="JP18" s="26" t="str">
        <f t="shared" si="141"/>
        <v>01100100</v>
      </c>
      <c r="JQ18" s="26" t="str">
        <f t="shared" si="142"/>
        <v>01000000</v>
      </c>
      <c r="JR18" s="26" t="str">
        <f t="shared" si="143"/>
        <v>00000100</v>
      </c>
      <c r="JS18" s="77">
        <f>BIN2DEC(JO18)-BIN2DEC(JO19)</f>
        <v>-76</v>
      </c>
      <c r="JT18" s="77">
        <f>BIN2DEC(JP18)-BIN2DEC(JP19)</f>
        <v>-125</v>
      </c>
      <c r="JU18" s="77">
        <f>BIN2DEC(JQ18)-BIN2DEC(JQ19)</f>
        <v>-170</v>
      </c>
      <c r="JV18" s="77">
        <f>BIN2DEC(JR18)-BIN2DEC(JR19)</f>
        <v>-189</v>
      </c>
      <c r="JW18" s="27" t="str">
        <f t="shared" si="144"/>
        <v>1010</v>
      </c>
      <c r="JX18" s="27" t="str">
        <f t="shared" si="145"/>
        <v>0011</v>
      </c>
      <c r="JY18" s="27" t="str">
        <f t="shared" si="146"/>
        <v>0111</v>
      </c>
      <c r="JZ18" s="27" t="str">
        <f t="shared" si="147"/>
        <v>1100</v>
      </c>
      <c r="KA18" s="27" t="str">
        <f t="shared" si="148"/>
        <v>0101</v>
      </c>
      <c r="KB18" s="27" t="str">
        <f t="shared" si="149"/>
        <v>1010</v>
      </c>
      <c r="KC18" s="27" t="str">
        <f t="shared" si="150"/>
        <v>1001</v>
      </c>
      <c r="KD18" s="27" t="str">
        <f t="shared" si="151"/>
        <v>0100</v>
      </c>
      <c r="KE18" s="77">
        <f t="shared" ref="KE18:KL18" si="275">BIN2DEC(JW18)-BIN2DEC(JW19)</f>
        <v>4</v>
      </c>
      <c r="KF18" s="77">
        <f t="shared" si="275"/>
        <v>-9</v>
      </c>
      <c r="KG18" s="77">
        <f t="shared" si="275"/>
        <v>-7</v>
      </c>
      <c r="KH18" s="77">
        <f t="shared" si="275"/>
        <v>11</v>
      </c>
      <c r="KI18" s="77">
        <f t="shared" si="275"/>
        <v>-9</v>
      </c>
      <c r="KJ18" s="77">
        <f t="shared" si="275"/>
        <v>0</v>
      </c>
      <c r="KK18" s="77">
        <f t="shared" si="275"/>
        <v>-3</v>
      </c>
      <c r="KL18" s="77">
        <f t="shared" si="275"/>
        <v>3</v>
      </c>
      <c r="KM18" s="26" t="str">
        <f t="shared" si="30"/>
        <v>0010000001100100</v>
      </c>
      <c r="KN18" s="26" t="str">
        <f t="shared" si="31"/>
        <v>0100000000000100</v>
      </c>
      <c r="KO18" s="77">
        <f>MID(KM18,16,1)*POWER(2,0)+MID(KM18,15,1)*POWER(2,1)+MID(KM18,14,1)*POWER(2,2)+MID(KM18,13,1)*POWER(2,3)+MID(KM18,12,1)*POWER(2,4)+MID(KM18,11,1)*POWER(2,5)+MID(KM18,10,1)*POWER(2,6)+MID(KM18,9,1)*POWER(2,7)+MID(KM18,8,1)*POWER(2,8)+MID(KM18,7,1)*POWER(2,9)+MID(KM18,6,1)*POWER(2,10)+MID(KM18,5,1)*POWER(2,11)+MID(KM18,4,1)*POWER(2,12)+MID(KM18,3,1)*POWER(2,13)+MID(KM18,2,1)*POWER(2,14)+MID(KM18,1,1)*POWER(2,15)-(MID(KM19,16,1)*POWER(2,0)+MID(KM19,15,1)*POWER(2,1)+MID(KM19,14,1)*POWER(2,2)+MID(KM19,13,1)*POWER(2,3)+MID(KM19,12,1)*POWER(2,4)+MID(KM19,11,1)*POWER(2,5)+MID(KM19,10,1)*POWER(2,6)+MID(KM19,9,1)*POWER(2,7)+MID(KM19,8,1)*POWER(2,8)+MID(KM19,7,1)*POWER(2,9)+MID(KM19,6,1)*POWER(2,10)+MID(KM19,5,1)*POWER(2,11)+MID(KM19,4,1)*POWER(2,12)+MID(KM19,3,1)*POWER(2,13)+MID(KM19,2,1)*POWER(2,14)+MID(KM19,1,1)*POWER(2,15))</f>
        <v>-19581</v>
      </c>
      <c r="KP18" s="77">
        <f>MID(KN18,16,1)*POWER(2,0)+MID(KN18,15,1)*POWER(2,1)+MID(KN18,14,1)*POWER(2,2)+MID(KN18,13,1)*POWER(2,3)+MID(KN18,12,1)*POWER(2,4)+MID(KN18,11,1)*POWER(2,5)+MID(KN18,10,1)*POWER(2,6)+MID(KN18,9,1)*POWER(2,7)+MID(KN18,8,1)*POWER(2,8)+MID(KN18,7,1)*POWER(2,9)+MID(KN18,6,1)*POWER(2,10)+MID(KN18,5,1)*POWER(2,11)+MID(KN18,4,1)*POWER(2,12)+MID(KN18,3,1)*POWER(2,13)+MID(KN18,2,1)*POWER(2,14)+MID(KN18,1,1)*POWER(2,15)-(MID(KN19,16,1)*POWER(2,0)+MID(KN19,15,1)*POWER(2,1)+MID(KN19,14,1)*POWER(2,2)+MID(KN19,13,1)*POWER(2,3)+MID(KN19,12,1)*POWER(2,4)+MID(KN19,11,1)*POWER(2,5)+MID(KN19,10,1)*POWER(2,6)+MID(KN19,9,1)*POWER(2,7)+MID(KN19,8,1)*POWER(2,8)+MID(KN19,7,1)*POWER(2,9)+MID(KN19,6,1)*POWER(2,10)+MID(KN19,5,1)*POWER(2,11)+MID(KN19,4,1)*POWER(2,12)+MID(KN19,3,1)*POWER(2,13)+MID(KN19,2,1)*POWER(2,14)+MID(KN19,1,1)*POWER(2,15))</f>
        <v>-43709</v>
      </c>
      <c r="KQ18" s="47" t="str">
        <f>IK18</f>
        <v>00100000011001000100000000000100</v>
      </c>
      <c r="KR18" s="26" t="str">
        <f t="shared" si="190"/>
        <v>00100000</v>
      </c>
      <c r="KS18" s="26" t="str">
        <f t="shared" si="152"/>
        <v>01100100</v>
      </c>
      <c r="KT18" s="26" t="str">
        <f t="shared" si="153"/>
        <v>01000000</v>
      </c>
      <c r="KU18" s="26" t="str">
        <f t="shared" si="154"/>
        <v>00000100</v>
      </c>
      <c r="KV18" s="77">
        <f>BIN2DEC(KR18)-BIN2DEC(KR19)</f>
        <v>-68</v>
      </c>
      <c r="KW18" s="77">
        <f>BIN2DEC(KS18)-BIN2DEC(KS19)</f>
        <v>4</v>
      </c>
      <c r="KX18" s="77">
        <f>BIN2DEC(KT18)-BIN2DEC(KT19)</f>
        <v>-32</v>
      </c>
      <c r="KY18" s="77">
        <f>BIN2DEC(KU18)-BIN2DEC(KU19)</f>
        <v>-60</v>
      </c>
      <c r="KZ18" s="27" t="str">
        <f t="shared" si="155"/>
        <v>1010</v>
      </c>
      <c r="LA18" s="27" t="str">
        <f t="shared" si="156"/>
        <v>0011</v>
      </c>
      <c r="LB18" s="27" t="str">
        <f t="shared" si="157"/>
        <v>0111</v>
      </c>
      <c r="LC18" s="27" t="str">
        <f t="shared" si="158"/>
        <v>1100</v>
      </c>
      <c r="LD18" s="27" t="str">
        <f t="shared" si="159"/>
        <v>0101</v>
      </c>
      <c r="LE18" s="27" t="str">
        <f t="shared" si="160"/>
        <v>1010</v>
      </c>
      <c r="LF18" s="27" t="str">
        <f t="shared" si="161"/>
        <v>1001</v>
      </c>
      <c r="LG18" s="27" t="str">
        <f t="shared" si="162"/>
        <v>0100</v>
      </c>
      <c r="LH18" s="77">
        <f t="shared" ref="LH18:LO18" si="276">BIN2DEC(KZ18)-BIN2DEC(KZ19)</f>
        <v>4</v>
      </c>
      <c r="LI18" s="77">
        <f t="shared" si="276"/>
        <v>-9</v>
      </c>
      <c r="LJ18" s="77">
        <f t="shared" si="276"/>
        <v>-7</v>
      </c>
      <c r="LK18" s="77">
        <f t="shared" si="276"/>
        <v>11</v>
      </c>
      <c r="LL18" s="77">
        <f t="shared" si="276"/>
        <v>-9</v>
      </c>
      <c r="LM18" s="77">
        <f t="shared" si="276"/>
        <v>0</v>
      </c>
      <c r="LN18" s="77">
        <f t="shared" si="276"/>
        <v>-3</v>
      </c>
      <c r="LO18" s="77">
        <f t="shared" si="276"/>
        <v>3</v>
      </c>
      <c r="LP18" s="26" t="str">
        <f t="shared" si="33"/>
        <v>0010000001100100</v>
      </c>
      <c r="LQ18" s="26" t="str">
        <f t="shared" si="34"/>
        <v>0100000000000100</v>
      </c>
      <c r="LR18" s="77">
        <f>MID(LP18,16,1)*POWER(2,0)+MID(LP18,15,1)*POWER(2,1)+MID(LP18,14,1)*POWER(2,2)+MID(LP18,13,1)*POWER(2,3)+MID(LP18,12,1)*POWER(2,4)+MID(LP18,11,1)*POWER(2,5)+MID(LP18,10,1)*POWER(2,6)+MID(LP18,9,1)*POWER(2,7)+MID(LP18,8,1)*POWER(2,8)+MID(LP18,7,1)*POWER(2,9)+MID(LP18,6,1)*POWER(2,10)+MID(LP18,5,1)*POWER(2,11)+MID(LP18,4,1)*POWER(2,12)+MID(LP18,3,1)*POWER(2,13)+MID(LP18,2,1)*POWER(2,14)+MID(LP18,1,1)*POWER(2,15)-(MID(LP19,16,1)*POWER(2,0)+MID(LP19,15,1)*POWER(2,1)+MID(LP19,14,1)*POWER(2,2)+MID(LP19,13,1)*POWER(2,3)+MID(LP19,12,1)*POWER(2,4)+MID(LP19,11,1)*POWER(2,5)+MID(LP19,10,1)*POWER(2,6)+MID(LP19,9,1)*POWER(2,7)+MID(LP19,8,1)*POWER(2,8)+MID(LP19,7,1)*POWER(2,9)+MID(LP19,6,1)*POWER(2,10)+MID(LP19,5,1)*POWER(2,11)+MID(LP19,4,1)*POWER(2,12)+MID(LP19,3,1)*POWER(2,13)+MID(LP19,2,1)*POWER(2,14)+MID(LP19,1,1)*POWER(2,15))</f>
        <v>-17404</v>
      </c>
      <c r="LS18" s="77">
        <f>MID(LQ18,16,1)*POWER(2,0)+MID(LQ18,15,1)*POWER(2,1)+MID(LQ18,14,1)*POWER(2,2)+MID(LQ18,13,1)*POWER(2,3)+MID(LQ18,12,1)*POWER(2,4)+MID(LQ18,11,1)*POWER(2,5)+MID(LQ18,10,1)*POWER(2,6)+MID(LQ18,9,1)*POWER(2,7)+MID(LQ18,8,1)*POWER(2,8)+MID(LQ18,7,1)*POWER(2,9)+MID(LQ18,6,1)*POWER(2,10)+MID(LQ18,5,1)*POWER(2,11)+MID(LQ18,4,1)*POWER(2,12)+MID(LQ18,3,1)*POWER(2,13)+MID(LQ18,2,1)*POWER(2,14)+MID(LQ18,1,1)*POWER(2,15)-(MID(LQ19,16,1)*POWER(2,0)+MID(LQ19,15,1)*POWER(2,1)+MID(LQ19,14,1)*POWER(2,2)+MID(LQ19,13,1)*POWER(2,3)+MID(LQ19,12,1)*POWER(2,4)+MID(LQ19,11,1)*POWER(2,5)+MID(LQ19,10,1)*POWER(2,6)+MID(LQ19,9,1)*POWER(2,7)+MID(LQ19,8,1)*POWER(2,8)+MID(LQ19,7,1)*POWER(2,9)+MID(LQ19,6,1)*POWER(2,10)+MID(LQ19,5,1)*POWER(2,11)+MID(LQ19,4,1)*POWER(2,12)+MID(LQ19,3,1)*POWER(2,13)+MID(LQ19,2,1)*POWER(2,14)+MID(LQ19,1,1)*POWER(2,15))</f>
        <v>-8252</v>
      </c>
      <c r="LT18" s="43" t="str">
        <f>JN18</f>
        <v>00100000011001000100000000000100</v>
      </c>
      <c r="LU18" s="26" t="str">
        <f t="shared" si="192"/>
        <v>00100000</v>
      </c>
      <c r="LV18" s="26" t="str">
        <f t="shared" si="163"/>
        <v>01100100</v>
      </c>
      <c r="LW18" s="26" t="str">
        <f t="shared" si="164"/>
        <v>01000000</v>
      </c>
      <c r="LX18" s="26" t="str">
        <f t="shared" si="165"/>
        <v>00000100</v>
      </c>
      <c r="LY18" s="77">
        <f>BIN2DEC(LU18)-BIN2DEC(LU19)</f>
        <v>0</v>
      </c>
      <c r="LZ18" s="77">
        <f>BIN2DEC(LV18)-BIN2DEC(LV19)</f>
        <v>67</v>
      </c>
      <c r="MA18" s="77">
        <f>BIN2DEC(LW18)-BIN2DEC(LW19)</f>
        <v>30</v>
      </c>
      <c r="MB18" s="77">
        <f>BIN2DEC(LX18)-BIN2DEC(LX19)</f>
        <v>3</v>
      </c>
      <c r="MC18" s="27" t="str">
        <f t="shared" si="166"/>
        <v>1010</v>
      </c>
      <c r="MD18" s="27" t="str">
        <f t="shared" si="167"/>
        <v>0011</v>
      </c>
      <c r="ME18" s="27" t="str">
        <f t="shared" si="168"/>
        <v>0111</v>
      </c>
      <c r="MF18" s="27" t="str">
        <f t="shared" si="169"/>
        <v>1100</v>
      </c>
      <c r="MG18" s="27" t="str">
        <f t="shared" si="170"/>
        <v>0101</v>
      </c>
      <c r="MH18" s="27" t="str">
        <f t="shared" si="171"/>
        <v>1010</v>
      </c>
      <c r="MI18" s="27" t="str">
        <f t="shared" si="172"/>
        <v>1001</v>
      </c>
      <c r="MJ18" s="27" t="str">
        <f t="shared" si="173"/>
        <v>0100</v>
      </c>
      <c r="MK18" s="77">
        <f t="shared" ref="MK18:MR18" si="277">BIN2DEC(MC18)-BIN2DEC(MC19)</f>
        <v>4</v>
      </c>
      <c r="ML18" s="77">
        <f t="shared" si="277"/>
        <v>-9</v>
      </c>
      <c r="MM18" s="77">
        <f t="shared" si="277"/>
        <v>-7</v>
      </c>
      <c r="MN18" s="77">
        <f t="shared" si="277"/>
        <v>11</v>
      </c>
      <c r="MO18" s="77">
        <f t="shared" si="277"/>
        <v>-9</v>
      </c>
      <c r="MP18" s="77">
        <f t="shared" si="277"/>
        <v>0</v>
      </c>
      <c r="MQ18" s="77">
        <f t="shared" si="277"/>
        <v>-3</v>
      </c>
      <c r="MR18" s="77">
        <f t="shared" si="277"/>
        <v>3</v>
      </c>
      <c r="MS18" s="26" t="str">
        <f t="shared" si="36"/>
        <v>0010000001100100</v>
      </c>
      <c r="MT18" s="26" t="str">
        <f t="shared" si="37"/>
        <v>0100000000000100</v>
      </c>
      <c r="MU18" s="77">
        <f>MID(MS18,16,1)*POWER(2,0)+MID(MS18,15,1)*POWER(2,1)+MID(MS18,14,1)*POWER(2,2)+MID(MS18,13,1)*POWER(2,3)+MID(MS18,12,1)*POWER(2,4)+MID(MS18,11,1)*POWER(2,5)+MID(MS18,10,1)*POWER(2,6)+MID(MS18,9,1)*POWER(2,7)+MID(MS18,8,1)*POWER(2,8)+MID(MS18,7,1)*POWER(2,9)+MID(MS18,6,1)*POWER(2,10)+MID(MS18,5,1)*POWER(2,11)+MID(MS18,4,1)*POWER(2,12)+MID(MS18,3,1)*POWER(2,13)+MID(MS18,2,1)*POWER(2,14)+MID(MS18,1,1)*POWER(2,15)-(MID(MS19,16,1)*POWER(2,0)+MID(MS19,15,1)*POWER(2,1)+MID(MS19,14,1)*POWER(2,2)+MID(MS19,13,1)*POWER(2,3)+MID(MS19,12,1)*POWER(2,4)+MID(MS19,11,1)*POWER(2,5)+MID(MS19,10,1)*POWER(2,6)+MID(MS19,9,1)*POWER(2,7)+MID(MS19,8,1)*POWER(2,8)+MID(MS19,7,1)*POWER(2,9)+MID(MS19,6,1)*POWER(2,10)+MID(MS19,5,1)*POWER(2,11)+MID(MS19,4,1)*POWER(2,12)+MID(MS19,3,1)*POWER(2,13)+MID(MS19,2,1)*POWER(2,14)+MID(MS19,1,1)*POWER(2,15))</f>
        <v>67</v>
      </c>
      <c r="MV18" s="77">
        <f>MID(MT18,16,1)*POWER(2,0)+MID(MT18,15,1)*POWER(2,1)+MID(MT18,14,1)*POWER(2,2)+MID(MT18,13,1)*POWER(2,3)+MID(MT18,12,1)*POWER(2,4)+MID(MT18,11,1)*POWER(2,5)+MID(MT18,10,1)*POWER(2,6)+MID(MT18,9,1)*POWER(2,7)+MID(MT18,8,1)*POWER(2,8)+MID(MT18,7,1)*POWER(2,9)+MID(MT18,6,1)*POWER(2,10)+MID(MT18,5,1)*POWER(2,11)+MID(MT18,4,1)*POWER(2,12)+MID(MT18,3,1)*POWER(2,13)+MID(MT18,2,1)*POWER(2,14)+MID(MT18,1,1)*POWER(2,15)-(MID(MT19,16,1)*POWER(2,0)+MID(MT19,15,1)*POWER(2,1)+MID(MT19,14,1)*POWER(2,2)+MID(MT19,13,1)*POWER(2,3)+MID(MT19,12,1)*POWER(2,4)+MID(MT19,11,1)*POWER(2,5)+MID(MT19,10,1)*POWER(2,6)+MID(MT19,9,1)*POWER(2,7)+MID(MT19,8,1)*POWER(2,8)+MID(MT19,7,1)*POWER(2,9)+MID(MT19,6,1)*POWER(2,10)+MID(MT19,5,1)*POWER(2,11)+MID(MT19,4,1)*POWER(2,12)+MID(MT19,3,1)*POWER(2,13)+MID(MT19,2,1)*POWER(2,14)+MID(MT19,1,1)*POWER(2,15))</f>
        <v>7683</v>
      </c>
    </row>
    <row r="19" spans="1:360" s="31" customFormat="1" ht="18.600000000000001" thickBot="1" x14ac:dyDescent="0.4">
      <c r="A19" s="28"/>
      <c r="B19" s="29"/>
      <c r="C19" s="21" t="s">
        <v>6</v>
      </c>
      <c r="D19" s="21" t="s">
        <v>61</v>
      </c>
      <c r="E19" s="21" t="s">
        <v>58</v>
      </c>
      <c r="F19" s="21" t="s">
        <v>60</v>
      </c>
      <c r="G19" s="21">
        <v>98</v>
      </c>
      <c r="H19" s="21" t="str">
        <f>CONCATENATE(HEX2BIN(D19,8),HEX2BIN(E19,8),HEX2BIN(F19,8),HEX2BIN(G19,8))</f>
        <v>00101101010111000011110110011000</v>
      </c>
      <c r="I19" s="21">
        <f>MID(H19,1,1)+MID(H19,2,1)+MID(H19,3,1)+MID(H19,4,1)+MID(H19,5,1)+MID(H19,6,1)+MID(H19,7,1)+MID(H19,8,1)+MID(H19,9,1)+MID(H19,10,1)+MID(H19,11,1)+MID(H19,12,1)+MID(H19,13,1)+MID(H19,14,1)+MID(H19,15,1)+MID(H19,16,1)+MID(H19,17,1)+MID(H19,18,1)+MID(H19,19,1)+MID(H19,20,1)+MID(H19,21,1)+MID(H19,22,1)+MID(H19,23,1)+MID(H19,24,1)+MID(H19,25,1)+MID(H19,26,1)+MID(H19,27,1)+MID(H19,28,1)+MID(H19,29,1)+MID(H19,30,1)+MID(H19,31,1)+MID(H19,32,1)</f>
        <v>16</v>
      </c>
      <c r="J19" s="21"/>
      <c r="K19" s="21"/>
      <c r="L19" s="44" t="str">
        <f>CONCATENATE(MID(H19,4,5),MID(H19,25,3),MID(H19,12,5),MID(H19,1,3),MID(H19,20,5),MID(H19,9,3),MID(H19,28,5),MID(H19,17,3))</f>
        <v>01101100111000011110101011000001</v>
      </c>
      <c r="M19" s="26" t="str">
        <f t="shared" si="38"/>
        <v>01101</v>
      </c>
      <c r="N19" s="26" t="str">
        <f t="shared" si="39"/>
        <v>11100</v>
      </c>
      <c r="O19" s="26" t="str">
        <f t="shared" si="40"/>
        <v>11101</v>
      </c>
      <c r="P19" s="26" t="str">
        <f t="shared" si="41"/>
        <v>11000</v>
      </c>
      <c r="Q19" s="78"/>
      <c r="R19" s="78"/>
      <c r="S19" s="78"/>
      <c r="T19" s="78"/>
      <c r="U19" s="31" t="str">
        <f t="shared" si="42"/>
        <v>0110</v>
      </c>
      <c r="V19" s="31" t="str">
        <f t="shared" si="43"/>
        <v>1100</v>
      </c>
      <c r="W19" s="31" t="str">
        <f t="shared" si="44"/>
        <v>1110</v>
      </c>
      <c r="X19" s="31" t="str">
        <f t="shared" si="45"/>
        <v>0001</v>
      </c>
      <c r="Y19" s="31" t="str">
        <f t="shared" si="46"/>
        <v>1110</v>
      </c>
      <c r="Z19" s="31" t="str">
        <f t="shared" si="47"/>
        <v>1010</v>
      </c>
      <c r="AA19" s="31" t="str">
        <f t="shared" si="48"/>
        <v>1100</v>
      </c>
      <c r="AB19" s="31" t="str">
        <f t="shared" si="49"/>
        <v>0001</v>
      </c>
      <c r="AC19" s="78"/>
      <c r="AD19" s="78"/>
      <c r="AE19" s="78"/>
      <c r="AF19" s="78"/>
      <c r="AG19" s="78"/>
      <c r="AH19" s="78"/>
      <c r="AI19" s="78"/>
      <c r="AJ19" s="78"/>
      <c r="AK19" s="30" t="str">
        <f t="shared" si="3"/>
        <v>0110110011100001</v>
      </c>
      <c r="AL19" s="30" t="str">
        <f t="shared" si="4"/>
        <v>1110101011000001</v>
      </c>
      <c r="AM19" s="78"/>
      <c r="AN19" s="78"/>
      <c r="AO19" s="46" t="str">
        <f>CONCATENATE(MID($L19,1,1)*MID($K18,1,1),MID($L19,2,1)*MID($K18,2,1),MID($L19,3,1)*MID($K18,3,1),MID($L19,4,1)*MID($K18,4,1),MID($L19,5,1)*MID($K18,5,1),MID($L19,6,1)*MID($K18,6,1),MID($L19,7,1)*MID($K18,7,1),MID($L19,8,1)*MID($K18,8,1),MID($L19,9,1)*MID($K18,1,1),MID($L19,10,1)*MID($K18,2,1),MID($L19,11,1)*MID($K18,3,1),MID($L19,12,1)*MID($K18,4,1),MID($L19,13,1)*MID($K18,5,1),MID($L19,14,1)*MID($K18,6,1),MID($L19,15,1)*MID($K18,7,1),MID($L19,16,1)*MID($K18,8,1),MID($L19,17,1)*MID($K18,1,1),MID($L19,18,1)*MID($K18,2,1),MID($L19,19,1)*MID($K18,3,1),MID($L19,20,1)*MID($K18,4,1),MID($L19,21,1)*MID($K18,5,1),MID($L19,22,1)*MID($K18,6,1),MID($L19,23,1)*MID($K18,7,1),MID($L19,24,1)*MID($K18,8,1),MID($L19,25,1)*MID($K18,1,1),MID($L19,26,1)*MID($K18,2,1),MID($L19,27,1)*MID($K18,3,1),MID($L19,28,1)*MID($K18,4,1),MID($L19,29,1)*MID($K18,5,1),MID($L19,30,1)*MID($K18,6,1),MID($L19,31,1)*MID($K18,7,1),MID($L19,32,1)*MID($K18,8,1))</f>
        <v>01100100011000000110000001000000</v>
      </c>
      <c r="AP19" s="30" t="str">
        <f t="shared" si="50"/>
        <v>01100100</v>
      </c>
      <c r="AQ19" s="30" t="str">
        <f t="shared" si="51"/>
        <v>01100000</v>
      </c>
      <c r="AR19" s="30" t="str">
        <f t="shared" si="52"/>
        <v>01100000</v>
      </c>
      <c r="AS19" s="30" t="str">
        <f t="shared" si="53"/>
        <v>01000000</v>
      </c>
      <c r="AT19" s="78"/>
      <c r="AU19" s="78"/>
      <c r="AV19" s="78"/>
      <c r="AW19" s="78"/>
      <c r="AX19" s="31" t="str">
        <f t="shared" si="54"/>
        <v>0110</v>
      </c>
      <c r="AY19" s="31" t="str">
        <f t="shared" si="55"/>
        <v>1100</v>
      </c>
      <c r="AZ19" s="31" t="str">
        <f t="shared" si="56"/>
        <v>1110</v>
      </c>
      <c r="BA19" s="31" t="str">
        <f t="shared" si="57"/>
        <v>0001</v>
      </c>
      <c r="BB19" s="31" t="str">
        <f t="shared" si="58"/>
        <v>1110</v>
      </c>
      <c r="BC19" s="31" t="str">
        <f t="shared" si="59"/>
        <v>1010</v>
      </c>
      <c r="BD19" s="31" t="str">
        <f t="shared" si="60"/>
        <v>1100</v>
      </c>
      <c r="BE19" s="31" t="str">
        <f t="shared" si="61"/>
        <v>0001</v>
      </c>
      <c r="BF19" s="78"/>
      <c r="BG19" s="78"/>
      <c r="BH19" s="78"/>
      <c r="BI19" s="78"/>
      <c r="BJ19" s="78"/>
      <c r="BK19" s="78"/>
      <c r="BL19" s="78"/>
      <c r="BM19" s="78"/>
      <c r="BN19" s="30" t="str">
        <f t="shared" si="6"/>
        <v>0110010001100000</v>
      </c>
      <c r="BO19" s="30" t="str">
        <f t="shared" si="7"/>
        <v>0110000001000000</v>
      </c>
      <c r="BP19" s="78"/>
      <c r="BQ19" s="78"/>
      <c r="BR19" s="46" t="str">
        <f>L19</f>
        <v>01101100111000011110101011000001</v>
      </c>
      <c r="BS19" s="30" t="str">
        <f t="shared" si="62"/>
        <v>01101100</v>
      </c>
      <c r="BT19" s="30" t="str">
        <f t="shared" si="63"/>
        <v>11100001</v>
      </c>
      <c r="BU19" s="30" t="str">
        <f t="shared" si="64"/>
        <v>11101010</v>
      </c>
      <c r="BV19" s="30" t="str">
        <f t="shared" si="65"/>
        <v>11000001</v>
      </c>
      <c r="BW19" s="78"/>
      <c r="BX19" s="78"/>
      <c r="BY19" s="78"/>
      <c r="BZ19" s="78"/>
      <c r="CA19" s="31" t="str">
        <f t="shared" si="66"/>
        <v>0110</v>
      </c>
      <c r="CB19" s="31" t="str">
        <f t="shared" si="67"/>
        <v>1100</v>
      </c>
      <c r="CC19" s="31" t="str">
        <f t="shared" si="68"/>
        <v>1110</v>
      </c>
      <c r="CD19" s="31" t="str">
        <f t="shared" si="69"/>
        <v>0001</v>
      </c>
      <c r="CE19" s="31" t="str">
        <f t="shared" si="70"/>
        <v>1110</v>
      </c>
      <c r="CF19" s="31" t="str">
        <f t="shared" si="71"/>
        <v>1010</v>
      </c>
      <c r="CG19" s="31" t="str">
        <f t="shared" si="72"/>
        <v>1100</v>
      </c>
      <c r="CH19" s="31" t="str">
        <f t="shared" si="73"/>
        <v>0001</v>
      </c>
      <c r="CI19" s="78"/>
      <c r="CJ19" s="78"/>
      <c r="CK19" s="78"/>
      <c r="CL19" s="78"/>
      <c r="CM19" s="78"/>
      <c r="CN19" s="78"/>
      <c r="CO19" s="78"/>
      <c r="CP19" s="78"/>
      <c r="CQ19" s="30" t="str">
        <f t="shared" si="9"/>
        <v>0110110011100001</v>
      </c>
      <c r="CR19" s="30" t="str">
        <f t="shared" si="10"/>
        <v>1110101011000001</v>
      </c>
      <c r="CS19" s="78"/>
      <c r="CT19" s="78"/>
      <c r="CU19" s="46" t="str">
        <f>AO19</f>
        <v>01100100011000000110000001000000</v>
      </c>
      <c r="CV19" s="30" t="str">
        <f t="shared" si="74"/>
        <v>01100100</v>
      </c>
      <c r="CW19" s="30" t="str">
        <f t="shared" si="75"/>
        <v>01100000</v>
      </c>
      <c r="CX19" s="30" t="str">
        <f t="shared" si="76"/>
        <v>01100000</v>
      </c>
      <c r="CY19" s="30" t="str">
        <f t="shared" si="77"/>
        <v>01000000</v>
      </c>
      <c r="CZ19" s="78"/>
      <c r="DA19" s="78"/>
      <c r="DB19" s="78"/>
      <c r="DC19" s="78"/>
      <c r="DD19" s="31" t="str">
        <f t="shared" si="78"/>
        <v>0110</v>
      </c>
      <c r="DE19" s="31" t="str">
        <f t="shared" si="79"/>
        <v>1100</v>
      </c>
      <c r="DF19" s="31" t="str">
        <f t="shared" si="80"/>
        <v>1110</v>
      </c>
      <c r="DG19" s="31" t="str">
        <f t="shared" si="81"/>
        <v>0001</v>
      </c>
      <c r="DH19" s="31" t="str">
        <f t="shared" si="82"/>
        <v>1110</v>
      </c>
      <c r="DI19" s="31" t="str">
        <f t="shared" si="83"/>
        <v>1010</v>
      </c>
      <c r="DJ19" s="31" t="str">
        <f t="shared" si="84"/>
        <v>1100</v>
      </c>
      <c r="DK19" s="31" t="str">
        <f t="shared" si="85"/>
        <v>0001</v>
      </c>
      <c r="DL19" s="78"/>
      <c r="DM19" s="78"/>
      <c r="DN19" s="78"/>
      <c r="DO19" s="78"/>
      <c r="DP19" s="78"/>
      <c r="DQ19" s="78"/>
      <c r="DR19" s="78"/>
      <c r="DS19" s="78"/>
      <c r="DT19" s="30" t="str">
        <f t="shared" si="12"/>
        <v>0110010001100000</v>
      </c>
      <c r="DU19" s="30" t="str">
        <f t="shared" si="13"/>
        <v>0110000001000000</v>
      </c>
      <c r="DV19" s="78"/>
      <c r="DW19" s="78"/>
      <c r="DX19" s="23" t="str">
        <f>CONCATENATE(MID($H19,1,1)*MID($K18,1,1),MID($H19,2,1)*MID($K18,2,1),MID($H19,3,1)*MID($K18,3,1),MID($H19,4,1)*MID($K18,4,1),MID($H19,5,1)*MID($K18,5,1),MID($H19,6,1)*MID($K18,6,1),MID($H19,7,1)*MID($K18,7,1),MID($H19,8,1)*MID($K18,8,1),MID($H19,9,1)*MID($K18,1,1),MID($H19,10,1)*MID($K18,2,1),MID($H19,11,1)*MID($K18,3,1),MID($H19,12,1)*MID($K18,4,1),MID($H19,13,1)*MID($K18,5,1),MID($H19,14,1)*MID($K18,6,1),MID($H19,15,1)*MID($K18,7,1),MID($H19,16,1)*MID($K18,8,1),MID($H19,17,1)*MID($K18,1,1),MID($H19,18,1)*MID($K18,2,1),MID($H19,19,1)*MID($K18,3,1),MID($H19,20,1)*MID($K18,4,1),MID($H19,21,1)*MID($K18,5,1),MID($H19,22,1)*MID($K18,6,1),MID($H19,23,1)*MID($K18,7,1),MID($H19,24,1)*MID($K18,8,1),MID($H19,25,1)*MID($K18,1,1),MID($H19,26,1)*MID($K18,2,1),MID($H19,27,1)*MID($K18,3,1),MID($H19,28,1)*MID($K18,4,1),MID($H19,29,1)*MID($K18,5,1),MID($H19,30,1)*MID($K18,6,1),MID($H19,31,1)*MID($K18,7,1),MID($H19,32,1)*MID($K18,8,1))</f>
        <v>00100100010001000010010000000000</v>
      </c>
      <c r="DY19" s="44" t="str">
        <f>CONCATENATE(MID(DX19,4,5),MID(DX19,25,3),MID(DX19,12,5),MID(DX19,1,3),MID(DX19,20,5),MID(DX19,9,3),MID(DX19,28,5),MID(DX19,17,3))</f>
        <v>00100000001000010010001000000001</v>
      </c>
      <c r="DZ19" s="30" t="str">
        <f t="shared" si="178"/>
        <v>00100000</v>
      </c>
      <c r="EA19" s="30" t="str">
        <f t="shared" si="86"/>
        <v>00100001</v>
      </c>
      <c r="EB19" s="30" t="str">
        <f t="shared" si="87"/>
        <v>00100010</v>
      </c>
      <c r="EC19" s="30" t="str">
        <f t="shared" si="88"/>
        <v>00000001</v>
      </c>
      <c r="ED19" s="78"/>
      <c r="EE19" s="78"/>
      <c r="EF19" s="78"/>
      <c r="EG19" s="78"/>
      <c r="EH19" s="31" t="str">
        <f t="shared" si="89"/>
        <v>0110</v>
      </c>
      <c r="EI19" s="31" t="str">
        <f t="shared" si="90"/>
        <v>1100</v>
      </c>
      <c r="EJ19" s="31" t="str">
        <f t="shared" si="91"/>
        <v>1110</v>
      </c>
      <c r="EK19" s="31" t="str">
        <f t="shared" si="92"/>
        <v>0001</v>
      </c>
      <c r="EL19" s="31" t="str">
        <f t="shared" si="93"/>
        <v>1110</v>
      </c>
      <c r="EM19" s="31" t="str">
        <f t="shared" si="94"/>
        <v>1010</v>
      </c>
      <c r="EN19" s="31" t="str">
        <f t="shared" si="95"/>
        <v>1100</v>
      </c>
      <c r="EO19" s="31" t="str">
        <f t="shared" si="96"/>
        <v>0001</v>
      </c>
      <c r="EP19" s="78"/>
      <c r="EQ19" s="78"/>
      <c r="ER19" s="78"/>
      <c r="ES19" s="78"/>
      <c r="ET19" s="78"/>
      <c r="EU19" s="78"/>
      <c r="EV19" s="78"/>
      <c r="EW19" s="78"/>
      <c r="EX19" s="30" t="str">
        <f t="shared" si="15"/>
        <v>0010000000100001</v>
      </c>
      <c r="EY19" s="30" t="str">
        <f t="shared" si="16"/>
        <v>0010001000000001</v>
      </c>
      <c r="EZ19" s="78"/>
      <c r="FA19" s="78"/>
      <c r="FB19" s="46" t="str">
        <f>CONCATENATE(MID(DY19,1,1)*MID($K18,1,1),MID(DY19,2,1)*MID($K18,2,1),MID(DY19,3,1)*MID($K18,3,1),MID(DY19,4,1)*MID($K18,4,1),MID(DY19,5,1)*MID($K18,5,1),MID(DY19,6,1)*MID($K18,6,1),MID(DY19,7,1)*MID($K18,7,1),MID(DY19,8,1)*MID($K18,8,1),MID(DY19,9,1)*MID($K18,1,1),MID(DY19,10,1)*MID($K18,2,1),MID(DY19,11,1)*MID($K18,3,1),MID(DY19,12,1)*MID($K18,4,1),MID(DY19,13,1)*MID($K18,5,1),MID(DY19,14,1)*MID($K18,6,1),MID(DY19,15,1)*MID($K18,7,1),MID(DY19,16,1)*MID($K18,8,1),MID(DY19,17,1)*MID($K18,1,1),MID(DY19,18,1)*MID($K18,2,1),MID(DY19,19,1)*MID($K18,3,1),MID(DY19,20,1)*MID($K18,4,1),MID(DY19,21,1)*MID($K18,5,1),MID(DY19,22,1)*MID($K18,6,1),MID(DY19,23,1)*MID($K18,7,1),MID(DY19,24,1)*MID($K18,8,1),MID(DY19,25,1)*MID($K18,1,1),MID(DY19,26,1)*MID($K18,2,1),MID(DY19,27,1)*MID($K18,3,1),MID(DY19,28,1)*MID($K18,4,1),MID(DY19,29,1)*MID($K18,5,1),MID(DY19,30,1)*MID($K18,6,1),MID(DY19,31,1)*MID($K18,7,1),MID(DY19,32,1)*MID($K18,8,1))</f>
        <v>00100000001000000010000000000000</v>
      </c>
      <c r="FC19" s="30" t="str">
        <f t="shared" si="180"/>
        <v>00100000</v>
      </c>
      <c r="FD19" s="30" t="str">
        <f t="shared" si="97"/>
        <v>00100000</v>
      </c>
      <c r="FE19" s="30" t="str">
        <f t="shared" si="98"/>
        <v>00100000</v>
      </c>
      <c r="FF19" s="30" t="str">
        <f t="shared" si="99"/>
        <v>00000000</v>
      </c>
      <c r="FG19" s="78"/>
      <c r="FH19" s="78"/>
      <c r="FI19" s="78"/>
      <c r="FJ19" s="78"/>
      <c r="FK19" s="31" t="str">
        <f t="shared" si="100"/>
        <v>0110</v>
      </c>
      <c r="FL19" s="31" t="str">
        <f t="shared" si="101"/>
        <v>1100</v>
      </c>
      <c r="FM19" s="31" t="str">
        <f t="shared" si="102"/>
        <v>1110</v>
      </c>
      <c r="FN19" s="31" t="str">
        <f t="shared" si="103"/>
        <v>0001</v>
      </c>
      <c r="FO19" s="31" t="str">
        <f t="shared" si="104"/>
        <v>1110</v>
      </c>
      <c r="FP19" s="31" t="str">
        <f t="shared" si="105"/>
        <v>1010</v>
      </c>
      <c r="FQ19" s="31" t="str">
        <f t="shared" si="106"/>
        <v>1100</v>
      </c>
      <c r="FR19" s="31" t="str">
        <f t="shared" si="107"/>
        <v>0001</v>
      </c>
      <c r="FS19" s="78"/>
      <c r="FT19" s="78"/>
      <c r="FU19" s="78"/>
      <c r="FV19" s="78"/>
      <c r="FW19" s="78"/>
      <c r="FX19" s="78"/>
      <c r="FY19" s="78"/>
      <c r="FZ19" s="78"/>
      <c r="GA19" s="30" t="str">
        <f t="shared" si="18"/>
        <v>0010000000100000</v>
      </c>
      <c r="GB19" s="30" t="str">
        <f t="shared" si="19"/>
        <v>0010000000000000</v>
      </c>
      <c r="GC19" s="78"/>
      <c r="GD19" s="78"/>
      <c r="GE19" s="48" t="str">
        <f>DY19</f>
        <v>00100000001000010010001000000001</v>
      </c>
      <c r="GF19" s="30" t="str">
        <f t="shared" si="182"/>
        <v>00100000</v>
      </c>
      <c r="GG19" s="30" t="str">
        <f t="shared" si="108"/>
        <v>00100001</v>
      </c>
      <c r="GH19" s="30" t="str">
        <f t="shared" si="109"/>
        <v>00100010</v>
      </c>
      <c r="GI19" s="30" t="str">
        <f t="shared" si="110"/>
        <v>00000001</v>
      </c>
      <c r="GJ19" s="78"/>
      <c r="GK19" s="78"/>
      <c r="GL19" s="78"/>
      <c r="GM19" s="78"/>
      <c r="GN19" s="31" t="str">
        <f t="shared" si="111"/>
        <v>0110</v>
      </c>
      <c r="GO19" s="31" t="str">
        <f t="shared" si="112"/>
        <v>1100</v>
      </c>
      <c r="GP19" s="31" t="str">
        <f t="shared" si="113"/>
        <v>1110</v>
      </c>
      <c r="GQ19" s="31" t="str">
        <f t="shared" si="114"/>
        <v>0001</v>
      </c>
      <c r="GR19" s="31" t="str">
        <f t="shared" si="115"/>
        <v>1110</v>
      </c>
      <c r="GS19" s="31" t="str">
        <f t="shared" si="116"/>
        <v>1010</v>
      </c>
      <c r="GT19" s="31" t="str">
        <f t="shared" si="117"/>
        <v>1100</v>
      </c>
      <c r="GU19" s="31" t="str">
        <f t="shared" si="118"/>
        <v>0001</v>
      </c>
      <c r="GV19" s="78"/>
      <c r="GW19" s="78"/>
      <c r="GX19" s="78"/>
      <c r="GY19" s="78"/>
      <c r="GZ19" s="78"/>
      <c r="HA19" s="78"/>
      <c r="HB19" s="78"/>
      <c r="HC19" s="78"/>
      <c r="HD19" s="30" t="str">
        <f t="shared" si="21"/>
        <v>0010000000100001</v>
      </c>
      <c r="HE19" s="30" t="str">
        <f t="shared" si="22"/>
        <v>0010001000000001</v>
      </c>
      <c r="HF19" s="78"/>
      <c r="HG19" s="78"/>
      <c r="HH19" s="48" t="str">
        <f>FB19</f>
        <v>00100000001000000010000000000000</v>
      </c>
      <c r="HI19" s="30" t="str">
        <f t="shared" si="184"/>
        <v>00100000</v>
      </c>
      <c r="HJ19" s="30" t="str">
        <f t="shared" si="119"/>
        <v>00100000</v>
      </c>
      <c r="HK19" s="30" t="str">
        <f t="shared" si="120"/>
        <v>00100000</v>
      </c>
      <c r="HL19" s="30" t="str">
        <f t="shared" si="121"/>
        <v>00000000</v>
      </c>
      <c r="HM19" s="78"/>
      <c r="HN19" s="78"/>
      <c r="HO19" s="78"/>
      <c r="HP19" s="78"/>
      <c r="HQ19" s="31" t="str">
        <f t="shared" si="122"/>
        <v>0110</v>
      </c>
      <c r="HR19" s="31" t="str">
        <f t="shared" si="123"/>
        <v>1100</v>
      </c>
      <c r="HS19" s="31" t="str">
        <f t="shared" si="124"/>
        <v>1110</v>
      </c>
      <c r="HT19" s="31" t="str">
        <f t="shared" si="125"/>
        <v>0001</v>
      </c>
      <c r="HU19" s="31" t="str">
        <f t="shared" si="126"/>
        <v>1110</v>
      </c>
      <c r="HV19" s="31" t="str">
        <f t="shared" si="127"/>
        <v>1010</v>
      </c>
      <c r="HW19" s="31" t="str">
        <f t="shared" si="128"/>
        <v>1100</v>
      </c>
      <c r="HX19" s="31" t="str">
        <f t="shared" si="129"/>
        <v>0001</v>
      </c>
      <c r="HY19" s="78"/>
      <c r="HZ19" s="78"/>
      <c r="IA19" s="78"/>
      <c r="IB19" s="78"/>
      <c r="IC19" s="78"/>
      <c r="ID19" s="78"/>
      <c r="IE19" s="78"/>
      <c r="IF19" s="78"/>
      <c r="IG19" s="30" t="str">
        <f t="shared" si="24"/>
        <v>0010000000100000</v>
      </c>
      <c r="IH19" s="30" t="str">
        <f t="shared" si="25"/>
        <v>0010000000000000</v>
      </c>
      <c r="II19" s="78"/>
      <c r="IJ19" s="78"/>
      <c r="IK19" s="44" t="str">
        <f>L19</f>
        <v>01101100111000011110101011000001</v>
      </c>
      <c r="IL19" s="30" t="str">
        <f t="shared" si="186"/>
        <v>01101100</v>
      </c>
      <c r="IM19" s="30" t="str">
        <f t="shared" si="130"/>
        <v>11100001</v>
      </c>
      <c r="IN19" s="30" t="str">
        <f t="shared" si="131"/>
        <v>11101010</v>
      </c>
      <c r="IO19" s="30" t="str">
        <f t="shared" si="132"/>
        <v>11000001</v>
      </c>
      <c r="IP19" s="78"/>
      <c r="IQ19" s="78"/>
      <c r="IR19" s="78"/>
      <c r="IS19" s="78"/>
      <c r="IT19" s="31" t="str">
        <f t="shared" si="133"/>
        <v>0110</v>
      </c>
      <c r="IU19" s="31" t="str">
        <f t="shared" si="134"/>
        <v>1100</v>
      </c>
      <c r="IV19" s="31" t="str">
        <f t="shared" si="135"/>
        <v>1110</v>
      </c>
      <c r="IW19" s="31" t="str">
        <f t="shared" si="136"/>
        <v>0001</v>
      </c>
      <c r="IX19" s="31" t="str">
        <f t="shared" si="137"/>
        <v>1110</v>
      </c>
      <c r="IY19" s="31" t="str">
        <f t="shared" si="138"/>
        <v>1010</v>
      </c>
      <c r="IZ19" s="31" t="str">
        <f t="shared" si="139"/>
        <v>1100</v>
      </c>
      <c r="JA19" s="31" t="str">
        <f t="shared" si="140"/>
        <v>0001</v>
      </c>
      <c r="JB19" s="78"/>
      <c r="JC19" s="78"/>
      <c r="JD19" s="78"/>
      <c r="JE19" s="78"/>
      <c r="JF19" s="78"/>
      <c r="JG19" s="78"/>
      <c r="JH19" s="78"/>
      <c r="JI19" s="78"/>
      <c r="JJ19" s="30" t="str">
        <f t="shared" si="27"/>
        <v>0110110011100001</v>
      </c>
      <c r="JK19" s="30" t="str">
        <f t="shared" si="28"/>
        <v>1110101011000001</v>
      </c>
      <c r="JL19" s="78"/>
      <c r="JM19" s="78"/>
      <c r="JN19" s="46" t="str">
        <f>L19</f>
        <v>01101100111000011110101011000001</v>
      </c>
      <c r="JO19" s="30" t="str">
        <f t="shared" si="188"/>
        <v>01101100</v>
      </c>
      <c r="JP19" s="30" t="str">
        <f t="shared" si="141"/>
        <v>11100001</v>
      </c>
      <c r="JQ19" s="30" t="str">
        <f t="shared" si="142"/>
        <v>11101010</v>
      </c>
      <c r="JR19" s="30" t="str">
        <f t="shared" si="143"/>
        <v>11000001</v>
      </c>
      <c r="JS19" s="78"/>
      <c r="JT19" s="78"/>
      <c r="JU19" s="78"/>
      <c r="JV19" s="78"/>
      <c r="JW19" s="31" t="str">
        <f t="shared" si="144"/>
        <v>0110</v>
      </c>
      <c r="JX19" s="31" t="str">
        <f t="shared" si="145"/>
        <v>1100</v>
      </c>
      <c r="JY19" s="31" t="str">
        <f t="shared" si="146"/>
        <v>1110</v>
      </c>
      <c r="JZ19" s="31" t="str">
        <f t="shared" si="147"/>
        <v>0001</v>
      </c>
      <c r="KA19" s="31" t="str">
        <f t="shared" si="148"/>
        <v>1110</v>
      </c>
      <c r="KB19" s="31" t="str">
        <f t="shared" si="149"/>
        <v>1010</v>
      </c>
      <c r="KC19" s="31" t="str">
        <f t="shared" si="150"/>
        <v>1100</v>
      </c>
      <c r="KD19" s="31" t="str">
        <f t="shared" si="151"/>
        <v>0001</v>
      </c>
      <c r="KE19" s="78"/>
      <c r="KF19" s="78"/>
      <c r="KG19" s="78"/>
      <c r="KH19" s="78"/>
      <c r="KI19" s="78"/>
      <c r="KJ19" s="78"/>
      <c r="KK19" s="78"/>
      <c r="KL19" s="78"/>
      <c r="KM19" s="30" t="str">
        <f t="shared" si="30"/>
        <v>0110110011100001</v>
      </c>
      <c r="KN19" s="30" t="str">
        <f t="shared" si="31"/>
        <v>1110101011000001</v>
      </c>
      <c r="KO19" s="78"/>
      <c r="KP19" s="78"/>
      <c r="KQ19" s="48" t="str">
        <f>AO19</f>
        <v>01100100011000000110000001000000</v>
      </c>
      <c r="KR19" s="30" t="str">
        <f t="shared" si="190"/>
        <v>01100100</v>
      </c>
      <c r="KS19" s="30" t="str">
        <f t="shared" si="152"/>
        <v>01100000</v>
      </c>
      <c r="KT19" s="30" t="str">
        <f t="shared" si="153"/>
        <v>01100000</v>
      </c>
      <c r="KU19" s="30" t="str">
        <f t="shared" si="154"/>
        <v>01000000</v>
      </c>
      <c r="KV19" s="78"/>
      <c r="KW19" s="78"/>
      <c r="KX19" s="78"/>
      <c r="KY19" s="78"/>
      <c r="KZ19" s="31" t="str">
        <f t="shared" si="155"/>
        <v>0110</v>
      </c>
      <c r="LA19" s="31" t="str">
        <f t="shared" si="156"/>
        <v>1100</v>
      </c>
      <c r="LB19" s="31" t="str">
        <f t="shared" si="157"/>
        <v>1110</v>
      </c>
      <c r="LC19" s="31" t="str">
        <f t="shared" si="158"/>
        <v>0001</v>
      </c>
      <c r="LD19" s="31" t="str">
        <f t="shared" si="159"/>
        <v>1110</v>
      </c>
      <c r="LE19" s="31" t="str">
        <f t="shared" si="160"/>
        <v>1010</v>
      </c>
      <c r="LF19" s="31" t="str">
        <f t="shared" si="161"/>
        <v>1100</v>
      </c>
      <c r="LG19" s="31" t="str">
        <f t="shared" si="162"/>
        <v>0001</v>
      </c>
      <c r="LH19" s="78"/>
      <c r="LI19" s="78"/>
      <c r="LJ19" s="78"/>
      <c r="LK19" s="78"/>
      <c r="LL19" s="78"/>
      <c r="LM19" s="78"/>
      <c r="LN19" s="78"/>
      <c r="LO19" s="78"/>
      <c r="LP19" s="30" t="str">
        <f t="shared" si="33"/>
        <v>0110010001100000</v>
      </c>
      <c r="LQ19" s="30" t="str">
        <f t="shared" si="34"/>
        <v>0110000001000000</v>
      </c>
      <c r="LR19" s="78"/>
      <c r="LS19" s="78"/>
      <c r="LT19" s="48" t="str">
        <f>GE19</f>
        <v>00100000001000010010001000000001</v>
      </c>
      <c r="LU19" s="30" t="str">
        <f t="shared" si="192"/>
        <v>00100000</v>
      </c>
      <c r="LV19" s="30" t="str">
        <f t="shared" si="163"/>
        <v>00100001</v>
      </c>
      <c r="LW19" s="30" t="str">
        <f t="shared" si="164"/>
        <v>00100010</v>
      </c>
      <c r="LX19" s="30" t="str">
        <f t="shared" si="165"/>
        <v>00000001</v>
      </c>
      <c r="LY19" s="78"/>
      <c r="LZ19" s="78"/>
      <c r="MA19" s="78"/>
      <c r="MB19" s="78"/>
      <c r="MC19" s="31" t="str">
        <f t="shared" si="166"/>
        <v>0110</v>
      </c>
      <c r="MD19" s="31" t="str">
        <f t="shared" si="167"/>
        <v>1100</v>
      </c>
      <c r="ME19" s="31" t="str">
        <f t="shared" si="168"/>
        <v>1110</v>
      </c>
      <c r="MF19" s="31" t="str">
        <f t="shared" si="169"/>
        <v>0001</v>
      </c>
      <c r="MG19" s="31" t="str">
        <f t="shared" si="170"/>
        <v>1110</v>
      </c>
      <c r="MH19" s="31" t="str">
        <f t="shared" si="171"/>
        <v>1010</v>
      </c>
      <c r="MI19" s="31" t="str">
        <f t="shared" si="172"/>
        <v>1100</v>
      </c>
      <c r="MJ19" s="31" t="str">
        <f t="shared" si="173"/>
        <v>0001</v>
      </c>
      <c r="MK19" s="78"/>
      <c r="ML19" s="78"/>
      <c r="MM19" s="78"/>
      <c r="MN19" s="78"/>
      <c r="MO19" s="78"/>
      <c r="MP19" s="78"/>
      <c r="MQ19" s="78"/>
      <c r="MR19" s="78"/>
      <c r="MS19" s="30" t="str">
        <f t="shared" si="36"/>
        <v>0010000000100001</v>
      </c>
      <c r="MT19" s="30" t="str">
        <f t="shared" si="37"/>
        <v>0010001000000001</v>
      </c>
      <c r="MU19" s="78"/>
      <c r="MV19" s="78"/>
    </row>
    <row r="20" spans="1:360" s="27" customFormat="1" ht="18.600000000000001" thickBot="1" x14ac:dyDescent="0.4">
      <c r="A20" s="24"/>
      <c r="B20" s="25"/>
      <c r="C20" s="20" t="s">
        <v>0</v>
      </c>
      <c r="D20" s="20">
        <v>37</v>
      </c>
      <c r="E20" s="20" t="s">
        <v>89</v>
      </c>
      <c r="F20" s="20" t="s">
        <v>24</v>
      </c>
      <c r="G20" s="20">
        <v>92</v>
      </c>
      <c r="H20" s="20" t="str">
        <f t="shared" ref="H20:H41" si="278">CONCATENATE(HEX2BIN(D20,8),HEX2BIN(E20,8),HEX2BIN(F20,8),HEX2BIN(G20,8))</f>
        <v>00110111111000111011010110010010</v>
      </c>
      <c r="I20" s="20">
        <f t="shared" ref="I20:I41" si="279">MID(H20,1,1)+MID(H20,2,1)+MID(H20,3,1)+MID(H20,4,1)+MID(H20,5,1)+MID(H20,6,1)+MID(H20,7,1)+MID(H20,8,1)+MID(H20,9,1)+MID(H20,10,1)+MID(H20,11,1)+MID(H20,12,1)+MID(H20,13,1)+MID(H20,14,1)+MID(H20,15,1)+MID(H20,16,1)+MID(H20,17,1)+MID(H20,18,1)+MID(H20,19,1)+MID(H20,20,1)+MID(H20,21,1)+MID(H20,22,1)+MID(H20,23,1)+MID(H20,24,1)+MID(H20,25,1)+MID(H20,26,1)+MID(H20,27,1)+MID(H20,28,1)+MID(H20,29,1)+MID(H20,30,1)+MID(H20,31,1)+MID(H20,32,1)</f>
        <v>18</v>
      </c>
      <c r="J20" s="20">
        <v>64</v>
      </c>
      <c r="K20" s="20" t="str">
        <f>HEX2BIN(J20,8)</f>
        <v>01100100</v>
      </c>
      <c r="L20" s="43" t="str">
        <f>CONCATENATE(MID(H20,17,16),MID(H20,1,16))</f>
        <v>10110101100100100011011111100011</v>
      </c>
      <c r="M20" s="26" t="str">
        <f t="shared" si="38"/>
        <v>10110</v>
      </c>
      <c r="N20" s="26" t="str">
        <f t="shared" si="39"/>
        <v>10010</v>
      </c>
      <c r="O20" s="26" t="str">
        <f t="shared" si="40"/>
        <v>00110</v>
      </c>
      <c r="P20" s="26" t="str">
        <f t="shared" si="41"/>
        <v>11100</v>
      </c>
      <c r="Q20" s="77">
        <f>BIN2DEC(M20)-BIN2DEC(M21)</f>
        <v>7</v>
      </c>
      <c r="R20" s="77">
        <f>BIN2DEC(N20)-BIN2DEC(N21)</f>
        <v>-12</v>
      </c>
      <c r="S20" s="77">
        <f>BIN2DEC(O20)-BIN2DEC(O21)</f>
        <v>-18</v>
      </c>
      <c r="T20" s="77">
        <f>BIN2DEC(P20)-BIN2DEC(P21)</f>
        <v>26</v>
      </c>
      <c r="U20" s="27" t="str">
        <f t="shared" si="42"/>
        <v>1011</v>
      </c>
      <c r="V20" s="27" t="str">
        <f t="shared" si="43"/>
        <v>0101</v>
      </c>
      <c r="W20" s="27" t="str">
        <f t="shared" si="44"/>
        <v>1001</v>
      </c>
      <c r="X20" s="27" t="str">
        <f t="shared" si="45"/>
        <v>0010</v>
      </c>
      <c r="Y20" s="27" t="str">
        <f t="shared" si="46"/>
        <v>0011</v>
      </c>
      <c r="Z20" s="27" t="str">
        <f t="shared" si="47"/>
        <v>0111</v>
      </c>
      <c r="AA20" s="27" t="str">
        <f t="shared" si="48"/>
        <v>1110</v>
      </c>
      <c r="AB20" s="27" t="str">
        <f t="shared" si="49"/>
        <v>0011</v>
      </c>
      <c r="AC20" s="77">
        <f>BIN2DEC(U20)-BIN2DEC(U21)</f>
        <v>4</v>
      </c>
      <c r="AD20" s="77">
        <f t="shared" ref="AD20:AI20" si="280">BIN2DEC(V20)-BIN2DEC(V21)</f>
        <v>-10</v>
      </c>
      <c r="AE20" s="77">
        <f t="shared" si="280"/>
        <v>-6</v>
      </c>
      <c r="AF20" s="77">
        <f t="shared" si="280"/>
        <v>-5</v>
      </c>
      <c r="AG20" s="77">
        <f t="shared" si="280"/>
        <v>-9</v>
      </c>
      <c r="AH20" s="77">
        <f t="shared" si="280"/>
        <v>0</v>
      </c>
      <c r="AI20" s="77">
        <f t="shared" si="280"/>
        <v>13</v>
      </c>
      <c r="AJ20" s="77">
        <f>BIN2DEC(AB20)-BIN2DEC(AB21)</f>
        <v>3</v>
      </c>
      <c r="AK20" s="26" t="str">
        <f t="shared" si="3"/>
        <v>1011010110010010</v>
      </c>
      <c r="AL20" s="26" t="str">
        <f t="shared" si="4"/>
        <v>0011011111100011</v>
      </c>
      <c r="AM20" s="77">
        <f>MID(AK20,16,1)*POWER(2,0)+MID(AK20,15,1)*POWER(2,1)+MID(AK20,14,1)*POWER(2,2)+MID(AK20,13,1)*POWER(2,3)+MID(AK20,12,1)*POWER(2,4)+MID(AK20,11,1)*POWER(2,5)+MID(AK20,10,1)*POWER(2,6)+MID(AK20,9,1)*POWER(2,7)+MID(AK20,8,1)*POWER(2,8)+MID(AK20,7,1)*POWER(2,9)+MID(AK20,6,1)*POWER(2,10)+MID(AK20,5,1)*POWER(2,11)+MID(AK20,4,1)*POWER(2,12)+MID(AK20,3,1)*POWER(2,13)+MID(AK20,2,1)*POWER(2,14)+MID(AK20,1,1)*POWER(2,15)-(MID(AK21,16,1)*POWER(2,0)+MID(AK21,15,1)*POWER(2,1)+MID(AK21,14,1)*POWER(2,2)+MID(AK21,13,1)*POWER(2,3)+MID(AK21,12,1)*POWER(2,4)+MID(AK21,11,1)*POWER(2,5)+MID(AK21,10,1)*POWER(2,6)+MID(AK21,9,1)*POWER(2,7)+MID(AK21,8,1)*POWER(2,8)+MID(AK21,7,1)*POWER(2,9)+MID(AK21,6,1)*POWER(2,10)+MID(AK21,5,1)*POWER(2,11)+MID(AK21,4,1)*POWER(2,12)+MID(AK21,3,1)*POWER(2,13)+MID(AK21,2,1)*POWER(2,14)+MID(AK21,1,1)*POWER(2,15))</f>
        <v>13723</v>
      </c>
      <c r="AN20" s="77">
        <f>MID(AL20,16,1)*POWER(2,0)+MID(AL20,15,1)*POWER(2,1)+MID(AL20,14,1)*POWER(2,2)+MID(AL20,13,1)*POWER(2,3)+MID(AL20,12,1)*POWER(2,4)+MID(AL20,11,1)*POWER(2,5)+MID(AL20,10,1)*POWER(2,6)+MID(AL20,9,1)*POWER(2,7)+MID(AL20,8,1)*POWER(2,8)+MID(AL20,7,1)*POWER(2,9)+MID(AL20,6,1)*POWER(2,10)+MID(AL20,5,1)*POWER(2,11)+MID(AL20,4,1)*POWER(2,12)+MID(AL20,3,1)*POWER(2,13)+MID(AL20,2,1)*POWER(2,14)+MID(AL20,1,1)*POWER(2,15)-(MID(AL21,16,1)*POWER(2,0)+MID(AL21,15,1)*POWER(2,1)+MID(AL21,14,1)*POWER(2,2)+MID(AL21,13,1)*POWER(2,3)+MID(AL21,12,1)*POWER(2,4)+MID(AL21,11,1)*POWER(2,5)+MID(AL21,10,1)*POWER(2,6)+MID(AL21,9,1)*POWER(2,7)+MID(AL21,8,1)*POWER(2,8)+MID(AL21,7,1)*POWER(2,9)+MID(AL21,6,1)*POWER(2,10)+MID(AL21,5,1)*POWER(2,11)+MID(AL21,4,1)*POWER(2,12)+MID(AL21,3,1)*POWER(2,13)+MID(AL21,2,1)*POWER(2,14)+MID(AL21,1,1)*POWER(2,15))</f>
        <v>-36653</v>
      </c>
      <c r="AO20" s="45" t="str">
        <f>L20</f>
        <v>10110101100100100011011111100011</v>
      </c>
      <c r="AP20" s="26" t="str">
        <f t="shared" si="50"/>
        <v>10110101</v>
      </c>
      <c r="AQ20" s="26" t="str">
        <f t="shared" si="51"/>
        <v>10010010</v>
      </c>
      <c r="AR20" s="26" t="str">
        <f t="shared" si="52"/>
        <v>00110111</v>
      </c>
      <c r="AS20" s="26" t="str">
        <f t="shared" si="53"/>
        <v>11100011</v>
      </c>
      <c r="AT20" s="77">
        <f>BIN2DEC(AP20)-BIN2DEC(AP21)</f>
        <v>81</v>
      </c>
      <c r="AU20" s="77">
        <f>BIN2DEC(AQ20)-BIN2DEC(AQ21)</f>
        <v>46</v>
      </c>
      <c r="AV20" s="77">
        <f>BIN2DEC(AR20)-BIN2DEC(AR21)</f>
        <v>-13</v>
      </c>
      <c r="AW20" s="77">
        <f>BIN2DEC(AS20)-BIN2DEC(AS21)</f>
        <v>227</v>
      </c>
      <c r="AX20" s="27" t="str">
        <f t="shared" si="54"/>
        <v>1011</v>
      </c>
      <c r="AY20" s="27" t="str">
        <f t="shared" si="55"/>
        <v>0101</v>
      </c>
      <c r="AZ20" s="27" t="str">
        <f t="shared" si="56"/>
        <v>1001</v>
      </c>
      <c r="BA20" s="27" t="str">
        <f t="shared" si="57"/>
        <v>0010</v>
      </c>
      <c r="BB20" s="27" t="str">
        <f t="shared" si="58"/>
        <v>0011</v>
      </c>
      <c r="BC20" s="27" t="str">
        <f t="shared" si="59"/>
        <v>0111</v>
      </c>
      <c r="BD20" s="27" t="str">
        <f t="shared" si="60"/>
        <v>1110</v>
      </c>
      <c r="BE20" s="27" t="str">
        <f t="shared" si="61"/>
        <v>0011</v>
      </c>
      <c r="BF20" s="77">
        <f>BIN2DEC(AX20)-BIN2DEC(AX21)</f>
        <v>4</v>
      </c>
      <c r="BG20" s="77">
        <f t="shared" ref="BG20:BL20" si="281">BIN2DEC(AY20)-BIN2DEC(AY21)</f>
        <v>-10</v>
      </c>
      <c r="BH20" s="77">
        <f t="shared" si="281"/>
        <v>-6</v>
      </c>
      <c r="BI20" s="77">
        <f t="shared" si="281"/>
        <v>-5</v>
      </c>
      <c r="BJ20" s="77">
        <f t="shared" si="281"/>
        <v>-9</v>
      </c>
      <c r="BK20" s="77">
        <f t="shared" si="281"/>
        <v>0</v>
      </c>
      <c r="BL20" s="77">
        <f t="shared" si="281"/>
        <v>13</v>
      </c>
      <c r="BM20" s="77">
        <f>BIN2DEC(BE20)-BIN2DEC(BE21)</f>
        <v>3</v>
      </c>
      <c r="BN20" s="26" t="str">
        <f t="shared" si="6"/>
        <v>1011010110010010</v>
      </c>
      <c r="BO20" s="26" t="str">
        <f t="shared" si="7"/>
        <v>0011011111100011</v>
      </c>
      <c r="BP20" s="77">
        <f>MID(BN20,16,1)*POWER(2,0)+MID(BN20,15,1)*POWER(2,1)+MID(BN20,14,1)*POWER(2,2)+MID(BN20,13,1)*POWER(2,3)+MID(BN20,12,1)*POWER(2,4)+MID(BN20,11,1)*POWER(2,5)+MID(BN20,10,1)*POWER(2,6)+MID(BN20,9,1)*POWER(2,7)+MID(BN20,8,1)*POWER(2,8)+MID(BN20,7,1)*POWER(2,9)+MID(BN20,6,1)*POWER(2,10)+MID(BN20,5,1)*POWER(2,11)+MID(BN20,4,1)*POWER(2,12)+MID(BN20,3,1)*POWER(2,13)+MID(BN20,2,1)*POWER(2,14)+MID(BN20,1,1)*POWER(2,15)-(MID(BN21,16,1)*POWER(2,0)+MID(BN21,15,1)*POWER(2,1)+MID(BN21,14,1)*POWER(2,2)+MID(BN21,13,1)*POWER(2,3)+MID(BN21,12,1)*POWER(2,4)+MID(BN21,11,1)*POWER(2,5)+MID(BN21,10,1)*POWER(2,6)+MID(BN21,9,1)*POWER(2,7)+MID(BN21,8,1)*POWER(2,8)+MID(BN21,7,1)*POWER(2,9)+MID(BN21,6,1)*POWER(2,10)+MID(BN21,5,1)*POWER(2,11)+MID(BN21,4,1)*POWER(2,12)+MID(BN21,3,1)*POWER(2,13)+MID(BN21,2,1)*POWER(2,14)+MID(BN21,1,1)*POWER(2,15))</f>
        <v>20782</v>
      </c>
      <c r="BQ20" s="77">
        <f>MID(BO20,16,1)*POWER(2,0)+MID(BO20,15,1)*POWER(2,1)+MID(BO20,14,1)*POWER(2,2)+MID(BO20,13,1)*POWER(2,3)+MID(BO20,12,1)*POWER(2,4)+MID(BO20,11,1)*POWER(2,5)+MID(BO20,10,1)*POWER(2,6)+MID(BO20,9,1)*POWER(2,7)+MID(BO20,8,1)*POWER(2,8)+MID(BO20,7,1)*POWER(2,9)+MID(BO20,6,1)*POWER(2,10)+MID(BO20,5,1)*POWER(2,11)+MID(BO20,4,1)*POWER(2,12)+MID(BO20,3,1)*POWER(2,13)+MID(BO20,2,1)*POWER(2,14)+MID(BO20,1,1)*POWER(2,15)-(MID(BO21,16,1)*POWER(2,0)+MID(BO21,15,1)*POWER(2,1)+MID(BO21,14,1)*POWER(2,2)+MID(BO21,13,1)*POWER(2,3)+MID(BO21,12,1)*POWER(2,4)+MID(BO21,11,1)*POWER(2,5)+MID(BO21,10,1)*POWER(2,6)+MID(BO21,9,1)*POWER(2,7)+MID(BO21,8,1)*POWER(2,8)+MID(BO21,7,1)*POWER(2,9)+MID(BO21,6,1)*POWER(2,10)+MID(BO21,5,1)*POWER(2,11)+MID(BO21,4,1)*POWER(2,12)+MID(BO21,3,1)*POWER(2,13)+MID(BO21,2,1)*POWER(2,14)+MID(BO21,1,1)*POWER(2,15))</f>
        <v>-3101</v>
      </c>
      <c r="BR20" s="45" t="str">
        <f>CONCATENATE(MID($L20,1,1)*MID($K20,1,1),MID($L20,2,1)*MID($K20,2,1),MID($L20,3,1)*MID($K20,3,1),MID($L20,4,1)*MID($K20,4,1),MID($L20,5,1)*MID($K20,5,1),MID($L20,6,1)*MID($K20,6,1),MID($L20,7,1)*MID($K20,7,1),MID($L20,8,1)*MID($K20,8,1),MID($L20,9,1)*MID($K20,1,1),MID($L20,10,1)*MID($K20,2,1),MID($L20,11,1)*MID($K20,3,1),MID($L20,12,1)*MID($K20,4,1),MID($L20,13,1)*MID($K20,5,1),MID($L20,14,1)*MID($K20,6,1),MID($L20,15,1)*MID($K20,7,1),MID($L20,16,1)*MID($K20,8,1),MID($L20,17,1)*MID($K20,1,1),MID($L20,18,1)*MID($K20,2,1),MID($L20,19,1)*MID($K20,3,1),MID($L20,20,1)*MID($K20,4,1),MID($L20,21,1)*MID($K20,5,1),MID($L20,22,1)*MID($K20,6,1),MID($L20,23,1)*MID($K20,7,1),MID($L20,24,1)*MID($K20,8,1),MID($L20,25,1)*MID($K20,1,1),MID($L20,26,1)*MID($K20,2,1),MID($L20,27,1)*MID($K20,3,1),MID($L20,28,1)*MID($K20,4,1),MID($L20,29,1)*MID($K20,5,1),MID($L20,30,1)*MID($K20,6,1),MID($L20,31,1)*MID($K20,7,1),MID($L20,32,1)*MID($K20,8,1))</f>
        <v>00100100000000000010010001100000</v>
      </c>
      <c r="BS20" s="26" t="str">
        <f t="shared" si="62"/>
        <v>00100100</v>
      </c>
      <c r="BT20" s="26" t="str">
        <f t="shared" si="63"/>
        <v>00000000</v>
      </c>
      <c r="BU20" s="26" t="str">
        <f t="shared" si="64"/>
        <v>00100100</v>
      </c>
      <c r="BV20" s="26" t="str">
        <f t="shared" si="65"/>
        <v>01100000</v>
      </c>
      <c r="BW20" s="77">
        <f>BIN2DEC(BS20)-BIN2DEC(BS21)</f>
        <v>-91</v>
      </c>
      <c r="BX20" s="77">
        <f>BIN2DEC(BT20)-BIN2DEC(BT21)</f>
        <v>-247</v>
      </c>
      <c r="BY20" s="77">
        <f>BIN2DEC(BU20)-BIN2DEC(BU21)</f>
        <v>-163</v>
      </c>
      <c r="BZ20" s="77">
        <f>BIN2DEC(BV20)-BIN2DEC(BV21)</f>
        <v>80</v>
      </c>
      <c r="CA20" s="27" t="str">
        <f t="shared" si="66"/>
        <v>1011</v>
      </c>
      <c r="CB20" s="27" t="str">
        <f t="shared" si="67"/>
        <v>0101</v>
      </c>
      <c r="CC20" s="27" t="str">
        <f t="shared" si="68"/>
        <v>1001</v>
      </c>
      <c r="CD20" s="27" t="str">
        <f t="shared" si="69"/>
        <v>0010</v>
      </c>
      <c r="CE20" s="27" t="str">
        <f t="shared" si="70"/>
        <v>0011</v>
      </c>
      <c r="CF20" s="27" t="str">
        <f t="shared" si="71"/>
        <v>0111</v>
      </c>
      <c r="CG20" s="27" t="str">
        <f t="shared" si="72"/>
        <v>1110</v>
      </c>
      <c r="CH20" s="27" t="str">
        <f t="shared" si="73"/>
        <v>0011</v>
      </c>
      <c r="CI20" s="77">
        <f>BIN2DEC(CA20)-BIN2DEC(CA21)</f>
        <v>4</v>
      </c>
      <c r="CJ20" s="77">
        <f t="shared" ref="CJ20:CO20" si="282">BIN2DEC(CB20)-BIN2DEC(CB21)</f>
        <v>-10</v>
      </c>
      <c r="CK20" s="77">
        <f t="shared" si="282"/>
        <v>-6</v>
      </c>
      <c r="CL20" s="77">
        <f t="shared" si="282"/>
        <v>-5</v>
      </c>
      <c r="CM20" s="77">
        <f t="shared" si="282"/>
        <v>-9</v>
      </c>
      <c r="CN20" s="77">
        <f t="shared" si="282"/>
        <v>0</v>
      </c>
      <c r="CO20" s="77">
        <f t="shared" si="282"/>
        <v>13</v>
      </c>
      <c r="CP20" s="77">
        <f>BIN2DEC(CH20)-BIN2DEC(CH21)</f>
        <v>3</v>
      </c>
      <c r="CQ20" s="26" t="str">
        <f t="shared" si="9"/>
        <v>0010010000000000</v>
      </c>
      <c r="CR20" s="26" t="str">
        <f t="shared" si="10"/>
        <v>0010010001100000</v>
      </c>
      <c r="CS20" s="77">
        <f>MID(CQ20,16,1)*POWER(2,0)+MID(CQ20,15,1)*POWER(2,1)+MID(CQ20,14,1)*POWER(2,2)+MID(CQ20,13,1)*POWER(2,3)+MID(CQ20,12,1)*POWER(2,4)+MID(CQ20,11,1)*POWER(2,5)+MID(CQ20,10,1)*POWER(2,6)+MID(CQ20,9,1)*POWER(2,7)+MID(CQ20,8,1)*POWER(2,8)+MID(CQ20,7,1)*POWER(2,9)+MID(CQ20,6,1)*POWER(2,10)+MID(CQ20,5,1)*POWER(2,11)+MID(CQ20,4,1)*POWER(2,12)+MID(CQ20,3,1)*POWER(2,13)+MID(CQ20,2,1)*POWER(2,14)+MID(CQ20,1,1)*POWER(2,15)-(MID(CQ21,16,1)*POWER(2,0)+MID(CQ21,15,1)*POWER(2,1)+MID(CQ21,14,1)*POWER(2,2)+MID(CQ21,13,1)*POWER(2,3)+MID(CQ21,12,1)*POWER(2,4)+MID(CQ21,11,1)*POWER(2,5)+MID(CQ21,10,1)*POWER(2,6)+MID(CQ21,9,1)*POWER(2,7)+MID(CQ21,8,1)*POWER(2,8)+MID(CQ21,7,1)*POWER(2,9)+MID(CQ21,6,1)*POWER(2,10)+MID(CQ21,5,1)*POWER(2,11)+MID(CQ21,4,1)*POWER(2,12)+MID(CQ21,3,1)*POWER(2,13)+MID(CQ21,2,1)*POWER(2,14)+MID(CQ21,1,1)*POWER(2,15))</f>
        <v>-23543</v>
      </c>
      <c r="CT20" s="77">
        <f>MID(CR20,16,1)*POWER(2,0)+MID(CR20,15,1)*POWER(2,1)+MID(CR20,14,1)*POWER(2,2)+MID(CR20,13,1)*POWER(2,3)+MID(CR20,12,1)*POWER(2,4)+MID(CR20,11,1)*POWER(2,5)+MID(CR20,10,1)*POWER(2,6)+MID(CR20,9,1)*POWER(2,7)+MID(CR20,8,1)*POWER(2,8)+MID(CR20,7,1)*POWER(2,9)+MID(CR20,6,1)*POWER(2,10)+MID(CR20,5,1)*POWER(2,11)+MID(CR20,4,1)*POWER(2,12)+MID(CR20,3,1)*POWER(2,13)+MID(CR20,2,1)*POWER(2,14)+MID(CR20,1,1)*POWER(2,15)-(MID(CR21,16,1)*POWER(2,0)+MID(CR21,15,1)*POWER(2,1)+MID(CR21,14,1)*POWER(2,2)+MID(CR21,13,1)*POWER(2,3)+MID(CR21,12,1)*POWER(2,4)+MID(CR21,11,1)*POWER(2,5)+MID(CR21,10,1)*POWER(2,6)+MID(CR21,9,1)*POWER(2,7)+MID(CR21,8,1)*POWER(2,8)+MID(CR21,7,1)*POWER(2,9)+MID(CR21,6,1)*POWER(2,10)+MID(CR21,5,1)*POWER(2,11)+MID(CR21,4,1)*POWER(2,12)+MID(CR21,3,1)*POWER(2,13)+MID(CR21,2,1)*POWER(2,14)+MID(CR21,1,1)*POWER(2,15))</f>
        <v>-41648</v>
      </c>
      <c r="CU20" s="45" t="str">
        <f>BR20</f>
        <v>00100100000000000010010001100000</v>
      </c>
      <c r="CV20" s="26" t="str">
        <f t="shared" si="74"/>
        <v>00100100</v>
      </c>
      <c r="CW20" s="26" t="str">
        <f t="shared" si="75"/>
        <v>00000000</v>
      </c>
      <c r="CX20" s="26" t="str">
        <f t="shared" si="76"/>
        <v>00100100</v>
      </c>
      <c r="CY20" s="26" t="str">
        <f t="shared" si="77"/>
        <v>01100000</v>
      </c>
      <c r="CZ20" s="77">
        <f>BIN2DEC(CV20)-BIN2DEC(CV21)</f>
        <v>-64</v>
      </c>
      <c r="DA20" s="77">
        <f>BIN2DEC(CW20)-BIN2DEC(CW21)</f>
        <v>-100</v>
      </c>
      <c r="DB20" s="77">
        <f>BIN2DEC(CX20)-BIN2DEC(CX21)</f>
        <v>-32</v>
      </c>
      <c r="DC20" s="77">
        <f>BIN2DEC(CY20)-BIN2DEC(CY21)</f>
        <v>96</v>
      </c>
      <c r="DD20" s="27" t="str">
        <f t="shared" si="78"/>
        <v>1011</v>
      </c>
      <c r="DE20" s="27" t="str">
        <f t="shared" si="79"/>
        <v>0101</v>
      </c>
      <c r="DF20" s="27" t="str">
        <f t="shared" si="80"/>
        <v>1001</v>
      </c>
      <c r="DG20" s="27" t="str">
        <f t="shared" si="81"/>
        <v>0010</v>
      </c>
      <c r="DH20" s="27" t="str">
        <f t="shared" si="82"/>
        <v>0011</v>
      </c>
      <c r="DI20" s="27" t="str">
        <f t="shared" si="83"/>
        <v>0111</v>
      </c>
      <c r="DJ20" s="27" t="str">
        <f t="shared" si="84"/>
        <v>1110</v>
      </c>
      <c r="DK20" s="27" t="str">
        <f t="shared" si="85"/>
        <v>0011</v>
      </c>
      <c r="DL20" s="77">
        <f>BIN2DEC(DD20)-BIN2DEC(DD21)</f>
        <v>4</v>
      </c>
      <c r="DM20" s="77">
        <f t="shared" ref="DM20:DR20" si="283">BIN2DEC(DE20)-BIN2DEC(DE21)</f>
        <v>-10</v>
      </c>
      <c r="DN20" s="77">
        <f t="shared" si="283"/>
        <v>-6</v>
      </c>
      <c r="DO20" s="77">
        <f t="shared" si="283"/>
        <v>-5</v>
      </c>
      <c r="DP20" s="77">
        <f t="shared" si="283"/>
        <v>-9</v>
      </c>
      <c r="DQ20" s="77">
        <f t="shared" si="283"/>
        <v>0</v>
      </c>
      <c r="DR20" s="77">
        <f t="shared" si="283"/>
        <v>13</v>
      </c>
      <c r="DS20" s="77">
        <f>BIN2DEC(DK20)-BIN2DEC(DK21)</f>
        <v>3</v>
      </c>
      <c r="DT20" s="26" t="str">
        <f t="shared" si="12"/>
        <v>0010010000000000</v>
      </c>
      <c r="DU20" s="26" t="str">
        <f t="shared" si="13"/>
        <v>0010010001100000</v>
      </c>
      <c r="DV20" s="77">
        <f>MID(DT20,16,1)*POWER(2,0)+MID(DT20,15,1)*POWER(2,1)+MID(DT20,14,1)*POWER(2,2)+MID(DT20,13,1)*POWER(2,3)+MID(DT20,12,1)*POWER(2,4)+MID(DT20,11,1)*POWER(2,5)+MID(DT20,10,1)*POWER(2,6)+MID(DT20,9,1)*POWER(2,7)+MID(DT20,8,1)*POWER(2,8)+MID(DT20,7,1)*POWER(2,9)+MID(DT20,6,1)*POWER(2,10)+MID(DT20,5,1)*POWER(2,11)+MID(DT20,4,1)*POWER(2,12)+MID(DT20,3,1)*POWER(2,13)+MID(DT20,2,1)*POWER(2,14)+MID(DT20,1,1)*POWER(2,15)-(MID(DT21,16,1)*POWER(2,0)+MID(DT21,15,1)*POWER(2,1)+MID(DT21,14,1)*POWER(2,2)+MID(DT21,13,1)*POWER(2,3)+MID(DT21,12,1)*POWER(2,4)+MID(DT21,11,1)*POWER(2,5)+MID(DT21,10,1)*POWER(2,6)+MID(DT21,9,1)*POWER(2,7)+MID(DT21,8,1)*POWER(2,8)+MID(DT21,7,1)*POWER(2,9)+MID(DT21,6,1)*POWER(2,10)+MID(DT21,5,1)*POWER(2,11)+MID(DT21,4,1)*POWER(2,12)+MID(DT21,3,1)*POWER(2,13)+MID(DT21,2,1)*POWER(2,14)+MID(DT21,1,1)*POWER(2,15))</f>
        <v>-16484</v>
      </c>
      <c r="DW20" s="77">
        <f>MID(DU20,16,1)*POWER(2,0)+MID(DU20,15,1)*POWER(2,1)+MID(DU20,14,1)*POWER(2,2)+MID(DU20,13,1)*POWER(2,3)+MID(DU20,12,1)*POWER(2,4)+MID(DU20,11,1)*POWER(2,5)+MID(DU20,10,1)*POWER(2,6)+MID(DU20,9,1)*POWER(2,7)+MID(DU20,8,1)*POWER(2,8)+MID(DU20,7,1)*POWER(2,9)+MID(DU20,6,1)*POWER(2,10)+MID(DU20,5,1)*POWER(2,11)+MID(DU20,4,1)*POWER(2,12)+MID(DU20,3,1)*POWER(2,13)+MID(DU20,2,1)*POWER(2,14)+MID(DU20,1,1)*POWER(2,15)-(MID(DU21,16,1)*POWER(2,0)+MID(DU21,15,1)*POWER(2,1)+MID(DU21,14,1)*POWER(2,2)+MID(DU21,13,1)*POWER(2,3)+MID(DU21,12,1)*POWER(2,4)+MID(DU21,11,1)*POWER(2,5)+MID(DU21,10,1)*POWER(2,6)+MID(DU21,9,1)*POWER(2,7)+MID(DU21,8,1)*POWER(2,8)+MID(DU21,7,1)*POWER(2,9)+MID(DU21,6,1)*POWER(2,10)+MID(DU21,5,1)*POWER(2,11)+MID(DU21,4,1)*POWER(2,12)+MID(DU21,3,1)*POWER(2,13)+MID(DU21,2,1)*POWER(2,14)+MID(DU21,1,1)*POWER(2,15))</f>
        <v>-8096</v>
      </c>
      <c r="DX20" s="22" t="str">
        <f>CONCATENATE(MID($H20,1,1)*MID($K20,1,1),MID($H20,2,1)*MID($K20,2,1),MID($H20,3,1)*MID($K20,3,1),MID($H20,4,1)*MID($K20,4,1),MID($H20,5,1)*MID($K20,5,1),MID($H20,6,1)*MID($K20,6,1),MID($H20,7,1)*MID($K20,7,1),MID($H20,8,1)*MID($K20,8,1),MID($H20,9,1)*MID($K20,1,1),MID($H20,10,1)*MID($K20,2,1),MID($H20,11,1)*MID($K20,3,1),MID($H20,12,1)*MID($K20,4,1),MID($H20,13,1)*MID($K20,5,1),MID($H20,14,1)*MID($K20,6,1),MID($H20,15,1)*MID($K20,7,1),MID($H20,16,1)*MID($K20,8,1),MID($H20,17,1)*MID($K20,1,1),MID($H20,18,1)*MID($K20,2,1),MID($H20,19,1)*MID($K20,3,1),MID($H20,20,1)*MID($K20,4,1),MID($H20,21,1)*MID($K20,5,1),MID($H20,22,1)*MID($K20,6,1),MID($H20,23,1)*MID($K20,7,1),MID($H20,24,1)*MID($K20,8,1),MID($H20,25,1)*MID($K20,1,1),MID($H20,26,1)*MID($K20,2,1),MID($H20,27,1)*MID($K20,3,1),MID($H20,28,1)*MID($K20,4,1),MID($H20,29,1)*MID($K20,5,1),MID($H20,30,1)*MID($K20,6,1),MID($H20,31,1)*MID($K20,7,1),MID($H20,32,1)*MID($K20,8,1))</f>
        <v>00100100011000000010010000000000</v>
      </c>
      <c r="DY20" s="43" t="str">
        <f>L20</f>
        <v>10110101100100100011011111100011</v>
      </c>
      <c r="DZ20" s="26" t="str">
        <f t="shared" si="178"/>
        <v>10110101</v>
      </c>
      <c r="EA20" s="26" t="str">
        <f t="shared" si="86"/>
        <v>10010010</v>
      </c>
      <c r="EB20" s="26" t="str">
        <f t="shared" si="87"/>
        <v>00110111</v>
      </c>
      <c r="EC20" s="26" t="str">
        <f t="shared" si="88"/>
        <v>11100011</v>
      </c>
      <c r="ED20" s="77">
        <f>BIN2DEC(DZ20)-BIN2DEC(DZ21)</f>
        <v>146</v>
      </c>
      <c r="EE20" s="77">
        <f>BIN2DEC(EA20)-BIN2DEC(EA21)</f>
        <v>111</v>
      </c>
      <c r="EF20" s="77">
        <f>BIN2DEC(EB20)-BIN2DEC(EB21)</f>
        <v>52</v>
      </c>
      <c r="EG20" s="77">
        <f>BIN2DEC(EC20)-BIN2DEC(EC21)</f>
        <v>227</v>
      </c>
      <c r="EH20" s="27" t="str">
        <f t="shared" si="89"/>
        <v>1011</v>
      </c>
      <c r="EI20" s="27" t="str">
        <f t="shared" si="90"/>
        <v>0101</v>
      </c>
      <c r="EJ20" s="27" t="str">
        <f t="shared" si="91"/>
        <v>1001</v>
      </c>
      <c r="EK20" s="27" t="str">
        <f t="shared" si="92"/>
        <v>0010</v>
      </c>
      <c r="EL20" s="27" t="str">
        <f t="shared" si="93"/>
        <v>0011</v>
      </c>
      <c r="EM20" s="27" t="str">
        <f t="shared" si="94"/>
        <v>0111</v>
      </c>
      <c r="EN20" s="27" t="str">
        <f t="shared" si="95"/>
        <v>1110</v>
      </c>
      <c r="EO20" s="27" t="str">
        <f t="shared" si="96"/>
        <v>0011</v>
      </c>
      <c r="EP20" s="77">
        <f>BIN2DEC(EH20)-BIN2DEC(EH21)</f>
        <v>4</v>
      </c>
      <c r="EQ20" s="77">
        <f t="shared" ref="EQ20:EV20" si="284">BIN2DEC(EI20)-BIN2DEC(EI21)</f>
        <v>-10</v>
      </c>
      <c r="ER20" s="77">
        <f t="shared" si="284"/>
        <v>-6</v>
      </c>
      <c r="ES20" s="77">
        <f t="shared" si="284"/>
        <v>-5</v>
      </c>
      <c r="ET20" s="77">
        <f t="shared" si="284"/>
        <v>-9</v>
      </c>
      <c r="EU20" s="77">
        <f t="shared" si="284"/>
        <v>0</v>
      </c>
      <c r="EV20" s="77">
        <f t="shared" si="284"/>
        <v>13</v>
      </c>
      <c r="EW20" s="77">
        <f>BIN2DEC(EO20)-BIN2DEC(EO21)</f>
        <v>3</v>
      </c>
      <c r="EX20" s="26" t="str">
        <f t="shared" si="15"/>
        <v>1011010110010010</v>
      </c>
      <c r="EY20" s="26" t="str">
        <f t="shared" si="16"/>
        <v>0011011111100011</v>
      </c>
      <c r="EZ20" s="77">
        <f>MID(EX20,16,1)*POWER(2,0)+MID(EX20,15,1)*POWER(2,1)+MID(EX20,14,1)*POWER(2,2)+MID(EX20,13,1)*POWER(2,3)+MID(EX20,12,1)*POWER(2,4)+MID(EX20,11,1)*POWER(2,5)+MID(EX20,10,1)*POWER(2,6)+MID(EX20,9,1)*POWER(2,7)+MID(EX20,8,1)*POWER(2,8)+MID(EX20,7,1)*POWER(2,9)+MID(EX20,6,1)*POWER(2,10)+MID(EX20,5,1)*POWER(2,11)+MID(EX20,4,1)*POWER(2,12)+MID(EX20,3,1)*POWER(2,13)+MID(EX20,2,1)*POWER(2,14)+MID(EX20,1,1)*POWER(2,15)-(MID(EX21,16,1)*POWER(2,0)+MID(EX21,15,1)*POWER(2,1)+MID(EX21,14,1)*POWER(2,2)+MID(EX21,13,1)*POWER(2,3)+MID(EX21,12,1)*POWER(2,4)+MID(EX21,11,1)*POWER(2,5)+MID(EX21,10,1)*POWER(2,6)+MID(EX21,9,1)*POWER(2,7)+MID(EX21,8,1)*POWER(2,8)+MID(EX21,7,1)*POWER(2,9)+MID(EX21,6,1)*POWER(2,10)+MID(EX21,5,1)*POWER(2,11)+MID(EX21,4,1)*POWER(2,12)+MID(EX21,3,1)*POWER(2,13)+MID(EX21,2,1)*POWER(2,14)+MID(EX21,1,1)*POWER(2,15))</f>
        <v>37487</v>
      </c>
      <c r="FA20" s="77">
        <f>MID(EY20,16,1)*POWER(2,0)+MID(EY20,15,1)*POWER(2,1)+MID(EY20,14,1)*POWER(2,2)+MID(EY20,13,1)*POWER(2,3)+MID(EY20,12,1)*POWER(2,4)+MID(EY20,11,1)*POWER(2,5)+MID(EY20,10,1)*POWER(2,6)+MID(EY20,9,1)*POWER(2,7)+MID(EY20,8,1)*POWER(2,8)+MID(EY20,7,1)*POWER(2,9)+MID(EY20,6,1)*POWER(2,10)+MID(EY20,5,1)*POWER(2,11)+MID(EY20,4,1)*POWER(2,12)+MID(EY20,3,1)*POWER(2,13)+MID(EY20,2,1)*POWER(2,14)+MID(EY20,1,1)*POWER(2,15)-(MID(EY21,16,1)*POWER(2,0)+MID(EY21,15,1)*POWER(2,1)+MID(EY21,14,1)*POWER(2,2)+MID(EY21,13,1)*POWER(2,3)+MID(EY21,12,1)*POWER(2,4)+MID(EY21,11,1)*POWER(2,5)+MID(EY21,10,1)*POWER(2,6)+MID(EY21,9,1)*POWER(2,7)+MID(EY21,8,1)*POWER(2,8)+MID(EY21,7,1)*POWER(2,9)+MID(EY21,6,1)*POWER(2,10)+MID(EY21,5,1)*POWER(2,11)+MID(EY21,4,1)*POWER(2,12)+MID(EY21,3,1)*POWER(2,13)+MID(EY21,2,1)*POWER(2,14)+MID(EY21,1,1)*POWER(2,15))</f>
        <v>13539</v>
      </c>
      <c r="FB20" s="45" t="str">
        <f>L20</f>
        <v>10110101100100100011011111100011</v>
      </c>
      <c r="FC20" s="26" t="str">
        <f t="shared" si="180"/>
        <v>10110101</v>
      </c>
      <c r="FD20" s="26" t="str">
        <f t="shared" si="97"/>
        <v>10010010</v>
      </c>
      <c r="FE20" s="26" t="str">
        <f t="shared" si="98"/>
        <v>00110111</v>
      </c>
      <c r="FF20" s="26" t="str">
        <f t="shared" si="99"/>
        <v>11100011</v>
      </c>
      <c r="FG20" s="77">
        <f>BIN2DEC(FC20)-BIN2DEC(FC21)</f>
        <v>149</v>
      </c>
      <c r="FH20" s="77">
        <f>BIN2DEC(FD20)-BIN2DEC(FD21)</f>
        <v>114</v>
      </c>
      <c r="FI20" s="77">
        <f>BIN2DEC(FE20)-BIN2DEC(FE21)</f>
        <v>55</v>
      </c>
      <c r="FJ20" s="77">
        <f>BIN2DEC(FF20)-BIN2DEC(FF21)</f>
        <v>227</v>
      </c>
      <c r="FK20" s="27" t="str">
        <f t="shared" si="100"/>
        <v>1011</v>
      </c>
      <c r="FL20" s="27" t="str">
        <f t="shared" si="101"/>
        <v>0101</v>
      </c>
      <c r="FM20" s="27" t="str">
        <f t="shared" si="102"/>
        <v>1001</v>
      </c>
      <c r="FN20" s="27" t="str">
        <f t="shared" si="103"/>
        <v>0010</v>
      </c>
      <c r="FO20" s="27" t="str">
        <f t="shared" si="104"/>
        <v>0011</v>
      </c>
      <c r="FP20" s="27" t="str">
        <f t="shared" si="105"/>
        <v>0111</v>
      </c>
      <c r="FQ20" s="27" t="str">
        <f t="shared" si="106"/>
        <v>1110</v>
      </c>
      <c r="FR20" s="27" t="str">
        <f t="shared" si="107"/>
        <v>0011</v>
      </c>
      <c r="FS20" s="77">
        <f>BIN2DEC(FK20)-BIN2DEC(FK21)</f>
        <v>4</v>
      </c>
      <c r="FT20" s="77">
        <f t="shared" ref="FT20:FY20" si="285">BIN2DEC(FL20)-BIN2DEC(FL21)</f>
        <v>-10</v>
      </c>
      <c r="FU20" s="77">
        <f t="shared" si="285"/>
        <v>-6</v>
      </c>
      <c r="FV20" s="77">
        <f t="shared" si="285"/>
        <v>-5</v>
      </c>
      <c r="FW20" s="77">
        <f t="shared" si="285"/>
        <v>-9</v>
      </c>
      <c r="FX20" s="77">
        <f t="shared" si="285"/>
        <v>0</v>
      </c>
      <c r="FY20" s="77">
        <f t="shared" si="285"/>
        <v>13</v>
      </c>
      <c r="FZ20" s="77">
        <f>BIN2DEC(FR20)-BIN2DEC(FR21)</f>
        <v>3</v>
      </c>
      <c r="GA20" s="26" t="str">
        <f t="shared" si="18"/>
        <v>1011010110010010</v>
      </c>
      <c r="GB20" s="26" t="str">
        <f t="shared" si="19"/>
        <v>0011011111100011</v>
      </c>
      <c r="GC20" s="77">
        <f>MID(GA20,16,1)*POWER(2,0)+MID(GA20,15,1)*POWER(2,1)+MID(GA20,14,1)*POWER(2,2)+MID(GA20,13,1)*POWER(2,3)+MID(GA20,12,1)*POWER(2,4)+MID(GA20,11,1)*POWER(2,5)+MID(GA20,10,1)*POWER(2,6)+MID(GA20,9,1)*POWER(2,7)+MID(GA20,8,1)*POWER(2,8)+MID(GA20,7,1)*POWER(2,9)+MID(GA20,6,1)*POWER(2,10)+MID(GA20,5,1)*POWER(2,11)+MID(GA20,4,1)*POWER(2,12)+MID(GA20,3,1)*POWER(2,13)+MID(GA20,2,1)*POWER(2,14)+MID(GA20,1,1)*POWER(2,15)-(MID(GA21,16,1)*POWER(2,0)+MID(GA21,15,1)*POWER(2,1)+MID(GA21,14,1)*POWER(2,2)+MID(GA21,13,1)*POWER(2,3)+MID(GA21,12,1)*POWER(2,4)+MID(GA21,11,1)*POWER(2,5)+MID(GA21,10,1)*POWER(2,6)+MID(GA21,9,1)*POWER(2,7)+MID(GA21,8,1)*POWER(2,8)+MID(GA21,7,1)*POWER(2,9)+MID(GA21,6,1)*POWER(2,10)+MID(GA21,5,1)*POWER(2,11)+MID(GA21,4,1)*POWER(2,12)+MID(GA21,3,1)*POWER(2,13)+MID(GA21,2,1)*POWER(2,14)+MID(GA21,1,1)*POWER(2,15))</f>
        <v>38258</v>
      </c>
      <c r="GD20" s="77">
        <f>MID(GB20,16,1)*POWER(2,0)+MID(GB20,15,1)*POWER(2,1)+MID(GB20,14,1)*POWER(2,2)+MID(GB20,13,1)*POWER(2,3)+MID(GB20,12,1)*POWER(2,4)+MID(GB20,11,1)*POWER(2,5)+MID(GB20,10,1)*POWER(2,6)+MID(GB20,9,1)*POWER(2,7)+MID(GB20,8,1)*POWER(2,8)+MID(GB20,7,1)*POWER(2,9)+MID(GB20,6,1)*POWER(2,10)+MID(GB20,5,1)*POWER(2,11)+MID(GB20,4,1)*POWER(2,12)+MID(GB20,3,1)*POWER(2,13)+MID(GB20,2,1)*POWER(2,14)+MID(GB20,1,1)*POWER(2,15)-(MID(GB21,16,1)*POWER(2,0)+MID(GB21,15,1)*POWER(2,1)+MID(GB21,14,1)*POWER(2,2)+MID(GB21,13,1)*POWER(2,3)+MID(GB21,12,1)*POWER(2,4)+MID(GB21,11,1)*POWER(2,5)+MID(GB21,10,1)*POWER(2,6)+MID(GB21,9,1)*POWER(2,7)+MID(GB21,8,1)*POWER(2,8)+MID(GB21,7,1)*POWER(2,9)+MID(GB21,6,1)*POWER(2,10)+MID(GB21,5,1)*POWER(2,11)+MID(GB21,4,1)*POWER(2,12)+MID(GB21,3,1)*POWER(2,13)+MID(GB21,2,1)*POWER(2,14)+MID(GB21,1,1)*POWER(2,15))</f>
        <v>14307</v>
      </c>
      <c r="GE20" s="47" t="str">
        <f>CU20</f>
        <v>00100100000000000010010001100000</v>
      </c>
      <c r="GF20" s="26" t="str">
        <f t="shared" si="182"/>
        <v>00100100</v>
      </c>
      <c r="GG20" s="26" t="str">
        <f t="shared" si="108"/>
        <v>00000000</v>
      </c>
      <c r="GH20" s="26" t="str">
        <f t="shared" si="109"/>
        <v>00100100</v>
      </c>
      <c r="GI20" s="26" t="str">
        <f t="shared" si="110"/>
        <v>01100000</v>
      </c>
      <c r="GJ20" s="77">
        <f>BIN2DEC(GF20)-BIN2DEC(GF21)</f>
        <v>1</v>
      </c>
      <c r="GK20" s="77">
        <f>BIN2DEC(GG20)-BIN2DEC(GG21)</f>
        <v>-35</v>
      </c>
      <c r="GL20" s="77">
        <f>BIN2DEC(GH20)-BIN2DEC(GH21)</f>
        <v>33</v>
      </c>
      <c r="GM20" s="77">
        <f>BIN2DEC(GI20)-BIN2DEC(GI21)</f>
        <v>96</v>
      </c>
      <c r="GN20" s="27" t="str">
        <f t="shared" si="111"/>
        <v>1011</v>
      </c>
      <c r="GO20" s="27" t="str">
        <f t="shared" si="112"/>
        <v>0101</v>
      </c>
      <c r="GP20" s="27" t="str">
        <f t="shared" si="113"/>
        <v>1001</v>
      </c>
      <c r="GQ20" s="27" t="str">
        <f t="shared" si="114"/>
        <v>0010</v>
      </c>
      <c r="GR20" s="27" t="str">
        <f t="shared" si="115"/>
        <v>0011</v>
      </c>
      <c r="GS20" s="27" t="str">
        <f t="shared" si="116"/>
        <v>0111</v>
      </c>
      <c r="GT20" s="27" t="str">
        <f t="shared" si="117"/>
        <v>1110</v>
      </c>
      <c r="GU20" s="27" t="str">
        <f t="shared" si="118"/>
        <v>0011</v>
      </c>
      <c r="GV20" s="77">
        <f>BIN2DEC(GN20)-BIN2DEC(GN21)</f>
        <v>4</v>
      </c>
      <c r="GW20" s="77">
        <f t="shared" ref="GW20:HB20" si="286">BIN2DEC(GO20)-BIN2DEC(GO21)</f>
        <v>-10</v>
      </c>
      <c r="GX20" s="77">
        <f t="shared" si="286"/>
        <v>-6</v>
      </c>
      <c r="GY20" s="77">
        <f t="shared" si="286"/>
        <v>-5</v>
      </c>
      <c r="GZ20" s="77">
        <f t="shared" si="286"/>
        <v>-9</v>
      </c>
      <c r="HA20" s="77">
        <f t="shared" si="286"/>
        <v>0</v>
      </c>
      <c r="HB20" s="77">
        <f t="shared" si="286"/>
        <v>13</v>
      </c>
      <c r="HC20" s="77">
        <f>BIN2DEC(GU20)-BIN2DEC(GU21)</f>
        <v>3</v>
      </c>
      <c r="HD20" s="26" t="str">
        <f t="shared" si="21"/>
        <v>0010010000000000</v>
      </c>
      <c r="HE20" s="26" t="str">
        <f t="shared" si="22"/>
        <v>0010010001100000</v>
      </c>
      <c r="HF20" s="77">
        <f>MID(HD20,16,1)*POWER(2,0)+MID(HD20,15,1)*POWER(2,1)+MID(HD20,14,1)*POWER(2,2)+MID(HD20,13,1)*POWER(2,3)+MID(HD20,12,1)*POWER(2,4)+MID(HD20,11,1)*POWER(2,5)+MID(HD20,10,1)*POWER(2,6)+MID(HD20,9,1)*POWER(2,7)+MID(HD20,8,1)*POWER(2,8)+MID(HD20,7,1)*POWER(2,9)+MID(HD20,6,1)*POWER(2,10)+MID(HD20,5,1)*POWER(2,11)+MID(HD20,4,1)*POWER(2,12)+MID(HD20,3,1)*POWER(2,13)+MID(HD20,2,1)*POWER(2,14)+MID(HD20,1,1)*POWER(2,15)-(MID(HD21,16,1)*POWER(2,0)+MID(HD21,15,1)*POWER(2,1)+MID(HD21,14,1)*POWER(2,2)+MID(HD21,13,1)*POWER(2,3)+MID(HD21,12,1)*POWER(2,4)+MID(HD21,11,1)*POWER(2,5)+MID(HD21,10,1)*POWER(2,6)+MID(HD21,9,1)*POWER(2,7)+MID(HD21,8,1)*POWER(2,8)+MID(HD21,7,1)*POWER(2,9)+MID(HD21,6,1)*POWER(2,10)+MID(HD21,5,1)*POWER(2,11)+MID(HD21,4,1)*POWER(2,12)+MID(HD21,3,1)*POWER(2,13)+MID(HD21,2,1)*POWER(2,14)+MID(HD21,1,1)*POWER(2,15))</f>
        <v>221</v>
      </c>
      <c r="HG20" s="77">
        <f>MID(HE20,16,1)*POWER(2,0)+MID(HE20,15,1)*POWER(2,1)+MID(HE20,14,1)*POWER(2,2)+MID(HE20,13,1)*POWER(2,3)+MID(HE20,12,1)*POWER(2,4)+MID(HE20,11,1)*POWER(2,5)+MID(HE20,10,1)*POWER(2,6)+MID(HE20,9,1)*POWER(2,7)+MID(HE20,8,1)*POWER(2,8)+MID(HE20,7,1)*POWER(2,9)+MID(HE20,6,1)*POWER(2,10)+MID(HE20,5,1)*POWER(2,11)+MID(HE20,4,1)*POWER(2,12)+MID(HE20,3,1)*POWER(2,13)+MID(HE20,2,1)*POWER(2,14)+MID(HE20,1,1)*POWER(2,15)-(MID(HE21,16,1)*POWER(2,0)+MID(HE21,15,1)*POWER(2,1)+MID(HE21,14,1)*POWER(2,2)+MID(HE21,13,1)*POWER(2,3)+MID(HE21,12,1)*POWER(2,4)+MID(HE21,11,1)*POWER(2,5)+MID(HE21,10,1)*POWER(2,6)+MID(HE21,9,1)*POWER(2,7)+MID(HE21,8,1)*POWER(2,8)+MID(HE21,7,1)*POWER(2,9)+MID(HE21,6,1)*POWER(2,10)+MID(HE21,5,1)*POWER(2,11)+MID(HE21,4,1)*POWER(2,12)+MID(HE21,3,1)*POWER(2,13)+MID(HE21,2,1)*POWER(2,14)+MID(HE21,1,1)*POWER(2,15))</f>
        <v>8544</v>
      </c>
      <c r="HH20" s="43" t="str">
        <f>CONCATENATE(MID(DX20,17,16),MID(DX20,1,16))</f>
        <v>00100100000000000010010001100000</v>
      </c>
      <c r="HI20" s="26" t="str">
        <f t="shared" si="184"/>
        <v>00100100</v>
      </c>
      <c r="HJ20" s="26" t="str">
        <f t="shared" si="119"/>
        <v>00000000</v>
      </c>
      <c r="HK20" s="26" t="str">
        <f t="shared" si="120"/>
        <v>00100100</v>
      </c>
      <c r="HL20" s="26" t="str">
        <f t="shared" si="121"/>
        <v>01100000</v>
      </c>
      <c r="HM20" s="77">
        <f>BIN2DEC(HI20)-BIN2DEC(HI21)</f>
        <v>4</v>
      </c>
      <c r="HN20" s="77">
        <f>BIN2DEC(HJ20)-BIN2DEC(HJ21)</f>
        <v>-32</v>
      </c>
      <c r="HO20" s="77">
        <f>BIN2DEC(HK20)-BIN2DEC(HK21)</f>
        <v>36</v>
      </c>
      <c r="HP20" s="77">
        <f>BIN2DEC(HL20)-BIN2DEC(HL21)</f>
        <v>96</v>
      </c>
      <c r="HQ20" s="27" t="str">
        <f t="shared" si="122"/>
        <v>1011</v>
      </c>
      <c r="HR20" s="27" t="str">
        <f t="shared" si="123"/>
        <v>0101</v>
      </c>
      <c r="HS20" s="27" t="str">
        <f t="shared" si="124"/>
        <v>1001</v>
      </c>
      <c r="HT20" s="27" t="str">
        <f t="shared" si="125"/>
        <v>0010</v>
      </c>
      <c r="HU20" s="27" t="str">
        <f t="shared" si="126"/>
        <v>0011</v>
      </c>
      <c r="HV20" s="27" t="str">
        <f t="shared" si="127"/>
        <v>0111</v>
      </c>
      <c r="HW20" s="27" t="str">
        <f t="shared" si="128"/>
        <v>1110</v>
      </c>
      <c r="HX20" s="27" t="str">
        <f t="shared" si="129"/>
        <v>0011</v>
      </c>
      <c r="HY20" s="77">
        <f>BIN2DEC(HQ20)-BIN2DEC(HQ21)</f>
        <v>4</v>
      </c>
      <c r="HZ20" s="77">
        <f t="shared" ref="HZ20:IE20" si="287">BIN2DEC(HR20)-BIN2DEC(HR21)</f>
        <v>-10</v>
      </c>
      <c r="IA20" s="77">
        <f t="shared" si="287"/>
        <v>-6</v>
      </c>
      <c r="IB20" s="77">
        <f t="shared" si="287"/>
        <v>-5</v>
      </c>
      <c r="IC20" s="77">
        <f t="shared" si="287"/>
        <v>-9</v>
      </c>
      <c r="ID20" s="77">
        <f t="shared" si="287"/>
        <v>0</v>
      </c>
      <c r="IE20" s="77">
        <f t="shared" si="287"/>
        <v>13</v>
      </c>
      <c r="IF20" s="77">
        <f>BIN2DEC(HX20)-BIN2DEC(HX21)</f>
        <v>3</v>
      </c>
      <c r="IG20" s="26" t="str">
        <f t="shared" si="24"/>
        <v>0010010000000000</v>
      </c>
      <c r="IH20" s="26" t="str">
        <f t="shared" si="25"/>
        <v>0010010001100000</v>
      </c>
      <c r="II20" s="77">
        <f>MID(IG20,16,1)*POWER(2,0)+MID(IG20,15,1)*POWER(2,1)+MID(IG20,14,1)*POWER(2,2)+MID(IG20,13,1)*POWER(2,3)+MID(IG20,12,1)*POWER(2,4)+MID(IG20,11,1)*POWER(2,5)+MID(IG20,10,1)*POWER(2,6)+MID(IG20,9,1)*POWER(2,7)+MID(IG20,8,1)*POWER(2,8)+MID(IG20,7,1)*POWER(2,9)+MID(IG20,6,1)*POWER(2,10)+MID(IG20,5,1)*POWER(2,11)+MID(IG20,4,1)*POWER(2,12)+MID(IG20,3,1)*POWER(2,13)+MID(IG20,2,1)*POWER(2,14)+MID(IG20,1,1)*POWER(2,15)-(MID(IG21,16,1)*POWER(2,0)+MID(IG21,15,1)*POWER(2,1)+MID(IG21,14,1)*POWER(2,2)+MID(IG21,13,1)*POWER(2,3)+MID(IG21,12,1)*POWER(2,4)+MID(IG21,11,1)*POWER(2,5)+MID(IG21,10,1)*POWER(2,6)+MID(IG21,9,1)*POWER(2,7)+MID(IG21,8,1)*POWER(2,8)+MID(IG21,7,1)*POWER(2,9)+MID(IG21,6,1)*POWER(2,10)+MID(IG21,5,1)*POWER(2,11)+MID(IG21,4,1)*POWER(2,12)+MID(IG21,3,1)*POWER(2,13)+MID(IG21,2,1)*POWER(2,14)+MID(IG21,1,1)*POWER(2,15))</f>
        <v>992</v>
      </c>
      <c r="IJ20" s="77">
        <f>MID(IH20,16,1)*POWER(2,0)+MID(IH20,15,1)*POWER(2,1)+MID(IH20,14,1)*POWER(2,2)+MID(IH20,13,1)*POWER(2,3)+MID(IH20,12,1)*POWER(2,4)+MID(IH20,11,1)*POWER(2,5)+MID(IH20,10,1)*POWER(2,6)+MID(IH20,9,1)*POWER(2,7)+MID(IH20,8,1)*POWER(2,8)+MID(IH20,7,1)*POWER(2,9)+MID(IH20,6,1)*POWER(2,10)+MID(IH20,5,1)*POWER(2,11)+MID(IH20,4,1)*POWER(2,12)+MID(IH20,3,1)*POWER(2,13)+MID(IH20,2,1)*POWER(2,14)+MID(IH20,1,1)*POWER(2,15)-(MID(IH21,16,1)*POWER(2,0)+MID(IH21,15,1)*POWER(2,1)+MID(IH21,14,1)*POWER(2,2)+MID(IH21,13,1)*POWER(2,3)+MID(IH21,12,1)*POWER(2,4)+MID(IH21,11,1)*POWER(2,5)+MID(IH21,10,1)*POWER(2,6)+MID(IH21,9,1)*POWER(2,7)+MID(IH21,8,1)*POWER(2,8)+MID(IH21,7,1)*POWER(2,9)+MID(IH21,6,1)*POWER(2,10)+MID(IH21,5,1)*POWER(2,11)+MID(IH21,4,1)*POWER(2,12)+MID(IH21,3,1)*POWER(2,13)+MID(IH21,2,1)*POWER(2,14)+MID(IH21,1,1)*POWER(2,15))</f>
        <v>9312</v>
      </c>
      <c r="IK20" s="43" t="str">
        <f>HH20</f>
        <v>00100100000000000010010001100000</v>
      </c>
      <c r="IL20" s="26" t="str">
        <f t="shared" si="186"/>
        <v>00100100</v>
      </c>
      <c r="IM20" s="26" t="str">
        <f t="shared" si="130"/>
        <v>00000000</v>
      </c>
      <c r="IN20" s="26" t="str">
        <f t="shared" si="131"/>
        <v>00100100</v>
      </c>
      <c r="IO20" s="26" t="str">
        <f t="shared" si="132"/>
        <v>01100000</v>
      </c>
      <c r="IP20" s="77">
        <f>BIN2DEC(IL20)-BIN2DEC(IL21)</f>
        <v>-91</v>
      </c>
      <c r="IQ20" s="77">
        <f>BIN2DEC(IM20)-BIN2DEC(IM21)</f>
        <v>-247</v>
      </c>
      <c r="IR20" s="77">
        <f>BIN2DEC(IN20)-BIN2DEC(IN21)</f>
        <v>-163</v>
      </c>
      <c r="IS20" s="77">
        <f>BIN2DEC(IO20)-BIN2DEC(IO21)</f>
        <v>80</v>
      </c>
      <c r="IT20" s="27" t="str">
        <f t="shared" si="133"/>
        <v>1011</v>
      </c>
      <c r="IU20" s="27" t="str">
        <f t="shared" si="134"/>
        <v>0101</v>
      </c>
      <c r="IV20" s="27" t="str">
        <f t="shared" si="135"/>
        <v>1001</v>
      </c>
      <c r="IW20" s="27" t="str">
        <f t="shared" si="136"/>
        <v>0010</v>
      </c>
      <c r="IX20" s="27" t="str">
        <f t="shared" si="137"/>
        <v>0011</v>
      </c>
      <c r="IY20" s="27" t="str">
        <f t="shared" si="138"/>
        <v>0111</v>
      </c>
      <c r="IZ20" s="27" t="str">
        <f t="shared" si="139"/>
        <v>1110</v>
      </c>
      <c r="JA20" s="27" t="str">
        <f t="shared" si="140"/>
        <v>0011</v>
      </c>
      <c r="JB20" s="77">
        <f t="shared" ref="JB20:JI20" si="288">BIN2DEC(IT20)-BIN2DEC(IT21)</f>
        <v>4</v>
      </c>
      <c r="JC20" s="77">
        <f t="shared" si="288"/>
        <v>-10</v>
      </c>
      <c r="JD20" s="77">
        <f t="shared" si="288"/>
        <v>-6</v>
      </c>
      <c r="JE20" s="77">
        <f t="shared" si="288"/>
        <v>-5</v>
      </c>
      <c r="JF20" s="77">
        <f t="shared" si="288"/>
        <v>-9</v>
      </c>
      <c r="JG20" s="77">
        <f t="shared" si="288"/>
        <v>0</v>
      </c>
      <c r="JH20" s="77">
        <f t="shared" si="288"/>
        <v>13</v>
      </c>
      <c r="JI20" s="77">
        <f t="shared" si="288"/>
        <v>3</v>
      </c>
      <c r="JJ20" s="26" t="str">
        <f t="shared" si="27"/>
        <v>0010010000000000</v>
      </c>
      <c r="JK20" s="26" t="str">
        <f t="shared" si="28"/>
        <v>0010010001100000</v>
      </c>
      <c r="JL20" s="77">
        <f>MID(JJ20,16,1)*POWER(2,0)+MID(JJ20,15,1)*POWER(2,1)+MID(JJ20,14,1)*POWER(2,2)+MID(JJ20,13,1)*POWER(2,3)+MID(JJ20,12,1)*POWER(2,4)+MID(JJ20,11,1)*POWER(2,5)+MID(JJ20,10,1)*POWER(2,6)+MID(JJ20,9,1)*POWER(2,7)+MID(JJ20,8,1)*POWER(2,8)+MID(JJ20,7,1)*POWER(2,9)+MID(JJ20,6,1)*POWER(2,10)+MID(JJ20,5,1)*POWER(2,11)+MID(JJ20,4,1)*POWER(2,12)+MID(JJ20,3,1)*POWER(2,13)+MID(JJ20,2,1)*POWER(2,14)+MID(JJ20,1,1)*POWER(2,15)-(MID(JJ21,16,1)*POWER(2,0)+MID(JJ21,15,1)*POWER(2,1)+MID(JJ21,14,1)*POWER(2,2)+MID(JJ21,13,1)*POWER(2,3)+MID(JJ21,12,1)*POWER(2,4)+MID(JJ21,11,1)*POWER(2,5)+MID(JJ21,10,1)*POWER(2,6)+MID(JJ21,9,1)*POWER(2,7)+MID(JJ21,8,1)*POWER(2,8)+MID(JJ21,7,1)*POWER(2,9)+MID(JJ21,6,1)*POWER(2,10)+MID(JJ21,5,1)*POWER(2,11)+MID(JJ21,4,1)*POWER(2,12)+MID(JJ21,3,1)*POWER(2,13)+MID(JJ21,2,1)*POWER(2,14)+MID(JJ21,1,1)*POWER(2,15))</f>
        <v>-23543</v>
      </c>
      <c r="JM20" s="77">
        <f>MID(JK20,16,1)*POWER(2,0)+MID(JK20,15,1)*POWER(2,1)+MID(JK20,14,1)*POWER(2,2)+MID(JK20,13,1)*POWER(2,3)+MID(JK20,12,1)*POWER(2,4)+MID(JK20,11,1)*POWER(2,5)+MID(JK20,10,1)*POWER(2,6)+MID(JK20,9,1)*POWER(2,7)+MID(JK20,8,1)*POWER(2,8)+MID(JK20,7,1)*POWER(2,9)+MID(JK20,6,1)*POWER(2,10)+MID(JK20,5,1)*POWER(2,11)+MID(JK20,4,1)*POWER(2,12)+MID(JK20,3,1)*POWER(2,13)+MID(JK20,2,1)*POWER(2,14)+MID(JK20,1,1)*POWER(2,15)-(MID(JK21,16,1)*POWER(2,0)+MID(JK21,15,1)*POWER(2,1)+MID(JK21,14,1)*POWER(2,2)+MID(JK21,13,1)*POWER(2,3)+MID(JK21,12,1)*POWER(2,4)+MID(JK21,11,1)*POWER(2,5)+MID(JK21,10,1)*POWER(2,6)+MID(JK21,9,1)*POWER(2,7)+MID(JK21,8,1)*POWER(2,8)+MID(JK21,7,1)*POWER(2,9)+MID(JK21,6,1)*POWER(2,10)+MID(JK21,5,1)*POWER(2,11)+MID(JK21,4,1)*POWER(2,12)+MID(JK21,3,1)*POWER(2,13)+MID(JK21,2,1)*POWER(2,14)+MID(JK21,1,1)*POWER(2,15))</f>
        <v>-41648</v>
      </c>
      <c r="JN20" s="45" t="str">
        <f>CONCATENATE(MID(IK20,1,1)*MID($K20,1,1),MID(IK20,2,1)*MID($K20,2,1),MID(IK20,3,1)*MID($K20,3,1),MID(IK20,4,1)*MID($K20,4,1),MID(IK20,5,1)*MID($K20,5,1),MID(IK20,6,1)*MID($K20,6,1),MID(IK20,7,1)*MID($K20,7,1),MID(IK20,8,1)*MID($K20,8,1),MID(IK20,9,1)*MID($K20,1,1),MID(IK20,10,1)*MID($K20,2,1),MID(IK20,11,1)*MID($K20,3,1),MID(IK20,12,1)*MID($K20,4,1),MID(IK20,13,1)*MID($K20,5,1),MID(IK20,14,1)*MID($K20,6,1),MID(IK20,15,1)*MID($K20,7,1),MID(IK20,16,1)*MID($K20,8,1),MID(IK20,17,1)*MID($K20,1,1),MID(IK20,18,1)*MID($K20,2,1),MID(IK20,19,1)*MID($K20,3,1),MID(IK20,20,1)*MID($K20,4,1),MID(IK20,21,1)*MID($K20,5,1),MID(IK20,22,1)*MID($K20,6,1),MID(IK20,23,1)*MID($K20,7,1),MID(IK20,24,1)*MID($K20,8,1),MID(IK20,25,1)*MID($K20,1,1),MID(IK20,26,1)*MID($K20,2,1),MID(IK20,27,1)*MID($K20,3,1),MID(IK20,28,1)*MID($K20,4,1),MID(IK20,29,1)*MID($K20,5,1),MID(IK20,30,1)*MID($K20,6,1),MID(IK20,31,1)*MID($K20,7,1),MID(IK20,32,1)*MID($K20,8,1))</f>
        <v>00100100000000000010010001100000</v>
      </c>
      <c r="JO20" s="26" t="str">
        <f t="shared" si="188"/>
        <v>00100100</v>
      </c>
      <c r="JP20" s="26" t="str">
        <f t="shared" si="141"/>
        <v>00000000</v>
      </c>
      <c r="JQ20" s="26" t="str">
        <f t="shared" si="142"/>
        <v>00100100</v>
      </c>
      <c r="JR20" s="26" t="str">
        <f t="shared" si="143"/>
        <v>01100000</v>
      </c>
      <c r="JS20" s="77">
        <f>BIN2DEC(JO20)-BIN2DEC(JO21)</f>
        <v>-91</v>
      </c>
      <c r="JT20" s="77">
        <f>BIN2DEC(JP20)-BIN2DEC(JP21)</f>
        <v>-247</v>
      </c>
      <c r="JU20" s="77">
        <f>BIN2DEC(JQ20)-BIN2DEC(JQ21)</f>
        <v>-163</v>
      </c>
      <c r="JV20" s="77">
        <f>BIN2DEC(JR20)-BIN2DEC(JR21)</f>
        <v>80</v>
      </c>
      <c r="JW20" s="27" t="str">
        <f t="shared" si="144"/>
        <v>1011</v>
      </c>
      <c r="JX20" s="27" t="str">
        <f t="shared" si="145"/>
        <v>0101</v>
      </c>
      <c r="JY20" s="27" t="str">
        <f t="shared" si="146"/>
        <v>1001</v>
      </c>
      <c r="JZ20" s="27" t="str">
        <f t="shared" si="147"/>
        <v>0010</v>
      </c>
      <c r="KA20" s="27" t="str">
        <f t="shared" si="148"/>
        <v>0011</v>
      </c>
      <c r="KB20" s="27" t="str">
        <f t="shared" si="149"/>
        <v>0111</v>
      </c>
      <c r="KC20" s="27" t="str">
        <f t="shared" si="150"/>
        <v>1110</v>
      </c>
      <c r="KD20" s="27" t="str">
        <f t="shared" si="151"/>
        <v>0011</v>
      </c>
      <c r="KE20" s="77">
        <f t="shared" ref="KE20:KL20" si="289">BIN2DEC(JW20)-BIN2DEC(JW21)</f>
        <v>4</v>
      </c>
      <c r="KF20" s="77">
        <f t="shared" si="289"/>
        <v>-10</v>
      </c>
      <c r="KG20" s="77">
        <f t="shared" si="289"/>
        <v>-6</v>
      </c>
      <c r="KH20" s="77">
        <f t="shared" si="289"/>
        <v>-5</v>
      </c>
      <c r="KI20" s="77">
        <f t="shared" si="289"/>
        <v>-9</v>
      </c>
      <c r="KJ20" s="77">
        <f t="shared" si="289"/>
        <v>0</v>
      </c>
      <c r="KK20" s="77">
        <f t="shared" si="289"/>
        <v>13</v>
      </c>
      <c r="KL20" s="77">
        <f t="shared" si="289"/>
        <v>3</v>
      </c>
      <c r="KM20" s="26" t="str">
        <f t="shared" si="30"/>
        <v>0010010000000000</v>
      </c>
      <c r="KN20" s="26" t="str">
        <f t="shared" si="31"/>
        <v>0010010001100000</v>
      </c>
      <c r="KO20" s="77">
        <f>MID(KM20,16,1)*POWER(2,0)+MID(KM20,15,1)*POWER(2,1)+MID(KM20,14,1)*POWER(2,2)+MID(KM20,13,1)*POWER(2,3)+MID(KM20,12,1)*POWER(2,4)+MID(KM20,11,1)*POWER(2,5)+MID(KM20,10,1)*POWER(2,6)+MID(KM20,9,1)*POWER(2,7)+MID(KM20,8,1)*POWER(2,8)+MID(KM20,7,1)*POWER(2,9)+MID(KM20,6,1)*POWER(2,10)+MID(KM20,5,1)*POWER(2,11)+MID(KM20,4,1)*POWER(2,12)+MID(KM20,3,1)*POWER(2,13)+MID(KM20,2,1)*POWER(2,14)+MID(KM20,1,1)*POWER(2,15)-(MID(KM21,16,1)*POWER(2,0)+MID(KM21,15,1)*POWER(2,1)+MID(KM21,14,1)*POWER(2,2)+MID(KM21,13,1)*POWER(2,3)+MID(KM21,12,1)*POWER(2,4)+MID(KM21,11,1)*POWER(2,5)+MID(KM21,10,1)*POWER(2,6)+MID(KM21,9,1)*POWER(2,7)+MID(KM21,8,1)*POWER(2,8)+MID(KM21,7,1)*POWER(2,9)+MID(KM21,6,1)*POWER(2,10)+MID(KM21,5,1)*POWER(2,11)+MID(KM21,4,1)*POWER(2,12)+MID(KM21,3,1)*POWER(2,13)+MID(KM21,2,1)*POWER(2,14)+MID(KM21,1,1)*POWER(2,15))</f>
        <v>-23543</v>
      </c>
      <c r="KP20" s="77">
        <f>MID(KN20,16,1)*POWER(2,0)+MID(KN20,15,1)*POWER(2,1)+MID(KN20,14,1)*POWER(2,2)+MID(KN20,13,1)*POWER(2,3)+MID(KN20,12,1)*POWER(2,4)+MID(KN20,11,1)*POWER(2,5)+MID(KN20,10,1)*POWER(2,6)+MID(KN20,9,1)*POWER(2,7)+MID(KN20,8,1)*POWER(2,8)+MID(KN20,7,1)*POWER(2,9)+MID(KN20,6,1)*POWER(2,10)+MID(KN20,5,1)*POWER(2,11)+MID(KN20,4,1)*POWER(2,12)+MID(KN20,3,1)*POWER(2,13)+MID(KN20,2,1)*POWER(2,14)+MID(KN20,1,1)*POWER(2,15)-(MID(KN21,16,1)*POWER(2,0)+MID(KN21,15,1)*POWER(2,1)+MID(KN21,14,1)*POWER(2,2)+MID(KN21,13,1)*POWER(2,3)+MID(KN21,12,1)*POWER(2,4)+MID(KN21,11,1)*POWER(2,5)+MID(KN21,10,1)*POWER(2,6)+MID(KN21,9,1)*POWER(2,7)+MID(KN21,8,1)*POWER(2,8)+MID(KN21,7,1)*POWER(2,9)+MID(KN21,6,1)*POWER(2,10)+MID(KN21,5,1)*POWER(2,11)+MID(KN21,4,1)*POWER(2,12)+MID(KN21,3,1)*POWER(2,13)+MID(KN21,2,1)*POWER(2,14)+MID(KN21,1,1)*POWER(2,15))</f>
        <v>-41648</v>
      </c>
      <c r="KQ20" s="47" t="str">
        <f>IK20</f>
        <v>00100100000000000010010001100000</v>
      </c>
      <c r="KR20" s="26" t="str">
        <f t="shared" si="190"/>
        <v>00100100</v>
      </c>
      <c r="KS20" s="26" t="str">
        <f t="shared" si="152"/>
        <v>00000000</v>
      </c>
      <c r="KT20" s="26" t="str">
        <f t="shared" si="153"/>
        <v>00100100</v>
      </c>
      <c r="KU20" s="26" t="str">
        <f t="shared" si="154"/>
        <v>01100000</v>
      </c>
      <c r="KV20" s="77">
        <f>BIN2DEC(KR20)-BIN2DEC(KR21)</f>
        <v>-64</v>
      </c>
      <c r="KW20" s="77">
        <f>BIN2DEC(KS20)-BIN2DEC(KS21)</f>
        <v>-100</v>
      </c>
      <c r="KX20" s="77">
        <f>BIN2DEC(KT20)-BIN2DEC(KT21)</f>
        <v>-32</v>
      </c>
      <c r="KY20" s="77">
        <f>BIN2DEC(KU20)-BIN2DEC(KU21)</f>
        <v>96</v>
      </c>
      <c r="KZ20" s="27" t="str">
        <f t="shared" si="155"/>
        <v>1011</v>
      </c>
      <c r="LA20" s="27" t="str">
        <f t="shared" si="156"/>
        <v>0101</v>
      </c>
      <c r="LB20" s="27" t="str">
        <f t="shared" si="157"/>
        <v>1001</v>
      </c>
      <c r="LC20" s="27" t="str">
        <f t="shared" si="158"/>
        <v>0010</v>
      </c>
      <c r="LD20" s="27" t="str">
        <f t="shared" si="159"/>
        <v>0011</v>
      </c>
      <c r="LE20" s="27" t="str">
        <f t="shared" si="160"/>
        <v>0111</v>
      </c>
      <c r="LF20" s="27" t="str">
        <f t="shared" si="161"/>
        <v>1110</v>
      </c>
      <c r="LG20" s="27" t="str">
        <f t="shared" si="162"/>
        <v>0011</v>
      </c>
      <c r="LH20" s="77">
        <f t="shared" ref="LH20:LO20" si="290">BIN2DEC(KZ20)-BIN2DEC(KZ21)</f>
        <v>4</v>
      </c>
      <c r="LI20" s="77">
        <f t="shared" si="290"/>
        <v>-10</v>
      </c>
      <c r="LJ20" s="77">
        <f t="shared" si="290"/>
        <v>-6</v>
      </c>
      <c r="LK20" s="77">
        <f t="shared" si="290"/>
        <v>-5</v>
      </c>
      <c r="LL20" s="77">
        <f t="shared" si="290"/>
        <v>-9</v>
      </c>
      <c r="LM20" s="77">
        <f t="shared" si="290"/>
        <v>0</v>
      </c>
      <c r="LN20" s="77">
        <f t="shared" si="290"/>
        <v>13</v>
      </c>
      <c r="LO20" s="77">
        <f t="shared" si="290"/>
        <v>3</v>
      </c>
      <c r="LP20" s="26" t="str">
        <f t="shared" si="33"/>
        <v>0010010000000000</v>
      </c>
      <c r="LQ20" s="26" t="str">
        <f t="shared" si="34"/>
        <v>0010010001100000</v>
      </c>
      <c r="LR20" s="77">
        <f>MID(LP20,16,1)*POWER(2,0)+MID(LP20,15,1)*POWER(2,1)+MID(LP20,14,1)*POWER(2,2)+MID(LP20,13,1)*POWER(2,3)+MID(LP20,12,1)*POWER(2,4)+MID(LP20,11,1)*POWER(2,5)+MID(LP20,10,1)*POWER(2,6)+MID(LP20,9,1)*POWER(2,7)+MID(LP20,8,1)*POWER(2,8)+MID(LP20,7,1)*POWER(2,9)+MID(LP20,6,1)*POWER(2,10)+MID(LP20,5,1)*POWER(2,11)+MID(LP20,4,1)*POWER(2,12)+MID(LP20,3,1)*POWER(2,13)+MID(LP20,2,1)*POWER(2,14)+MID(LP20,1,1)*POWER(2,15)-(MID(LP21,16,1)*POWER(2,0)+MID(LP21,15,1)*POWER(2,1)+MID(LP21,14,1)*POWER(2,2)+MID(LP21,13,1)*POWER(2,3)+MID(LP21,12,1)*POWER(2,4)+MID(LP21,11,1)*POWER(2,5)+MID(LP21,10,1)*POWER(2,6)+MID(LP21,9,1)*POWER(2,7)+MID(LP21,8,1)*POWER(2,8)+MID(LP21,7,1)*POWER(2,9)+MID(LP21,6,1)*POWER(2,10)+MID(LP21,5,1)*POWER(2,11)+MID(LP21,4,1)*POWER(2,12)+MID(LP21,3,1)*POWER(2,13)+MID(LP21,2,1)*POWER(2,14)+MID(LP21,1,1)*POWER(2,15))</f>
        <v>-16484</v>
      </c>
      <c r="LS20" s="77">
        <f>MID(LQ20,16,1)*POWER(2,0)+MID(LQ20,15,1)*POWER(2,1)+MID(LQ20,14,1)*POWER(2,2)+MID(LQ20,13,1)*POWER(2,3)+MID(LQ20,12,1)*POWER(2,4)+MID(LQ20,11,1)*POWER(2,5)+MID(LQ20,10,1)*POWER(2,6)+MID(LQ20,9,1)*POWER(2,7)+MID(LQ20,8,1)*POWER(2,8)+MID(LQ20,7,1)*POWER(2,9)+MID(LQ20,6,1)*POWER(2,10)+MID(LQ20,5,1)*POWER(2,11)+MID(LQ20,4,1)*POWER(2,12)+MID(LQ20,3,1)*POWER(2,13)+MID(LQ20,2,1)*POWER(2,14)+MID(LQ20,1,1)*POWER(2,15)-(MID(LQ21,16,1)*POWER(2,0)+MID(LQ21,15,1)*POWER(2,1)+MID(LQ21,14,1)*POWER(2,2)+MID(LQ21,13,1)*POWER(2,3)+MID(LQ21,12,1)*POWER(2,4)+MID(LQ21,11,1)*POWER(2,5)+MID(LQ21,10,1)*POWER(2,6)+MID(LQ21,9,1)*POWER(2,7)+MID(LQ21,8,1)*POWER(2,8)+MID(LQ21,7,1)*POWER(2,9)+MID(LQ21,6,1)*POWER(2,10)+MID(LQ21,5,1)*POWER(2,11)+MID(LQ21,4,1)*POWER(2,12)+MID(LQ21,3,1)*POWER(2,13)+MID(LQ21,2,1)*POWER(2,14)+MID(LQ21,1,1)*POWER(2,15))</f>
        <v>-8096</v>
      </c>
      <c r="LT20" s="43" t="str">
        <f>JN20</f>
        <v>00100100000000000010010001100000</v>
      </c>
      <c r="LU20" s="26" t="str">
        <f t="shared" si="192"/>
        <v>00100100</v>
      </c>
      <c r="LV20" s="26" t="str">
        <f t="shared" si="163"/>
        <v>00000000</v>
      </c>
      <c r="LW20" s="26" t="str">
        <f t="shared" si="164"/>
        <v>00100100</v>
      </c>
      <c r="LX20" s="26" t="str">
        <f t="shared" si="165"/>
        <v>01100000</v>
      </c>
      <c r="LY20" s="77">
        <f>BIN2DEC(LU20)-BIN2DEC(LU21)</f>
        <v>1</v>
      </c>
      <c r="LZ20" s="77">
        <f>BIN2DEC(LV20)-BIN2DEC(LV21)</f>
        <v>-35</v>
      </c>
      <c r="MA20" s="77">
        <f>BIN2DEC(LW20)-BIN2DEC(LW21)</f>
        <v>33</v>
      </c>
      <c r="MB20" s="77">
        <f>BIN2DEC(LX20)-BIN2DEC(LX21)</f>
        <v>96</v>
      </c>
      <c r="MC20" s="27" t="str">
        <f t="shared" si="166"/>
        <v>1011</v>
      </c>
      <c r="MD20" s="27" t="str">
        <f t="shared" si="167"/>
        <v>0101</v>
      </c>
      <c r="ME20" s="27" t="str">
        <f t="shared" si="168"/>
        <v>1001</v>
      </c>
      <c r="MF20" s="27" t="str">
        <f t="shared" si="169"/>
        <v>0010</v>
      </c>
      <c r="MG20" s="27" t="str">
        <f t="shared" si="170"/>
        <v>0011</v>
      </c>
      <c r="MH20" s="27" t="str">
        <f t="shared" si="171"/>
        <v>0111</v>
      </c>
      <c r="MI20" s="27" t="str">
        <f t="shared" si="172"/>
        <v>1110</v>
      </c>
      <c r="MJ20" s="27" t="str">
        <f t="shared" si="173"/>
        <v>0011</v>
      </c>
      <c r="MK20" s="77">
        <f t="shared" ref="MK20:MR20" si="291">BIN2DEC(MC20)-BIN2DEC(MC21)</f>
        <v>4</v>
      </c>
      <c r="ML20" s="77">
        <f t="shared" si="291"/>
        <v>-10</v>
      </c>
      <c r="MM20" s="77">
        <f t="shared" si="291"/>
        <v>-6</v>
      </c>
      <c r="MN20" s="77">
        <f t="shared" si="291"/>
        <v>-5</v>
      </c>
      <c r="MO20" s="77">
        <f t="shared" si="291"/>
        <v>-9</v>
      </c>
      <c r="MP20" s="77">
        <f t="shared" si="291"/>
        <v>0</v>
      </c>
      <c r="MQ20" s="77">
        <f t="shared" si="291"/>
        <v>13</v>
      </c>
      <c r="MR20" s="77">
        <f t="shared" si="291"/>
        <v>3</v>
      </c>
      <c r="MS20" s="26" t="str">
        <f t="shared" si="36"/>
        <v>0010010000000000</v>
      </c>
      <c r="MT20" s="26" t="str">
        <f t="shared" si="37"/>
        <v>0010010001100000</v>
      </c>
      <c r="MU20" s="77">
        <f>MID(MS20,16,1)*POWER(2,0)+MID(MS20,15,1)*POWER(2,1)+MID(MS20,14,1)*POWER(2,2)+MID(MS20,13,1)*POWER(2,3)+MID(MS20,12,1)*POWER(2,4)+MID(MS20,11,1)*POWER(2,5)+MID(MS20,10,1)*POWER(2,6)+MID(MS20,9,1)*POWER(2,7)+MID(MS20,8,1)*POWER(2,8)+MID(MS20,7,1)*POWER(2,9)+MID(MS20,6,1)*POWER(2,10)+MID(MS20,5,1)*POWER(2,11)+MID(MS20,4,1)*POWER(2,12)+MID(MS20,3,1)*POWER(2,13)+MID(MS20,2,1)*POWER(2,14)+MID(MS20,1,1)*POWER(2,15)-(MID(MS21,16,1)*POWER(2,0)+MID(MS21,15,1)*POWER(2,1)+MID(MS21,14,1)*POWER(2,2)+MID(MS21,13,1)*POWER(2,3)+MID(MS21,12,1)*POWER(2,4)+MID(MS21,11,1)*POWER(2,5)+MID(MS21,10,1)*POWER(2,6)+MID(MS21,9,1)*POWER(2,7)+MID(MS21,8,1)*POWER(2,8)+MID(MS21,7,1)*POWER(2,9)+MID(MS21,6,1)*POWER(2,10)+MID(MS21,5,1)*POWER(2,11)+MID(MS21,4,1)*POWER(2,12)+MID(MS21,3,1)*POWER(2,13)+MID(MS21,2,1)*POWER(2,14)+MID(MS21,1,1)*POWER(2,15))</f>
        <v>221</v>
      </c>
      <c r="MV20" s="77">
        <f>MID(MT20,16,1)*POWER(2,0)+MID(MT20,15,1)*POWER(2,1)+MID(MT20,14,1)*POWER(2,2)+MID(MT20,13,1)*POWER(2,3)+MID(MT20,12,1)*POWER(2,4)+MID(MT20,11,1)*POWER(2,5)+MID(MT20,10,1)*POWER(2,6)+MID(MT20,9,1)*POWER(2,7)+MID(MT20,8,1)*POWER(2,8)+MID(MT20,7,1)*POWER(2,9)+MID(MT20,6,1)*POWER(2,10)+MID(MT20,5,1)*POWER(2,11)+MID(MT20,4,1)*POWER(2,12)+MID(MT20,3,1)*POWER(2,13)+MID(MT20,2,1)*POWER(2,14)+MID(MT20,1,1)*POWER(2,15)-(MID(MT21,16,1)*POWER(2,0)+MID(MT21,15,1)*POWER(2,1)+MID(MT21,14,1)*POWER(2,2)+MID(MT21,13,1)*POWER(2,3)+MID(MT21,12,1)*POWER(2,4)+MID(MT21,11,1)*POWER(2,5)+MID(MT21,10,1)*POWER(2,6)+MID(MT21,9,1)*POWER(2,7)+MID(MT21,8,1)*POWER(2,8)+MID(MT21,7,1)*POWER(2,9)+MID(MT21,6,1)*POWER(2,10)+MID(MT21,5,1)*POWER(2,11)+MID(MT21,4,1)*POWER(2,12)+MID(MT21,3,1)*POWER(2,13)+MID(MT21,2,1)*POWER(2,14)+MID(MT21,1,1)*POWER(2,15))</f>
        <v>8544</v>
      </c>
    </row>
    <row r="21" spans="1:360" s="31" customFormat="1" ht="18.600000000000001" thickBot="1" x14ac:dyDescent="0.4">
      <c r="A21" s="28"/>
      <c r="B21" s="29"/>
      <c r="C21" s="21" t="s">
        <v>6</v>
      </c>
      <c r="D21" s="21" t="s">
        <v>56</v>
      </c>
      <c r="E21" s="21" t="s">
        <v>68</v>
      </c>
      <c r="F21" s="21">
        <v>18</v>
      </c>
      <c r="G21" s="21" t="s">
        <v>50</v>
      </c>
      <c r="H21" s="21" t="str">
        <f t="shared" si="278"/>
        <v>11101111111111100001100011100010</v>
      </c>
      <c r="I21" s="21">
        <f t="shared" si="279"/>
        <v>20</v>
      </c>
      <c r="J21" s="21"/>
      <c r="K21" s="21"/>
      <c r="L21" s="44" t="str">
        <f>CONCATENATE(MID(H21,4,5),MID(H21,25,3),MID(H21,12,5),MID(H21,1,3),MID(H21,20,5),MID(H21,9,3),MID(H21,28,5),MID(H21,17,3))</f>
        <v>01111111111101111100011100010000</v>
      </c>
      <c r="M21" s="26" t="str">
        <f t="shared" si="38"/>
        <v>01111</v>
      </c>
      <c r="N21" s="26" t="str">
        <f t="shared" si="39"/>
        <v>11110</v>
      </c>
      <c r="O21" s="26" t="str">
        <f t="shared" si="40"/>
        <v>11000</v>
      </c>
      <c r="P21" s="26" t="str">
        <f t="shared" si="41"/>
        <v>00010</v>
      </c>
      <c r="Q21" s="78"/>
      <c r="R21" s="78"/>
      <c r="S21" s="78"/>
      <c r="T21" s="78"/>
      <c r="U21" s="31" t="str">
        <f t="shared" si="42"/>
        <v>0111</v>
      </c>
      <c r="V21" s="31" t="str">
        <f t="shared" si="43"/>
        <v>1111</v>
      </c>
      <c r="W21" s="31" t="str">
        <f t="shared" si="44"/>
        <v>1111</v>
      </c>
      <c r="X21" s="31" t="str">
        <f t="shared" si="45"/>
        <v>0111</v>
      </c>
      <c r="Y21" s="31" t="str">
        <f t="shared" si="46"/>
        <v>1100</v>
      </c>
      <c r="Z21" s="31" t="str">
        <f t="shared" si="47"/>
        <v>0111</v>
      </c>
      <c r="AA21" s="31" t="str">
        <f t="shared" si="48"/>
        <v>0001</v>
      </c>
      <c r="AB21" s="31" t="str">
        <f t="shared" si="49"/>
        <v>0000</v>
      </c>
      <c r="AC21" s="78"/>
      <c r="AD21" s="78"/>
      <c r="AE21" s="78"/>
      <c r="AF21" s="78"/>
      <c r="AG21" s="78"/>
      <c r="AH21" s="78"/>
      <c r="AI21" s="78"/>
      <c r="AJ21" s="78"/>
      <c r="AK21" s="30" t="str">
        <f t="shared" si="3"/>
        <v>0111111111110111</v>
      </c>
      <c r="AL21" s="30" t="str">
        <f t="shared" si="4"/>
        <v>1100011100010000</v>
      </c>
      <c r="AM21" s="78"/>
      <c r="AN21" s="78"/>
      <c r="AO21" s="46" t="str">
        <f>CONCATENATE(MID($L21,1,1)*MID($K20,1,1),MID($L21,2,1)*MID($K20,2,1),MID($L21,3,1)*MID($K20,3,1),MID($L21,4,1)*MID($K20,4,1),MID($L21,5,1)*MID($K20,5,1),MID($L21,6,1)*MID($K20,6,1),MID($L21,7,1)*MID($K20,7,1),MID($L21,8,1)*MID($K20,8,1),MID($L21,9,1)*MID($K20,1,1),MID($L21,10,1)*MID($K20,2,1),MID($L21,11,1)*MID($K20,3,1),MID($L21,12,1)*MID($K20,4,1),MID($L21,13,1)*MID($K20,5,1),MID($L21,14,1)*MID($K20,6,1),MID($L21,15,1)*MID($K20,7,1),MID($L21,16,1)*MID($K20,8,1),MID($L21,17,1)*MID($K20,1,1),MID($L21,18,1)*MID($K20,2,1),MID($L21,19,1)*MID($K20,3,1),MID($L21,20,1)*MID($K20,4,1),MID($L21,21,1)*MID($K20,5,1),MID($L21,22,1)*MID($K20,6,1),MID($L21,23,1)*MID($K20,7,1),MID($L21,24,1)*MID($K20,8,1),MID($L21,25,1)*MID($K20,1,1),MID($L21,26,1)*MID($K20,2,1),MID($L21,27,1)*MID($K20,3,1),MID($L21,28,1)*MID($K20,4,1),MID($L21,29,1)*MID($K20,5,1),MID($L21,30,1)*MID($K20,6,1),MID($L21,31,1)*MID($K20,7,1),MID($L21,32,1)*MID($K20,8,1))</f>
        <v>01100100011001000100010000000000</v>
      </c>
      <c r="AP21" s="30" t="str">
        <f t="shared" si="50"/>
        <v>01100100</v>
      </c>
      <c r="AQ21" s="30" t="str">
        <f t="shared" si="51"/>
        <v>01100100</v>
      </c>
      <c r="AR21" s="30" t="str">
        <f t="shared" si="52"/>
        <v>01000100</v>
      </c>
      <c r="AS21" s="30" t="str">
        <f t="shared" si="53"/>
        <v>00000000</v>
      </c>
      <c r="AT21" s="78"/>
      <c r="AU21" s="78"/>
      <c r="AV21" s="78"/>
      <c r="AW21" s="78"/>
      <c r="AX21" s="31" t="str">
        <f t="shared" si="54"/>
        <v>0111</v>
      </c>
      <c r="AY21" s="31" t="str">
        <f t="shared" si="55"/>
        <v>1111</v>
      </c>
      <c r="AZ21" s="31" t="str">
        <f t="shared" si="56"/>
        <v>1111</v>
      </c>
      <c r="BA21" s="31" t="str">
        <f t="shared" si="57"/>
        <v>0111</v>
      </c>
      <c r="BB21" s="31" t="str">
        <f t="shared" si="58"/>
        <v>1100</v>
      </c>
      <c r="BC21" s="31" t="str">
        <f t="shared" si="59"/>
        <v>0111</v>
      </c>
      <c r="BD21" s="31" t="str">
        <f t="shared" si="60"/>
        <v>0001</v>
      </c>
      <c r="BE21" s="31" t="str">
        <f t="shared" si="61"/>
        <v>0000</v>
      </c>
      <c r="BF21" s="78"/>
      <c r="BG21" s="78"/>
      <c r="BH21" s="78"/>
      <c r="BI21" s="78"/>
      <c r="BJ21" s="78"/>
      <c r="BK21" s="78"/>
      <c r="BL21" s="78"/>
      <c r="BM21" s="78"/>
      <c r="BN21" s="30" t="str">
        <f t="shared" si="6"/>
        <v>0110010001100100</v>
      </c>
      <c r="BO21" s="30" t="str">
        <f t="shared" si="7"/>
        <v>0100010000000000</v>
      </c>
      <c r="BP21" s="78"/>
      <c r="BQ21" s="78"/>
      <c r="BR21" s="46" t="str">
        <f>L21</f>
        <v>01111111111101111100011100010000</v>
      </c>
      <c r="BS21" s="30" t="str">
        <f t="shared" si="62"/>
        <v>01111111</v>
      </c>
      <c r="BT21" s="30" t="str">
        <f t="shared" si="63"/>
        <v>11110111</v>
      </c>
      <c r="BU21" s="30" t="str">
        <f t="shared" si="64"/>
        <v>11000111</v>
      </c>
      <c r="BV21" s="30" t="str">
        <f t="shared" si="65"/>
        <v>00010000</v>
      </c>
      <c r="BW21" s="78"/>
      <c r="BX21" s="78"/>
      <c r="BY21" s="78"/>
      <c r="BZ21" s="78"/>
      <c r="CA21" s="31" t="str">
        <f t="shared" si="66"/>
        <v>0111</v>
      </c>
      <c r="CB21" s="31" t="str">
        <f t="shared" si="67"/>
        <v>1111</v>
      </c>
      <c r="CC21" s="31" t="str">
        <f t="shared" si="68"/>
        <v>1111</v>
      </c>
      <c r="CD21" s="31" t="str">
        <f t="shared" si="69"/>
        <v>0111</v>
      </c>
      <c r="CE21" s="31" t="str">
        <f t="shared" si="70"/>
        <v>1100</v>
      </c>
      <c r="CF21" s="31" t="str">
        <f t="shared" si="71"/>
        <v>0111</v>
      </c>
      <c r="CG21" s="31" t="str">
        <f t="shared" si="72"/>
        <v>0001</v>
      </c>
      <c r="CH21" s="31" t="str">
        <f t="shared" si="73"/>
        <v>0000</v>
      </c>
      <c r="CI21" s="78"/>
      <c r="CJ21" s="78"/>
      <c r="CK21" s="78"/>
      <c r="CL21" s="78"/>
      <c r="CM21" s="78"/>
      <c r="CN21" s="78"/>
      <c r="CO21" s="78"/>
      <c r="CP21" s="78"/>
      <c r="CQ21" s="30" t="str">
        <f t="shared" si="9"/>
        <v>0111111111110111</v>
      </c>
      <c r="CR21" s="30" t="str">
        <f t="shared" si="10"/>
        <v>1100011100010000</v>
      </c>
      <c r="CS21" s="78"/>
      <c r="CT21" s="78"/>
      <c r="CU21" s="46" t="str">
        <f>AO21</f>
        <v>01100100011001000100010000000000</v>
      </c>
      <c r="CV21" s="30" t="str">
        <f t="shared" si="74"/>
        <v>01100100</v>
      </c>
      <c r="CW21" s="30" t="str">
        <f t="shared" si="75"/>
        <v>01100100</v>
      </c>
      <c r="CX21" s="30" t="str">
        <f t="shared" si="76"/>
        <v>01000100</v>
      </c>
      <c r="CY21" s="30" t="str">
        <f t="shared" si="77"/>
        <v>00000000</v>
      </c>
      <c r="CZ21" s="78"/>
      <c r="DA21" s="78"/>
      <c r="DB21" s="78"/>
      <c r="DC21" s="78"/>
      <c r="DD21" s="31" t="str">
        <f t="shared" si="78"/>
        <v>0111</v>
      </c>
      <c r="DE21" s="31" t="str">
        <f t="shared" si="79"/>
        <v>1111</v>
      </c>
      <c r="DF21" s="31" t="str">
        <f t="shared" si="80"/>
        <v>1111</v>
      </c>
      <c r="DG21" s="31" t="str">
        <f t="shared" si="81"/>
        <v>0111</v>
      </c>
      <c r="DH21" s="31" t="str">
        <f t="shared" si="82"/>
        <v>1100</v>
      </c>
      <c r="DI21" s="31" t="str">
        <f t="shared" si="83"/>
        <v>0111</v>
      </c>
      <c r="DJ21" s="31" t="str">
        <f t="shared" si="84"/>
        <v>0001</v>
      </c>
      <c r="DK21" s="31" t="str">
        <f t="shared" si="85"/>
        <v>0000</v>
      </c>
      <c r="DL21" s="78"/>
      <c r="DM21" s="78"/>
      <c r="DN21" s="78"/>
      <c r="DO21" s="78"/>
      <c r="DP21" s="78"/>
      <c r="DQ21" s="78"/>
      <c r="DR21" s="78"/>
      <c r="DS21" s="78"/>
      <c r="DT21" s="30" t="str">
        <f t="shared" si="12"/>
        <v>0110010001100100</v>
      </c>
      <c r="DU21" s="30" t="str">
        <f t="shared" si="13"/>
        <v>0100010000000000</v>
      </c>
      <c r="DV21" s="78"/>
      <c r="DW21" s="78"/>
      <c r="DX21" s="23" t="str">
        <f>CONCATENATE(MID($H21,1,1)*MID($K20,1,1),MID($H21,2,1)*MID($K20,2,1),MID($H21,3,1)*MID($K20,3,1),MID($H21,4,1)*MID($K20,4,1),MID($H21,5,1)*MID($K20,5,1),MID($H21,6,1)*MID($K20,6,1),MID($H21,7,1)*MID($K20,7,1),MID($H21,8,1)*MID($K20,8,1),MID($H21,9,1)*MID($K20,1,1),MID($H21,10,1)*MID($K20,2,1),MID($H21,11,1)*MID($K20,3,1),MID($H21,12,1)*MID($K20,4,1),MID($H21,13,1)*MID($K20,5,1),MID($H21,14,1)*MID($K20,6,1),MID($H21,15,1)*MID($K20,7,1),MID($H21,16,1)*MID($K20,8,1),MID($H21,17,1)*MID($K20,1,1),MID($H21,18,1)*MID($K20,2,1),MID($H21,19,1)*MID($K20,3,1),MID($H21,20,1)*MID($K20,4,1),MID($H21,21,1)*MID($K20,5,1),MID($H21,22,1)*MID($K20,6,1),MID($H21,23,1)*MID($K20,7,1),MID($H21,24,1)*MID($K20,8,1),MID($H21,25,1)*MID($K20,1,1),MID($H21,26,1)*MID($K20,2,1),MID($H21,27,1)*MID($K20,3,1),MID($H21,28,1)*MID($K20,4,1),MID($H21,29,1)*MID($K20,5,1),MID($H21,30,1)*MID($K20,6,1),MID($H21,31,1)*MID($K20,7,1),MID($H21,32,1)*MID($K20,8,1))</f>
        <v>01100100011001000000000001100000</v>
      </c>
      <c r="DY21" s="44" t="str">
        <f>CONCATENATE(MID(DX21,4,5),MID(DX21,25,3),MID(DX21,12,5),MID(DX21,1,3),MID(DX21,20,5),MID(DX21,9,3),MID(DX21,28,5),MID(DX21,17,3))</f>
        <v>00100011001000110000001100000000</v>
      </c>
      <c r="DZ21" s="30" t="str">
        <f t="shared" si="178"/>
        <v>00100011</v>
      </c>
      <c r="EA21" s="30" t="str">
        <f t="shared" si="86"/>
        <v>00100011</v>
      </c>
      <c r="EB21" s="30" t="str">
        <f t="shared" si="87"/>
        <v>00000011</v>
      </c>
      <c r="EC21" s="30" t="str">
        <f t="shared" si="88"/>
        <v>00000000</v>
      </c>
      <c r="ED21" s="78"/>
      <c r="EE21" s="78"/>
      <c r="EF21" s="78"/>
      <c r="EG21" s="78"/>
      <c r="EH21" s="31" t="str">
        <f t="shared" si="89"/>
        <v>0111</v>
      </c>
      <c r="EI21" s="31" t="str">
        <f t="shared" si="90"/>
        <v>1111</v>
      </c>
      <c r="EJ21" s="31" t="str">
        <f t="shared" si="91"/>
        <v>1111</v>
      </c>
      <c r="EK21" s="31" t="str">
        <f t="shared" si="92"/>
        <v>0111</v>
      </c>
      <c r="EL21" s="31" t="str">
        <f t="shared" si="93"/>
        <v>1100</v>
      </c>
      <c r="EM21" s="31" t="str">
        <f t="shared" si="94"/>
        <v>0111</v>
      </c>
      <c r="EN21" s="31" t="str">
        <f t="shared" si="95"/>
        <v>0001</v>
      </c>
      <c r="EO21" s="31" t="str">
        <f t="shared" si="96"/>
        <v>0000</v>
      </c>
      <c r="EP21" s="78"/>
      <c r="EQ21" s="78"/>
      <c r="ER21" s="78"/>
      <c r="ES21" s="78"/>
      <c r="ET21" s="78"/>
      <c r="EU21" s="78"/>
      <c r="EV21" s="78"/>
      <c r="EW21" s="78"/>
      <c r="EX21" s="30" t="str">
        <f t="shared" si="15"/>
        <v>0010001100100011</v>
      </c>
      <c r="EY21" s="30" t="str">
        <f t="shared" si="16"/>
        <v>0000001100000000</v>
      </c>
      <c r="EZ21" s="78"/>
      <c r="FA21" s="78"/>
      <c r="FB21" s="46" t="str">
        <f>CONCATENATE(MID(DY21,1,1)*MID($K20,1,1),MID(DY21,2,1)*MID($K20,2,1),MID(DY21,3,1)*MID($K20,3,1),MID(DY21,4,1)*MID($K20,4,1),MID(DY21,5,1)*MID($K20,5,1),MID(DY21,6,1)*MID($K20,6,1),MID(DY21,7,1)*MID($K20,7,1),MID(DY21,8,1)*MID($K20,8,1),MID(DY21,9,1)*MID($K20,1,1),MID(DY21,10,1)*MID($K20,2,1),MID(DY21,11,1)*MID($K20,3,1),MID(DY21,12,1)*MID($K20,4,1),MID(DY21,13,1)*MID($K20,5,1),MID(DY21,14,1)*MID($K20,6,1),MID(DY21,15,1)*MID($K20,7,1),MID(DY21,16,1)*MID($K20,8,1),MID(DY21,17,1)*MID($K20,1,1),MID(DY21,18,1)*MID($K20,2,1),MID(DY21,19,1)*MID($K20,3,1),MID(DY21,20,1)*MID($K20,4,1),MID(DY21,21,1)*MID($K20,5,1),MID(DY21,22,1)*MID($K20,6,1),MID(DY21,23,1)*MID($K20,7,1),MID(DY21,24,1)*MID($K20,8,1),MID(DY21,25,1)*MID($K20,1,1),MID(DY21,26,1)*MID($K20,2,1),MID(DY21,27,1)*MID($K20,3,1),MID(DY21,28,1)*MID($K20,4,1),MID(DY21,29,1)*MID($K20,5,1),MID(DY21,30,1)*MID($K20,6,1),MID(DY21,31,1)*MID($K20,7,1),MID(DY21,32,1)*MID($K20,8,1))</f>
        <v>00100000001000000000000000000000</v>
      </c>
      <c r="FC21" s="30" t="str">
        <f t="shared" si="180"/>
        <v>00100000</v>
      </c>
      <c r="FD21" s="30" t="str">
        <f t="shared" si="97"/>
        <v>00100000</v>
      </c>
      <c r="FE21" s="30" t="str">
        <f t="shared" si="98"/>
        <v>00000000</v>
      </c>
      <c r="FF21" s="30" t="str">
        <f t="shared" si="99"/>
        <v>00000000</v>
      </c>
      <c r="FG21" s="78"/>
      <c r="FH21" s="78"/>
      <c r="FI21" s="78"/>
      <c r="FJ21" s="78"/>
      <c r="FK21" s="31" t="str">
        <f t="shared" si="100"/>
        <v>0111</v>
      </c>
      <c r="FL21" s="31" t="str">
        <f t="shared" si="101"/>
        <v>1111</v>
      </c>
      <c r="FM21" s="31" t="str">
        <f t="shared" si="102"/>
        <v>1111</v>
      </c>
      <c r="FN21" s="31" t="str">
        <f t="shared" si="103"/>
        <v>0111</v>
      </c>
      <c r="FO21" s="31" t="str">
        <f t="shared" si="104"/>
        <v>1100</v>
      </c>
      <c r="FP21" s="31" t="str">
        <f t="shared" si="105"/>
        <v>0111</v>
      </c>
      <c r="FQ21" s="31" t="str">
        <f t="shared" si="106"/>
        <v>0001</v>
      </c>
      <c r="FR21" s="31" t="str">
        <f t="shared" si="107"/>
        <v>0000</v>
      </c>
      <c r="FS21" s="78"/>
      <c r="FT21" s="78"/>
      <c r="FU21" s="78"/>
      <c r="FV21" s="78"/>
      <c r="FW21" s="78"/>
      <c r="FX21" s="78"/>
      <c r="FY21" s="78"/>
      <c r="FZ21" s="78"/>
      <c r="GA21" s="30" t="str">
        <f t="shared" si="18"/>
        <v>0010000000100000</v>
      </c>
      <c r="GB21" s="30" t="str">
        <f t="shared" si="19"/>
        <v>0000000000000000</v>
      </c>
      <c r="GC21" s="78"/>
      <c r="GD21" s="78"/>
      <c r="GE21" s="48" t="str">
        <f>DY21</f>
        <v>00100011001000110000001100000000</v>
      </c>
      <c r="GF21" s="30" t="str">
        <f t="shared" si="182"/>
        <v>00100011</v>
      </c>
      <c r="GG21" s="30" t="str">
        <f t="shared" si="108"/>
        <v>00100011</v>
      </c>
      <c r="GH21" s="30" t="str">
        <f t="shared" si="109"/>
        <v>00000011</v>
      </c>
      <c r="GI21" s="30" t="str">
        <f t="shared" si="110"/>
        <v>00000000</v>
      </c>
      <c r="GJ21" s="78"/>
      <c r="GK21" s="78"/>
      <c r="GL21" s="78"/>
      <c r="GM21" s="78"/>
      <c r="GN21" s="31" t="str">
        <f t="shared" si="111"/>
        <v>0111</v>
      </c>
      <c r="GO21" s="31" t="str">
        <f t="shared" si="112"/>
        <v>1111</v>
      </c>
      <c r="GP21" s="31" t="str">
        <f t="shared" si="113"/>
        <v>1111</v>
      </c>
      <c r="GQ21" s="31" t="str">
        <f t="shared" si="114"/>
        <v>0111</v>
      </c>
      <c r="GR21" s="31" t="str">
        <f t="shared" si="115"/>
        <v>1100</v>
      </c>
      <c r="GS21" s="31" t="str">
        <f t="shared" si="116"/>
        <v>0111</v>
      </c>
      <c r="GT21" s="31" t="str">
        <f t="shared" si="117"/>
        <v>0001</v>
      </c>
      <c r="GU21" s="31" t="str">
        <f t="shared" si="118"/>
        <v>0000</v>
      </c>
      <c r="GV21" s="78"/>
      <c r="GW21" s="78"/>
      <c r="GX21" s="78"/>
      <c r="GY21" s="78"/>
      <c r="GZ21" s="78"/>
      <c r="HA21" s="78"/>
      <c r="HB21" s="78"/>
      <c r="HC21" s="78"/>
      <c r="HD21" s="30" t="str">
        <f t="shared" si="21"/>
        <v>0010001100100011</v>
      </c>
      <c r="HE21" s="30" t="str">
        <f t="shared" si="22"/>
        <v>0000001100000000</v>
      </c>
      <c r="HF21" s="78"/>
      <c r="HG21" s="78"/>
      <c r="HH21" s="48" t="str">
        <f>FB21</f>
        <v>00100000001000000000000000000000</v>
      </c>
      <c r="HI21" s="30" t="str">
        <f t="shared" si="184"/>
        <v>00100000</v>
      </c>
      <c r="HJ21" s="30" t="str">
        <f t="shared" si="119"/>
        <v>00100000</v>
      </c>
      <c r="HK21" s="30" t="str">
        <f t="shared" si="120"/>
        <v>00000000</v>
      </c>
      <c r="HL21" s="30" t="str">
        <f t="shared" si="121"/>
        <v>00000000</v>
      </c>
      <c r="HM21" s="78"/>
      <c r="HN21" s="78"/>
      <c r="HO21" s="78"/>
      <c r="HP21" s="78"/>
      <c r="HQ21" s="31" t="str">
        <f t="shared" si="122"/>
        <v>0111</v>
      </c>
      <c r="HR21" s="31" t="str">
        <f t="shared" si="123"/>
        <v>1111</v>
      </c>
      <c r="HS21" s="31" t="str">
        <f t="shared" si="124"/>
        <v>1111</v>
      </c>
      <c r="HT21" s="31" t="str">
        <f t="shared" si="125"/>
        <v>0111</v>
      </c>
      <c r="HU21" s="31" t="str">
        <f t="shared" si="126"/>
        <v>1100</v>
      </c>
      <c r="HV21" s="31" t="str">
        <f t="shared" si="127"/>
        <v>0111</v>
      </c>
      <c r="HW21" s="31" t="str">
        <f t="shared" si="128"/>
        <v>0001</v>
      </c>
      <c r="HX21" s="31" t="str">
        <f t="shared" si="129"/>
        <v>0000</v>
      </c>
      <c r="HY21" s="78"/>
      <c r="HZ21" s="78"/>
      <c r="IA21" s="78"/>
      <c r="IB21" s="78"/>
      <c r="IC21" s="78"/>
      <c r="ID21" s="78"/>
      <c r="IE21" s="78"/>
      <c r="IF21" s="78"/>
      <c r="IG21" s="30" t="str">
        <f t="shared" si="24"/>
        <v>0010000000100000</v>
      </c>
      <c r="IH21" s="30" t="str">
        <f t="shared" si="25"/>
        <v>0000000000000000</v>
      </c>
      <c r="II21" s="78"/>
      <c r="IJ21" s="78"/>
      <c r="IK21" s="44" t="str">
        <f>L21</f>
        <v>01111111111101111100011100010000</v>
      </c>
      <c r="IL21" s="30" t="str">
        <f t="shared" si="186"/>
        <v>01111111</v>
      </c>
      <c r="IM21" s="30" t="str">
        <f t="shared" si="130"/>
        <v>11110111</v>
      </c>
      <c r="IN21" s="30" t="str">
        <f t="shared" si="131"/>
        <v>11000111</v>
      </c>
      <c r="IO21" s="30" t="str">
        <f t="shared" si="132"/>
        <v>00010000</v>
      </c>
      <c r="IP21" s="78"/>
      <c r="IQ21" s="78"/>
      <c r="IR21" s="78"/>
      <c r="IS21" s="78"/>
      <c r="IT21" s="31" t="str">
        <f t="shared" si="133"/>
        <v>0111</v>
      </c>
      <c r="IU21" s="31" t="str">
        <f t="shared" si="134"/>
        <v>1111</v>
      </c>
      <c r="IV21" s="31" t="str">
        <f t="shared" si="135"/>
        <v>1111</v>
      </c>
      <c r="IW21" s="31" t="str">
        <f t="shared" si="136"/>
        <v>0111</v>
      </c>
      <c r="IX21" s="31" t="str">
        <f t="shared" si="137"/>
        <v>1100</v>
      </c>
      <c r="IY21" s="31" t="str">
        <f t="shared" si="138"/>
        <v>0111</v>
      </c>
      <c r="IZ21" s="31" t="str">
        <f t="shared" si="139"/>
        <v>0001</v>
      </c>
      <c r="JA21" s="31" t="str">
        <f t="shared" si="140"/>
        <v>0000</v>
      </c>
      <c r="JB21" s="78"/>
      <c r="JC21" s="78"/>
      <c r="JD21" s="78"/>
      <c r="JE21" s="78"/>
      <c r="JF21" s="78"/>
      <c r="JG21" s="78"/>
      <c r="JH21" s="78"/>
      <c r="JI21" s="78"/>
      <c r="JJ21" s="30" t="str">
        <f t="shared" si="27"/>
        <v>0111111111110111</v>
      </c>
      <c r="JK21" s="30" t="str">
        <f t="shared" si="28"/>
        <v>1100011100010000</v>
      </c>
      <c r="JL21" s="78"/>
      <c r="JM21" s="78"/>
      <c r="JN21" s="46" t="str">
        <f>L21</f>
        <v>01111111111101111100011100010000</v>
      </c>
      <c r="JO21" s="30" t="str">
        <f t="shared" si="188"/>
        <v>01111111</v>
      </c>
      <c r="JP21" s="30" t="str">
        <f t="shared" si="141"/>
        <v>11110111</v>
      </c>
      <c r="JQ21" s="30" t="str">
        <f t="shared" si="142"/>
        <v>11000111</v>
      </c>
      <c r="JR21" s="30" t="str">
        <f t="shared" si="143"/>
        <v>00010000</v>
      </c>
      <c r="JS21" s="78"/>
      <c r="JT21" s="78"/>
      <c r="JU21" s="78"/>
      <c r="JV21" s="78"/>
      <c r="JW21" s="31" t="str">
        <f t="shared" si="144"/>
        <v>0111</v>
      </c>
      <c r="JX21" s="31" t="str">
        <f t="shared" si="145"/>
        <v>1111</v>
      </c>
      <c r="JY21" s="31" t="str">
        <f t="shared" si="146"/>
        <v>1111</v>
      </c>
      <c r="JZ21" s="31" t="str">
        <f t="shared" si="147"/>
        <v>0111</v>
      </c>
      <c r="KA21" s="31" t="str">
        <f t="shared" si="148"/>
        <v>1100</v>
      </c>
      <c r="KB21" s="31" t="str">
        <f t="shared" si="149"/>
        <v>0111</v>
      </c>
      <c r="KC21" s="31" t="str">
        <f t="shared" si="150"/>
        <v>0001</v>
      </c>
      <c r="KD21" s="31" t="str">
        <f t="shared" si="151"/>
        <v>0000</v>
      </c>
      <c r="KE21" s="78"/>
      <c r="KF21" s="78"/>
      <c r="KG21" s="78"/>
      <c r="KH21" s="78"/>
      <c r="KI21" s="78"/>
      <c r="KJ21" s="78"/>
      <c r="KK21" s="78"/>
      <c r="KL21" s="78"/>
      <c r="KM21" s="30" t="str">
        <f t="shared" si="30"/>
        <v>0111111111110111</v>
      </c>
      <c r="KN21" s="30" t="str">
        <f t="shared" si="31"/>
        <v>1100011100010000</v>
      </c>
      <c r="KO21" s="78"/>
      <c r="KP21" s="78"/>
      <c r="KQ21" s="48" t="str">
        <f>AO21</f>
        <v>01100100011001000100010000000000</v>
      </c>
      <c r="KR21" s="30" t="str">
        <f t="shared" si="190"/>
        <v>01100100</v>
      </c>
      <c r="KS21" s="30" t="str">
        <f t="shared" si="152"/>
        <v>01100100</v>
      </c>
      <c r="KT21" s="30" t="str">
        <f t="shared" si="153"/>
        <v>01000100</v>
      </c>
      <c r="KU21" s="30" t="str">
        <f t="shared" si="154"/>
        <v>00000000</v>
      </c>
      <c r="KV21" s="78"/>
      <c r="KW21" s="78"/>
      <c r="KX21" s="78"/>
      <c r="KY21" s="78"/>
      <c r="KZ21" s="31" t="str">
        <f t="shared" si="155"/>
        <v>0111</v>
      </c>
      <c r="LA21" s="31" t="str">
        <f t="shared" si="156"/>
        <v>1111</v>
      </c>
      <c r="LB21" s="31" t="str">
        <f t="shared" si="157"/>
        <v>1111</v>
      </c>
      <c r="LC21" s="31" t="str">
        <f t="shared" si="158"/>
        <v>0111</v>
      </c>
      <c r="LD21" s="31" t="str">
        <f t="shared" si="159"/>
        <v>1100</v>
      </c>
      <c r="LE21" s="31" t="str">
        <f t="shared" si="160"/>
        <v>0111</v>
      </c>
      <c r="LF21" s="31" t="str">
        <f t="shared" si="161"/>
        <v>0001</v>
      </c>
      <c r="LG21" s="31" t="str">
        <f t="shared" si="162"/>
        <v>0000</v>
      </c>
      <c r="LH21" s="78"/>
      <c r="LI21" s="78"/>
      <c r="LJ21" s="78"/>
      <c r="LK21" s="78"/>
      <c r="LL21" s="78"/>
      <c r="LM21" s="78"/>
      <c r="LN21" s="78"/>
      <c r="LO21" s="78"/>
      <c r="LP21" s="30" t="str">
        <f t="shared" si="33"/>
        <v>0110010001100100</v>
      </c>
      <c r="LQ21" s="30" t="str">
        <f t="shared" si="34"/>
        <v>0100010000000000</v>
      </c>
      <c r="LR21" s="78"/>
      <c r="LS21" s="78"/>
      <c r="LT21" s="48" t="str">
        <f>GE21</f>
        <v>00100011001000110000001100000000</v>
      </c>
      <c r="LU21" s="30" t="str">
        <f t="shared" si="192"/>
        <v>00100011</v>
      </c>
      <c r="LV21" s="30" t="str">
        <f t="shared" si="163"/>
        <v>00100011</v>
      </c>
      <c r="LW21" s="30" t="str">
        <f t="shared" si="164"/>
        <v>00000011</v>
      </c>
      <c r="LX21" s="30" t="str">
        <f t="shared" si="165"/>
        <v>00000000</v>
      </c>
      <c r="LY21" s="78"/>
      <c r="LZ21" s="78"/>
      <c r="MA21" s="78"/>
      <c r="MB21" s="78"/>
      <c r="MC21" s="31" t="str">
        <f t="shared" si="166"/>
        <v>0111</v>
      </c>
      <c r="MD21" s="31" t="str">
        <f t="shared" si="167"/>
        <v>1111</v>
      </c>
      <c r="ME21" s="31" t="str">
        <f t="shared" si="168"/>
        <v>1111</v>
      </c>
      <c r="MF21" s="31" t="str">
        <f t="shared" si="169"/>
        <v>0111</v>
      </c>
      <c r="MG21" s="31" t="str">
        <f t="shared" si="170"/>
        <v>1100</v>
      </c>
      <c r="MH21" s="31" t="str">
        <f t="shared" si="171"/>
        <v>0111</v>
      </c>
      <c r="MI21" s="31" t="str">
        <f t="shared" si="172"/>
        <v>0001</v>
      </c>
      <c r="MJ21" s="31" t="str">
        <f t="shared" si="173"/>
        <v>0000</v>
      </c>
      <c r="MK21" s="78"/>
      <c r="ML21" s="78"/>
      <c r="MM21" s="78"/>
      <c r="MN21" s="78"/>
      <c r="MO21" s="78"/>
      <c r="MP21" s="78"/>
      <c r="MQ21" s="78"/>
      <c r="MR21" s="78"/>
      <c r="MS21" s="30" t="str">
        <f t="shared" si="36"/>
        <v>0010001100100011</v>
      </c>
      <c r="MT21" s="30" t="str">
        <f t="shared" si="37"/>
        <v>0000001100000000</v>
      </c>
      <c r="MU21" s="78"/>
      <c r="MV21" s="78"/>
    </row>
    <row r="22" spans="1:360" s="35" customFormat="1" ht="18.600000000000001" thickBot="1" x14ac:dyDescent="0.4">
      <c r="A22" s="32"/>
      <c r="B22" s="33"/>
      <c r="C22" s="50" t="s">
        <v>0</v>
      </c>
      <c r="D22" s="50" t="s">
        <v>103</v>
      </c>
      <c r="E22" s="50">
        <v>87</v>
      </c>
      <c r="F22" s="50" t="s">
        <v>118</v>
      </c>
      <c r="G22" s="50" t="s">
        <v>113</v>
      </c>
      <c r="H22" s="50" t="str">
        <f t="shared" si="278"/>
        <v>10101111100001110000110000011011</v>
      </c>
      <c r="I22" s="50">
        <f t="shared" si="279"/>
        <v>16</v>
      </c>
      <c r="J22" s="50">
        <v>63</v>
      </c>
      <c r="K22" s="50" t="str">
        <f>HEX2BIN(J22,8)</f>
        <v>01100011</v>
      </c>
      <c r="L22" s="34" t="str">
        <f>CONCATENATE(MID(H22,17,16),MID(H22,1,16))</f>
        <v>00001100000110111010111110000111</v>
      </c>
      <c r="M22" s="34" t="str">
        <f t="shared" si="38"/>
        <v>00001</v>
      </c>
      <c r="N22" s="26" t="str">
        <f t="shared" si="39"/>
        <v>00011</v>
      </c>
      <c r="O22" s="26" t="str">
        <f t="shared" si="40"/>
        <v>10101</v>
      </c>
      <c r="P22" s="26" t="str">
        <f t="shared" si="41"/>
        <v>10000</v>
      </c>
      <c r="Q22" s="87">
        <f>BIN2DEC(M22)-BIN2DEC(M23)</f>
        <v>-25</v>
      </c>
      <c r="R22" s="87">
        <f>BIN2DEC(N22)-BIN2DEC(N23)</f>
        <v>-12</v>
      </c>
      <c r="S22" s="87">
        <f>BIN2DEC(O22)-BIN2DEC(O23)</f>
        <v>14</v>
      </c>
      <c r="T22" s="87">
        <f>BIN2DEC(P22)-BIN2DEC(P23)</f>
        <v>-6</v>
      </c>
      <c r="U22" s="35" t="str">
        <f t="shared" si="42"/>
        <v>0000</v>
      </c>
      <c r="V22" s="35" t="str">
        <f t="shared" si="43"/>
        <v>1100</v>
      </c>
      <c r="W22" s="35" t="str">
        <f t="shared" si="44"/>
        <v>0001</v>
      </c>
      <c r="X22" s="35" t="str">
        <f t="shared" si="45"/>
        <v>1011</v>
      </c>
      <c r="Y22" s="35" t="str">
        <f t="shared" si="46"/>
        <v>1010</v>
      </c>
      <c r="Z22" s="35" t="str">
        <f t="shared" si="47"/>
        <v>1111</v>
      </c>
      <c r="AA22" s="35" t="str">
        <f t="shared" si="48"/>
        <v>1000</v>
      </c>
      <c r="AB22" s="35" t="str">
        <f t="shared" si="49"/>
        <v>0111</v>
      </c>
      <c r="AC22" s="87">
        <f>BIN2DEC(U22)-BIN2DEC(U23)</f>
        <v>-13</v>
      </c>
      <c r="AD22" s="87">
        <f t="shared" ref="AD22:AI22" si="292">BIN2DEC(V22)-BIN2DEC(V23)</f>
        <v>9</v>
      </c>
      <c r="AE22" s="87">
        <f t="shared" si="292"/>
        <v>-6</v>
      </c>
      <c r="AF22" s="87">
        <f t="shared" si="292"/>
        <v>-3</v>
      </c>
      <c r="AG22" s="87">
        <f t="shared" si="292"/>
        <v>7</v>
      </c>
      <c r="AH22" s="87">
        <f t="shared" si="292"/>
        <v>4</v>
      </c>
      <c r="AI22" s="87">
        <f t="shared" si="292"/>
        <v>-3</v>
      </c>
      <c r="AJ22" s="87">
        <f>BIN2DEC(AB22)-BIN2DEC(AB23)</f>
        <v>5</v>
      </c>
      <c r="AK22" s="34" t="str">
        <f t="shared" si="3"/>
        <v>0000110000011011</v>
      </c>
      <c r="AL22" s="34" t="str">
        <f t="shared" si="4"/>
        <v>1010111110000111</v>
      </c>
      <c r="AM22" s="87">
        <f>MID(AK22,16,1)*POWER(2,0)+MID(AK22,15,1)*POWER(2,1)+MID(AK22,14,1)*POWER(2,2)+MID(AK22,13,1)*POWER(2,3)+MID(AK22,12,1)*POWER(2,4)+MID(AK22,11,1)*POWER(2,5)+MID(AK22,10,1)*POWER(2,6)+MID(AK22,9,1)*POWER(2,7)+MID(AK22,8,1)*POWER(2,8)+MID(AK22,7,1)*POWER(2,9)+MID(AK22,6,1)*POWER(2,10)+MID(AK22,5,1)*POWER(2,11)+MID(AK22,4,1)*POWER(2,12)+MID(AK22,3,1)*POWER(2,13)+MID(AK22,2,1)*POWER(2,14)+MID(AK22,1,1)*POWER(2,15)-(MID(AK23,16,1)*POWER(2,0)+MID(AK23,15,1)*POWER(2,1)+MID(AK23,14,1)*POWER(2,2)+MID(AK23,13,1)*POWER(2,3)+MID(AK23,12,1)*POWER(2,4)+MID(AK23,11,1)*POWER(2,5)+MID(AK23,10,1)*POWER(2,6)+MID(AK23,9,1)*POWER(2,7)+MID(AK23,8,1)*POWER(2,8)+MID(AK23,7,1)*POWER(2,9)+MID(AK23,6,1)*POWER(2,10)+MID(AK23,5,1)*POWER(2,11)+MID(AK23,4,1)*POWER(2,12)+MID(AK23,3,1)*POWER(2,13)+MID(AK23,2,1)*POWER(2,14)+MID(AK23,1,1)*POWER(2,15))</f>
        <v>-51043</v>
      </c>
      <c r="AN22" s="87">
        <f>MID(AL22,16,1)*POWER(2,0)+MID(AL22,15,1)*POWER(2,1)+MID(AL22,14,1)*POWER(2,2)+MID(AL22,13,1)*POWER(2,3)+MID(AL22,12,1)*POWER(2,4)+MID(AL22,11,1)*POWER(2,5)+MID(AL22,10,1)*POWER(2,6)+MID(AL22,9,1)*POWER(2,7)+MID(AL22,8,1)*POWER(2,8)+MID(AL22,7,1)*POWER(2,9)+MID(AL22,6,1)*POWER(2,10)+MID(AL22,5,1)*POWER(2,11)+MID(AL22,4,1)*POWER(2,12)+MID(AL22,3,1)*POWER(2,13)+MID(AL22,2,1)*POWER(2,14)+MID(AL22,1,1)*POWER(2,15)-(MID(AL23,16,1)*POWER(2,0)+MID(AL23,15,1)*POWER(2,1)+MID(AL23,14,1)*POWER(2,2)+MID(AL23,13,1)*POWER(2,3)+MID(AL23,12,1)*POWER(2,4)+MID(AL23,11,1)*POWER(2,5)+MID(AL23,10,1)*POWER(2,6)+MID(AL23,9,1)*POWER(2,7)+MID(AL23,8,1)*POWER(2,8)+MID(AL23,7,1)*POWER(2,9)+MID(AL23,6,1)*POWER(2,10)+MID(AL23,5,1)*POWER(2,11)+MID(AL23,4,1)*POWER(2,12)+MID(AL23,3,1)*POWER(2,13)+MID(AL23,2,1)*POWER(2,14)+MID(AL23,1,1)*POWER(2,15))</f>
        <v>29653</v>
      </c>
      <c r="AO22" s="33" t="str">
        <f>L22</f>
        <v>00001100000110111010111110000111</v>
      </c>
      <c r="AP22" s="34" t="str">
        <f t="shared" si="50"/>
        <v>00001100</v>
      </c>
      <c r="AQ22" s="34" t="str">
        <f t="shared" si="51"/>
        <v>00011011</v>
      </c>
      <c r="AR22" s="34" t="str">
        <f t="shared" si="52"/>
        <v>10101111</v>
      </c>
      <c r="AS22" s="34" t="str">
        <f t="shared" si="53"/>
        <v>10000111</v>
      </c>
      <c r="AT22" s="87">
        <f>BIN2DEC(AP22)-BIN2DEC(AP23)</f>
        <v>-55</v>
      </c>
      <c r="AU22" s="87">
        <f>BIN2DEC(AQ22)-BIN2DEC(AQ23)</f>
        <v>-71</v>
      </c>
      <c r="AV22" s="87">
        <f>BIN2DEC(AR22)-BIN2DEC(AR23)</f>
        <v>140</v>
      </c>
      <c r="AW22" s="87">
        <f>BIN2DEC(AS22)-BIN2DEC(AS23)</f>
        <v>101</v>
      </c>
      <c r="AX22" s="35" t="str">
        <f t="shared" si="54"/>
        <v>0000</v>
      </c>
      <c r="AY22" s="35" t="str">
        <f t="shared" si="55"/>
        <v>1100</v>
      </c>
      <c r="AZ22" s="35" t="str">
        <f t="shared" si="56"/>
        <v>0001</v>
      </c>
      <c r="BA22" s="35" t="str">
        <f t="shared" si="57"/>
        <v>1011</v>
      </c>
      <c r="BB22" s="35" t="str">
        <f t="shared" si="58"/>
        <v>1010</v>
      </c>
      <c r="BC22" s="35" t="str">
        <f t="shared" si="59"/>
        <v>1111</v>
      </c>
      <c r="BD22" s="35" t="str">
        <f t="shared" si="60"/>
        <v>1000</v>
      </c>
      <c r="BE22" s="35" t="str">
        <f t="shared" si="61"/>
        <v>0111</v>
      </c>
      <c r="BF22" s="87">
        <f>BIN2DEC(AX22)-BIN2DEC(AX23)</f>
        <v>-13</v>
      </c>
      <c r="BG22" s="87">
        <f t="shared" ref="BG22:BL22" si="293">BIN2DEC(AY22)-BIN2DEC(AY23)</f>
        <v>9</v>
      </c>
      <c r="BH22" s="87">
        <f t="shared" si="293"/>
        <v>-6</v>
      </c>
      <c r="BI22" s="87">
        <f t="shared" si="293"/>
        <v>-3</v>
      </c>
      <c r="BJ22" s="87">
        <f t="shared" si="293"/>
        <v>7</v>
      </c>
      <c r="BK22" s="87">
        <f t="shared" si="293"/>
        <v>4</v>
      </c>
      <c r="BL22" s="87">
        <f t="shared" si="293"/>
        <v>-3</v>
      </c>
      <c r="BM22" s="87">
        <f>BIN2DEC(BE22)-BIN2DEC(BE23)</f>
        <v>5</v>
      </c>
      <c r="BN22" s="34" t="str">
        <f t="shared" si="6"/>
        <v>0000110000011011</v>
      </c>
      <c r="BO22" s="34" t="str">
        <f t="shared" si="7"/>
        <v>1010111110000111</v>
      </c>
      <c r="BP22" s="87">
        <f>MID(BN22,16,1)*POWER(2,0)+MID(BN22,15,1)*POWER(2,1)+MID(BN22,14,1)*POWER(2,2)+MID(BN22,13,1)*POWER(2,3)+MID(BN22,12,1)*POWER(2,4)+MID(BN22,11,1)*POWER(2,5)+MID(BN22,10,1)*POWER(2,6)+MID(BN22,9,1)*POWER(2,7)+MID(BN22,8,1)*POWER(2,8)+MID(BN22,7,1)*POWER(2,9)+MID(BN22,6,1)*POWER(2,10)+MID(BN22,5,1)*POWER(2,11)+MID(BN22,4,1)*POWER(2,12)+MID(BN22,3,1)*POWER(2,13)+MID(BN22,2,1)*POWER(2,14)+MID(BN22,1,1)*POWER(2,15)-(MID(BN23,16,1)*POWER(2,0)+MID(BN23,15,1)*POWER(2,1)+MID(BN23,14,1)*POWER(2,2)+MID(BN23,13,1)*POWER(2,3)+MID(BN23,12,1)*POWER(2,4)+MID(BN23,11,1)*POWER(2,5)+MID(BN23,10,1)*POWER(2,6)+MID(BN23,9,1)*POWER(2,7)+MID(BN23,8,1)*POWER(2,8)+MID(BN23,7,1)*POWER(2,9)+MID(BN23,6,1)*POWER(2,10)+MID(BN23,5,1)*POWER(2,11)+MID(BN23,4,1)*POWER(2,12)+MID(BN23,3,1)*POWER(2,13)+MID(BN23,2,1)*POWER(2,14)+MID(BN23,1,1)*POWER(2,15))</f>
        <v>-14151</v>
      </c>
      <c r="BQ22" s="87">
        <f>MID(BO22,16,1)*POWER(2,0)+MID(BO22,15,1)*POWER(2,1)+MID(BO22,14,1)*POWER(2,2)+MID(BO22,13,1)*POWER(2,3)+MID(BO22,12,1)*POWER(2,4)+MID(BO22,11,1)*POWER(2,5)+MID(BO22,10,1)*POWER(2,6)+MID(BO22,9,1)*POWER(2,7)+MID(BO22,8,1)*POWER(2,8)+MID(BO22,7,1)*POWER(2,9)+MID(BO22,6,1)*POWER(2,10)+MID(BO22,5,1)*POWER(2,11)+MID(BO22,4,1)*POWER(2,12)+MID(BO22,3,1)*POWER(2,13)+MID(BO22,2,1)*POWER(2,14)+MID(BO22,1,1)*POWER(2,15)-(MID(BO23,16,1)*POWER(2,0)+MID(BO23,15,1)*POWER(2,1)+MID(BO23,14,1)*POWER(2,2)+MID(BO23,13,1)*POWER(2,3)+MID(BO23,12,1)*POWER(2,4)+MID(BO23,11,1)*POWER(2,5)+MID(BO23,10,1)*POWER(2,6)+MID(BO23,9,1)*POWER(2,7)+MID(BO23,8,1)*POWER(2,8)+MID(BO23,7,1)*POWER(2,9)+MID(BO23,6,1)*POWER(2,10)+MID(BO23,5,1)*POWER(2,11)+MID(BO23,4,1)*POWER(2,12)+MID(BO23,3,1)*POWER(2,13)+MID(BO23,2,1)*POWER(2,14)+MID(BO23,1,1)*POWER(2,15))</f>
        <v>35941</v>
      </c>
      <c r="BR22" s="33" t="str">
        <f>CONCATENATE(MID($L22,1,1)*MID($K22,1,1),MID($L22,2,1)*MID($K22,2,1),MID($L22,3,1)*MID($K22,3,1),MID($L22,4,1)*MID($K22,4,1),MID($L22,5,1)*MID($K22,5,1),MID($L22,6,1)*MID($K22,6,1),MID($L22,7,1)*MID($K22,7,1),MID($L22,8,1)*MID($K22,8,1),MID($L22,9,1)*MID($K22,1,1),MID($L22,10,1)*MID($K22,2,1),MID($L22,11,1)*MID($K22,3,1),MID($L22,12,1)*MID($K22,4,1),MID($L22,13,1)*MID($K22,5,1),MID($L22,14,1)*MID($K22,6,1),MID($L22,15,1)*MID($K22,7,1),MID($L22,16,1)*MID($K22,8,1),MID($L22,17,1)*MID($K22,1,1),MID($L22,18,1)*MID($K22,2,1),MID($L22,19,1)*MID($K22,3,1),MID($L22,20,1)*MID($K22,4,1),MID($L22,21,1)*MID($K22,5,1),MID($L22,22,1)*MID($K22,6,1),MID($L22,23,1)*MID($K22,7,1),MID($L22,24,1)*MID($K22,8,1),MID($L22,25,1)*MID($K22,1,1),MID($L22,26,1)*MID($K22,2,1),MID($L22,27,1)*MID($K22,3,1),MID($L22,28,1)*MID($K22,4,1),MID($L22,29,1)*MID($K22,5,1),MID($L22,30,1)*MID($K22,6,1),MID($L22,31,1)*MID($K22,7,1),MID($L22,32,1)*MID($K22,8,1))</f>
        <v>00000000000000110010001100000011</v>
      </c>
      <c r="BS22" s="34" t="str">
        <f t="shared" si="62"/>
        <v>00000000</v>
      </c>
      <c r="BT22" s="34" t="str">
        <f t="shared" si="63"/>
        <v>00000011</v>
      </c>
      <c r="BU22" s="34" t="str">
        <f t="shared" si="64"/>
        <v>00100011</v>
      </c>
      <c r="BV22" s="34" t="str">
        <f t="shared" si="65"/>
        <v>00000011</v>
      </c>
      <c r="BW22" s="87">
        <f>BIN2DEC(BS22)-BIN2DEC(BS23)</f>
        <v>-211</v>
      </c>
      <c r="BX22" s="87">
        <f>BIN2DEC(BT22)-BIN2DEC(BT23)</f>
        <v>-123</v>
      </c>
      <c r="BY22" s="87">
        <f>BIN2DEC(BU22)-BIN2DEC(BU23)</f>
        <v>-24</v>
      </c>
      <c r="BZ22" s="87">
        <f>BIN2DEC(BV22)-BIN2DEC(BV23)</f>
        <v>-175</v>
      </c>
      <c r="CA22" s="35" t="str">
        <f t="shared" si="66"/>
        <v>0000</v>
      </c>
      <c r="CB22" s="35" t="str">
        <f t="shared" si="67"/>
        <v>1100</v>
      </c>
      <c r="CC22" s="35" t="str">
        <f t="shared" si="68"/>
        <v>0001</v>
      </c>
      <c r="CD22" s="35" t="str">
        <f t="shared" si="69"/>
        <v>1011</v>
      </c>
      <c r="CE22" s="35" t="str">
        <f t="shared" si="70"/>
        <v>1010</v>
      </c>
      <c r="CF22" s="35" t="str">
        <f t="shared" si="71"/>
        <v>1111</v>
      </c>
      <c r="CG22" s="35" t="str">
        <f t="shared" si="72"/>
        <v>1000</v>
      </c>
      <c r="CH22" s="35" t="str">
        <f t="shared" si="73"/>
        <v>0111</v>
      </c>
      <c r="CI22" s="87">
        <f>BIN2DEC(CA22)-BIN2DEC(CA23)</f>
        <v>-13</v>
      </c>
      <c r="CJ22" s="87">
        <f t="shared" ref="CJ22:CO22" si="294">BIN2DEC(CB22)-BIN2DEC(CB23)</f>
        <v>9</v>
      </c>
      <c r="CK22" s="87">
        <f t="shared" si="294"/>
        <v>-6</v>
      </c>
      <c r="CL22" s="87">
        <f t="shared" si="294"/>
        <v>-3</v>
      </c>
      <c r="CM22" s="87">
        <f t="shared" si="294"/>
        <v>7</v>
      </c>
      <c r="CN22" s="87">
        <f t="shared" si="294"/>
        <v>4</v>
      </c>
      <c r="CO22" s="87">
        <f t="shared" si="294"/>
        <v>-3</v>
      </c>
      <c r="CP22" s="87">
        <f>BIN2DEC(CH22)-BIN2DEC(CH23)</f>
        <v>5</v>
      </c>
      <c r="CQ22" s="34" t="str">
        <f t="shared" si="9"/>
        <v>0000000000000011</v>
      </c>
      <c r="CR22" s="34" t="str">
        <f t="shared" si="10"/>
        <v>0010001100000011</v>
      </c>
      <c r="CS22" s="87">
        <f>MID(CQ22,16,1)*POWER(2,0)+MID(CQ22,15,1)*POWER(2,1)+MID(CQ22,14,1)*POWER(2,2)+MID(CQ22,13,1)*POWER(2,3)+MID(CQ22,12,1)*POWER(2,4)+MID(CQ22,11,1)*POWER(2,5)+MID(CQ22,10,1)*POWER(2,6)+MID(CQ22,9,1)*POWER(2,7)+MID(CQ22,8,1)*POWER(2,8)+MID(CQ22,7,1)*POWER(2,9)+MID(CQ22,6,1)*POWER(2,10)+MID(CQ22,5,1)*POWER(2,11)+MID(CQ22,4,1)*POWER(2,12)+MID(CQ22,3,1)*POWER(2,13)+MID(CQ22,2,1)*POWER(2,14)+MID(CQ22,1,1)*POWER(2,15)-(MID(CQ23,16,1)*POWER(2,0)+MID(CQ23,15,1)*POWER(2,1)+MID(CQ23,14,1)*POWER(2,2)+MID(CQ23,13,1)*POWER(2,3)+MID(CQ23,12,1)*POWER(2,4)+MID(CQ23,11,1)*POWER(2,5)+MID(CQ23,10,1)*POWER(2,6)+MID(CQ23,9,1)*POWER(2,7)+MID(CQ23,8,1)*POWER(2,8)+MID(CQ23,7,1)*POWER(2,9)+MID(CQ23,6,1)*POWER(2,10)+MID(CQ23,5,1)*POWER(2,11)+MID(CQ23,4,1)*POWER(2,12)+MID(CQ23,3,1)*POWER(2,13)+MID(CQ23,2,1)*POWER(2,14)+MID(CQ23,1,1)*POWER(2,15))</f>
        <v>-54139</v>
      </c>
      <c r="CT22" s="87">
        <f>MID(CR22,16,1)*POWER(2,0)+MID(CR22,15,1)*POWER(2,1)+MID(CR22,14,1)*POWER(2,2)+MID(CR22,13,1)*POWER(2,3)+MID(CR22,12,1)*POWER(2,4)+MID(CR22,11,1)*POWER(2,5)+MID(CR22,10,1)*POWER(2,6)+MID(CR22,9,1)*POWER(2,7)+MID(CR22,8,1)*POWER(2,8)+MID(CR22,7,1)*POWER(2,9)+MID(CR22,6,1)*POWER(2,10)+MID(CR22,5,1)*POWER(2,11)+MID(CR22,4,1)*POWER(2,12)+MID(CR22,3,1)*POWER(2,13)+MID(CR22,2,1)*POWER(2,14)+MID(CR22,1,1)*POWER(2,15)-(MID(CR23,16,1)*POWER(2,0)+MID(CR23,15,1)*POWER(2,1)+MID(CR23,14,1)*POWER(2,2)+MID(CR23,13,1)*POWER(2,3)+MID(CR23,12,1)*POWER(2,4)+MID(CR23,11,1)*POWER(2,5)+MID(CR23,10,1)*POWER(2,6)+MID(CR23,9,1)*POWER(2,7)+MID(CR23,8,1)*POWER(2,8)+MID(CR23,7,1)*POWER(2,9)+MID(CR23,6,1)*POWER(2,10)+MID(CR23,5,1)*POWER(2,11)+MID(CR23,4,1)*POWER(2,12)+MID(CR23,3,1)*POWER(2,13)+MID(CR23,2,1)*POWER(2,14)+MID(CR23,1,1)*POWER(2,15))</f>
        <v>-6319</v>
      </c>
      <c r="CU22" s="33" t="str">
        <f>BR22</f>
        <v>00000000000000110010001100000011</v>
      </c>
      <c r="CV22" s="34" t="str">
        <f t="shared" si="74"/>
        <v>00000000</v>
      </c>
      <c r="CW22" s="34" t="str">
        <f t="shared" si="75"/>
        <v>00000011</v>
      </c>
      <c r="CX22" s="34" t="str">
        <f t="shared" si="76"/>
        <v>00100011</v>
      </c>
      <c r="CY22" s="34" t="str">
        <f t="shared" si="77"/>
        <v>00000011</v>
      </c>
      <c r="CZ22" s="87">
        <f>BIN2DEC(CV22)-BIN2DEC(CV23)</f>
        <v>-67</v>
      </c>
      <c r="DA22" s="87">
        <f>BIN2DEC(CW22)-BIN2DEC(CW23)</f>
        <v>-95</v>
      </c>
      <c r="DB22" s="87">
        <f>BIN2DEC(CX22)-BIN2DEC(CX23)</f>
        <v>0</v>
      </c>
      <c r="DC22" s="87">
        <f>BIN2DEC(CY22)-BIN2DEC(CY23)</f>
        <v>-31</v>
      </c>
      <c r="DD22" s="35" t="str">
        <f t="shared" si="78"/>
        <v>0000</v>
      </c>
      <c r="DE22" s="35" t="str">
        <f t="shared" si="79"/>
        <v>1100</v>
      </c>
      <c r="DF22" s="35" t="str">
        <f t="shared" si="80"/>
        <v>0001</v>
      </c>
      <c r="DG22" s="35" t="str">
        <f t="shared" si="81"/>
        <v>1011</v>
      </c>
      <c r="DH22" s="35" t="str">
        <f t="shared" si="82"/>
        <v>1010</v>
      </c>
      <c r="DI22" s="35" t="str">
        <f t="shared" si="83"/>
        <v>1111</v>
      </c>
      <c r="DJ22" s="35" t="str">
        <f t="shared" si="84"/>
        <v>1000</v>
      </c>
      <c r="DK22" s="35" t="str">
        <f t="shared" si="85"/>
        <v>0111</v>
      </c>
      <c r="DL22" s="87">
        <f>BIN2DEC(DD22)-BIN2DEC(DD23)</f>
        <v>-13</v>
      </c>
      <c r="DM22" s="87">
        <f t="shared" ref="DM22:DR22" si="295">BIN2DEC(DE22)-BIN2DEC(DE23)</f>
        <v>9</v>
      </c>
      <c r="DN22" s="87">
        <f t="shared" si="295"/>
        <v>-6</v>
      </c>
      <c r="DO22" s="87">
        <f t="shared" si="295"/>
        <v>-3</v>
      </c>
      <c r="DP22" s="87">
        <f t="shared" si="295"/>
        <v>7</v>
      </c>
      <c r="DQ22" s="87">
        <f t="shared" si="295"/>
        <v>4</v>
      </c>
      <c r="DR22" s="87">
        <f t="shared" si="295"/>
        <v>-3</v>
      </c>
      <c r="DS22" s="87">
        <f>BIN2DEC(DK22)-BIN2DEC(DK23)</f>
        <v>5</v>
      </c>
      <c r="DT22" s="34" t="str">
        <f t="shared" si="12"/>
        <v>0000000000000011</v>
      </c>
      <c r="DU22" s="34" t="str">
        <f t="shared" si="13"/>
        <v>0010001100000011</v>
      </c>
      <c r="DV22" s="87">
        <f>MID(DT22,16,1)*POWER(2,0)+MID(DT22,15,1)*POWER(2,1)+MID(DT22,14,1)*POWER(2,2)+MID(DT22,13,1)*POWER(2,3)+MID(DT22,12,1)*POWER(2,4)+MID(DT22,11,1)*POWER(2,5)+MID(DT22,10,1)*POWER(2,6)+MID(DT22,9,1)*POWER(2,7)+MID(DT22,8,1)*POWER(2,8)+MID(DT22,7,1)*POWER(2,9)+MID(DT22,6,1)*POWER(2,10)+MID(DT22,5,1)*POWER(2,11)+MID(DT22,4,1)*POWER(2,12)+MID(DT22,3,1)*POWER(2,13)+MID(DT22,2,1)*POWER(2,14)+MID(DT22,1,1)*POWER(2,15)-(MID(DT23,16,1)*POWER(2,0)+MID(DT23,15,1)*POWER(2,1)+MID(DT23,14,1)*POWER(2,2)+MID(DT23,13,1)*POWER(2,3)+MID(DT23,12,1)*POWER(2,4)+MID(DT23,11,1)*POWER(2,5)+MID(DT23,10,1)*POWER(2,6)+MID(DT23,9,1)*POWER(2,7)+MID(DT23,8,1)*POWER(2,8)+MID(DT23,7,1)*POWER(2,9)+MID(DT23,6,1)*POWER(2,10)+MID(DT23,5,1)*POWER(2,11)+MID(DT23,4,1)*POWER(2,12)+MID(DT23,3,1)*POWER(2,13)+MID(DT23,2,1)*POWER(2,14)+MID(DT23,1,1)*POWER(2,15))</f>
        <v>-17247</v>
      </c>
      <c r="DW22" s="87">
        <f>MID(DU22,16,1)*POWER(2,0)+MID(DU22,15,1)*POWER(2,1)+MID(DU22,14,1)*POWER(2,2)+MID(DU22,13,1)*POWER(2,3)+MID(DU22,12,1)*POWER(2,4)+MID(DU22,11,1)*POWER(2,5)+MID(DU22,10,1)*POWER(2,6)+MID(DU22,9,1)*POWER(2,7)+MID(DU22,8,1)*POWER(2,8)+MID(DU22,7,1)*POWER(2,9)+MID(DU22,6,1)*POWER(2,10)+MID(DU22,5,1)*POWER(2,11)+MID(DU22,4,1)*POWER(2,12)+MID(DU22,3,1)*POWER(2,13)+MID(DU22,2,1)*POWER(2,14)+MID(DU22,1,1)*POWER(2,15)-(MID(DU23,16,1)*POWER(2,0)+MID(DU23,15,1)*POWER(2,1)+MID(DU23,14,1)*POWER(2,2)+MID(DU23,13,1)*POWER(2,3)+MID(DU23,12,1)*POWER(2,4)+MID(DU23,11,1)*POWER(2,5)+MID(DU23,10,1)*POWER(2,6)+MID(DU23,9,1)*POWER(2,7)+MID(DU23,8,1)*POWER(2,8)+MID(DU23,7,1)*POWER(2,9)+MID(DU23,6,1)*POWER(2,10)+MID(DU23,5,1)*POWER(2,11)+MID(DU23,4,1)*POWER(2,12)+MID(DU23,3,1)*POWER(2,13)+MID(DU23,2,1)*POWER(2,14)+MID(DU23,1,1)*POWER(2,15))</f>
        <v>-31</v>
      </c>
      <c r="DX22" s="33" t="str">
        <f>CONCATENATE(MID($H22,1,1)*MID($K22,1,1),MID($H22,2,1)*MID($K22,2,1),MID($H22,3,1)*MID($K22,3,1),MID($H22,4,1)*MID($K22,4,1),MID($H22,5,1)*MID($K22,5,1),MID($H22,6,1)*MID($K22,6,1),MID($H22,7,1)*MID($K22,7,1),MID($H22,8,1)*MID($K22,8,1),MID($H22,9,1)*MID($K22,1,1),MID($H22,10,1)*MID($K22,2,1),MID($H22,11,1)*MID($K22,3,1),MID($H22,12,1)*MID($K22,4,1),MID($H22,13,1)*MID($K22,5,1),MID($H22,14,1)*MID($K22,6,1),MID($H22,15,1)*MID($K22,7,1),MID($H22,16,1)*MID($K22,8,1),MID($H22,17,1)*MID($K22,1,1),MID($H22,18,1)*MID($K22,2,1),MID($H22,19,1)*MID($K22,3,1),MID($H22,20,1)*MID($K22,4,1),MID($H22,21,1)*MID($K22,5,1),MID($H22,22,1)*MID($K22,6,1),MID($H22,23,1)*MID($K22,7,1),MID($H22,24,1)*MID($K22,8,1),MID($H22,25,1)*MID($K22,1,1),MID($H22,26,1)*MID($K22,2,1),MID($H22,27,1)*MID($K22,3,1),MID($H22,28,1)*MID($K22,4,1),MID($H22,29,1)*MID($K22,5,1),MID($H22,30,1)*MID($K22,6,1),MID($H22,31,1)*MID($K22,7,1),MID($H22,32,1)*MID($K22,8,1))</f>
        <v>00100011000000110000000000000011</v>
      </c>
      <c r="DY22" s="34" t="str">
        <f>L22</f>
        <v>00001100000110111010111110000111</v>
      </c>
      <c r="DZ22" s="34" t="str">
        <f t="shared" si="178"/>
        <v>00001100</v>
      </c>
      <c r="EA22" s="34" t="str">
        <f t="shared" si="86"/>
        <v>00011011</v>
      </c>
      <c r="EB22" s="34" t="str">
        <f t="shared" si="87"/>
        <v>10101111</v>
      </c>
      <c r="EC22" s="34" t="str">
        <f t="shared" si="88"/>
        <v>10000111</v>
      </c>
      <c r="ED22" s="87">
        <f>BIN2DEC(DZ22)-BIN2DEC(DZ23)</f>
        <v>-7</v>
      </c>
      <c r="EE22" s="87">
        <f>BIN2DEC(EA22)-BIN2DEC(EA23)</f>
        <v>1</v>
      </c>
      <c r="EF22" s="87">
        <f>BIN2DEC(EB22)-BIN2DEC(EB23)</f>
        <v>148</v>
      </c>
      <c r="EG22" s="87">
        <f>BIN2DEC(EC22)-BIN2DEC(EC23)</f>
        <v>117</v>
      </c>
      <c r="EH22" s="35" t="str">
        <f t="shared" si="89"/>
        <v>0000</v>
      </c>
      <c r="EI22" s="35" t="str">
        <f t="shared" si="90"/>
        <v>1100</v>
      </c>
      <c r="EJ22" s="35" t="str">
        <f t="shared" si="91"/>
        <v>0001</v>
      </c>
      <c r="EK22" s="35" t="str">
        <f t="shared" si="92"/>
        <v>1011</v>
      </c>
      <c r="EL22" s="35" t="str">
        <f t="shared" si="93"/>
        <v>1010</v>
      </c>
      <c r="EM22" s="35" t="str">
        <f t="shared" si="94"/>
        <v>1111</v>
      </c>
      <c r="EN22" s="35" t="str">
        <f t="shared" si="95"/>
        <v>1000</v>
      </c>
      <c r="EO22" s="35" t="str">
        <f t="shared" si="96"/>
        <v>0111</v>
      </c>
      <c r="EP22" s="87">
        <f>BIN2DEC(EH22)-BIN2DEC(EH23)</f>
        <v>-13</v>
      </c>
      <c r="EQ22" s="87">
        <f t="shared" ref="EQ22:EV22" si="296">BIN2DEC(EI22)-BIN2DEC(EI23)</f>
        <v>9</v>
      </c>
      <c r="ER22" s="87">
        <f t="shared" si="296"/>
        <v>-6</v>
      </c>
      <c r="ES22" s="87">
        <f t="shared" si="296"/>
        <v>-3</v>
      </c>
      <c r="ET22" s="87">
        <f t="shared" si="296"/>
        <v>7</v>
      </c>
      <c r="EU22" s="87">
        <f t="shared" si="296"/>
        <v>4</v>
      </c>
      <c r="EV22" s="87">
        <f t="shared" si="296"/>
        <v>-3</v>
      </c>
      <c r="EW22" s="87">
        <f>BIN2DEC(EO22)-BIN2DEC(EO23)</f>
        <v>5</v>
      </c>
      <c r="EX22" s="34" t="str">
        <f t="shared" si="15"/>
        <v>0000110000011011</v>
      </c>
      <c r="EY22" s="34" t="str">
        <f t="shared" si="16"/>
        <v>1010111110000111</v>
      </c>
      <c r="EZ22" s="87">
        <f>MID(EX22,16,1)*POWER(2,0)+MID(EX22,15,1)*POWER(2,1)+MID(EX22,14,1)*POWER(2,2)+MID(EX22,13,1)*POWER(2,3)+MID(EX22,12,1)*POWER(2,4)+MID(EX22,11,1)*POWER(2,5)+MID(EX22,10,1)*POWER(2,6)+MID(EX22,9,1)*POWER(2,7)+MID(EX22,8,1)*POWER(2,8)+MID(EX22,7,1)*POWER(2,9)+MID(EX22,6,1)*POWER(2,10)+MID(EX22,5,1)*POWER(2,11)+MID(EX22,4,1)*POWER(2,12)+MID(EX22,3,1)*POWER(2,13)+MID(EX22,2,1)*POWER(2,14)+MID(EX22,1,1)*POWER(2,15)-(MID(EX23,16,1)*POWER(2,0)+MID(EX23,15,1)*POWER(2,1)+MID(EX23,14,1)*POWER(2,2)+MID(EX23,13,1)*POWER(2,3)+MID(EX23,12,1)*POWER(2,4)+MID(EX23,11,1)*POWER(2,5)+MID(EX23,10,1)*POWER(2,6)+MID(EX23,9,1)*POWER(2,7)+MID(EX23,8,1)*POWER(2,8)+MID(EX23,7,1)*POWER(2,9)+MID(EX23,6,1)*POWER(2,10)+MID(EX23,5,1)*POWER(2,11)+MID(EX23,4,1)*POWER(2,12)+MID(EX23,3,1)*POWER(2,13)+MID(EX23,2,1)*POWER(2,14)+MID(EX23,1,1)*POWER(2,15))</f>
        <v>-1791</v>
      </c>
      <c r="FA22" s="87">
        <f>MID(EY22,16,1)*POWER(2,0)+MID(EY22,15,1)*POWER(2,1)+MID(EY22,14,1)*POWER(2,2)+MID(EY22,13,1)*POWER(2,3)+MID(EY22,12,1)*POWER(2,4)+MID(EY22,11,1)*POWER(2,5)+MID(EY22,10,1)*POWER(2,6)+MID(EY22,9,1)*POWER(2,7)+MID(EY22,8,1)*POWER(2,8)+MID(EY22,7,1)*POWER(2,9)+MID(EY22,6,1)*POWER(2,10)+MID(EY22,5,1)*POWER(2,11)+MID(EY22,4,1)*POWER(2,12)+MID(EY22,3,1)*POWER(2,13)+MID(EY22,2,1)*POWER(2,14)+MID(EY22,1,1)*POWER(2,15)-(MID(EY23,16,1)*POWER(2,0)+MID(EY23,15,1)*POWER(2,1)+MID(EY23,14,1)*POWER(2,2)+MID(EY23,13,1)*POWER(2,3)+MID(EY23,12,1)*POWER(2,4)+MID(EY23,11,1)*POWER(2,5)+MID(EY23,10,1)*POWER(2,6)+MID(EY23,9,1)*POWER(2,7)+MID(EY23,8,1)*POWER(2,8)+MID(EY23,7,1)*POWER(2,9)+MID(EY23,6,1)*POWER(2,10)+MID(EY23,5,1)*POWER(2,11)+MID(EY23,4,1)*POWER(2,12)+MID(EY23,3,1)*POWER(2,13)+MID(EY23,2,1)*POWER(2,14)+MID(EY23,1,1)*POWER(2,15))</f>
        <v>38005</v>
      </c>
      <c r="FB22" s="33" t="str">
        <f>L22</f>
        <v>00001100000110111010111110000111</v>
      </c>
      <c r="FC22" s="34" t="str">
        <f t="shared" si="180"/>
        <v>00001100</v>
      </c>
      <c r="FD22" s="34" t="str">
        <f t="shared" si="97"/>
        <v>00011011</v>
      </c>
      <c r="FE22" s="34" t="str">
        <f t="shared" si="98"/>
        <v>10101111</v>
      </c>
      <c r="FF22" s="34" t="str">
        <f t="shared" si="99"/>
        <v>10000111</v>
      </c>
      <c r="FG22" s="87">
        <f>BIN2DEC(FC22)-BIN2DEC(FC23)</f>
        <v>9</v>
      </c>
      <c r="FH22" s="87">
        <f>BIN2DEC(FD22)-BIN2DEC(FD23)</f>
        <v>25</v>
      </c>
      <c r="FI22" s="87">
        <f>BIN2DEC(FE22)-BIN2DEC(FE23)</f>
        <v>172</v>
      </c>
      <c r="FJ22" s="87">
        <f>BIN2DEC(FF22)-BIN2DEC(FF23)</f>
        <v>133</v>
      </c>
      <c r="FK22" s="35" t="str">
        <f t="shared" si="100"/>
        <v>0000</v>
      </c>
      <c r="FL22" s="35" t="str">
        <f t="shared" si="101"/>
        <v>1100</v>
      </c>
      <c r="FM22" s="35" t="str">
        <f t="shared" si="102"/>
        <v>0001</v>
      </c>
      <c r="FN22" s="35" t="str">
        <f t="shared" si="103"/>
        <v>1011</v>
      </c>
      <c r="FO22" s="35" t="str">
        <f t="shared" si="104"/>
        <v>1010</v>
      </c>
      <c r="FP22" s="35" t="str">
        <f t="shared" si="105"/>
        <v>1111</v>
      </c>
      <c r="FQ22" s="35" t="str">
        <f t="shared" si="106"/>
        <v>1000</v>
      </c>
      <c r="FR22" s="35" t="str">
        <f t="shared" si="107"/>
        <v>0111</v>
      </c>
      <c r="FS22" s="87">
        <f>BIN2DEC(FK22)-BIN2DEC(FK23)</f>
        <v>-13</v>
      </c>
      <c r="FT22" s="87">
        <f t="shared" ref="FT22:FY22" si="297">BIN2DEC(FL22)-BIN2DEC(FL23)</f>
        <v>9</v>
      </c>
      <c r="FU22" s="87">
        <f t="shared" si="297"/>
        <v>-6</v>
      </c>
      <c r="FV22" s="87">
        <f t="shared" si="297"/>
        <v>-3</v>
      </c>
      <c r="FW22" s="87">
        <f t="shared" si="297"/>
        <v>7</v>
      </c>
      <c r="FX22" s="87">
        <f t="shared" si="297"/>
        <v>4</v>
      </c>
      <c r="FY22" s="87">
        <f t="shared" si="297"/>
        <v>-3</v>
      </c>
      <c r="FZ22" s="87">
        <f>BIN2DEC(FR22)-BIN2DEC(FR23)</f>
        <v>5</v>
      </c>
      <c r="GA22" s="34" t="str">
        <f t="shared" si="18"/>
        <v>0000110000011011</v>
      </c>
      <c r="GB22" s="34" t="str">
        <f t="shared" si="19"/>
        <v>1010111110000111</v>
      </c>
      <c r="GC22" s="87">
        <f>MID(GA22,16,1)*POWER(2,0)+MID(GA22,15,1)*POWER(2,1)+MID(GA22,14,1)*POWER(2,2)+MID(GA22,13,1)*POWER(2,3)+MID(GA22,12,1)*POWER(2,4)+MID(GA22,11,1)*POWER(2,5)+MID(GA22,10,1)*POWER(2,6)+MID(GA22,9,1)*POWER(2,7)+MID(GA22,8,1)*POWER(2,8)+MID(GA22,7,1)*POWER(2,9)+MID(GA22,6,1)*POWER(2,10)+MID(GA22,5,1)*POWER(2,11)+MID(GA22,4,1)*POWER(2,12)+MID(GA22,3,1)*POWER(2,13)+MID(GA22,2,1)*POWER(2,14)+MID(GA22,1,1)*POWER(2,15)-(MID(GA23,16,1)*POWER(2,0)+MID(GA23,15,1)*POWER(2,1)+MID(GA23,14,1)*POWER(2,2)+MID(GA23,13,1)*POWER(2,3)+MID(GA23,12,1)*POWER(2,4)+MID(GA23,11,1)*POWER(2,5)+MID(GA23,10,1)*POWER(2,6)+MID(GA23,9,1)*POWER(2,7)+MID(GA23,8,1)*POWER(2,8)+MID(GA23,7,1)*POWER(2,9)+MID(GA23,6,1)*POWER(2,10)+MID(GA23,5,1)*POWER(2,11)+MID(GA23,4,1)*POWER(2,12)+MID(GA23,3,1)*POWER(2,13)+MID(GA23,2,1)*POWER(2,14)+MID(GA23,1,1)*POWER(2,15))</f>
        <v>2329</v>
      </c>
      <c r="GD22" s="87">
        <f>MID(GB22,16,1)*POWER(2,0)+MID(GB22,15,1)*POWER(2,1)+MID(GB22,14,1)*POWER(2,2)+MID(GB22,13,1)*POWER(2,3)+MID(GB22,12,1)*POWER(2,4)+MID(GB22,11,1)*POWER(2,5)+MID(GB22,10,1)*POWER(2,6)+MID(GB22,9,1)*POWER(2,7)+MID(GB22,8,1)*POWER(2,8)+MID(GB22,7,1)*POWER(2,9)+MID(GB22,6,1)*POWER(2,10)+MID(GB22,5,1)*POWER(2,11)+MID(GB22,4,1)*POWER(2,12)+MID(GB22,3,1)*POWER(2,13)+MID(GB22,2,1)*POWER(2,14)+MID(GB22,1,1)*POWER(2,15)-(MID(GB23,16,1)*POWER(2,0)+MID(GB23,15,1)*POWER(2,1)+MID(GB23,14,1)*POWER(2,2)+MID(GB23,13,1)*POWER(2,3)+MID(GB23,12,1)*POWER(2,4)+MID(GB23,11,1)*POWER(2,5)+MID(GB23,10,1)*POWER(2,6)+MID(GB23,9,1)*POWER(2,7)+MID(GB23,8,1)*POWER(2,8)+MID(GB23,7,1)*POWER(2,9)+MID(GB23,6,1)*POWER(2,10)+MID(GB23,5,1)*POWER(2,11)+MID(GB23,4,1)*POWER(2,12)+MID(GB23,3,1)*POWER(2,13)+MID(GB23,2,1)*POWER(2,14)+MID(GB23,1,1)*POWER(2,15))</f>
        <v>44165</v>
      </c>
      <c r="GE22" s="35" t="str">
        <f>CU22</f>
        <v>00000000000000110010001100000011</v>
      </c>
      <c r="GF22" s="34" t="str">
        <f t="shared" si="182"/>
        <v>00000000</v>
      </c>
      <c r="GG22" s="34" t="str">
        <f t="shared" si="108"/>
        <v>00000011</v>
      </c>
      <c r="GH22" s="34" t="str">
        <f t="shared" si="109"/>
        <v>00100011</v>
      </c>
      <c r="GI22" s="34" t="str">
        <f t="shared" si="110"/>
        <v>00000011</v>
      </c>
      <c r="GJ22" s="87">
        <f>BIN2DEC(GF22)-BIN2DEC(GF23)</f>
        <v>-19</v>
      </c>
      <c r="GK22" s="87">
        <f>BIN2DEC(GG22)-BIN2DEC(GG23)</f>
        <v>-23</v>
      </c>
      <c r="GL22" s="87">
        <f>BIN2DEC(GH22)-BIN2DEC(GH23)</f>
        <v>8</v>
      </c>
      <c r="GM22" s="87">
        <f>BIN2DEC(GI22)-BIN2DEC(GI23)</f>
        <v>-15</v>
      </c>
      <c r="GN22" s="35" t="str">
        <f t="shared" si="111"/>
        <v>0000</v>
      </c>
      <c r="GO22" s="35" t="str">
        <f t="shared" si="112"/>
        <v>1100</v>
      </c>
      <c r="GP22" s="35" t="str">
        <f t="shared" si="113"/>
        <v>0001</v>
      </c>
      <c r="GQ22" s="35" t="str">
        <f t="shared" si="114"/>
        <v>1011</v>
      </c>
      <c r="GR22" s="35" t="str">
        <f t="shared" si="115"/>
        <v>1010</v>
      </c>
      <c r="GS22" s="35" t="str">
        <f t="shared" si="116"/>
        <v>1111</v>
      </c>
      <c r="GT22" s="35" t="str">
        <f t="shared" si="117"/>
        <v>1000</v>
      </c>
      <c r="GU22" s="35" t="str">
        <f t="shared" si="118"/>
        <v>0111</v>
      </c>
      <c r="GV22" s="87">
        <f>BIN2DEC(GN22)-BIN2DEC(GN23)</f>
        <v>-13</v>
      </c>
      <c r="GW22" s="87">
        <f t="shared" ref="GW22:HB22" si="298">BIN2DEC(GO22)-BIN2DEC(GO23)</f>
        <v>9</v>
      </c>
      <c r="GX22" s="87">
        <f t="shared" si="298"/>
        <v>-6</v>
      </c>
      <c r="GY22" s="87">
        <f t="shared" si="298"/>
        <v>-3</v>
      </c>
      <c r="GZ22" s="87">
        <f t="shared" si="298"/>
        <v>7</v>
      </c>
      <c r="HA22" s="87">
        <f t="shared" si="298"/>
        <v>4</v>
      </c>
      <c r="HB22" s="87">
        <f t="shared" si="298"/>
        <v>-3</v>
      </c>
      <c r="HC22" s="87">
        <f>BIN2DEC(GU22)-BIN2DEC(GU23)</f>
        <v>5</v>
      </c>
      <c r="HD22" s="34" t="str">
        <f t="shared" si="21"/>
        <v>0000000000000011</v>
      </c>
      <c r="HE22" s="34" t="str">
        <f t="shared" si="22"/>
        <v>0010001100000011</v>
      </c>
      <c r="HF22" s="87">
        <f>MID(HD22,16,1)*POWER(2,0)+MID(HD22,15,1)*POWER(2,1)+MID(HD22,14,1)*POWER(2,2)+MID(HD22,13,1)*POWER(2,3)+MID(HD22,12,1)*POWER(2,4)+MID(HD22,11,1)*POWER(2,5)+MID(HD22,10,1)*POWER(2,6)+MID(HD22,9,1)*POWER(2,7)+MID(HD22,8,1)*POWER(2,8)+MID(HD22,7,1)*POWER(2,9)+MID(HD22,6,1)*POWER(2,10)+MID(HD22,5,1)*POWER(2,11)+MID(HD22,4,1)*POWER(2,12)+MID(HD22,3,1)*POWER(2,13)+MID(HD22,2,1)*POWER(2,14)+MID(HD22,1,1)*POWER(2,15)-(MID(HD23,16,1)*POWER(2,0)+MID(HD23,15,1)*POWER(2,1)+MID(HD23,14,1)*POWER(2,2)+MID(HD23,13,1)*POWER(2,3)+MID(HD23,12,1)*POWER(2,4)+MID(HD23,11,1)*POWER(2,5)+MID(HD23,10,1)*POWER(2,6)+MID(HD23,9,1)*POWER(2,7)+MID(HD23,8,1)*POWER(2,8)+MID(HD23,7,1)*POWER(2,9)+MID(HD23,6,1)*POWER(2,10)+MID(HD23,5,1)*POWER(2,11)+MID(HD23,4,1)*POWER(2,12)+MID(HD23,3,1)*POWER(2,13)+MID(HD23,2,1)*POWER(2,14)+MID(HD23,1,1)*POWER(2,15))</f>
        <v>-4887</v>
      </c>
      <c r="HG22" s="87">
        <f>MID(HE22,16,1)*POWER(2,0)+MID(HE22,15,1)*POWER(2,1)+MID(HE22,14,1)*POWER(2,2)+MID(HE22,13,1)*POWER(2,3)+MID(HE22,12,1)*POWER(2,4)+MID(HE22,11,1)*POWER(2,5)+MID(HE22,10,1)*POWER(2,6)+MID(HE22,9,1)*POWER(2,7)+MID(HE22,8,1)*POWER(2,8)+MID(HE22,7,1)*POWER(2,9)+MID(HE22,6,1)*POWER(2,10)+MID(HE22,5,1)*POWER(2,11)+MID(HE22,4,1)*POWER(2,12)+MID(HE22,3,1)*POWER(2,13)+MID(HE22,2,1)*POWER(2,14)+MID(HE22,1,1)*POWER(2,15)-(MID(HE23,16,1)*POWER(2,0)+MID(HE23,15,1)*POWER(2,1)+MID(HE23,14,1)*POWER(2,2)+MID(HE23,13,1)*POWER(2,3)+MID(HE23,12,1)*POWER(2,4)+MID(HE23,11,1)*POWER(2,5)+MID(HE23,10,1)*POWER(2,6)+MID(HE23,9,1)*POWER(2,7)+MID(HE23,8,1)*POWER(2,8)+MID(HE23,7,1)*POWER(2,9)+MID(HE23,6,1)*POWER(2,10)+MID(HE23,5,1)*POWER(2,11)+MID(HE23,4,1)*POWER(2,12)+MID(HE23,3,1)*POWER(2,13)+MID(HE23,2,1)*POWER(2,14)+MID(HE23,1,1)*POWER(2,15))</f>
        <v>2033</v>
      </c>
      <c r="HH22" s="34" t="str">
        <f>CONCATENATE(MID(DX22,17,16),MID(DX22,1,16))</f>
        <v>00000000000000110010001100000011</v>
      </c>
      <c r="HI22" s="34" t="str">
        <f t="shared" si="184"/>
        <v>00000000</v>
      </c>
      <c r="HJ22" s="34" t="str">
        <f t="shared" si="119"/>
        <v>00000011</v>
      </c>
      <c r="HK22" s="34" t="str">
        <f t="shared" si="120"/>
        <v>00100011</v>
      </c>
      <c r="HL22" s="34" t="str">
        <f t="shared" si="121"/>
        <v>00000011</v>
      </c>
      <c r="HM22" s="87">
        <f>BIN2DEC(HI22)-BIN2DEC(HI23)</f>
        <v>-3</v>
      </c>
      <c r="HN22" s="87">
        <f>BIN2DEC(HJ22)-BIN2DEC(HJ23)</f>
        <v>1</v>
      </c>
      <c r="HO22" s="87">
        <f>BIN2DEC(HK22)-BIN2DEC(HK23)</f>
        <v>32</v>
      </c>
      <c r="HP22" s="87">
        <f>BIN2DEC(HL22)-BIN2DEC(HL23)</f>
        <v>1</v>
      </c>
      <c r="HQ22" s="35" t="str">
        <f t="shared" si="122"/>
        <v>0000</v>
      </c>
      <c r="HR22" s="35" t="str">
        <f t="shared" si="123"/>
        <v>1100</v>
      </c>
      <c r="HS22" s="35" t="str">
        <f t="shared" si="124"/>
        <v>0001</v>
      </c>
      <c r="HT22" s="35" t="str">
        <f t="shared" si="125"/>
        <v>1011</v>
      </c>
      <c r="HU22" s="35" t="str">
        <f t="shared" si="126"/>
        <v>1010</v>
      </c>
      <c r="HV22" s="35" t="str">
        <f t="shared" si="127"/>
        <v>1111</v>
      </c>
      <c r="HW22" s="35" t="str">
        <f t="shared" si="128"/>
        <v>1000</v>
      </c>
      <c r="HX22" s="35" t="str">
        <f t="shared" si="129"/>
        <v>0111</v>
      </c>
      <c r="HY22" s="87">
        <f>BIN2DEC(HQ22)-BIN2DEC(HQ23)</f>
        <v>-13</v>
      </c>
      <c r="HZ22" s="87">
        <f t="shared" ref="HZ22:IE22" si="299">BIN2DEC(HR22)-BIN2DEC(HR23)</f>
        <v>9</v>
      </c>
      <c r="IA22" s="87">
        <f t="shared" si="299"/>
        <v>-6</v>
      </c>
      <c r="IB22" s="87">
        <f t="shared" si="299"/>
        <v>-3</v>
      </c>
      <c r="IC22" s="87">
        <f t="shared" si="299"/>
        <v>7</v>
      </c>
      <c r="ID22" s="87">
        <f t="shared" si="299"/>
        <v>4</v>
      </c>
      <c r="IE22" s="87">
        <f t="shared" si="299"/>
        <v>-3</v>
      </c>
      <c r="IF22" s="87">
        <f>BIN2DEC(HX22)-BIN2DEC(HX23)</f>
        <v>5</v>
      </c>
      <c r="IG22" s="34" t="str">
        <f t="shared" si="24"/>
        <v>0000000000000011</v>
      </c>
      <c r="IH22" s="34" t="str">
        <f t="shared" si="25"/>
        <v>0010001100000011</v>
      </c>
      <c r="II22" s="87">
        <f>MID(IG22,16,1)*POWER(2,0)+MID(IG22,15,1)*POWER(2,1)+MID(IG22,14,1)*POWER(2,2)+MID(IG22,13,1)*POWER(2,3)+MID(IG22,12,1)*POWER(2,4)+MID(IG22,11,1)*POWER(2,5)+MID(IG22,10,1)*POWER(2,6)+MID(IG22,9,1)*POWER(2,7)+MID(IG22,8,1)*POWER(2,8)+MID(IG22,7,1)*POWER(2,9)+MID(IG22,6,1)*POWER(2,10)+MID(IG22,5,1)*POWER(2,11)+MID(IG22,4,1)*POWER(2,12)+MID(IG22,3,1)*POWER(2,13)+MID(IG22,2,1)*POWER(2,14)+MID(IG22,1,1)*POWER(2,15)-(MID(IG23,16,1)*POWER(2,0)+MID(IG23,15,1)*POWER(2,1)+MID(IG23,14,1)*POWER(2,2)+MID(IG23,13,1)*POWER(2,3)+MID(IG23,12,1)*POWER(2,4)+MID(IG23,11,1)*POWER(2,5)+MID(IG23,10,1)*POWER(2,6)+MID(IG23,9,1)*POWER(2,7)+MID(IG23,8,1)*POWER(2,8)+MID(IG23,7,1)*POWER(2,9)+MID(IG23,6,1)*POWER(2,10)+MID(IG23,5,1)*POWER(2,11)+MID(IG23,4,1)*POWER(2,12)+MID(IG23,3,1)*POWER(2,13)+MID(IG23,2,1)*POWER(2,14)+MID(IG23,1,1)*POWER(2,15))</f>
        <v>-767</v>
      </c>
      <c r="IJ22" s="87">
        <f>MID(IH22,16,1)*POWER(2,0)+MID(IH22,15,1)*POWER(2,1)+MID(IH22,14,1)*POWER(2,2)+MID(IH22,13,1)*POWER(2,3)+MID(IH22,12,1)*POWER(2,4)+MID(IH22,11,1)*POWER(2,5)+MID(IH22,10,1)*POWER(2,6)+MID(IH22,9,1)*POWER(2,7)+MID(IH22,8,1)*POWER(2,8)+MID(IH22,7,1)*POWER(2,9)+MID(IH22,6,1)*POWER(2,10)+MID(IH22,5,1)*POWER(2,11)+MID(IH22,4,1)*POWER(2,12)+MID(IH22,3,1)*POWER(2,13)+MID(IH22,2,1)*POWER(2,14)+MID(IH22,1,1)*POWER(2,15)-(MID(IH23,16,1)*POWER(2,0)+MID(IH23,15,1)*POWER(2,1)+MID(IH23,14,1)*POWER(2,2)+MID(IH23,13,1)*POWER(2,3)+MID(IH23,12,1)*POWER(2,4)+MID(IH23,11,1)*POWER(2,5)+MID(IH23,10,1)*POWER(2,6)+MID(IH23,9,1)*POWER(2,7)+MID(IH23,8,1)*POWER(2,8)+MID(IH23,7,1)*POWER(2,9)+MID(IH23,6,1)*POWER(2,10)+MID(IH23,5,1)*POWER(2,11)+MID(IH23,4,1)*POWER(2,12)+MID(IH23,3,1)*POWER(2,13)+MID(IH23,2,1)*POWER(2,14)+MID(IH23,1,1)*POWER(2,15))</f>
        <v>8193</v>
      </c>
      <c r="IK22" s="34" t="str">
        <f>HH22</f>
        <v>00000000000000110010001100000011</v>
      </c>
      <c r="IL22" s="34" t="str">
        <f t="shared" si="186"/>
        <v>00000000</v>
      </c>
      <c r="IM22" s="34" t="str">
        <f t="shared" si="130"/>
        <v>00000011</v>
      </c>
      <c r="IN22" s="34" t="str">
        <f t="shared" si="131"/>
        <v>00100011</v>
      </c>
      <c r="IO22" s="34" t="str">
        <f t="shared" si="132"/>
        <v>00000011</v>
      </c>
      <c r="IP22" s="87">
        <f>BIN2DEC(IL22)-BIN2DEC(IL23)</f>
        <v>-211</v>
      </c>
      <c r="IQ22" s="87">
        <f>BIN2DEC(IM22)-BIN2DEC(IM23)</f>
        <v>-123</v>
      </c>
      <c r="IR22" s="87">
        <f>BIN2DEC(IN22)-BIN2DEC(IN23)</f>
        <v>-24</v>
      </c>
      <c r="IS22" s="87">
        <f>BIN2DEC(IO22)-BIN2DEC(IO23)</f>
        <v>-175</v>
      </c>
      <c r="IT22" s="35" t="str">
        <f t="shared" si="133"/>
        <v>0000</v>
      </c>
      <c r="IU22" s="35" t="str">
        <f t="shared" si="134"/>
        <v>1100</v>
      </c>
      <c r="IV22" s="35" t="str">
        <f t="shared" si="135"/>
        <v>0001</v>
      </c>
      <c r="IW22" s="35" t="str">
        <f t="shared" si="136"/>
        <v>1011</v>
      </c>
      <c r="IX22" s="35" t="str">
        <f t="shared" si="137"/>
        <v>1010</v>
      </c>
      <c r="IY22" s="35" t="str">
        <f t="shared" si="138"/>
        <v>1111</v>
      </c>
      <c r="IZ22" s="35" t="str">
        <f t="shared" si="139"/>
        <v>1000</v>
      </c>
      <c r="JA22" s="35" t="str">
        <f t="shared" si="140"/>
        <v>0111</v>
      </c>
      <c r="JB22" s="87">
        <f t="shared" ref="JB22:JI22" si="300">BIN2DEC(IT22)-BIN2DEC(IT23)</f>
        <v>-13</v>
      </c>
      <c r="JC22" s="87">
        <f t="shared" si="300"/>
        <v>9</v>
      </c>
      <c r="JD22" s="87">
        <f t="shared" si="300"/>
        <v>-6</v>
      </c>
      <c r="JE22" s="87">
        <f t="shared" si="300"/>
        <v>-3</v>
      </c>
      <c r="JF22" s="87">
        <f t="shared" si="300"/>
        <v>7</v>
      </c>
      <c r="JG22" s="87">
        <f t="shared" si="300"/>
        <v>4</v>
      </c>
      <c r="JH22" s="87">
        <f t="shared" si="300"/>
        <v>-3</v>
      </c>
      <c r="JI22" s="87">
        <f t="shared" si="300"/>
        <v>5</v>
      </c>
      <c r="JJ22" s="34" t="str">
        <f t="shared" si="27"/>
        <v>0000000000000011</v>
      </c>
      <c r="JK22" s="34" t="str">
        <f t="shared" si="28"/>
        <v>0010001100000011</v>
      </c>
      <c r="JL22" s="87">
        <f>MID(JJ22,16,1)*POWER(2,0)+MID(JJ22,15,1)*POWER(2,1)+MID(JJ22,14,1)*POWER(2,2)+MID(JJ22,13,1)*POWER(2,3)+MID(JJ22,12,1)*POWER(2,4)+MID(JJ22,11,1)*POWER(2,5)+MID(JJ22,10,1)*POWER(2,6)+MID(JJ22,9,1)*POWER(2,7)+MID(JJ22,8,1)*POWER(2,8)+MID(JJ22,7,1)*POWER(2,9)+MID(JJ22,6,1)*POWER(2,10)+MID(JJ22,5,1)*POWER(2,11)+MID(JJ22,4,1)*POWER(2,12)+MID(JJ22,3,1)*POWER(2,13)+MID(JJ22,2,1)*POWER(2,14)+MID(JJ22,1,1)*POWER(2,15)-(MID(JJ23,16,1)*POWER(2,0)+MID(JJ23,15,1)*POWER(2,1)+MID(JJ23,14,1)*POWER(2,2)+MID(JJ23,13,1)*POWER(2,3)+MID(JJ23,12,1)*POWER(2,4)+MID(JJ23,11,1)*POWER(2,5)+MID(JJ23,10,1)*POWER(2,6)+MID(JJ23,9,1)*POWER(2,7)+MID(JJ23,8,1)*POWER(2,8)+MID(JJ23,7,1)*POWER(2,9)+MID(JJ23,6,1)*POWER(2,10)+MID(JJ23,5,1)*POWER(2,11)+MID(JJ23,4,1)*POWER(2,12)+MID(JJ23,3,1)*POWER(2,13)+MID(JJ23,2,1)*POWER(2,14)+MID(JJ23,1,1)*POWER(2,15))</f>
        <v>-54139</v>
      </c>
      <c r="JM22" s="87">
        <f>MID(JK22,16,1)*POWER(2,0)+MID(JK22,15,1)*POWER(2,1)+MID(JK22,14,1)*POWER(2,2)+MID(JK22,13,1)*POWER(2,3)+MID(JK22,12,1)*POWER(2,4)+MID(JK22,11,1)*POWER(2,5)+MID(JK22,10,1)*POWER(2,6)+MID(JK22,9,1)*POWER(2,7)+MID(JK22,8,1)*POWER(2,8)+MID(JK22,7,1)*POWER(2,9)+MID(JK22,6,1)*POWER(2,10)+MID(JK22,5,1)*POWER(2,11)+MID(JK22,4,1)*POWER(2,12)+MID(JK22,3,1)*POWER(2,13)+MID(JK22,2,1)*POWER(2,14)+MID(JK22,1,1)*POWER(2,15)-(MID(JK23,16,1)*POWER(2,0)+MID(JK23,15,1)*POWER(2,1)+MID(JK23,14,1)*POWER(2,2)+MID(JK23,13,1)*POWER(2,3)+MID(JK23,12,1)*POWER(2,4)+MID(JK23,11,1)*POWER(2,5)+MID(JK23,10,1)*POWER(2,6)+MID(JK23,9,1)*POWER(2,7)+MID(JK23,8,1)*POWER(2,8)+MID(JK23,7,1)*POWER(2,9)+MID(JK23,6,1)*POWER(2,10)+MID(JK23,5,1)*POWER(2,11)+MID(JK23,4,1)*POWER(2,12)+MID(JK23,3,1)*POWER(2,13)+MID(JK23,2,1)*POWER(2,14)+MID(JK23,1,1)*POWER(2,15))</f>
        <v>-6319</v>
      </c>
      <c r="JN22" s="33" t="str">
        <f>CONCATENATE(MID(IK22,1,1)*MID($K22,1,1),MID(IK22,2,1)*MID($K22,2,1),MID(IK22,3,1)*MID($K22,3,1),MID(IK22,4,1)*MID($K22,4,1),MID(IK22,5,1)*MID($K22,5,1),MID(IK22,6,1)*MID($K22,6,1),MID(IK22,7,1)*MID($K22,7,1),MID(IK22,8,1)*MID($K22,8,1),MID(IK22,9,1)*MID($K22,1,1),MID(IK22,10,1)*MID($K22,2,1),MID(IK22,11,1)*MID($K22,3,1),MID(IK22,12,1)*MID($K22,4,1),MID(IK22,13,1)*MID($K22,5,1),MID(IK22,14,1)*MID($K22,6,1),MID(IK22,15,1)*MID($K22,7,1),MID(IK22,16,1)*MID($K22,8,1),MID(IK22,17,1)*MID($K22,1,1),MID(IK22,18,1)*MID($K22,2,1),MID(IK22,19,1)*MID($K22,3,1),MID(IK22,20,1)*MID($K22,4,1),MID(IK22,21,1)*MID($K22,5,1),MID(IK22,22,1)*MID($K22,6,1),MID(IK22,23,1)*MID($K22,7,1),MID(IK22,24,1)*MID($K22,8,1),MID(IK22,25,1)*MID($K22,1,1),MID(IK22,26,1)*MID($K22,2,1),MID(IK22,27,1)*MID($K22,3,1),MID(IK22,28,1)*MID($K22,4,1),MID(IK22,29,1)*MID($K22,5,1),MID(IK22,30,1)*MID($K22,6,1),MID(IK22,31,1)*MID($K22,7,1),MID(IK22,32,1)*MID($K22,8,1))</f>
        <v>00000000000000110010001100000011</v>
      </c>
      <c r="JO22" s="34" t="str">
        <f t="shared" si="188"/>
        <v>00000000</v>
      </c>
      <c r="JP22" s="34" t="str">
        <f t="shared" si="141"/>
        <v>00000011</v>
      </c>
      <c r="JQ22" s="34" t="str">
        <f t="shared" si="142"/>
        <v>00100011</v>
      </c>
      <c r="JR22" s="34" t="str">
        <f t="shared" si="143"/>
        <v>00000011</v>
      </c>
      <c r="JS22" s="87">
        <f>BIN2DEC(JO22)-BIN2DEC(JO23)</f>
        <v>-211</v>
      </c>
      <c r="JT22" s="87">
        <f>BIN2DEC(JP22)-BIN2DEC(JP23)</f>
        <v>-123</v>
      </c>
      <c r="JU22" s="87">
        <f>BIN2DEC(JQ22)-BIN2DEC(JQ23)</f>
        <v>-24</v>
      </c>
      <c r="JV22" s="87">
        <f>BIN2DEC(JR22)-BIN2DEC(JR23)</f>
        <v>-175</v>
      </c>
      <c r="JW22" s="35" t="str">
        <f t="shared" si="144"/>
        <v>0000</v>
      </c>
      <c r="JX22" s="35" t="str">
        <f t="shared" si="145"/>
        <v>1100</v>
      </c>
      <c r="JY22" s="35" t="str">
        <f t="shared" si="146"/>
        <v>0001</v>
      </c>
      <c r="JZ22" s="35" t="str">
        <f t="shared" si="147"/>
        <v>1011</v>
      </c>
      <c r="KA22" s="35" t="str">
        <f t="shared" si="148"/>
        <v>1010</v>
      </c>
      <c r="KB22" s="35" t="str">
        <f t="shared" si="149"/>
        <v>1111</v>
      </c>
      <c r="KC22" s="35" t="str">
        <f t="shared" si="150"/>
        <v>1000</v>
      </c>
      <c r="KD22" s="35" t="str">
        <f t="shared" si="151"/>
        <v>0111</v>
      </c>
      <c r="KE22" s="87">
        <f t="shared" ref="KE22:KL22" si="301">BIN2DEC(JW22)-BIN2DEC(JW23)</f>
        <v>-13</v>
      </c>
      <c r="KF22" s="87">
        <f t="shared" si="301"/>
        <v>9</v>
      </c>
      <c r="KG22" s="87">
        <f t="shared" si="301"/>
        <v>-6</v>
      </c>
      <c r="KH22" s="87">
        <f t="shared" si="301"/>
        <v>-3</v>
      </c>
      <c r="KI22" s="87">
        <f t="shared" si="301"/>
        <v>7</v>
      </c>
      <c r="KJ22" s="87">
        <f t="shared" si="301"/>
        <v>4</v>
      </c>
      <c r="KK22" s="87">
        <f t="shared" si="301"/>
        <v>-3</v>
      </c>
      <c r="KL22" s="87">
        <f t="shared" si="301"/>
        <v>5</v>
      </c>
      <c r="KM22" s="34" t="str">
        <f t="shared" si="30"/>
        <v>0000000000000011</v>
      </c>
      <c r="KN22" s="34" t="str">
        <f t="shared" si="31"/>
        <v>0010001100000011</v>
      </c>
      <c r="KO22" s="87">
        <f>MID(KM22,16,1)*POWER(2,0)+MID(KM22,15,1)*POWER(2,1)+MID(KM22,14,1)*POWER(2,2)+MID(KM22,13,1)*POWER(2,3)+MID(KM22,12,1)*POWER(2,4)+MID(KM22,11,1)*POWER(2,5)+MID(KM22,10,1)*POWER(2,6)+MID(KM22,9,1)*POWER(2,7)+MID(KM22,8,1)*POWER(2,8)+MID(KM22,7,1)*POWER(2,9)+MID(KM22,6,1)*POWER(2,10)+MID(KM22,5,1)*POWER(2,11)+MID(KM22,4,1)*POWER(2,12)+MID(KM22,3,1)*POWER(2,13)+MID(KM22,2,1)*POWER(2,14)+MID(KM22,1,1)*POWER(2,15)-(MID(KM23,16,1)*POWER(2,0)+MID(KM23,15,1)*POWER(2,1)+MID(KM23,14,1)*POWER(2,2)+MID(KM23,13,1)*POWER(2,3)+MID(KM23,12,1)*POWER(2,4)+MID(KM23,11,1)*POWER(2,5)+MID(KM23,10,1)*POWER(2,6)+MID(KM23,9,1)*POWER(2,7)+MID(KM23,8,1)*POWER(2,8)+MID(KM23,7,1)*POWER(2,9)+MID(KM23,6,1)*POWER(2,10)+MID(KM23,5,1)*POWER(2,11)+MID(KM23,4,1)*POWER(2,12)+MID(KM23,3,1)*POWER(2,13)+MID(KM23,2,1)*POWER(2,14)+MID(KM23,1,1)*POWER(2,15))</f>
        <v>-54139</v>
      </c>
      <c r="KP22" s="87">
        <f>MID(KN22,16,1)*POWER(2,0)+MID(KN22,15,1)*POWER(2,1)+MID(KN22,14,1)*POWER(2,2)+MID(KN22,13,1)*POWER(2,3)+MID(KN22,12,1)*POWER(2,4)+MID(KN22,11,1)*POWER(2,5)+MID(KN22,10,1)*POWER(2,6)+MID(KN22,9,1)*POWER(2,7)+MID(KN22,8,1)*POWER(2,8)+MID(KN22,7,1)*POWER(2,9)+MID(KN22,6,1)*POWER(2,10)+MID(KN22,5,1)*POWER(2,11)+MID(KN22,4,1)*POWER(2,12)+MID(KN22,3,1)*POWER(2,13)+MID(KN22,2,1)*POWER(2,14)+MID(KN22,1,1)*POWER(2,15)-(MID(KN23,16,1)*POWER(2,0)+MID(KN23,15,1)*POWER(2,1)+MID(KN23,14,1)*POWER(2,2)+MID(KN23,13,1)*POWER(2,3)+MID(KN23,12,1)*POWER(2,4)+MID(KN23,11,1)*POWER(2,5)+MID(KN23,10,1)*POWER(2,6)+MID(KN23,9,1)*POWER(2,7)+MID(KN23,8,1)*POWER(2,8)+MID(KN23,7,1)*POWER(2,9)+MID(KN23,6,1)*POWER(2,10)+MID(KN23,5,1)*POWER(2,11)+MID(KN23,4,1)*POWER(2,12)+MID(KN23,3,1)*POWER(2,13)+MID(KN23,2,1)*POWER(2,14)+MID(KN23,1,1)*POWER(2,15))</f>
        <v>-6319</v>
      </c>
      <c r="KQ22" s="35" t="str">
        <f>IK22</f>
        <v>00000000000000110010001100000011</v>
      </c>
      <c r="KR22" s="34" t="str">
        <f t="shared" si="190"/>
        <v>00000000</v>
      </c>
      <c r="KS22" s="34" t="str">
        <f t="shared" si="152"/>
        <v>00000011</v>
      </c>
      <c r="KT22" s="34" t="str">
        <f t="shared" si="153"/>
        <v>00100011</v>
      </c>
      <c r="KU22" s="34" t="str">
        <f t="shared" si="154"/>
        <v>00000011</v>
      </c>
      <c r="KV22" s="87">
        <f>BIN2DEC(KR22)-BIN2DEC(KR23)</f>
        <v>-67</v>
      </c>
      <c r="KW22" s="87">
        <f>BIN2DEC(KS22)-BIN2DEC(KS23)</f>
        <v>-95</v>
      </c>
      <c r="KX22" s="87">
        <f>BIN2DEC(KT22)-BIN2DEC(KT23)</f>
        <v>0</v>
      </c>
      <c r="KY22" s="87">
        <f>BIN2DEC(KU22)-BIN2DEC(KU23)</f>
        <v>-31</v>
      </c>
      <c r="KZ22" s="35" t="str">
        <f t="shared" si="155"/>
        <v>0000</v>
      </c>
      <c r="LA22" s="35" t="str">
        <f t="shared" si="156"/>
        <v>1100</v>
      </c>
      <c r="LB22" s="35" t="str">
        <f t="shared" si="157"/>
        <v>0001</v>
      </c>
      <c r="LC22" s="35" t="str">
        <f t="shared" si="158"/>
        <v>1011</v>
      </c>
      <c r="LD22" s="35" t="str">
        <f t="shared" si="159"/>
        <v>1010</v>
      </c>
      <c r="LE22" s="35" t="str">
        <f t="shared" si="160"/>
        <v>1111</v>
      </c>
      <c r="LF22" s="35" t="str">
        <f t="shared" si="161"/>
        <v>1000</v>
      </c>
      <c r="LG22" s="35" t="str">
        <f t="shared" si="162"/>
        <v>0111</v>
      </c>
      <c r="LH22" s="87">
        <f t="shared" ref="LH22:LO22" si="302">BIN2DEC(KZ22)-BIN2DEC(KZ23)</f>
        <v>-13</v>
      </c>
      <c r="LI22" s="87">
        <f t="shared" si="302"/>
        <v>9</v>
      </c>
      <c r="LJ22" s="87">
        <f t="shared" si="302"/>
        <v>-6</v>
      </c>
      <c r="LK22" s="87">
        <f t="shared" si="302"/>
        <v>-3</v>
      </c>
      <c r="LL22" s="87">
        <f t="shared" si="302"/>
        <v>7</v>
      </c>
      <c r="LM22" s="87">
        <f t="shared" si="302"/>
        <v>4</v>
      </c>
      <c r="LN22" s="87">
        <f t="shared" si="302"/>
        <v>-3</v>
      </c>
      <c r="LO22" s="87">
        <f t="shared" si="302"/>
        <v>5</v>
      </c>
      <c r="LP22" s="34" t="str">
        <f t="shared" si="33"/>
        <v>0000000000000011</v>
      </c>
      <c r="LQ22" s="34" t="str">
        <f t="shared" si="34"/>
        <v>0010001100000011</v>
      </c>
      <c r="LR22" s="87">
        <f>MID(LP22,16,1)*POWER(2,0)+MID(LP22,15,1)*POWER(2,1)+MID(LP22,14,1)*POWER(2,2)+MID(LP22,13,1)*POWER(2,3)+MID(LP22,12,1)*POWER(2,4)+MID(LP22,11,1)*POWER(2,5)+MID(LP22,10,1)*POWER(2,6)+MID(LP22,9,1)*POWER(2,7)+MID(LP22,8,1)*POWER(2,8)+MID(LP22,7,1)*POWER(2,9)+MID(LP22,6,1)*POWER(2,10)+MID(LP22,5,1)*POWER(2,11)+MID(LP22,4,1)*POWER(2,12)+MID(LP22,3,1)*POWER(2,13)+MID(LP22,2,1)*POWER(2,14)+MID(LP22,1,1)*POWER(2,15)-(MID(LP23,16,1)*POWER(2,0)+MID(LP23,15,1)*POWER(2,1)+MID(LP23,14,1)*POWER(2,2)+MID(LP23,13,1)*POWER(2,3)+MID(LP23,12,1)*POWER(2,4)+MID(LP23,11,1)*POWER(2,5)+MID(LP23,10,1)*POWER(2,6)+MID(LP23,9,1)*POWER(2,7)+MID(LP23,8,1)*POWER(2,8)+MID(LP23,7,1)*POWER(2,9)+MID(LP23,6,1)*POWER(2,10)+MID(LP23,5,1)*POWER(2,11)+MID(LP23,4,1)*POWER(2,12)+MID(LP23,3,1)*POWER(2,13)+MID(LP23,2,1)*POWER(2,14)+MID(LP23,1,1)*POWER(2,15))</f>
        <v>-17247</v>
      </c>
      <c r="LS22" s="87">
        <f>MID(LQ22,16,1)*POWER(2,0)+MID(LQ22,15,1)*POWER(2,1)+MID(LQ22,14,1)*POWER(2,2)+MID(LQ22,13,1)*POWER(2,3)+MID(LQ22,12,1)*POWER(2,4)+MID(LQ22,11,1)*POWER(2,5)+MID(LQ22,10,1)*POWER(2,6)+MID(LQ22,9,1)*POWER(2,7)+MID(LQ22,8,1)*POWER(2,8)+MID(LQ22,7,1)*POWER(2,9)+MID(LQ22,6,1)*POWER(2,10)+MID(LQ22,5,1)*POWER(2,11)+MID(LQ22,4,1)*POWER(2,12)+MID(LQ22,3,1)*POWER(2,13)+MID(LQ22,2,1)*POWER(2,14)+MID(LQ22,1,1)*POWER(2,15)-(MID(LQ23,16,1)*POWER(2,0)+MID(LQ23,15,1)*POWER(2,1)+MID(LQ23,14,1)*POWER(2,2)+MID(LQ23,13,1)*POWER(2,3)+MID(LQ23,12,1)*POWER(2,4)+MID(LQ23,11,1)*POWER(2,5)+MID(LQ23,10,1)*POWER(2,6)+MID(LQ23,9,1)*POWER(2,7)+MID(LQ23,8,1)*POWER(2,8)+MID(LQ23,7,1)*POWER(2,9)+MID(LQ23,6,1)*POWER(2,10)+MID(LQ23,5,1)*POWER(2,11)+MID(LQ23,4,1)*POWER(2,12)+MID(LQ23,3,1)*POWER(2,13)+MID(LQ23,2,1)*POWER(2,14)+MID(LQ23,1,1)*POWER(2,15))</f>
        <v>-31</v>
      </c>
      <c r="LT22" s="34" t="str">
        <f>JN22</f>
        <v>00000000000000110010001100000011</v>
      </c>
      <c r="LU22" s="34" t="str">
        <f t="shared" si="192"/>
        <v>00000000</v>
      </c>
      <c r="LV22" s="34" t="str">
        <f t="shared" si="163"/>
        <v>00000011</v>
      </c>
      <c r="LW22" s="34" t="str">
        <f t="shared" si="164"/>
        <v>00100011</v>
      </c>
      <c r="LX22" s="34" t="str">
        <f t="shared" si="165"/>
        <v>00000011</v>
      </c>
      <c r="LY22" s="87">
        <f>BIN2DEC(LU22)-BIN2DEC(LU23)</f>
        <v>-19</v>
      </c>
      <c r="LZ22" s="87">
        <f>BIN2DEC(LV22)-BIN2DEC(LV23)</f>
        <v>-23</v>
      </c>
      <c r="MA22" s="87">
        <f>BIN2DEC(LW22)-BIN2DEC(LW23)</f>
        <v>8</v>
      </c>
      <c r="MB22" s="87">
        <f>BIN2DEC(LX22)-BIN2DEC(LX23)</f>
        <v>-15</v>
      </c>
      <c r="MC22" s="35" t="str">
        <f t="shared" si="166"/>
        <v>0000</v>
      </c>
      <c r="MD22" s="35" t="str">
        <f t="shared" si="167"/>
        <v>1100</v>
      </c>
      <c r="ME22" s="35" t="str">
        <f t="shared" si="168"/>
        <v>0001</v>
      </c>
      <c r="MF22" s="35" t="str">
        <f t="shared" si="169"/>
        <v>1011</v>
      </c>
      <c r="MG22" s="35" t="str">
        <f t="shared" si="170"/>
        <v>1010</v>
      </c>
      <c r="MH22" s="35" t="str">
        <f t="shared" si="171"/>
        <v>1111</v>
      </c>
      <c r="MI22" s="35" t="str">
        <f t="shared" si="172"/>
        <v>1000</v>
      </c>
      <c r="MJ22" s="35" t="str">
        <f t="shared" si="173"/>
        <v>0111</v>
      </c>
      <c r="MK22" s="87">
        <f t="shared" ref="MK22:MR22" si="303">BIN2DEC(MC22)-BIN2DEC(MC23)</f>
        <v>-13</v>
      </c>
      <c r="ML22" s="87">
        <f t="shared" si="303"/>
        <v>9</v>
      </c>
      <c r="MM22" s="87">
        <f t="shared" si="303"/>
        <v>-6</v>
      </c>
      <c r="MN22" s="87">
        <f t="shared" si="303"/>
        <v>-3</v>
      </c>
      <c r="MO22" s="87">
        <f t="shared" si="303"/>
        <v>7</v>
      </c>
      <c r="MP22" s="87">
        <f t="shared" si="303"/>
        <v>4</v>
      </c>
      <c r="MQ22" s="87">
        <f t="shared" si="303"/>
        <v>-3</v>
      </c>
      <c r="MR22" s="87">
        <f t="shared" si="303"/>
        <v>5</v>
      </c>
      <c r="MS22" s="34" t="str">
        <f t="shared" si="36"/>
        <v>0000000000000011</v>
      </c>
      <c r="MT22" s="34" t="str">
        <f t="shared" si="37"/>
        <v>0010001100000011</v>
      </c>
      <c r="MU22" s="87">
        <f>MID(MS22,16,1)*POWER(2,0)+MID(MS22,15,1)*POWER(2,1)+MID(MS22,14,1)*POWER(2,2)+MID(MS22,13,1)*POWER(2,3)+MID(MS22,12,1)*POWER(2,4)+MID(MS22,11,1)*POWER(2,5)+MID(MS22,10,1)*POWER(2,6)+MID(MS22,9,1)*POWER(2,7)+MID(MS22,8,1)*POWER(2,8)+MID(MS22,7,1)*POWER(2,9)+MID(MS22,6,1)*POWER(2,10)+MID(MS22,5,1)*POWER(2,11)+MID(MS22,4,1)*POWER(2,12)+MID(MS22,3,1)*POWER(2,13)+MID(MS22,2,1)*POWER(2,14)+MID(MS22,1,1)*POWER(2,15)-(MID(MS23,16,1)*POWER(2,0)+MID(MS23,15,1)*POWER(2,1)+MID(MS23,14,1)*POWER(2,2)+MID(MS23,13,1)*POWER(2,3)+MID(MS23,12,1)*POWER(2,4)+MID(MS23,11,1)*POWER(2,5)+MID(MS23,10,1)*POWER(2,6)+MID(MS23,9,1)*POWER(2,7)+MID(MS23,8,1)*POWER(2,8)+MID(MS23,7,1)*POWER(2,9)+MID(MS23,6,1)*POWER(2,10)+MID(MS23,5,1)*POWER(2,11)+MID(MS23,4,1)*POWER(2,12)+MID(MS23,3,1)*POWER(2,13)+MID(MS23,2,1)*POWER(2,14)+MID(MS23,1,1)*POWER(2,15))</f>
        <v>-4887</v>
      </c>
      <c r="MV22" s="87">
        <f>MID(MT22,16,1)*POWER(2,0)+MID(MT22,15,1)*POWER(2,1)+MID(MT22,14,1)*POWER(2,2)+MID(MT22,13,1)*POWER(2,3)+MID(MT22,12,1)*POWER(2,4)+MID(MT22,11,1)*POWER(2,5)+MID(MT22,10,1)*POWER(2,6)+MID(MT22,9,1)*POWER(2,7)+MID(MT22,8,1)*POWER(2,8)+MID(MT22,7,1)*POWER(2,9)+MID(MT22,6,1)*POWER(2,10)+MID(MT22,5,1)*POWER(2,11)+MID(MT22,4,1)*POWER(2,12)+MID(MT22,3,1)*POWER(2,13)+MID(MT22,2,1)*POWER(2,14)+MID(MT22,1,1)*POWER(2,15)-(MID(MT23,16,1)*POWER(2,0)+MID(MT23,15,1)*POWER(2,1)+MID(MT23,14,1)*POWER(2,2)+MID(MT23,13,1)*POWER(2,3)+MID(MT23,12,1)*POWER(2,4)+MID(MT23,11,1)*POWER(2,5)+MID(MT23,10,1)*POWER(2,6)+MID(MT23,9,1)*POWER(2,7)+MID(MT23,8,1)*POWER(2,8)+MID(MT23,7,1)*POWER(2,9)+MID(MT23,6,1)*POWER(2,10)+MID(MT23,5,1)*POWER(2,11)+MID(MT23,4,1)*POWER(2,12)+MID(MT23,3,1)*POWER(2,13)+MID(MT23,2,1)*POWER(2,14)+MID(MT23,1,1)*POWER(2,15))</f>
        <v>2033</v>
      </c>
    </row>
    <row r="23" spans="1:360" s="39" customFormat="1" ht="18.600000000000001" thickBot="1" x14ac:dyDescent="0.4">
      <c r="A23" s="36"/>
      <c r="B23" s="37"/>
      <c r="C23" s="51" t="s">
        <v>6</v>
      </c>
      <c r="D23" s="51" t="s">
        <v>111</v>
      </c>
      <c r="E23" s="51" t="s">
        <v>85</v>
      </c>
      <c r="F23" s="51">
        <v>47</v>
      </c>
      <c r="G23" s="51">
        <v>76</v>
      </c>
      <c r="H23" s="51" t="str">
        <f t="shared" si="278"/>
        <v>11011010011011110100011101110110</v>
      </c>
      <c r="I23" s="51">
        <f t="shared" si="279"/>
        <v>20</v>
      </c>
      <c r="J23" s="51"/>
      <c r="K23" s="51"/>
      <c r="L23" s="38" t="str">
        <f>CONCATENATE(MID(H23,4,5),MID(H23,25,3),MID(H23,12,5),MID(H23,1,3),MID(H23,20,5),MID(H23,9,3),MID(H23,28,5),MID(H23,17,3))</f>
        <v>11010011011111100011101110110010</v>
      </c>
      <c r="M23" s="34" t="str">
        <f t="shared" si="38"/>
        <v>11010</v>
      </c>
      <c r="N23" s="26" t="str">
        <f t="shared" si="39"/>
        <v>01111</v>
      </c>
      <c r="O23" s="26" t="str">
        <f t="shared" si="40"/>
        <v>00111</v>
      </c>
      <c r="P23" s="26" t="str">
        <f t="shared" si="41"/>
        <v>10110</v>
      </c>
      <c r="Q23" s="88"/>
      <c r="R23" s="88"/>
      <c r="S23" s="88"/>
      <c r="T23" s="88"/>
      <c r="U23" s="39" t="str">
        <f t="shared" si="42"/>
        <v>1101</v>
      </c>
      <c r="V23" s="39" t="str">
        <f t="shared" si="43"/>
        <v>0011</v>
      </c>
      <c r="W23" s="39" t="str">
        <f t="shared" si="44"/>
        <v>0111</v>
      </c>
      <c r="X23" s="39" t="str">
        <f t="shared" si="45"/>
        <v>1110</v>
      </c>
      <c r="Y23" s="39" t="str">
        <f t="shared" si="46"/>
        <v>0011</v>
      </c>
      <c r="Z23" s="39" t="str">
        <f t="shared" si="47"/>
        <v>1011</v>
      </c>
      <c r="AA23" s="39" t="str">
        <f t="shared" si="48"/>
        <v>1011</v>
      </c>
      <c r="AB23" s="39" t="str">
        <f t="shared" si="49"/>
        <v>0010</v>
      </c>
      <c r="AC23" s="88"/>
      <c r="AD23" s="88"/>
      <c r="AE23" s="88"/>
      <c r="AF23" s="88"/>
      <c r="AG23" s="88"/>
      <c r="AH23" s="88"/>
      <c r="AI23" s="88"/>
      <c r="AJ23" s="88"/>
      <c r="AK23" s="38" t="str">
        <f t="shared" si="3"/>
        <v>1101001101111110</v>
      </c>
      <c r="AL23" s="38" t="str">
        <f t="shared" si="4"/>
        <v>0011101110110010</v>
      </c>
      <c r="AM23" s="88"/>
      <c r="AN23" s="88"/>
      <c r="AO23" s="37" t="str">
        <f>CONCATENATE(MID($L23,1,1)*MID($K22,1,1),MID($L23,2,1)*MID($K22,2,1),MID($L23,3,1)*MID($K22,3,1),MID($L23,4,1)*MID($K22,4,1),MID($L23,5,1)*MID($K22,5,1),MID($L23,6,1)*MID($K22,6,1),MID($L23,7,1)*MID($K22,7,1),MID($L23,8,1)*MID($K22,8,1),MID($L23,9,1)*MID($K22,1,1),MID($L23,10,1)*MID($K22,2,1),MID($L23,11,1)*MID($K22,3,1),MID($L23,12,1)*MID($K22,4,1),MID($L23,13,1)*MID($K22,5,1),MID($L23,14,1)*MID($K22,6,1),MID($L23,15,1)*MID($K22,7,1),MID($L23,16,1)*MID($K22,8,1),MID($L23,17,1)*MID($K22,1,1),MID($L23,18,1)*MID($K22,2,1),MID($L23,19,1)*MID($K22,3,1),MID($L23,20,1)*MID($K22,4,1),MID($L23,21,1)*MID($K22,5,1),MID($L23,22,1)*MID($K22,6,1),MID($L23,23,1)*MID($K22,7,1),MID($L23,24,1)*MID($K22,8,1),MID($L23,25,1)*MID($K22,1,1),MID($L23,26,1)*MID($K22,2,1),MID($L23,27,1)*MID($K22,3,1),MID($L23,28,1)*MID($K22,4,1),MID($L23,29,1)*MID($K22,5,1),MID($L23,30,1)*MID($K22,6,1),MID($L23,31,1)*MID($K22,7,1),MID($L23,32,1)*MID($K22,8,1))</f>
        <v>01000011011000100010001100100010</v>
      </c>
      <c r="AP23" s="38" t="str">
        <f t="shared" si="50"/>
        <v>01000011</v>
      </c>
      <c r="AQ23" s="38" t="str">
        <f t="shared" si="51"/>
        <v>01100010</v>
      </c>
      <c r="AR23" s="38" t="str">
        <f t="shared" si="52"/>
        <v>00100011</v>
      </c>
      <c r="AS23" s="38" t="str">
        <f t="shared" si="53"/>
        <v>00100010</v>
      </c>
      <c r="AT23" s="88"/>
      <c r="AU23" s="88"/>
      <c r="AV23" s="88"/>
      <c r="AW23" s="88"/>
      <c r="AX23" s="39" t="str">
        <f t="shared" si="54"/>
        <v>1101</v>
      </c>
      <c r="AY23" s="39" t="str">
        <f t="shared" si="55"/>
        <v>0011</v>
      </c>
      <c r="AZ23" s="39" t="str">
        <f t="shared" si="56"/>
        <v>0111</v>
      </c>
      <c r="BA23" s="39" t="str">
        <f t="shared" si="57"/>
        <v>1110</v>
      </c>
      <c r="BB23" s="39" t="str">
        <f t="shared" si="58"/>
        <v>0011</v>
      </c>
      <c r="BC23" s="39" t="str">
        <f t="shared" si="59"/>
        <v>1011</v>
      </c>
      <c r="BD23" s="39" t="str">
        <f t="shared" si="60"/>
        <v>1011</v>
      </c>
      <c r="BE23" s="39" t="str">
        <f t="shared" si="61"/>
        <v>0010</v>
      </c>
      <c r="BF23" s="88"/>
      <c r="BG23" s="88"/>
      <c r="BH23" s="88"/>
      <c r="BI23" s="88"/>
      <c r="BJ23" s="88"/>
      <c r="BK23" s="88"/>
      <c r="BL23" s="88"/>
      <c r="BM23" s="88"/>
      <c r="BN23" s="38" t="str">
        <f t="shared" si="6"/>
        <v>0100001101100010</v>
      </c>
      <c r="BO23" s="38" t="str">
        <f t="shared" si="7"/>
        <v>0010001100100010</v>
      </c>
      <c r="BP23" s="88"/>
      <c r="BQ23" s="88"/>
      <c r="BR23" s="37" t="str">
        <f>L23</f>
        <v>11010011011111100011101110110010</v>
      </c>
      <c r="BS23" s="38" t="str">
        <f t="shared" si="62"/>
        <v>11010011</v>
      </c>
      <c r="BT23" s="38" t="str">
        <f t="shared" si="63"/>
        <v>01111110</v>
      </c>
      <c r="BU23" s="38" t="str">
        <f t="shared" si="64"/>
        <v>00111011</v>
      </c>
      <c r="BV23" s="38" t="str">
        <f t="shared" si="65"/>
        <v>10110010</v>
      </c>
      <c r="BW23" s="88"/>
      <c r="BX23" s="88"/>
      <c r="BY23" s="88"/>
      <c r="BZ23" s="88"/>
      <c r="CA23" s="39" t="str">
        <f t="shared" si="66"/>
        <v>1101</v>
      </c>
      <c r="CB23" s="39" t="str">
        <f t="shared" si="67"/>
        <v>0011</v>
      </c>
      <c r="CC23" s="39" t="str">
        <f t="shared" si="68"/>
        <v>0111</v>
      </c>
      <c r="CD23" s="39" t="str">
        <f t="shared" si="69"/>
        <v>1110</v>
      </c>
      <c r="CE23" s="39" t="str">
        <f t="shared" si="70"/>
        <v>0011</v>
      </c>
      <c r="CF23" s="39" t="str">
        <f t="shared" si="71"/>
        <v>1011</v>
      </c>
      <c r="CG23" s="39" t="str">
        <f t="shared" si="72"/>
        <v>1011</v>
      </c>
      <c r="CH23" s="39" t="str">
        <f t="shared" si="73"/>
        <v>0010</v>
      </c>
      <c r="CI23" s="88"/>
      <c r="CJ23" s="88"/>
      <c r="CK23" s="88"/>
      <c r="CL23" s="88"/>
      <c r="CM23" s="88"/>
      <c r="CN23" s="88"/>
      <c r="CO23" s="88"/>
      <c r="CP23" s="88"/>
      <c r="CQ23" s="38" t="str">
        <f t="shared" si="9"/>
        <v>1101001101111110</v>
      </c>
      <c r="CR23" s="38" t="str">
        <f t="shared" si="10"/>
        <v>0011101110110010</v>
      </c>
      <c r="CS23" s="88"/>
      <c r="CT23" s="88"/>
      <c r="CU23" s="37" t="str">
        <f>AO23</f>
        <v>01000011011000100010001100100010</v>
      </c>
      <c r="CV23" s="38" t="str">
        <f t="shared" si="74"/>
        <v>01000011</v>
      </c>
      <c r="CW23" s="38" t="str">
        <f t="shared" si="75"/>
        <v>01100010</v>
      </c>
      <c r="CX23" s="38" t="str">
        <f t="shared" si="76"/>
        <v>00100011</v>
      </c>
      <c r="CY23" s="38" t="str">
        <f t="shared" si="77"/>
        <v>00100010</v>
      </c>
      <c r="CZ23" s="88"/>
      <c r="DA23" s="88"/>
      <c r="DB23" s="88"/>
      <c r="DC23" s="88"/>
      <c r="DD23" s="39" t="str">
        <f t="shared" si="78"/>
        <v>1101</v>
      </c>
      <c r="DE23" s="39" t="str">
        <f t="shared" si="79"/>
        <v>0011</v>
      </c>
      <c r="DF23" s="39" t="str">
        <f t="shared" si="80"/>
        <v>0111</v>
      </c>
      <c r="DG23" s="39" t="str">
        <f t="shared" si="81"/>
        <v>1110</v>
      </c>
      <c r="DH23" s="39" t="str">
        <f t="shared" si="82"/>
        <v>0011</v>
      </c>
      <c r="DI23" s="39" t="str">
        <f t="shared" si="83"/>
        <v>1011</v>
      </c>
      <c r="DJ23" s="39" t="str">
        <f t="shared" si="84"/>
        <v>1011</v>
      </c>
      <c r="DK23" s="39" t="str">
        <f t="shared" si="85"/>
        <v>0010</v>
      </c>
      <c r="DL23" s="88"/>
      <c r="DM23" s="88"/>
      <c r="DN23" s="88"/>
      <c r="DO23" s="88"/>
      <c r="DP23" s="88"/>
      <c r="DQ23" s="88"/>
      <c r="DR23" s="88"/>
      <c r="DS23" s="88"/>
      <c r="DT23" s="38" t="str">
        <f t="shared" si="12"/>
        <v>0100001101100010</v>
      </c>
      <c r="DU23" s="38" t="str">
        <f t="shared" si="13"/>
        <v>0010001100100010</v>
      </c>
      <c r="DV23" s="88"/>
      <c r="DW23" s="88"/>
      <c r="DX23" s="37" t="str">
        <f>CONCATENATE(MID($H23,1,1)*MID($K22,1,1),MID($H23,2,1)*MID($K22,2,1),MID($H23,3,1)*MID($K22,3,1),MID($H23,4,1)*MID($K22,4,1),MID($H23,5,1)*MID($K22,5,1),MID($H23,6,1)*MID($K22,6,1),MID($H23,7,1)*MID($K22,7,1),MID($H23,8,1)*MID($K22,8,1),MID($H23,9,1)*MID($K22,1,1),MID($H23,10,1)*MID($K22,2,1),MID($H23,11,1)*MID($K22,3,1),MID($H23,12,1)*MID($K22,4,1),MID($H23,13,1)*MID($K22,5,1),MID($H23,14,1)*MID($K22,6,1),MID($H23,15,1)*MID($K22,7,1),MID($H23,16,1)*MID($K22,8,1),MID($H23,17,1)*MID($K22,1,1),MID($H23,18,1)*MID($K22,2,1),MID($H23,19,1)*MID($K22,3,1),MID($H23,20,1)*MID($K22,4,1),MID($H23,21,1)*MID($K22,5,1),MID($H23,22,1)*MID($K22,6,1),MID($H23,23,1)*MID($K22,7,1),MID($H23,24,1)*MID($K22,8,1),MID($H23,25,1)*MID($K22,1,1),MID($H23,26,1)*MID($K22,2,1),MID($H23,27,1)*MID($K22,3,1),MID($H23,28,1)*MID($K22,4,1),MID($H23,29,1)*MID($K22,5,1),MID($H23,30,1)*MID($K22,6,1),MID($H23,31,1)*MID($K22,7,1),MID($H23,32,1)*MID($K22,8,1))</f>
        <v>01000010011000110100001101100010</v>
      </c>
      <c r="DY23" s="38" t="str">
        <f>CONCATENATE(MID(DX23,4,5),MID(DX23,25,3),MID(DX23,12,5),MID(DX23,1,3),MID(DX23,20,5),MID(DX23,9,3),MID(DX23,28,5),MID(DX23,17,3))</f>
        <v>00010011000110100001101100010010</v>
      </c>
      <c r="DZ23" s="38" t="str">
        <f t="shared" si="178"/>
        <v>00010011</v>
      </c>
      <c r="EA23" s="38" t="str">
        <f t="shared" si="86"/>
        <v>00011010</v>
      </c>
      <c r="EB23" s="38" t="str">
        <f t="shared" si="87"/>
        <v>00011011</v>
      </c>
      <c r="EC23" s="38" t="str">
        <f t="shared" si="88"/>
        <v>00010010</v>
      </c>
      <c r="ED23" s="88"/>
      <c r="EE23" s="88"/>
      <c r="EF23" s="88"/>
      <c r="EG23" s="88"/>
      <c r="EH23" s="39" t="str">
        <f t="shared" si="89"/>
        <v>1101</v>
      </c>
      <c r="EI23" s="39" t="str">
        <f t="shared" si="90"/>
        <v>0011</v>
      </c>
      <c r="EJ23" s="39" t="str">
        <f t="shared" si="91"/>
        <v>0111</v>
      </c>
      <c r="EK23" s="39" t="str">
        <f t="shared" si="92"/>
        <v>1110</v>
      </c>
      <c r="EL23" s="39" t="str">
        <f t="shared" si="93"/>
        <v>0011</v>
      </c>
      <c r="EM23" s="39" t="str">
        <f t="shared" si="94"/>
        <v>1011</v>
      </c>
      <c r="EN23" s="39" t="str">
        <f t="shared" si="95"/>
        <v>1011</v>
      </c>
      <c r="EO23" s="39" t="str">
        <f t="shared" si="96"/>
        <v>0010</v>
      </c>
      <c r="EP23" s="88"/>
      <c r="EQ23" s="88"/>
      <c r="ER23" s="88"/>
      <c r="ES23" s="88"/>
      <c r="ET23" s="88"/>
      <c r="EU23" s="88"/>
      <c r="EV23" s="88"/>
      <c r="EW23" s="88"/>
      <c r="EX23" s="38" t="str">
        <f t="shared" si="15"/>
        <v>0001001100011010</v>
      </c>
      <c r="EY23" s="38" t="str">
        <f t="shared" si="16"/>
        <v>0001101100010010</v>
      </c>
      <c r="EZ23" s="88"/>
      <c r="FA23" s="88"/>
      <c r="FB23" s="37" t="str">
        <f>CONCATENATE(MID(DY23,1,1)*MID($K22,1,1),MID(DY23,2,1)*MID($K22,2,1),MID(DY23,3,1)*MID($K22,3,1),MID(DY23,4,1)*MID($K22,4,1),MID(DY23,5,1)*MID($K22,5,1),MID(DY23,6,1)*MID($K22,6,1),MID(DY23,7,1)*MID($K22,7,1),MID(DY23,8,1)*MID($K22,8,1),MID(DY23,9,1)*MID($K22,1,1),MID(DY23,10,1)*MID($K22,2,1),MID(DY23,11,1)*MID($K22,3,1),MID(DY23,12,1)*MID($K22,4,1),MID(DY23,13,1)*MID($K22,5,1),MID(DY23,14,1)*MID($K22,6,1),MID(DY23,15,1)*MID($K22,7,1),MID(DY23,16,1)*MID($K22,8,1),MID(DY23,17,1)*MID($K22,1,1),MID(DY23,18,1)*MID($K22,2,1),MID(DY23,19,1)*MID($K22,3,1),MID(DY23,20,1)*MID($K22,4,1),MID(DY23,21,1)*MID($K22,5,1),MID(DY23,22,1)*MID($K22,6,1),MID(DY23,23,1)*MID($K22,7,1),MID(DY23,24,1)*MID($K22,8,1),MID(DY23,25,1)*MID($K22,1,1),MID(DY23,26,1)*MID($K22,2,1),MID(DY23,27,1)*MID($K22,3,1),MID(DY23,28,1)*MID($K22,4,1),MID(DY23,29,1)*MID($K22,5,1),MID(DY23,30,1)*MID($K22,6,1),MID(DY23,31,1)*MID($K22,7,1),MID(DY23,32,1)*MID($K22,8,1))</f>
        <v>00000011000000100000001100000010</v>
      </c>
      <c r="FC23" s="38" t="str">
        <f t="shared" si="180"/>
        <v>00000011</v>
      </c>
      <c r="FD23" s="38" t="str">
        <f t="shared" si="97"/>
        <v>00000010</v>
      </c>
      <c r="FE23" s="38" t="str">
        <f t="shared" si="98"/>
        <v>00000011</v>
      </c>
      <c r="FF23" s="38" t="str">
        <f t="shared" si="99"/>
        <v>00000010</v>
      </c>
      <c r="FG23" s="88"/>
      <c r="FH23" s="88"/>
      <c r="FI23" s="88"/>
      <c r="FJ23" s="88"/>
      <c r="FK23" s="39" t="str">
        <f t="shared" si="100"/>
        <v>1101</v>
      </c>
      <c r="FL23" s="39" t="str">
        <f t="shared" si="101"/>
        <v>0011</v>
      </c>
      <c r="FM23" s="39" t="str">
        <f t="shared" si="102"/>
        <v>0111</v>
      </c>
      <c r="FN23" s="39" t="str">
        <f t="shared" si="103"/>
        <v>1110</v>
      </c>
      <c r="FO23" s="39" t="str">
        <f t="shared" si="104"/>
        <v>0011</v>
      </c>
      <c r="FP23" s="39" t="str">
        <f t="shared" si="105"/>
        <v>1011</v>
      </c>
      <c r="FQ23" s="39" t="str">
        <f t="shared" si="106"/>
        <v>1011</v>
      </c>
      <c r="FR23" s="39" t="str">
        <f t="shared" si="107"/>
        <v>0010</v>
      </c>
      <c r="FS23" s="88"/>
      <c r="FT23" s="88"/>
      <c r="FU23" s="88"/>
      <c r="FV23" s="88"/>
      <c r="FW23" s="88"/>
      <c r="FX23" s="88"/>
      <c r="FY23" s="88"/>
      <c r="FZ23" s="88"/>
      <c r="GA23" s="38" t="str">
        <f t="shared" si="18"/>
        <v>0000001100000010</v>
      </c>
      <c r="GB23" s="38" t="str">
        <f t="shared" si="19"/>
        <v>0000001100000010</v>
      </c>
      <c r="GC23" s="88"/>
      <c r="GD23" s="88"/>
      <c r="GE23" s="39" t="str">
        <f>DY23</f>
        <v>00010011000110100001101100010010</v>
      </c>
      <c r="GF23" s="38" t="str">
        <f t="shared" si="182"/>
        <v>00010011</v>
      </c>
      <c r="GG23" s="38" t="str">
        <f t="shared" si="108"/>
        <v>00011010</v>
      </c>
      <c r="GH23" s="38" t="str">
        <f t="shared" si="109"/>
        <v>00011011</v>
      </c>
      <c r="GI23" s="38" t="str">
        <f t="shared" si="110"/>
        <v>00010010</v>
      </c>
      <c r="GJ23" s="88"/>
      <c r="GK23" s="88"/>
      <c r="GL23" s="88"/>
      <c r="GM23" s="88"/>
      <c r="GN23" s="39" t="str">
        <f t="shared" si="111"/>
        <v>1101</v>
      </c>
      <c r="GO23" s="39" t="str">
        <f t="shared" si="112"/>
        <v>0011</v>
      </c>
      <c r="GP23" s="39" t="str">
        <f t="shared" si="113"/>
        <v>0111</v>
      </c>
      <c r="GQ23" s="39" t="str">
        <f t="shared" si="114"/>
        <v>1110</v>
      </c>
      <c r="GR23" s="39" t="str">
        <f t="shared" si="115"/>
        <v>0011</v>
      </c>
      <c r="GS23" s="39" t="str">
        <f t="shared" si="116"/>
        <v>1011</v>
      </c>
      <c r="GT23" s="39" t="str">
        <f t="shared" si="117"/>
        <v>1011</v>
      </c>
      <c r="GU23" s="39" t="str">
        <f t="shared" si="118"/>
        <v>0010</v>
      </c>
      <c r="GV23" s="88"/>
      <c r="GW23" s="88"/>
      <c r="GX23" s="88"/>
      <c r="GY23" s="88"/>
      <c r="GZ23" s="88"/>
      <c r="HA23" s="88"/>
      <c r="HB23" s="88"/>
      <c r="HC23" s="88"/>
      <c r="HD23" s="38" t="str">
        <f t="shared" si="21"/>
        <v>0001001100011010</v>
      </c>
      <c r="HE23" s="38" t="str">
        <f t="shared" si="22"/>
        <v>0001101100010010</v>
      </c>
      <c r="HF23" s="88"/>
      <c r="HG23" s="88"/>
      <c r="HH23" s="39" t="str">
        <f>FB23</f>
        <v>00000011000000100000001100000010</v>
      </c>
      <c r="HI23" s="38" t="str">
        <f t="shared" si="184"/>
        <v>00000011</v>
      </c>
      <c r="HJ23" s="38" t="str">
        <f t="shared" si="119"/>
        <v>00000010</v>
      </c>
      <c r="HK23" s="38" t="str">
        <f t="shared" si="120"/>
        <v>00000011</v>
      </c>
      <c r="HL23" s="38" t="str">
        <f t="shared" si="121"/>
        <v>00000010</v>
      </c>
      <c r="HM23" s="88"/>
      <c r="HN23" s="88"/>
      <c r="HO23" s="88"/>
      <c r="HP23" s="88"/>
      <c r="HQ23" s="39" t="str">
        <f t="shared" si="122"/>
        <v>1101</v>
      </c>
      <c r="HR23" s="39" t="str">
        <f t="shared" si="123"/>
        <v>0011</v>
      </c>
      <c r="HS23" s="39" t="str">
        <f t="shared" si="124"/>
        <v>0111</v>
      </c>
      <c r="HT23" s="39" t="str">
        <f t="shared" si="125"/>
        <v>1110</v>
      </c>
      <c r="HU23" s="39" t="str">
        <f t="shared" si="126"/>
        <v>0011</v>
      </c>
      <c r="HV23" s="39" t="str">
        <f t="shared" si="127"/>
        <v>1011</v>
      </c>
      <c r="HW23" s="39" t="str">
        <f t="shared" si="128"/>
        <v>1011</v>
      </c>
      <c r="HX23" s="39" t="str">
        <f t="shared" si="129"/>
        <v>0010</v>
      </c>
      <c r="HY23" s="88"/>
      <c r="HZ23" s="88"/>
      <c r="IA23" s="88"/>
      <c r="IB23" s="88"/>
      <c r="IC23" s="88"/>
      <c r="ID23" s="88"/>
      <c r="IE23" s="88"/>
      <c r="IF23" s="88"/>
      <c r="IG23" s="38" t="str">
        <f t="shared" si="24"/>
        <v>0000001100000010</v>
      </c>
      <c r="IH23" s="38" t="str">
        <f t="shared" si="25"/>
        <v>0000001100000010</v>
      </c>
      <c r="II23" s="88"/>
      <c r="IJ23" s="88"/>
      <c r="IK23" s="38" t="str">
        <f>L23</f>
        <v>11010011011111100011101110110010</v>
      </c>
      <c r="IL23" s="38" t="str">
        <f t="shared" si="186"/>
        <v>11010011</v>
      </c>
      <c r="IM23" s="38" t="str">
        <f t="shared" si="130"/>
        <v>01111110</v>
      </c>
      <c r="IN23" s="38" t="str">
        <f t="shared" si="131"/>
        <v>00111011</v>
      </c>
      <c r="IO23" s="38" t="str">
        <f t="shared" si="132"/>
        <v>10110010</v>
      </c>
      <c r="IP23" s="88"/>
      <c r="IQ23" s="88"/>
      <c r="IR23" s="88"/>
      <c r="IS23" s="88"/>
      <c r="IT23" s="39" t="str">
        <f t="shared" si="133"/>
        <v>1101</v>
      </c>
      <c r="IU23" s="39" t="str">
        <f t="shared" si="134"/>
        <v>0011</v>
      </c>
      <c r="IV23" s="39" t="str">
        <f t="shared" si="135"/>
        <v>0111</v>
      </c>
      <c r="IW23" s="39" t="str">
        <f t="shared" si="136"/>
        <v>1110</v>
      </c>
      <c r="IX23" s="39" t="str">
        <f t="shared" si="137"/>
        <v>0011</v>
      </c>
      <c r="IY23" s="39" t="str">
        <f t="shared" si="138"/>
        <v>1011</v>
      </c>
      <c r="IZ23" s="39" t="str">
        <f t="shared" si="139"/>
        <v>1011</v>
      </c>
      <c r="JA23" s="39" t="str">
        <f t="shared" si="140"/>
        <v>0010</v>
      </c>
      <c r="JB23" s="88"/>
      <c r="JC23" s="88"/>
      <c r="JD23" s="88"/>
      <c r="JE23" s="88"/>
      <c r="JF23" s="88"/>
      <c r="JG23" s="88"/>
      <c r="JH23" s="88"/>
      <c r="JI23" s="88"/>
      <c r="JJ23" s="38" t="str">
        <f t="shared" si="27"/>
        <v>1101001101111110</v>
      </c>
      <c r="JK23" s="38" t="str">
        <f t="shared" si="28"/>
        <v>0011101110110010</v>
      </c>
      <c r="JL23" s="88"/>
      <c r="JM23" s="88"/>
      <c r="JN23" s="37" t="str">
        <f>L23</f>
        <v>11010011011111100011101110110010</v>
      </c>
      <c r="JO23" s="38" t="str">
        <f t="shared" si="188"/>
        <v>11010011</v>
      </c>
      <c r="JP23" s="38" t="str">
        <f t="shared" si="141"/>
        <v>01111110</v>
      </c>
      <c r="JQ23" s="38" t="str">
        <f t="shared" si="142"/>
        <v>00111011</v>
      </c>
      <c r="JR23" s="38" t="str">
        <f t="shared" si="143"/>
        <v>10110010</v>
      </c>
      <c r="JS23" s="88"/>
      <c r="JT23" s="88"/>
      <c r="JU23" s="88"/>
      <c r="JV23" s="88"/>
      <c r="JW23" s="39" t="str">
        <f t="shared" si="144"/>
        <v>1101</v>
      </c>
      <c r="JX23" s="39" t="str">
        <f t="shared" si="145"/>
        <v>0011</v>
      </c>
      <c r="JY23" s="39" t="str">
        <f t="shared" si="146"/>
        <v>0111</v>
      </c>
      <c r="JZ23" s="39" t="str">
        <f t="shared" si="147"/>
        <v>1110</v>
      </c>
      <c r="KA23" s="39" t="str">
        <f t="shared" si="148"/>
        <v>0011</v>
      </c>
      <c r="KB23" s="39" t="str">
        <f t="shared" si="149"/>
        <v>1011</v>
      </c>
      <c r="KC23" s="39" t="str">
        <f t="shared" si="150"/>
        <v>1011</v>
      </c>
      <c r="KD23" s="39" t="str">
        <f t="shared" si="151"/>
        <v>0010</v>
      </c>
      <c r="KE23" s="88"/>
      <c r="KF23" s="88"/>
      <c r="KG23" s="88"/>
      <c r="KH23" s="88"/>
      <c r="KI23" s="88"/>
      <c r="KJ23" s="88"/>
      <c r="KK23" s="88"/>
      <c r="KL23" s="88"/>
      <c r="KM23" s="38" t="str">
        <f t="shared" si="30"/>
        <v>1101001101111110</v>
      </c>
      <c r="KN23" s="38" t="str">
        <f t="shared" si="31"/>
        <v>0011101110110010</v>
      </c>
      <c r="KO23" s="88"/>
      <c r="KP23" s="88"/>
      <c r="KQ23" s="39" t="str">
        <f>AO23</f>
        <v>01000011011000100010001100100010</v>
      </c>
      <c r="KR23" s="38" t="str">
        <f t="shared" si="190"/>
        <v>01000011</v>
      </c>
      <c r="KS23" s="38" t="str">
        <f t="shared" si="152"/>
        <v>01100010</v>
      </c>
      <c r="KT23" s="38" t="str">
        <f t="shared" si="153"/>
        <v>00100011</v>
      </c>
      <c r="KU23" s="38" t="str">
        <f t="shared" si="154"/>
        <v>00100010</v>
      </c>
      <c r="KV23" s="88"/>
      <c r="KW23" s="88"/>
      <c r="KX23" s="88"/>
      <c r="KY23" s="88"/>
      <c r="KZ23" s="39" t="str">
        <f t="shared" si="155"/>
        <v>1101</v>
      </c>
      <c r="LA23" s="39" t="str">
        <f t="shared" si="156"/>
        <v>0011</v>
      </c>
      <c r="LB23" s="39" t="str">
        <f t="shared" si="157"/>
        <v>0111</v>
      </c>
      <c r="LC23" s="39" t="str">
        <f t="shared" si="158"/>
        <v>1110</v>
      </c>
      <c r="LD23" s="39" t="str">
        <f t="shared" si="159"/>
        <v>0011</v>
      </c>
      <c r="LE23" s="39" t="str">
        <f t="shared" si="160"/>
        <v>1011</v>
      </c>
      <c r="LF23" s="39" t="str">
        <f t="shared" si="161"/>
        <v>1011</v>
      </c>
      <c r="LG23" s="39" t="str">
        <f t="shared" si="162"/>
        <v>0010</v>
      </c>
      <c r="LH23" s="88"/>
      <c r="LI23" s="88"/>
      <c r="LJ23" s="88"/>
      <c r="LK23" s="88"/>
      <c r="LL23" s="88"/>
      <c r="LM23" s="88"/>
      <c r="LN23" s="88"/>
      <c r="LO23" s="88"/>
      <c r="LP23" s="38" t="str">
        <f t="shared" si="33"/>
        <v>0100001101100010</v>
      </c>
      <c r="LQ23" s="38" t="str">
        <f t="shared" si="34"/>
        <v>0010001100100010</v>
      </c>
      <c r="LR23" s="88"/>
      <c r="LS23" s="88"/>
      <c r="LT23" s="39" t="str">
        <f>GE23</f>
        <v>00010011000110100001101100010010</v>
      </c>
      <c r="LU23" s="38" t="str">
        <f t="shared" si="192"/>
        <v>00010011</v>
      </c>
      <c r="LV23" s="38" t="str">
        <f t="shared" si="163"/>
        <v>00011010</v>
      </c>
      <c r="LW23" s="38" t="str">
        <f t="shared" si="164"/>
        <v>00011011</v>
      </c>
      <c r="LX23" s="38" t="str">
        <f t="shared" si="165"/>
        <v>00010010</v>
      </c>
      <c r="LY23" s="88"/>
      <c r="LZ23" s="88"/>
      <c r="MA23" s="88"/>
      <c r="MB23" s="88"/>
      <c r="MC23" s="39" t="str">
        <f t="shared" si="166"/>
        <v>1101</v>
      </c>
      <c r="MD23" s="39" t="str">
        <f t="shared" si="167"/>
        <v>0011</v>
      </c>
      <c r="ME23" s="39" t="str">
        <f t="shared" si="168"/>
        <v>0111</v>
      </c>
      <c r="MF23" s="39" t="str">
        <f t="shared" si="169"/>
        <v>1110</v>
      </c>
      <c r="MG23" s="39" t="str">
        <f t="shared" si="170"/>
        <v>0011</v>
      </c>
      <c r="MH23" s="39" t="str">
        <f t="shared" si="171"/>
        <v>1011</v>
      </c>
      <c r="MI23" s="39" t="str">
        <f t="shared" si="172"/>
        <v>1011</v>
      </c>
      <c r="MJ23" s="39" t="str">
        <f t="shared" si="173"/>
        <v>0010</v>
      </c>
      <c r="MK23" s="88"/>
      <c r="ML23" s="88"/>
      <c r="MM23" s="88"/>
      <c r="MN23" s="88"/>
      <c r="MO23" s="88"/>
      <c r="MP23" s="88"/>
      <c r="MQ23" s="88"/>
      <c r="MR23" s="88"/>
      <c r="MS23" s="38" t="str">
        <f t="shared" si="36"/>
        <v>0001001100011010</v>
      </c>
      <c r="MT23" s="38" t="str">
        <f t="shared" si="37"/>
        <v>0001101100010010</v>
      </c>
      <c r="MU23" s="88"/>
      <c r="MV23" s="88"/>
    </row>
    <row r="24" spans="1:360" s="35" customFormat="1" ht="18.600000000000001" thickBot="1" x14ac:dyDescent="0.4">
      <c r="A24" s="32"/>
      <c r="B24" s="33"/>
      <c r="C24" s="50" t="s">
        <v>0</v>
      </c>
      <c r="D24" s="50">
        <v>15</v>
      </c>
      <c r="E24" s="50" t="s">
        <v>100</v>
      </c>
      <c r="F24" s="50">
        <v>73</v>
      </c>
      <c r="G24" s="50">
        <v>16</v>
      </c>
      <c r="H24" s="50" t="str">
        <f t="shared" si="278"/>
        <v>00010101111101010111001100010110</v>
      </c>
      <c r="I24" s="50">
        <f t="shared" si="279"/>
        <v>17</v>
      </c>
      <c r="J24" s="50">
        <v>63</v>
      </c>
      <c r="K24" s="50" t="str">
        <f>HEX2BIN(J24,8)</f>
        <v>01100011</v>
      </c>
      <c r="L24" s="34" t="str">
        <f>CONCATENATE(MID(H24,17,16),MID(H24,1,16))</f>
        <v>01110011000101100001010111110101</v>
      </c>
      <c r="M24" s="34" t="str">
        <f t="shared" si="38"/>
        <v>01110</v>
      </c>
      <c r="N24" s="26" t="str">
        <f t="shared" si="39"/>
        <v>00010</v>
      </c>
      <c r="O24" s="26" t="str">
        <f t="shared" si="40"/>
        <v>00010</v>
      </c>
      <c r="P24" s="26" t="str">
        <f t="shared" si="41"/>
        <v>11110</v>
      </c>
      <c r="Q24" s="87">
        <f>BIN2DEC(M24)-BIN2DEC(M25)</f>
        <v>7</v>
      </c>
      <c r="R24" s="87">
        <f>BIN2DEC(N24)-BIN2DEC(N25)</f>
        <v>-13</v>
      </c>
      <c r="S24" s="87">
        <f>BIN2DEC(O24)-BIN2DEC(O25)</f>
        <v>-18</v>
      </c>
      <c r="T24" s="87">
        <f>BIN2DEC(P24)-BIN2DEC(P25)</f>
        <v>27</v>
      </c>
      <c r="U24" s="35" t="str">
        <f t="shared" si="42"/>
        <v>0111</v>
      </c>
      <c r="V24" s="35" t="str">
        <f t="shared" si="43"/>
        <v>0011</v>
      </c>
      <c r="W24" s="35" t="str">
        <f t="shared" si="44"/>
        <v>0001</v>
      </c>
      <c r="X24" s="35" t="str">
        <f t="shared" si="45"/>
        <v>0110</v>
      </c>
      <c r="Y24" s="35" t="str">
        <f t="shared" si="46"/>
        <v>0001</v>
      </c>
      <c r="Z24" s="35" t="str">
        <f t="shared" si="47"/>
        <v>0101</v>
      </c>
      <c r="AA24" s="35" t="str">
        <f t="shared" si="48"/>
        <v>1111</v>
      </c>
      <c r="AB24" s="35" t="str">
        <f t="shared" si="49"/>
        <v>0101</v>
      </c>
      <c r="AC24" s="87">
        <f>BIN2DEC(U24)-BIN2DEC(U25)</f>
        <v>4</v>
      </c>
      <c r="AD24" s="87">
        <f t="shared" ref="AD24:AI24" si="304">BIN2DEC(V24)-BIN2DEC(V25)</f>
        <v>-8</v>
      </c>
      <c r="AE24" s="87">
        <f t="shared" si="304"/>
        <v>-6</v>
      </c>
      <c r="AF24" s="87">
        <f t="shared" si="304"/>
        <v>-4</v>
      </c>
      <c r="AG24" s="87">
        <f t="shared" si="304"/>
        <v>-9</v>
      </c>
      <c r="AH24" s="87">
        <f t="shared" si="304"/>
        <v>4</v>
      </c>
      <c r="AI24" s="87">
        <f t="shared" si="304"/>
        <v>14</v>
      </c>
      <c r="AJ24" s="87">
        <f>BIN2DEC(AB24)-BIN2DEC(AB25)</f>
        <v>-10</v>
      </c>
      <c r="AK24" s="34" t="str">
        <f t="shared" si="3"/>
        <v>0111001100010110</v>
      </c>
      <c r="AL24" s="34" t="str">
        <f t="shared" si="4"/>
        <v>0001010111110101</v>
      </c>
      <c r="AM24" s="87">
        <f>MID(AK24,16,1)*POWER(2,0)+MID(AK24,15,1)*POWER(2,1)+MID(AK24,14,1)*POWER(2,2)+MID(AK24,13,1)*POWER(2,3)+MID(AK24,12,1)*POWER(2,4)+MID(AK24,11,1)*POWER(2,5)+MID(AK24,10,1)*POWER(2,6)+MID(AK24,9,1)*POWER(2,7)+MID(AK24,8,1)*POWER(2,8)+MID(AK24,7,1)*POWER(2,9)+MID(AK24,6,1)*POWER(2,10)+MID(AK24,5,1)*POWER(2,11)+MID(AK24,4,1)*POWER(2,12)+MID(AK24,3,1)*POWER(2,13)+MID(AK24,2,1)*POWER(2,14)+MID(AK24,1,1)*POWER(2,15)-(MID(AK25,16,1)*POWER(2,0)+MID(AK25,15,1)*POWER(2,1)+MID(AK25,14,1)*POWER(2,2)+MID(AK25,13,1)*POWER(2,3)+MID(AK25,12,1)*POWER(2,4)+MID(AK25,11,1)*POWER(2,5)+MID(AK25,10,1)*POWER(2,6)+MID(AK25,9,1)*POWER(2,7)+MID(AK25,8,1)*POWER(2,8)+MID(AK25,7,1)*POWER(2,9)+MID(AK25,6,1)*POWER(2,10)+MID(AK25,5,1)*POWER(2,11)+MID(AK25,4,1)*POWER(2,12)+MID(AK25,3,1)*POWER(2,13)+MID(AK25,2,1)*POWER(2,14)+MID(AK25,1,1)*POWER(2,15))</f>
        <v>14236</v>
      </c>
      <c r="AN24" s="87">
        <f>MID(AL24,16,1)*POWER(2,0)+MID(AL24,15,1)*POWER(2,1)+MID(AL24,14,1)*POWER(2,2)+MID(AL24,13,1)*POWER(2,3)+MID(AL24,12,1)*POWER(2,4)+MID(AL24,11,1)*POWER(2,5)+MID(AL24,10,1)*POWER(2,6)+MID(AL24,9,1)*POWER(2,7)+MID(AL24,8,1)*POWER(2,8)+MID(AL24,7,1)*POWER(2,9)+MID(AL24,6,1)*POWER(2,10)+MID(AL24,5,1)*POWER(2,11)+MID(AL24,4,1)*POWER(2,12)+MID(AL24,3,1)*POWER(2,13)+MID(AL24,2,1)*POWER(2,14)+MID(AL24,1,1)*POWER(2,15)-(MID(AL25,16,1)*POWER(2,0)+MID(AL25,15,1)*POWER(2,1)+MID(AL25,14,1)*POWER(2,2)+MID(AL25,13,1)*POWER(2,3)+MID(AL25,12,1)*POWER(2,4)+MID(AL25,11,1)*POWER(2,5)+MID(AL25,10,1)*POWER(2,6)+MID(AL25,9,1)*POWER(2,7)+MID(AL25,8,1)*POWER(2,8)+MID(AL25,7,1)*POWER(2,9)+MID(AL25,6,1)*POWER(2,10)+MID(AL25,5,1)*POWER(2,11)+MID(AL25,4,1)*POWER(2,12)+MID(AL25,3,1)*POWER(2,13)+MID(AL25,2,1)*POWER(2,14)+MID(AL25,1,1)*POWER(2,15))</f>
        <v>-35626</v>
      </c>
      <c r="AO24" s="33" t="str">
        <f>L24</f>
        <v>01110011000101100001010111110101</v>
      </c>
      <c r="AP24" s="34" t="str">
        <f t="shared" si="50"/>
        <v>01110011</v>
      </c>
      <c r="AQ24" s="34" t="str">
        <f t="shared" si="51"/>
        <v>00010110</v>
      </c>
      <c r="AR24" s="34" t="str">
        <f t="shared" si="52"/>
        <v>00010101</v>
      </c>
      <c r="AS24" s="34" t="str">
        <f t="shared" si="53"/>
        <v>11110101</v>
      </c>
      <c r="AT24" s="87">
        <f>BIN2DEC(AP24)-BIN2DEC(AP25)</f>
        <v>80</v>
      </c>
      <c r="AU24" s="87">
        <f>BIN2DEC(AQ24)-BIN2DEC(AQ25)</f>
        <v>-76</v>
      </c>
      <c r="AV24" s="87">
        <f>BIN2DEC(AR24)-BIN2DEC(AR25)</f>
        <v>-12</v>
      </c>
      <c r="AW24" s="87">
        <f>BIN2DEC(AS24)-BIN2DEC(AS25)</f>
        <v>242</v>
      </c>
      <c r="AX24" s="35" t="str">
        <f t="shared" si="54"/>
        <v>0111</v>
      </c>
      <c r="AY24" s="35" t="str">
        <f t="shared" si="55"/>
        <v>0011</v>
      </c>
      <c r="AZ24" s="35" t="str">
        <f t="shared" si="56"/>
        <v>0001</v>
      </c>
      <c r="BA24" s="35" t="str">
        <f t="shared" si="57"/>
        <v>0110</v>
      </c>
      <c r="BB24" s="35" t="str">
        <f t="shared" si="58"/>
        <v>0001</v>
      </c>
      <c r="BC24" s="35" t="str">
        <f t="shared" si="59"/>
        <v>0101</v>
      </c>
      <c r="BD24" s="35" t="str">
        <f t="shared" si="60"/>
        <v>1111</v>
      </c>
      <c r="BE24" s="35" t="str">
        <f t="shared" si="61"/>
        <v>0101</v>
      </c>
      <c r="BF24" s="87">
        <f>BIN2DEC(AX24)-BIN2DEC(AX25)</f>
        <v>4</v>
      </c>
      <c r="BG24" s="87">
        <f t="shared" ref="BG24:BL24" si="305">BIN2DEC(AY24)-BIN2DEC(AY25)</f>
        <v>-8</v>
      </c>
      <c r="BH24" s="87">
        <f t="shared" si="305"/>
        <v>-6</v>
      </c>
      <c r="BI24" s="87">
        <f t="shared" si="305"/>
        <v>-4</v>
      </c>
      <c r="BJ24" s="87">
        <f t="shared" si="305"/>
        <v>-9</v>
      </c>
      <c r="BK24" s="87">
        <f t="shared" si="305"/>
        <v>4</v>
      </c>
      <c r="BL24" s="87">
        <f t="shared" si="305"/>
        <v>14</v>
      </c>
      <c r="BM24" s="87">
        <f>BIN2DEC(BE24)-BIN2DEC(BE25)</f>
        <v>-10</v>
      </c>
      <c r="BN24" s="34" t="str">
        <f t="shared" si="6"/>
        <v>0111001100010110</v>
      </c>
      <c r="BO24" s="34" t="str">
        <f t="shared" si="7"/>
        <v>0001010111110101</v>
      </c>
      <c r="BP24" s="87">
        <f>MID(BN24,16,1)*POWER(2,0)+MID(BN24,15,1)*POWER(2,1)+MID(BN24,14,1)*POWER(2,2)+MID(BN24,13,1)*POWER(2,3)+MID(BN24,12,1)*POWER(2,4)+MID(BN24,11,1)*POWER(2,5)+MID(BN24,10,1)*POWER(2,6)+MID(BN24,9,1)*POWER(2,7)+MID(BN24,8,1)*POWER(2,8)+MID(BN24,7,1)*POWER(2,9)+MID(BN24,6,1)*POWER(2,10)+MID(BN24,5,1)*POWER(2,11)+MID(BN24,4,1)*POWER(2,12)+MID(BN24,3,1)*POWER(2,13)+MID(BN24,2,1)*POWER(2,14)+MID(BN24,1,1)*POWER(2,15)-(MID(BN25,16,1)*POWER(2,0)+MID(BN25,15,1)*POWER(2,1)+MID(BN25,14,1)*POWER(2,2)+MID(BN25,13,1)*POWER(2,3)+MID(BN25,12,1)*POWER(2,4)+MID(BN25,11,1)*POWER(2,5)+MID(BN25,10,1)*POWER(2,6)+MID(BN25,9,1)*POWER(2,7)+MID(BN25,8,1)*POWER(2,8)+MID(BN25,7,1)*POWER(2,9)+MID(BN25,6,1)*POWER(2,10)+MID(BN25,5,1)*POWER(2,11)+MID(BN25,4,1)*POWER(2,12)+MID(BN25,3,1)*POWER(2,13)+MID(BN25,2,1)*POWER(2,14)+MID(BN25,1,1)*POWER(2,15))</f>
        <v>20404</v>
      </c>
      <c r="BQ24" s="87">
        <f>MID(BO24,16,1)*POWER(2,0)+MID(BO24,15,1)*POWER(2,1)+MID(BO24,14,1)*POWER(2,2)+MID(BO24,13,1)*POWER(2,3)+MID(BO24,12,1)*POWER(2,4)+MID(BO24,11,1)*POWER(2,5)+MID(BO24,10,1)*POWER(2,6)+MID(BO24,9,1)*POWER(2,7)+MID(BO24,8,1)*POWER(2,8)+MID(BO24,7,1)*POWER(2,9)+MID(BO24,6,1)*POWER(2,10)+MID(BO24,5,1)*POWER(2,11)+MID(BO24,4,1)*POWER(2,12)+MID(BO24,3,1)*POWER(2,13)+MID(BO24,2,1)*POWER(2,14)+MID(BO24,1,1)*POWER(2,15)-(MID(BO25,16,1)*POWER(2,0)+MID(BO25,15,1)*POWER(2,1)+MID(BO25,14,1)*POWER(2,2)+MID(BO25,13,1)*POWER(2,3)+MID(BO25,12,1)*POWER(2,4)+MID(BO25,11,1)*POWER(2,5)+MID(BO25,10,1)*POWER(2,6)+MID(BO25,9,1)*POWER(2,7)+MID(BO25,8,1)*POWER(2,8)+MID(BO25,7,1)*POWER(2,9)+MID(BO25,6,1)*POWER(2,10)+MID(BO25,5,1)*POWER(2,11)+MID(BO25,4,1)*POWER(2,12)+MID(BO25,3,1)*POWER(2,13)+MID(BO25,2,1)*POWER(2,14)+MID(BO25,1,1)*POWER(2,15))</f>
        <v>-2830</v>
      </c>
      <c r="BR24" s="33" t="str">
        <f>CONCATENATE(MID($L24,1,1)*MID($K24,1,1),MID($L24,2,1)*MID($K24,2,1),MID($L24,3,1)*MID($K24,3,1),MID($L24,4,1)*MID($K24,4,1),MID($L24,5,1)*MID($K24,5,1),MID($L24,6,1)*MID($K24,6,1),MID($L24,7,1)*MID($K24,7,1),MID($L24,8,1)*MID($K24,8,1),MID($L24,9,1)*MID($K24,1,1),MID($L24,10,1)*MID($K24,2,1),MID($L24,11,1)*MID($K24,3,1),MID($L24,12,1)*MID($K24,4,1),MID($L24,13,1)*MID($K24,5,1),MID($L24,14,1)*MID($K24,6,1),MID($L24,15,1)*MID($K24,7,1),MID($L24,16,1)*MID($K24,8,1),MID($L24,17,1)*MID($K24,1,1),MID($L24,18,1)*MID($K24,2,1),MID($L24,19,1)*MID($K24,3,1),MID($L24,20,1)*MID($K24,4,1),MID($L24,21,1)*MID($K24,5,1),MID($L24,22,1)*MID($K24,6,1),MID($L24,23,1)*MID($K24,7,1),MID($L24,24,1)*MID($K24,8,1),MID($L24,25,1)*MID($K24,1,1),MID($L24,26,1)*MID($K24,2,1),MID($L24,27,1)*MID($K24,3,1),MID($L24,28,1)*MID($K24,4,1),MID($L24,29,1)*MID($K24,5,1),MID($L24,30,1)*MID($K24,6,1),MID($L24,31,1)*MID($K24,7,1),MID($L24,32,1)*MID($K24,8,1))</f>
        <v>01100011000000100000000101100001</v>
      </c>
      <c r="BS24" s="34" t="str">
        <f t="shared" si="62"/>
        <v>01100011</v>
      </c>
      <c r="BT24" s="34" t="str">
        <f t="shared" si="63"/>
        <v>00000010</v>
      </c>
      <c r="BU24" s="34" t="str">
        <f t="shared" si="64"/>
        <v>00000001</v>
      </c>
      <c r="BV24" s="34" t="str">
        <f t="shared" si="65"/>
        <v>01100001</v>
      </c>
      <c r="BW24" s="87">
        <f>BIN2DEC(BS24)-BIN2DEC(BS25)</f>
        <v>40</v>
      </c>
      <c r="BX24" s="87">
        <f>BIN2DEC(BT24)-BIN2DEC(BT25)</f>
        <v>-120</v>
      </c>
      <c r="BY24" s="87">
        <f>BIN2DEC(BU24)-BIN2DEC(BU25)</f>
        <v>-160</v>
      </c>
      <c r="BZ24" s="87">
        <f>BIN2DEC(BV24)-BIN2DEC(BV25)</f>
        <v>66</v>
      </c>
      <c r="CA24" s="35" t="str">
        <f t="shared" si="66"/>
        <v>0111</v>
      </c>
      <c r="CB24" s="35" t="str">
        <f t="shared" si="67"/>
        <v>0011</v>
      </c>
      <c r="CC24" s="35" t="str">
        <f t="shared" si="68"/>
        <v>0001</v>
      </c>
      <c r="CD24" s="35" t="str">
        <f t="shared" si="69"/>
        <v>0110</v>
      </c>
      <c r="CE24" s="35" t="str">
        <f t="shared" si="70"/>
        <v>0001</v>
      </c>
      <c r="CF24" s="35" t="str">
        <f t="shared" si="71"/>
        <v>0101</v>
      </c>
      <c r="CG24" s="35" t="str">
        <f t="shared" si="72"/>
        <v>1111</v>
      </c>
      <c r="CH24" s="35" t="str">
        <f t="shared" si="73"/>
        <v>0101</v>
      </c>
      <c r="CI24" s="87">
        <f>BIN2DEC(CA24)-BIN2DEC(CA25)</f>
        <v>4</v>
      </c>
      <c r="CJ24" s="87">
        <f t="shared" ref="CJ24:CO24" si="306">BIN2DEC(CB24)-BIN2DEC(CB25)</f>
        <v>-8</v>
      </c>
      <c r="CK24" s="87">
        <f t="shared" si="306"/>
        <v>-6</v>
      </c>
      <c r="CL24" s="87">
        <f t="shared" si="306"/>
        <v>-4</v>
      </c>
      <c r="CM24" s="87">
        <f t="shared" si="306"/>
        <v>-9</v>
      </c>
      <c r="CN24" s="87">
        <f t="shared" si="306"/>
        <v>4</v>
      </c>
      <c r="CO24" s="87">
        <f t="shared" si="306"/>
        <v>14</v>
      </c>
      <c r="CP24" s="87">
        <f>BIN2DEC(CH24)-BIN2DEC(CH25)</f>
        <v>-10</v>
      </c>
      <c r="CQ24" s="34" t="str">
        <f t="shared" si="9"/>
        <v>0110001100000010</v>
      </c>
      <c r="CR24" s="34" t="str">
        <f t="shared" si="10"/>
        <v>0000000101100001</v>
      </c>
      <c r="CS24" s="87">
        <f>MID(CQ24,16,1)*POWER(2,0)+MID(CQ24,15,1)*POWER(2,1)+MID(CQ24,14,1)*POWER(2,2)+MID(CQ24,13,1)*POWER(2,3)+MID(CQ24,12,1)*POWER(2,4)+MID(CQ24,11,1)*POWER(2,5)+MID(CQ24,10,1)*POWER(2,6)+MID(CQ24,9,1)*POWER(2,7)+MID(CQ24,8,1)*POWER(2,8)+MID(CQ24,7,1)*POWER(2,9)+MID(CQ24,6,1)*POWER(2,10)+MID(CQ24,5,1)*POWER(2,11)+MID(CQ24,4,1)*POWER(2,12)+MID(CQ24,3,1)*POWER(2,13)+MID(CQ24,2,1)*POWER(2,14)+MID(CQ24,1,1)*POWER(2,15)-(MID(CQ25,16,1)*POWER(2,0)+MID(CQ25,15,1)*POWER(2,1)+MID(CQ25,14,1)*POWER(2,2)+MID(CQ25,13,1)*POWER(2,3)+MID(CQ25,12,1)*POWER(2,4)+MID(CQ25,11,1)*POWER(2,5)+MID(CQ25,10,1)*POWER(2,6)+MID(CQ25,9,1)*POWER(2,7)+MID(CQ25,8,1)*POWER(2,8)+MID(CQ25,7,1)*POWER(2,9)+MID(CQ25,6,1)*POWER(2,10)+MID(CQ25,5,1)*POWER(2,11)+MID(CQ25,4,1)*POWER(2,12)+MID(CQ25,3,1)*POWER(2,13)+MID(CQ25,2,1)*POWER(2,14)+MID(CQ25,1,1)*POWER(2,15))</f>
        <v>10120</v>
      </c>
      <c r="CT24" s="87">
        <f>MID(CR24,16,1)*POWER(2,0)+MID(CR24,15,1)*POWER(2,1)+MID(CR24,14,1)*POWER(2,2)+MID(CR24,13,1)*POWER(2,3)+MID(CR24,12,1)*POWER(2,4)+MID(CR24,11,1)*POWER(2,5)+MID(CR24,10,1)*POWER(2,6)+MID(CR24,9,1)*POWER(2,7)+MID(CR24,8,1)*POWER(2,8)+MID(CR24,7,1)*POWER(2,9)+MID(CR24,6,1)*POWER(2,10)+MID(CR24,5,1)*POWER(2,11)+MID(CR24,4,1)*POWER(2,12)+MID(CR24,3,1)*POWER(2,13)+MID(CR24,2,1)*POWER(2,14)+MID(CR24,1,1)*POWER(2,15)-(MID(CR25,16,1)*POWER(2,0)+MID(CR25,15,1)*POWER(2,1)+MID(CR25,14,1)*POWER(2,2)+MID(CR25,13,1)*POWER(2,3)+MID(CR25,12,1)*POWER(2,4)+MID(CR25,11,1)*POWER(2,5)+MID(CR25,10,1)*POWER(2,6)+MID(CR25,9,1)*POWER(2,7)+MID(CR25,8,1)*POWER(2,8)+MID(CR25,7,1)*POWER(2,9)+MID(CR25,6,1)*POWER(2,10)+MID(CR25,5,1)*POWER(2,11)+MID(CR25,4,1)*POWER(2,12)+MID(CR25,3,1)*POWER(2,13)+MID(CR25,2,1)*POWER(2,14)+MID(CR25,1,1)*POWER(2,15))</f>
        <v>-40894</v>
      </c>
      <c r="CU24" s="33" t="str">
        <f>BR24</f>
        <v>01100011000000100000000101100001</v>
      </c>
      <c r="CV24" s="34" t="str">
        <f t="shared" si="74"/>
        <v>01100011</v>
      </c>
      <c r="CW24" s="34" t="str">
        <f t="shared" si="75"/>
        <v>00000010</v>
      </c>
      <c r="CX24" s="34" t="str">
        <f t="shared" si="76"/>
        <v>00000001</v>
      </c>
      <c r="CY24" s="34" t="str">
        <f t="shared" si="77"/>
        <v>01100001</v>
      </c>
      <c r="CZ24" s="87">
        <f>BIN2DEC(CV24)-BIN2DEC(CV25)</f>
        <v>64</v>
      </c>
      <c r="DA24" s="87">
        <f>BIN2DEC(CW24)-BIN2DEC(CW25)</f>
        <v>-96</v>
      </c>
      <c r="DB24" s="87">
        <f>BIN2DEC(CX24)-BIN2DEC(CX25)</f>
        <v>-32</v>
      </c>
      <c r="DC24" s="87">
        <f>BIN2DEC(CY24)-BIN2DEC(CY25)</f>
        <v>94</v>
      </c>
      <c r="DD24" s="35" t="str">
        <f t="shared" si="78"/>
        <v>0111</v>
      </c>
      <c r="DE24" s="35" t="str">
        <f t="shared" si="79"/>
        <v>0011</v>
      </c>
      <c r="DF24" s="35" t="str">
        <f t="shared" si="80"/>
        <v>0001</v>
      </c>
      <c r="DG24" s="35" t="str">
        <f t="shared" si="81"/>
        <v>0110</v>
      </c>
      <c r="DH24" s="35" t="str">
        <f t="shared" si="82"/>
        <v>0001</v>
      </c>
      <c r="DI24" s="35" t="str">
        <f t="shared" si="83"/>
        <v>0101</v>
      </c>
      <c r="DJ24" s="35" t="str">
        <f t="shared" si="84"/>
        <v>1111</v>
      </c>
      <c r="DK24" s="35" t="str">
        <f t="shared" si="85"/>
        <v>0101</v>
      </c>
      <c r="DL24" s="87">
        <f>BIN2DEC(DD24)-BIN2DEC(DD25)</f>
        <v>4</v>
      </c>
      <c r="DM24" s="87">
        <f t="shared" ref="DM24:DR24" si="307">BIN2DEC(DE24)-BIN2DEC(DE25)</f>
        <v>-8</v>
      </c>
      <c r="DN24" s="87">
        <f t="shared" si="307"/>
        <v>-6</v>
      </c>
      <c r="DO24" s="87">
        <f t="shared" si="307"/>
        <v>-4</v>
      </c>
      <c r="DP24" s="87">
        <f t="shared" si="307"/>
        <v>-9</v>
      </c>
      <c r="DQ24" s="87">
        <f t="shared" si="307"/>
        <v>4</v>
      </c>
      <c r="DR24" s="87">
        <f t="shared" si="307"/>
        <v>14</v>
      </c>
      <c r="DS24" s="87">
        <f>BIN2DEC(DK24)-BIN2DEC(DK25)</f>
        <v>-10</v>
      </c>
      <c r="DT24" s="34" t="str">
        <f t="shared" si="12"/>
        <v>0110001100000010</v>
      </c>
      <c r="DU24" s="34" t="str">
        <f t="shared" si="13"/>
        <v>0000000101100001</v>
      </c>
      <c r="DV24" s="87">
        <f>MID(DT24,16,1)*POWER(2,0)+MID(DT24,15,1)*POWER(2,1)+MID(DT24,14,1)*POWER(2,2)+MID(DT24,13,1)*POWER(2,3)+MID(DT24,12,1)*POWER(2,4)+MID(DT24,11,1)*POWER(2,5)+MID(DT24,10,1)*POWER(2,6)+MID(DT24,9,1)*POWER(2,7)+MID(DT24,8,1)*POWER(2,8)+MID(DT24,7,1)*POWER(2,9)+MID(DT24,6,1)*POWER(2,10)+MID(DT24,5,1)*POWER(2,11)+MID(DT24,4,1)*POWER(2,12)+MID(DT24,3,1)*POWER(2,13)+MID(DT24,2,1)*POWER(2,14)+MID(DT24,1,1)*POWER(2,15)-(MID(DT25,16,1)*POWER(2,0)+MID(DT25,15,1)*POWER(2,1)+MID(DT25,14,1)*POWER(2,2)+MID(DT25,13,1)*POWER(2,3)+MID(DT25,12,1)*POWER(2,4)+MID(DT25,11,1)*POWER(2,5)+MID(DT25,10,1)*POWER(2,6)+MID(DT25,9,1)*POWER(2,7)+MID(DT25,8,1)*POWER(2,8)+MID(DT25,7,1)*POWER(2,9)+MID(DT25,6,1)*POWER(2,10)+MID(DT25,5,1)*POWER(2,11)+MID(DT25,4,1)*POWER(2,12)+MID(DT25,3,1)*POWER(2,13)+MID(DT25,2,1)*POWER(2,14)+MID(DT25,1,1)*POWER(2,15))</f>
        <v>16288</v>
      </c>
      <c r="DW24" s="87">
        <f>MID(DU24,16,1)*POWER(2,0)+MID(DU24,15,1)*POWER(2,1)+MID(DU24,14,1)*POWER(2,2)+MID(DU24,13,1)*POWER(2,3)+MID(DU24,12,1)*POWER(2,4)+MID(DU24,11,1)*POWER(2,5)+MID(DU24,10,1)*POWER(2,6)+MID(DU24,9,1)*POWER(2,7)+MID(DU24,8,1)*POWER(2,8)+MID(DU24,7,1)*POWER(2,9)+MID(DU24,6,1)*POWER(2,10)+MID(DU24,5,1)*POWER(2,11)+MID(DU24,4,1)*POWER(2,12)+MID(DU24,3,1)*POWER(2,13)+MID(DU24,2,1)*POWER(2,14)+MID(DU24,1,1)*POWER(2,15)-(MID(DU25,16,1)*POWER(2,0)+MID(DU25,15,1)*POWER(2,1)+MID(DU25,14,1)*POWER(2,2)+MID(DU25,13,1)*POWER(2,3)+MID(DU25,12,1)*POWER(2,4)+MID(DU25,11,1)*POWER(2,5)+MID(DU25,10,1)*POWER(2,6)+MID(DU25,9,1)*POWER(2,7)+MID(DU25,8,1)*POWER(2,8)+MID(DU25,7,1)*POWER(2,9)+MID(DU25,6,1)*POWER(2,10)+MID(DU25,5,1)*POWER(2,11)+MID(DU25,4,1)*POWER(2,12)+MID(DU25,3,1)*POWER(2,13)+MID(DU25,2,1)*POWER(2,14)+MID(DU25,1,1)*POWER(2,15))</f>
        <v>-8098</v>
      </c>
      <c r="DX24" s="33" t="str">
        <f>CONCATENATE(MID($H24,1,1)*MID($K24,1,1),MID($H24,2,1)*MID($K24,2,1),MID($H24,3,1)*MID($K24,3,1),MID($H24,4,1)*MID($K24,4,1),MID($H24,5,1)*MID($K24,5,1),MID($H24,6,1)*MID($K24,6,1),MID($H24,7,1)*MID($K24,7,1),MID($H24,8,1)*MID($K24,8,1),MID($H24,9,1)*MID($K24,1,1),MID($H24,10,1)*MID($K24,2,1),MID($H24,11,1)*MID($K24,3,1),MID($H24,12,1)*MID($K24,4,1),MID($H24,13,1)*MID($K24,5,1),MID($H24,14,1)*MID($K24,6,1),MID($H24,15,1)*MID($K24,7,1),MID($H24,16,1)*MID($K24,8,1),MID($H24,17,1)*MID($K24,1,1),MID($H24,18,1)*MID($K24,2,1),MID($H24,19,1)*MID($K24,3,1),MID($H24,20,1)*MID($K24,4,1),MID($H24,21,1)*MID($K24,5,1),MID($H24,22,1)*MID($K24,6,1),MID($H24,23,1)*MID($K24,7,1),MID($H24,24,1)*MID($K24,8,1),MID($H24,25,1)*MID($K24,1,1),MID($H24,26,1)*MID($K24,2,1),MID($H24,27,1)*MID($K24,3,1),MID($H24,28,1)*MID($K24,4,1),MID($H24,29,1)*MID($K24,5,1),MID($H24,30,1)*MID($K24,6,1),MID($H24,31,1)*MID($K24,7,1),MID($H24,32,1)*MID($K24,8,1))</f>
        <v>00000001011000010110001100000010</v>
      </c>
      <c r="DY24" s="34" t="str">
        <f>L24</f>
        <v>01110011000101100001010111110101</v>
      </c>
      <c r="DZ24" s="34" t="str">
        <f t="shared" si="178"/>
        <v>01110011</v>
      </c>
      <c r="EA24" s="34" t="str">
        <f t="shared" si="86"/>
        <v>00010110</v>
      </c>
      <c r="EB24" s="34" t="str">
        <f t="shared" si="87"/>
        <v>00010101</v>
      </c>
      <c r="EC24" s="34" t="str">
        <f t="shared" si="88"/>
        <v>11110101</v>
      </c>
      <c r="ED24" s="87">
        <f>BIN2DEC(DZ24)-BIN2DEC(DZ25)</f>
        <v>88</v>
      </c>
      <c r="EE24" s="87">
        <f>BIN2DEC(EA24)-BIN2DEC(EA25)</f>
        <v>-4</v>
      </c>
      <c r="EF24" s="87">
        <f>BIN2DEC(EB24)-BIN2DEC(EB25)</f>
        <v>20</v>
      </c>
      <c r="EG24" s="87">
        <f>BIN2DEC(EC24)-BIN2DEC(EC25)</f>
        <v>218</v>
      </c>
      <c r="EH24" s="35" t="str">
        <f t="shared" si="89"/>
        <v>0111</v>
      </c>
      <c r="EI24" s="35" t="str">
        <f t="shared" si="90"/>
        <v>0011</v>
      </c>
      <c r="EJ24" s="35" t="str">
        <f t="shared" si="91"/>
        <v>0001</v>
      </c>
      <c r="EK24" s="35" t="str">
        <f t="shared" si="92"/>
        <v>0110</v>
      </c>
      <c r="EL24" s="35" t="str">
        <f t="shared" si="93"/>
        <v>0001</v>
      </c>
      <c r="EM24" s="35" t="str">
        <f t="shared" si="94"/>
        <v>0101</v>
      </c>
      <c r="EN24" s="35" t="str">
        <f t="shared" si="95"/>
        <v>1111</v>
      </c>
      <c r="EO24" s="35" t="str">
        <f t="shared" si="96"/>
        <v>0101</v>
      </c>
      <c r="EP24" s="87">
        <f>BIN2DEC(EH24)-BIN2DEC(EH25)</f>
        <v>4</v>
      </c>
      <c r="EQ24" s="87">
        <f t="shared" ref="EQ24:EV24" si="308">BIN2DEC(EI24)-BIN2DEC(EI25)</f>
        <v>-8</v>
      </c>
      <c r="ER24" s="87">
        <f t="shared" si="308"/>
        <v>-6</v>
      </c>
      <c r="ES24" s="87">
        <f t="shared" si="308"/>
        <v>-4</v>
      </c>
      <c r="ET24" s="87">
        <f t="shared" si="308"/>
        <v>-9</v>
      </c>
      <c r="EU24" s="87">
        <f t="shared" si="308"/>
        <v>4</v>
      </c>
      <c r="EV24" s="87">
        <f t="shared" si="308"/>
        <v>14</v>
      </c>
      <c r="EW24" s="87">
        <f>BIN2DEC(EO24)-BIN2DEC(EO25)</f>
        <v>-10</v>
      </c>
      <c r="EX24" s="34" t="str">
        <f t="shared" si="15"/>
        <v>0111001100010110</v>
      </c>
      <c r="EY24" s="34" t="str">
        <f t="shared" si="16"/>
        <v>0001010111110101</v>
      </c>
      <c r="EZ24" s="87">
        <f>MID(EX24,16,1)*POWER(2,0)+MID(EX24,15,1)*POWER(2,1)+MID(EX24,14,1)*POWER(2,2)+MID(EX24,13,1)*POWER(2,3)+MID(EX24,12,1)*POWER(2,4)+MID(EX24,11,1)*POWER(2,5)+MID(EX24,10,1)*POWER(2,6)+MID(EX24,9,1)*POWER(2,7)+MID(EX24,8,1)*POWER(2,8)+MID(EX24,7,1)*POWER(2,9)+MID(EX24,6,1)*POWER(2,10)+MID(EX24,5,1)*POWER(2,11)+MID(EX24,4,1)*POWER(2,12)+MID(EX24,3,1)*POWER(2,13)+MID(EX24,2,1)*POWER(2,14)+MID(EX24,1,1)*POWER(2,15)-(MID(EX25,16,1)*POWER(2,0)+MID(EX25,15,1)*POWER(2,1)+MID(EX25,14,1)*POWER(2,2)+MID(EX25,13,1)*POWER(2,3)+MID(EX25,12,1)*POWER(2,4)+MID(EX25,11,1)*POWER(2,5)+MID(EX25,10,1)*POWER(2,6)+MID(EX25,9,1)*POWER(2,7)+MID(EX25,8,1)*POWER(2,8)+MID(EX25,7,1)*POWER(2,9)+MID(EX25,6,1)*POWER(2,10)+MID(EX25,5,1)*POWER(2,11)+MID(EX25,4,1)*POWER(2,12)+MID(EX25,3,1)*POWER(2,13)+MID(EX25,2,1)*POWER(2,14)+MID(EX25,1,1)*POWER(2,15))</f>
        <v>22524</v>
      </c>
      <c r="FA24" s="87">
        <f>MID(EY24,16,1)*POWER(2,0)+MID(EY24,15,1)*POWER(2,1)+MID(EY24,14,1)*POWER(2,2)+MID(EY24,13,1)*POWER(2,3)+MID(EY24,12,1)*POWER(2,4)+MID(EY24,11,1)*POWER(2,5)+MID(EY24,10,1)*POWER(2,6)+MID(EY24,9,1)*POWER(2,7)+MID(EY24,8,1)*POWER(2,8)+MID(EY24,7,1)*POWER(2,9)+MID(EY24,6,1)*POWER(2,10)+MID(EY24,5,1)*POWER(2,11)+MID(EY24,4,1)*POWER(2,12)+MID(EY24,3,1)*POWER(2,13)+MID(EY24,2,1)*POWER(2,14)+MID(EY24,1,1)*POWER(2,15)-(MID(EY25,16,1)*POWER(2,0)+MID(EY25,15,1)*POWER(2,1)+MID(EY25,14,1)*POWER(2,2)+MID(EY25,13,1)*POWER(2,3)+MID(EY25,12,1)*POWER(2,4)+MID(EY25,11,1)*POWER(2,5)+MID(EY25,10,1)*POWER(2,6)+MID(EY25,9,1)*POWER(2,7)+MID(EY25,8,1)*POWER(2,8)+MID(EY25,7,1)*POWER(2,9)+MID(EY25,6,1)*POWER(2,10)+MID(EY25,5,1)*POWER(2,11)+MID(EY25,4,1)*POWER(2,12)+MID(EY25,3,1)*POWER(2,13)+MID(EY25,2,1)*POWER(2,14)+MID(EY25,1,1)*POWER(2,15))</f>
        <v>5338</v>
      </c>
      <c r="FB24" s="33" t="str">
        <f>L24</f>
        <v>01110011000101100001010111110101</v>
      </c>
      <c r="FC24" s="34" t="str">
        <f t="shared" si="180"/>
        <v>01110011</v>
      </c>
      <c r="FD24" s="34" t="str">
        <f t="shared" si="97"/>
        <v>00010110</v>
      </c>
      <c r="FE24" s="34" t="str">
        <f t="shared" si="98"/>
        <v>00010101</v>
      </c>
      <c r="FF24" s="34" t="str">
        <f t="shared" si="99"/>
        <v>11110101</v>
      </c>
      <c r="FG24" s="87">
        <f>BIN2DEC(FC24)-BIN2DEC(FC25)</f>
        <v>112</v>
      </c>
      <c r="FH24" s="87">
        <f>BIN2DEC(FD24)-BIN2DEC(FD25)</f>
        <v>20</v>
      </c>
      <c r="FI24" s="87">
        <f>BIN2DEC(FE24)-BIN2DEC(FE25)</f>
        <v>20</v>
      </c>
      <c r="FJ24" s="87">
        <f>BIN2DEC(FF24)-BIN2DEC(FF25)</f>
        <v>242</v>
      </c>
      <c r="FK24" s="35" t="str">
        <f t="shared" si="100"/>
        <v>0111</v>
      </c>
      <c r="FL24" s="35" t="str">
        <f t="shared" si="101"/>
        <v>0011</v>
      </c>
      <c r="FM24" s="35" t="str">
        <f t="shared" si="102"/>
        <v>0001</v>
      </c>
      <c r="FN24" s="35" t="str">
        <f t="shared" si="103"/>
        <v>0110</v>
      </c>
      <c r="FO24" s="35" t="str">
        <f t="shared" si="104"/>
        <v>0001</v>
      </c>
      <c r="FP24" s="35" t="str">
        <f t="shared" si="105"/>
        <v>0101</v>
      </c>
      <c r="FQ24" s="35" t="str">
        <f t="shared" si="106"/>
        <v>1111</v>
      </c>
      <c r="FR24" s="35" t="str">
        <f t="shared" si="107"/>
        <v>0101</v>
      </c>
      <c r="FS24" s="87">
        <f>BIN2DEC(FK24)-BIN2DEC(FK25)</f>
        <v>4</v>
      </c>
      <c r="FT24" s="87">
        <f t="shared" ref="FT24:FY24" si="309">BIN2DEC(FL24)-BIN2DEC(FL25)</f>
        <v>-8</v>
      </c>
      <c r="FU24" s="87">
        <f t="shared" si="309"/>
        <v>-6</v>
      </c>
      <c r="FV24" s="87">
        <f t="shared" si="309"/>
        <v>-4</v>
      </c>
      <c r="FW24" s="87">
        <f t="shared" si="309"/>
        <v>-9</v>
      </c>
      <c r="FX24" s="87">
        <f t="shared" si="309"/>
        <v>4</v>
      </c>
      <c r="FY24" s="87">
        <f t="shared" si="309"/>
        <v>14</v>
      </c>
      <c r="FZ24" s="87">
        <f>BIN2DEC(FR24)-BIN2DEC(FR25)</f>
        <v>-10</v>
      </c>
      <c r="GA24" s="34" t="str">
        <f t="shared" si="18"/>
        <v>0111001100010110</v>
      </c>
      <c r="GB24" s="34" t="str">
        <f t="shared" si="19"/>
        <v>0001010111110101</v>
      </c>
      <c r="GC24" s="87">
        <f>MID(GA24,16,1)*POWER(2,0)+MID(GA24,15,1)*POWER(2,1)+MID(GA24,14,1)*POWER(2,2)+MID(GA24,13,1)*POWER(2,3)+MID(GA24,12,1)*POWER(2,4)+MID(GA24,11,1)*POWER(2,5)+MID(GA24,10,1)*POWER(2,6)+MID(GA24,9,1)*POWER(2,7)+MID(GA24,8,1)*POWER(2,8)+MID(GA24,7,1)*POWER(2,9)+MID(GA24,6,1)*POWER(2,10)+MID(GA24,5,1)*POWER(2,11)+MID(GA24,4,1)*POWER(2,12)+MID(GA24,3,1)*POWER(2,13)+MID(GA24,2,1)*POWER(2,14)+MID(GA24,1,1)*POWER(2,15)-(MID(GA25,16,1)*POWER(2,0)+MID(GA25,15,1)*POWER(2,1)+MID(GA25,14,1)*POWER(2,2)+MID(GA25,13,1)*POWER(2,3)+MID(GA25,12,1)*POWER(2,4)+MID(GA25,11,1)*POWER(2,5)+MID(GA25,10,1)*POWER(2,6)+MID(GA25,9,1)*POWER(2,7)+MID(GA25,8,1)*POWER(2,8)+MID(GA25,7,1)*POWER(2,9)+MID(GA25,6,1)*POWER(2,10)+MID(GA25,5,1)*POWER(2,11)+MID(GA25,4,1)*POWER(2,12)+MID(GA25,3,1)*POWER(2,13)+MID(GA25,2,1)*POWER(2,14)+MID(GA25,1,1)*POWER(2,15))</f>
        <v>28692</v>
      </c>
      <c r="GD24" s="87">
        <f>MID(GB24,16,1)*POWER(2,0)+MID(GB24,15,1)*POWER(2,1)+MID(GB24,14,1)*POWER(2,2)+MID(GB24,13,1)*POWER(2,3)+MID(GB24,12,1)*POWER(2,4)+MID(GB24,11,1)*POWER(2,5)+MID(GB24,10,1)*POWER(2,6)+MID(GB24,9,1)*POWER(2,7)+MID(GB24,8,1)*POWER(2,8)+MID(GB24,7,1)*POWER(2,9)+MID(GB24,6,1)*POWER(2,10)+MID(GB24,5,1)*POWER(2,11)+MID(GB24,4,1)*POWER(2,12)+MID(GB24,3,1)*POWER(2,13)+MID(GB24,2,1)*POWER(2,14)+MID(GB24,1,1)*POWER(2,15)-(MID(GB25,16,1)*POWER(2,0)+MID(GB25,15,1)*POWER(2,1)+MID(GB25,14,1)*POWER(2,2)+MID(GB25,13,1)*POWER(2,3)+MID(GB25,12,1)*POWER(2,4)+MID(GB25,11,1)*POWER(2,5)+MID(GB25,10,1)*POWER(2,6)+MID(GB25,9,1)*POWER(2,7)+MID(GB25,8,1)*POWER(2,8)+MID(GB25,7,1)*POWER(2,9)+MID(GB25,6,1)*POWER(2,10)+MID(GB25,5,1)*POWER(2,11)+MID(GB25,4,1)*POWER(2,12)+MID(GB25,3,1)*POWER(2,13)+MID(GB25,2,1)*POWER(2,14)+MID(GB25,1,1)*POWER(2,15))</f>
        <v>5362</v>
      </c>
      <c r="GE24" s="35" t="str">
        <f>CU24</f>
        <v>01100011000000100000000101100001</v>
      </c>
      <c r="GF24" s="34" t="str">
        <f t="shared" si="182"/>
        <v>01100011</v>
      </c>
      <c r="GG24" s="34" t="str">
        <f t="shared" si="108"/>
        <v>00000010</v>
      </c>
      <c r="GH24" s="34" t="str">
        <f t="shared" si="109"/>
        <v>00000001</v>
      </c>
      <c r="GI24" s="34" t="str">
        <f t="shared" si="110"/>
        <v>01100001</v>
      </c>
      <c r="GJ24" s="87">
        <f>BIN2DEC(GF24)-BIN2DEC(GF25)</f>
        <v>72</v>
      </c>
      <c r="GK24" s="87">
        <f>BIN2DEC(GG24)-BIN2DEC(GG25)</f>
        <v>-24</v>
      </c>
      <c r="GL24" s="87">
        <f>BIN2DEC(GH24)-BIN2DEC(GH25)</f>
        <v>0</v>
      </c>
      <c r="GM24" s="87">
        <f>BIN2DEC(GI24)-BIN2DEC(GI25)</f>
        <v>70</v>
      </c>
      <c r="GN24" s="35" t="str">
        <f t="shared" si="111"/>
        <v>0111</v>
      </c>
      <c r="GO24" s="35" t="str">
        <f t="shared" si="112"/>
        <v>0011</v>
      </c>
      <c r="GP24" s="35" t="str">
        <f t="shared" si="113"/>
        <v>0001</v>
      </c>
      <c r="GQ24" s="35" t="str">
        <f t="shared" si="114"/>
        <v>0110</v>
      </c>
      <c r="GR24" s="35" t="str">
        <f t="shared" si="115"/>
        <v>0001</v>
      </c>
      <c r="GS24" s="35" t="str">
        <f t="shared" si="116"/>
        <v>0101</v>
      </c>
      <c r="GT24" s="35" t="str">
        <f t="shared" si="117"/>
        <v>1111</v>
      </c>
      <c r="GU24" s="35" t="str">
        <f t="shared" si="118"/>
        <v>0101</v>
      </c>
      <c r="GV24" s="87">
        <f>BIN2DEC(GN24)-BIN2DEC(GN25)</f>
        <v>4</v>
      </c>
      <c r="GW24" s="87">
        <f t="shared" ref="GW24:HB24" si="310">BIN2DEC(GO24)-BIN2DEC(GO25)</f>
        <v>-8</v>
      </c>
      <c r="GX24" s="87">
        <f t="shared" si="310"/>
        <v>-6</v>
      </c>
      <c r="GY24" s="87">
        <f t="shared" si="310"/>
        <v>-4</v>
      </c>
      <c r="GZ24" s="87">
        <f t="shared" si="310"/>
        <v>-9</v>
      </c>
      <c r="HA24" s="87">
        <f t="shared" si="310"/>
        <v>4</v>
      </c>
      <c r="HB24" s="87">
        <f t="shared" si="310"/>
        <v>14</v>
      </c>
      <c r="HC24" s="87">
        <f>BIN2DEC(GU24)-BIN2DEC(GU25)</f>
        <v>-10</v>
      </c>
      <c r="HD24" s="34" t="str">
        <f t="shared" si="21"/>
        <v>0110001100000010</v>
      </c>
      <c r="HE24" s="34" t="str">
        <f t="shared" si="22"/>
        <v>0000000101100001</v>
      </c>
      <c r="HF24" s="87">
        <f>MID(HD24,16,1)*POWER(2,0)+MID(HD24,15,1)*POWER(2,1)+MID(HD24,14,1)*POWER(2,2)+MID(HD24,13,1)*POWER(2,3)+MID(HD24,12,1)*POWER(2,4)+MID(HD24,11,1)*POWER(2,5)+MID(HD24,10,1)*POWER(2,6)+MID(HD24,9,1)*POWER(2,7)+MID(HD24,8,1)*POWER(2,8)+MID(HD24,7,1)*POWER(2,9)+MID(HD24,6,1)*POWER(2,10)+MID(HD24,5,1)*POWER(2,11)+MID(HD24,4,1)*POWER(2,12)+MID(HD24,3,1)*POWER(2,13)+MID(HD24,2,1)*POWER(2,14)+MID(HD24,1,1)*POWER(2,15)-(MID(HD25,16,1)*POWER(2,0)+MID(HD25,15,1)*POWER(2,1)+MID(HD25,14,1)*POWER(2,2)+MID(HD25,13,1)*POWER(2,3)+MID(HD25,12,1)*POWER(2,4)+MID(HD25,11,1)*POWER(2,5)+MID(HD25,10,1)*POWER(2,6)+MID(HD25,9,1)*POWER(2,7)+MID(HD25,8,1)*POWER(2,8)+MID(HD25,7,1)*POWER(2,9)+MID(HD25,6,1)*POWER(2,10)+MID(HD25,5,1)*POWER(2,11)+MID(HD25,4,1)*POWER(2,12)+MID(HD25,3,1)*POWER(2,13)+MID(HD25,2,1)*POWER(2,14)+MID(HD25,1,1)*POWER(2,15))</f>
        <v>18408</v>
      </c>
      <c r="HG24" s="87">
        <f>MID(HE24,16,1)*POWER(2,0)+MID(HE24,15,1)*POWER(2,1)+MID(HE24,14,1)*POWER(2,2)+MID(HE24,13,1)*POWER(2,3)+MID(HE24,12,1)*POWER(2,4)+MID(HE24,11,1)*POWER(2,5)+MID(HE24,10,1)*POWER(2,6)+MID(HE24,9,1)*POWER(2,7)+MID(HE24,8,1)*POWER(2,8)+MID(HE24,7,1)*POWER(2,9)+MID(HE24,6,1)*POWER(2,10)+MID(HE24,5,1)*POWER(2,11)+MID(HE24,4,1)*POWER(2,12)+MID(HE24,3,1)*POWER(2,13)+MID(HE24,2,1)*POWER(2,14)+MID(HE24,1,1)*POWER(2,15)-(MID(HE25,16,1)*POWER(2,0)+MID(HE25,15,1)*POWER(2,1)+MID(HE25,14,1)*POWER(2,2)+MID(HE25,13,1)*POWER(2,3)+MID(HE25,12,1)*POWER(2,4)+MID(HE25,11,1)*POWER(2,5)+MID(HE25,10,1)*POWER(2,6)+MID(HE25,9,1)*POWER(2,7)+MID(HE25,8,1)*POWER(2,8)+MID(HE25,7,1)*POWER(2,9)+MID(HE25,6,1)*POWER(2,10)+MID(HE25,5,1)*POWER(2,11)+MID(HE25,4,1)*POWER(2,12)+MID(HE25,3,1)*POWER(2,13)+MID(HE25,2,1)*POWER(2,14)+MID(HE25,1,1)*POWER(2,15))</f>
        <v>70</v>
      </c>
      <c r="HH24" s="34" t="str">
        <f>CONCATENATE(MID(DX24,17,16),MID(DX24,1,16))</f>
        <v>01100011000000100000000101100001</v>
      </c>
      <c r="HI24" s="34" t="str">
        <f t="shared" si="184"/>
        <v>01100011</v>
      </c>
      <c r="HJ24" s="34" t="str">
        <f t="shared" si="119"/>
        <v>00000010</v>
      </c>
      <c r="HK24" s="34" t="str">
        <f t="shared" si="120"/>
        <v>00000001</v>
      </c>
      <c r="HL24" s="34" t="str">
        <f t="shared" si="121"/>
        <v>01100001</v>
      </c>
      <c r="HM24" s="87">
        <f>BIN2DEC(HI24)-BIN2DEC(HI25)</f>
        <v>96</v>
      </c>
      <c r="HN24" s="87">
        <f>BIN2DEC(HJ24)-BIN2DEC(HJ25)</f>
        <v>0</v>
      </c>
      <c r="HO24" s="87">
        <f>BIN2DEC(HK24)-BIN2DEC(HK25)</f>
        <v>0</v>
      </c>
      <c r="HP24" s="87">
        <f>BIN2DEC(HL24)-BIN2DEC(HL25)</f>
        <v>94</v>
      </c>
      <c r="HQ24" s="35" t="str">
        <f t="shared" si="122"/>
        <v>0111</v>
      </c>
      <c r="HR24" s="35" t="str">
        <f t="shared" si="123"/>
        <v>0011</v>
      </c>
      <c r="HS24" s="35" t="str">
        <f t="shared" si="124"/>
        <v>0001</v>
      </c>
      <c r="HT24" s="35" t="str">
        <f t="shared" si="125"/>
        <v>0110</v>
      </c>
      <c r="HU24" s="35" t="str">
        <f t="shared" si="126"/>
        <v>0001</v>
      </c>
      <c r="HV24" s="35" t="str">
        <f t="shared" si="127"/>
        <v>0101</v>
      </c>
      <c r="HW24" s="35" t="str">
        <f t="shared" si="128"/>
        <v>1111</v>
      </c>
      <c r="HX24" s="35" t="str">
        <f t="shared" si="129"/>
        <v>0101</v>
      </c>
      <c r="HY24" s="87">
        <f>BIN2DEC(HQ24)-BIN2DEC(HQ25)</f>
        <v>4</v>
      </c>
      <c r="HZ24" s="87">
        <f t="shared" ref="HZ24:IE24" si="311">BIN2DEC(HR24)-BIN2DEC(HR25)</f>
        <v>-8</v>
      </c>
      <c r="IA24" s="87">
        <f t="shared" si="311"/>
        <v>-6</v>
      </c>
      <c r="IB24" s="87">
        <f t="shared" si="311"/>
        <v>-4</v>
      </c>
      <c r="IC24" s="87">
        <f t="shared" si="311"/>
        <v>-9</v>
      </c>
      <c r="ID24" s="87">
        <f t="shared" si="311"/>
        <v>4</v>
      </c>
      <c r="IE24" s="87">
        <f t="shared" si="311"/>
        <v>14</v>
      </c>
      <c r="IF24" s="87">
        <f>BIN2DEC(HX24)-BIN2DEC(HX25)</f>
        <v>-10</v>
      </c>
      <c r="IG24" s="34" t="str">
        <f t="shared" si="24"/>
        <v>0110001100000010</v>
      </c>
      <c r="IH24" s="34" t="str">
        <f t="shared" si="25"/>
        <v>0000000101100001</v>
      </c>
      <c r="II24" s="87">
        <f>MID(IG24,16,1)*POWER(2,0)+MID(IG24,15,1)*POWER(2,1)+MID(IG24,14,1)*POWER(2,2)+MID(IG24,13,1)*POWER(2,3)+MID(IG24,12,1)*POWER(2,4)+MID(IG24,11,1)*POWER(2,5)+MID(IG24,10,1)*POWER(2,6)+MID(IG24,9,1)*POWER(2,7)+MID(IG24,8,1)*POWER(2,8)+MID(IG24,7,1)*POWER(2,9)+MID(IG24,6,1)*POWER(2,10)+MID(IG24,5,1)*POWER(2,11)+MID(IG24,4,1)*POWER(2,12)+MID(IG24,3,1)*POWER(2,13)+MID(IG24,2,1)*POWER(2,14)+MID(IG24,1,1)*POWER(2,15)-(MID(IG25,16,1)*POWER(2,0)+MID(IG25,15,1)*POWER(2,1)+MID(IG25,14,1)*POWER(2,2)+MID(IG25,13,1)*POWER(2,3)+MID(IG25,12,1)*POWER(2,4)+MID(IG25,11,1)*POWER(2,5)+MID(IG25,10,1)*POWER(2,6)+MID(IG25,9,1)*POWER(2,7)+MID(IG25,8,1)*POWER(2,8)+MID(IG25,7,1)*POWER(2,9)+MID(IG25,6,1)*POWER(2,10)+MID(IG25,5,1)*POWER(2,11)+MID(IG25,4,1)*POWER(2,12)+MID(IG25,3,1)*POWER(2,13)+MID(IG25,2,1)*POWER(2,14)+MID(IG25,1,1)*POWER(2,15))</f>
        <v>24576</v>
      </c>
      <c r="IJ24" s="87">
        <f>MID(IH24,16,1)*POWER(2,0)+MID(IH24,15,1)*POWER(2,1)+MID(IH24,14,1)*POWER(2,2)+MID(IH24,13,1)*POWER(2,3)+MID(IH24,12,1)*POWER(2,4)+MID(IH24,11,1)*POWER(2,5)+MID(IH24,10,1)*POWER(2,6)+MID(IH24,9,1)*POWER(2,7)+MID(IH24,8,1)*POWER(2,8)+MID(IH24,7,1)*POWER(2,9)+MID(IH24,6,1)*POWER(2,10)+MID(IH24,5,1)*POWER(2,11)+MID(IH24,4,1)*POWER(2,12)+MID(IH24,3,1)*POWER(2,13)+MID(IH24,2,1)*POWER(2,14)+MID(IH24,1,1)*POWER(2,15)-(MID(IH25,16,1)*POWER(2,0)+MID(IH25,15,1)*POWER(2,1)+MID(IH25,14,1)*POWER(2,2)+MID(IH25,13,1)*POWER(2,3)+MID(IH25,12,1)*POWER(2,4)+MID(IH25,11,1)*POWER(2,5)+MID(IH25,10,1)*POWER(2,6)+MID(IH25,9,1)*POWER(2,7)+MID(IH25,8,1)*POWER(2,8)+MID(IH25,7,1)*POWER(2,9)+MID(IH25,6,1)*POWER(2,10)+MID(IH25,5,1)*POWER(2,11)+MID(IH25,4,1)*POWER(2,12)+MID(IH25,3,1)*POWER(2,13)+MID(IH25,2,1)*POWER(2,14)+MID(IH25,1,1)*POWER(2,15))</f>
        <v>94</v>
      </c>
      <c r="IK24" s="34" t="str">
        <f>HH24</f>
        <v>01100011000000100000000101100001</v>
      </c>
      <c r="IL24" s="34" t="str">
        <f t="shared" si="186"/>
        <v>01100011</v>
      </c>
      <c r="IM24" s="34" t="str">
        <f t="shared" si="130"/>
        <v>00000010</v>
      </c>
      <c r="IN24" s="34" t="str">
        <f t="shared" si="131"/>
        <v>00000001</v>
      </c>
      <c r="IO24" s="34" t="str">
        <f t="shared" si="132"/>
        <v>01100001</v>
      </c>
      <c r="IP24" s="87">
        <f>BIN2DEC(IL24)-BIN2DEC(IL25)</f>
        <v>40</v>
      </c>
      <c r="IQ24" s="87">
        <f>BIN2DEC(IM24)-BIN2DEC(IM25)</f>
        <v>-120</v>
      </c>
      <c r="IR24" s="87">
        <f>BIN2DEC(IN24)-BIN2DEC(IN25)</f>
        <v>-160</v>
      </c>
      <c r="IS24" s="87">
        <f>BIN2DEC(IO24)-BIN2DEC(IO25)</f>
        <v>66</v>
      </c>
      <c r="IT24" s="35" t="str">
        <f t="shared" si="133"/>
        <v>0111</v>
      </c>
      <c r="IU24" s="35" t="str">
        <f t="shared" si="134"/>
        <v>0011</v>
      </c>
      <c r="IV24" s="35" t="str">
        <f t="shared" si="135"/>
        <v>0001</v>
      </c>
      <c r="IW24" s="35" t="str">
        <f t="shared" si="136"/>
        <v>0110</v>
      </c>
      <c r="IX24" s="35" t="str">
        <f t="shared" si="137"/>
        <v>0001</v>
      </c>
      <c r="IY24" s="35" t="str">
        <f t="shared" si="138"/>
        <v>0101</v>
      </c>
      <c r="IZ24" s="35" t="str">
        <f t="shared" si="139"/>
        <v>1111</v>
      </c>
      <c r="JA24" s="35" t="str">
        <f t="shared" si="140"/>
        <v>0101</v>
      </c>
      <c r="JB24" s="87">
        <f t="shared" ref="JB24:JI24" si="312">BIN2DEC(IT24)-BIN2DEC(IT25)</f>
        <v>4</v>
      </c>
      <c r="JC24" s="87">
        <f t="shared" si="312"/>
        <v>-8</v>
      </c>
      <c r="JD24" s="87">
        <f t="shared" si="312"/>
        <v>-6</v>
      </c>
      <c r="JE24" s="87">
        <f t="shared" si="312"/>
        <v>-4</v>
      </c>
      <c r="JF24" s="87">
        <f t="shared" si="312"/>
        <v>-9</v>
      </c>
      <c r="JG24" s="87">
        <f t="shared" si="312"/>
        <v>4</v>
      </c>
      <c r="JH24" s="87">
        <f t="shared" si="312"/>
        <v>14</v>
      </c>
      <c r="JI24" s="87">
        <f t="shared" si="312"/>
        <v>-10</v>
      </c>
      <c r="JJ24" s="34" t="str">
        <f t="shared" si="27"/>
        <v>0110001100000010</v>
      </c>
      <c r="JK24" s="34" t="str">
        <f t="shared" si="28"/>
        <v>0000000101100001</v>
      </c>
      <c r="JL24" s="87">
        <f>MID(JJ24,16,1)*POWER(2,0)+MID(JJ24,15,1)*POWER(2,1)+MID(JJ24,14,1)*POWER(2,2)+MID(JJ24,13,1)*POWER(2,3)+MID(JJ24,12,1)*POWER(2,4)+MID(JJ24,11,1)*POWER(2,5)+MID(JJ24,10,1)*POWER(2,6)+MID(JJ24,9,1)*POWER(2,7)+MID(JJ24,8,1)*POWER(2,8)+MID(JJ24,7,1)*POWER(2,9)+MID(JJ24,6,1)*POWER(2,10)+MID(JJ24,5,1)*POWER(2,11)+MID(JJ24,4,1)*POWER(2,12)+MID(JJ24,3,1)*POWER(2,13)+MID(JJ24,2,1)*POWER(2,14)+MID(JJ24,1,1)*POWER(2,15)-(MID(JJ25,16,1)*POWER(2,0)+MID(JJ25,15,1)*POWER(2,1)+MID(JJ25,14,1)*POWER(2,2)+MID(JJ25,13,1)*POWER(2,3)+MID(JJ25,12,1)*POWER(2,4)+MID(JJ25,11,1)*POWER(2,5)+MID(JJ25,10,1)*POWER(2,6)+MID(JJ25,9,1)*POWER(2,7)+MID(JJ25,8,1)*POWER(2,8)+MID(JJ25,7,1)*POWER(2,9)+MID(JJ25,6,1)*POWER(2,10)+MID(JJ25,5,1)*POWER(2,11)+MID(JJ25,4,1)*POWER(2,12)+MID(JJ25,3,1)*POWER(2,13)+MID(JJ25,2,1)*POWER(2,14)+MID(JJ25,1,1)*POWER(2,15))</f>
        <v>10120</v>
      </c>
      <c r="JM24" s="87">
        <f>MID(JK24,16,1)*POWER(2,0)+MID(JK24,15,1)*POWER(2,1)+MID(JK24,14,1)*POWER(2,2)+MID(JK24,13,1)*POWER(2,3)+MID(JK24,12,1)*POWER(2,4)+MID(JK24,11,1)*POWER(2,5)+MID(JK24,10,1)*POWER(2,6)+MID(JK24,9,1)*POWER(2,7)+MID(JK24,8,1)*POWER(2,8)+MID(JK24,7,1)*POWER(2,9)+MID(JK24,6,1)*POWER(2,10)+MID(JK24,5,1)*POWER(2,11)+MID(JK24,4,1)*POWER(2,12)+MID(JK24,3,1)*POWER(2,13)+MID(JK24,2,1)*POWER(2,14)+MID(JK24,1,1)*POWER(2,15)-(MID(JK25,16,1)*POWER(2,0)+MID(JK25,15,1)*POWER(2,1)+MID(JK25,14,1)*POWER(2,2)+MID(JK25,13,1)*POWER(2,3)+MID(JK25,12,1)*POWER(2,4)+MID(JK25,11,1)*POWER(2,5)+MID(JK25,10,1)*POWER(2,6)+MID(JK25,9,1)*POWER(2,7)+MID(JK25,8,1)*POWER(2,8)+MID(JK25,7,1)*POWER(2,9)+MID(JK25,6,1)*POWER(2,10)+MID(JK25,5,1)*POWER(2,11)+MID(JK25,4,1)*POWER(2,12)+MID(JK25,3,1)*POWER(2,13)+MID(JK25,2,1)*POWER(2,14)+MID(JK25,1,1)*POWER(2,15))</f>
        <v>-40894</v>
      </c>
      <c r="JN24" s="33" t="str">
        <f>CONCATENATE(MID(IK24,1,1)*MID($K24,1,1),MID(IK24,2,1)*MID($K24,2,1),MID(IK24,3,1)*MID($K24,3,1),MID(IK24,4,1)*MID($K24,4,1),MID(IK24,5,1)*MID($K24,5,1),MID(IK24,6,1)*MID($K24,6,1),MID(IK24,7,1)*MID($K24,7,1),MID(IK24,8,1)*MID($K24,8,1),MID(IK24,9,1)*MID($K24,1,1),MID(IK24,10,1)*MID($K24,2,1),MID(IK24,11,1)*MID($K24,3,1),MID(IK24,12,1)*MID($K24,4,1),MID(IK24,13,1)*MID($K24,5,1),MID(IK24,14,1)*MID($K24,6,1),MID(IK24,15,1)*MID($K24,7,1),MID(IK24,16,1)*MID($K24,8,1),MID(IK24,17,1)*MID($K24,1,1),MID(IK24,18,1)*MID($K24,2,1),MID(IK24,19,1)*MID($K24,3,1),MID(IK24,20,1)*MID($K24,4,1),MID(IK24,21,1)*MID($K24,5,1),MID(IK24,22,1)*MID($K24,6,1),MID(IK24,23,1)*MID($K24,7,1),MID(IK24,24,1)*MID($K24,8,1),MID(IK24,25,1)*MID($K24,1,1),MID(IK24,26,1)*MID($K24,2,1),MID(IK24,27,1)*MID($K24,3,1),MID(IK24,28,1)*MID($K24,4,1),MID(IK24,29,1)*MID($K24,5,1),MID(IK24,30,1)*MID($K24,6,1),MID(IK24,31,1)*MID($K24,7,1),MID(IK24,32,1)*MID($K24,8,1))</f>
        <v>01100011000000100000000101100001</v>
      </c>
      <c r="JO24" s="34" t="str">
        <f t="shared" si="188"/>
        <v>01100011</v>
      </c>
      <c r="JP24" s="34" t="str">
        <f t="shared" si="141"/>
        <v>00000010</v>
      </c>
      <c r="JQ24" s="34" t="str">
        <f t="shared" si="142"/>
        <v>00000001</v>
      </c>
      <c r="JR24" s="34" t="str">
        <f t="shared" si="143"/>
        <v>01100001</v>
      </c>
      <c r="JS24" s="87">
        <f>BIN2DEC(JO24)-BIN2DEC(JO25)</f>
        <v>40</v>
      </c>
      <c r="JT24" s="87">
        <f>BIN2DEC(JP24)-BIN2DEC(JP25)</f>
        <v>-120</v>
      </c>
      <c r="JU24" s="87">
        <f>BIN2DEC(JQ24)-BIN2DEC(JQ25)</f>
        <v>-160</v>
      </c>
      <c r="JV24" s="87">
        <f>BIN2DEC(JR24)-BIN2DEC(JR25)</f>
        <v>66</v>
      </c>
      <c r="JW24" s="35" t="str">
        <f t="shared" si="144"/>
        <v>0111</v>
      </c>
      <c r="JX24" s="35" t="str">
        <f t="shared" si="145"/>
        <v>0011</v>
      </c>
      <c r="JY24" s="35" t="str">
        <f t="shared" si="146"/>
        <v>0001</v>
      </c>
      <c r="JZ24" s="35" t="str">
        <f t="shared" si="147"/>
        <v>0110</v>
      </c>
      <c r="KA24" s="35" t="str">
        <f t="shared" si="148"/>
        <v>0001</v>
      </c>
      <c r="KB24" s="35" t="str">
        <f t="shared" si="149"/>
        <v>0101</v>
      </c>
      <c r="KC24" s="35" t="str">
        <f t="shared" si="150"/>
        <v>1111</v>
      </c>
      <c r="KD24" s="35" t="str">
        <f t="shared" si="151"/>
        <v>0101</v>
      </c>
      <c r="KE24" s="87">
        <f t="shared" ref="KE24:KL24" si="313">BIN2DEC(JW24)-BIN2DEC(JW25)</f>
        <v>4</v>
      </c>
      <c r="KF24" s="87">
        <f t="shared" si="313"/>
        <v>-8</v>
      </c>
      <c r="KG24" s="87">
        <f t="shared" si="313"/>
        <v>-6</v>
      </c>
      <c r="KH24" s="87">
        <f t="shared" si="313"/>
        <v>-4</v>
      </c>
      <c r="KI24" s="87">
        <f t="shared" si="313"/>
        <v>-9</v>
      </c>
      <c r="KJ24" s="87">
        <f t="shared" si="313"/>
        <v>4</v>
      </c>
      <c r="KK24" s="87">
        <f t="shared" si="313"/>
        <v>14</v>
      </c>
      <c r="KL24" s="87">
        <f t="shared" si="313"/>
        <v>-10</v>
      </c>
      <c r="KM24" s="34" t="str">
        <f t="shared" si="30"/>
        <v>0110001100000010</v>
      </c>
      <c r="KN24" s="34" t="str">
        <f t="shared" si="31"/>
        <v>0000000101100001</v>
      </c>
      <c r="KO24" s="87">
        <f>MID(KM24,16,1)*POWER(2,0)+MID(KM24,15,1)*POWER(2,1)+MID(KM24,14,1)*POWER(2,2)+MID(KM24,13,1)*POWER(2,3)+MID(KM24,12,1)*POWER(2,4)+MID(KM24,11,1)*POWER(2,5)+MID(KM24,10,1)*POWER(2,6)+MID(KM24,9,1)*POWER(2,7)+MID(KM24,8,1)*POWER(2,8)+MID(KM24,7,1)*POWER(2,9)+MID(KM24,6,1)*POWER(2,10)+MID(KM24,5,1)*POWER(2,11)+MID(KM24,4,1)*POWER(2,12)+MID(KM24,3,1)*POWER(2,13)+MID(KM24,2,1)*POWER(2,14)+MID(KM24,1,1)*POWER(2,15)-(MID(KM25,16,1)*POWER(2,0)+MID(KM25,15,1)*POWER(2,1)+MID(KM25,14,1)*POWER(2,2)+MID(KM25,13,1)*POWER(2,3)+MID(KM25,12,1)*POWER(2,4)+MID(KM25,11,1)*POWER(2,5)+MID(KM25,10,1)*POWER(2,6)+MID(KM25,9,1)*POWER(2,7)+MID(KM25,8,1)*POWER(2,8)+MID(KM25,7,1)*POWER(2,9)+MID(KM25,6,1)*POWER(2,10)+MID(KM25,5,1)*POWER(2,11)+MID(KM25,4,1)*POWER(2,12)+MID(KM25,3,1)*POWER(2,13)+MID(KM25,2,1)*POWER(2,14)+MID(KM25,1,1)*POWER(2,15))</f>
        <v>10120</v>
      </c>
      <c r="KP24" s="87">
        <f>MID(KN24,16,1)*POWER(2,0)+MID(KN24,15,1)*POWER(2,1)+MID(KN24,14,1)*POWER(2,2)+MID(KN24,13,1)*POWER(2,3)+MID(KN24,12,1)*POWER(2,4)+MID(KN24,11,1)*POWER(2,5)+MID(KN24,10,1)*POWER(2,6)+MID(KN24,9,1)*POWER(2,7)+MID(KN24,8,1)*POWER(2,8)+MID(KN24,7,1)*POWER(2,9)+MID(KN24,6,1)*POWER(2,10)+MID(KN24,5,1)*POWER(2,11)+MID(KN24,4,1)*POWER(2,12)+MID(KN24,3,1)*POWER(2,13)+MID(KN24,2,1)*POWER(2,14)+MID(KN24,1,1)*POWER(2,15)-(MID(KN25,16,1)*POWER(2,0)+MID(KN25,15,1)*POWER(2,1)+MID(KN25,14,1)*POWER(2,2)+MID(KN25,13,1)*POWER(2,3)+MID(KN25,12,1)*POWER(2,4)+MID(KN25,11,1)*POWER(2,5)+MID(KN25,10,1)*POWER(2,6)+MID(KN25,9,1)*POWER(2,7)+MID(KN25,8,1)*POWER(2,8)+MID(KN25,7,1)*POWER(2,9)+MID(KN25,6,1)*POWER(2,10)+MID(KN25,5,1)*POWER(2,11)+MID(KN25,4,1)*POWER(2,12)+MID(KN25,3,1)*POWER(2,13)+MID(KN25,2,1)*POWER(2,14)+MID(KN25,1,1)*POWER(2,15))</f>
        <v>-40894</v>
      </c>
      <c r="KQ24" s="35" t="str">
        <f>IK24</f>
        <v>01100011000000100000000101100001</v>
      </c>
      <c r="KR24" s="34" t="str">
        <f t="shared" si="190"/>
        <v>01100011</v>
      </c>
      <c r="KS24" s="34" t="str">
        <f t="shared" si="152"/>
        <v>00000010</v>
      </c>
      <c r="KT24" s="34" t="str">
        <f t="shared" si="153"/>
        <v>00000001</v>
      </c>
      <c r="KU24" s="34" t="str">
        <f t="shared" si="154"/>
        <v>01100001</v>
      </c>
      <c r="KV24" s="87">
        <f>BIN2DEC(KR24)-BIN2DEC(KR25)</f>
        <v>64</v>
      </c>
      <c r="KW24" s="87">
        <f>BIN2DEC(KS24)-BIN2DEC(KS25)</f>
        <v>-96</v>
      </c>
      <c r="KX24" s="87">
        <f>BIN2DEC(KT24)-BIN2DEC(KT25)</f>
        <v>-32</v>
      </c>
      <c r="KY24" s="87">
        <f>BIN2DEC(KU24)-BIN2DEC(KU25)</f>
        <v>94</v>
      </c>
      <c r="KZ24" s="35" t="str">
        <f t="shared" si="155"/>
        <v>0111</v>
      </c>
      <c r="LA24" s="35" t="str">
        <f t="shared" si="156"/>
        <v>0011</v>
      </c>
      <c r="LB24" s="35" t="str">
        <f t="shared" si="157"/>
        <v>0001</v>
      </c>
      <c r="LC24" s="35" t="str">
        <f t="shared" si="158"/>
        <v>0110</v>
      </c>
      <c r="LD24" s="35" t="str">
        <f t="shared" si="159"/>
        <v>0001</v>
      </c>
      <c r="LE24" s="35" t="str">
        <f t="shared" si="160"/>
        <v>0101</v>
      </c>
      <c r="LF24" s="35" t="str">
        <f t="shared" si="161"/>
        <v>1111</v>
      </c>
      <c r="LG24" s="35" t="str">
        <f t="shared" si="162"/>
        <v>0101</v>
      </c>
      <c r="LH24" s="87">
        <f t="shared" ref="LH24:LO24" si="314">BIN2DEC(KZ24)-BIN2DEC(KZ25)</f>
        <v>4</v>
      </c>
      <c r="LI24" s="87">
        <f t="shared" si="314"/>
        <v>-8</v>
      </c>
      <c r="LJ24" s="87">
        <f t="shared" si="314"/>
        <v>-6</v>
      </c>
      <c r="LK24" s="87">
        <f t="shared" si="314"/>
        <v>-4</v>
      </c>
      <c r="LL24" s="87">
        <f t="shared" si="314"/>
        <v>-9</v>
      </c>
      <c r="LM24" s="87">
        <f t="shared" si="314"/>
        <v>4</v>
      </c>
      <c r="LN24" s="87">
        <f t="shared" si="314"/>
        <v>14</v>
      </c>
      <c r="LO24" s="87">
        <f t="shared" si="314"/>
        <v>-10</v>
      </c>
      <c r="LP24" s="34" t="str">
        <f t="shared" si="33"/>
        <v>0110001100000010</v>
      </c>
      <c r="LQ24" s="34" t="str">
        <f t="shared" si="34"/>
        <v>0000000101100001</v>
      </c>
      <c r="LR24" s="87">
        <f>MID(LP24,16,1)*POWER(2,0)+MID(LP24,15,1)*POWER(2,1)+MID(LP24,14,1)*POWER(2,2)+MID(LP24,13,1)*POWER(2,3)+MID(LP24,12,1)*POWER(2,4)+MID(LP24,11,1)*POWER(2,5)+MID(LP24,10,1)*POWER(2,6)+MID(LP24,9,1)*POWER(2,7)+MID(LP24,8,1)*POWER(2,8)+MID(LP24,7,1)*POWER(2,9)+MID(LP24,6,1)*POWER(2,10)+MID(LP24,5,1)*POWER(2,11)+MID(LP24,4,1)*POWER(2,12)+MID(LP24,3,1)*POWER(2,13)+MID(LP24,2,1)*POWER(2,14)+MID(LP24,1,1)*POWER(2,15)-(MID(LP25,16,1)*POWER(2,0)+MID(LP25,15,1)*POWER(2,1)+MID(LP25,14,1)*POWER(2,2)+MID(LP25,13,1)*POWER(2,3)+MID(LP25,12,1)*POWER(2,4)+MID(LP25,11,1)*POWER(2,5)+MID(LP25,10,1)*POWER(2,6)+MID(LP25,9,1)*POWER(2,7)+MID(LP25,8,1)*POWER(2,8)+MID(LP25,7,1)*POWER(2,9)+MID(LP25,6,1)*POWER(2,10)+MID(LP25,5,1)*POWER(2,11)+MID(LP25,4,1)*POWER(2,12)+MID(LP25,3,1)*POWER(2,13)+MID(LP25,2,1)*POWER(2,14)+MID(LP25,1,1)*POWER(2,15))</f>
        <v>16288</v>
      </c>
      <c r="LS24" s="87">
        <f>MID(LQ24,16,1)*POWER(2,0)+MID(LQ24,15,1)*POWER(2,1)+MID(LQ24,14,1)*POWER(2,2)+MID(LQ24,13,1)*POWER(2,3)+MID(LQ24,12,1)*POWER(2,4)+MID(LQ24,11,1)*POWER(2,5)+MID(LQ24,10,1)*POWER(2,6)+MID(LQ24,9,1)*POWER(2,7)+MID(LQ24,8,1)*POWER(2,8)+MID(LQ24,7,1)*POWER(2,9)+MID(LQ24,6,1)*POWER(2,10)+MID(LQ24,5,1)*POWER(2,11)+MID(LQ24,4,1)*POWER(2,12)+MID(LQ24,3,1)*POWER(2,13)+MID(LQ24,2,1)*POWER(2,14)+MID(LQ24,1,1)*POWER(2,15)-(MID(LQ25,16,1)*POWER(2,0)+MID(LQ25,15,1)*POWER(2,1)+MID(LQ25,14,1)*POWER(2,2)+MID(LQ25,13,1)*POWER(2,3)+MID(LQ25,12,1)*POWER(2,4)+MID(LQ25,11,1)*POWER(2,5)+MID(LQ25,10,1)*POWER(2,6)+MID(LQ25,9,1)*POWER(2,7)+MID(LQ25,8,1)*POWER(2,8)+MID(LQ25,7,1)*POWER(2,9)+MID(LQ25,6,1)*POWER(2,10)+MID(LQ25,5,1)*POWER(2,11)+MID(LQ25,4,1)*POWER(2,12)+MID(LQ25,3,1)*POWER(2,13)+MID(LQ25,2,1)*POWER(2,14)+MID(LQ25,1,1)*POWER(2,15))</f>
        <v>-8098</v>
      </c>
      <c r="LT24" s="34" t="str">
        <f>JN24</f>
        <v>01100011000000100000000101100001</v>
      </c>
      <c r="LU24" s="34" t="str">
        <f t="shared" si="192"/>
        <v>01100011</v>
      </c>
      <c r="LV24" s="34" t="str">
        <f t="shared" si="163"/>
        <v>00000010</v>
      </c>
      <c r="LW24" s="34" t="str">
        <f t="shared" si="164"/>
        <v>00000001</v>
      </c>
      <c r="LX24" s="34" t="str">
        <f t="shared" si="165"/>
        <v>01100001</v>
      </c>
      <c r="LY24" s="87">
        <f>BIN2DEC(LU24)-BIN2DEC(LU25)</f>
        <v>72</v>
      </c>
      <c r="LZ24" s="87">
        <f>BIN2DEC(LV24)-BIN2DEC(LV25)</f>
        <v>-24</v>
      </c>
      <c r="MA24" s="87">
        <f>BIN2DEC(LW24)-BIN2DEC(LW25)</f>
        <v>0</v>
      </c>
      <c r="MB24" s="87">
        <f>BIN2DEC(LX24)-BIN2DEC(LX25)</f>
        <v>70</v>
      </c>
      <c r="MC24" s="35" t="str">
        <f t="shared" si="166"/>
        <v>0111</v>
      </c>
      <c r="MD24" s="35" t="str">
        <f t="shared" si="167"/>
        <v>0011</v>
      </c>
      <c r="ME24" s="35" t="str">
        <f t="shared" si="168"/>
        <v>0001</v>
      </c>
      <c r="MF24" s="35" t="str">
        <f t="shared" si="169"/>
        <v>0110</v>
      </c>
      <c r="MG24" s="35" t="str">
        <f t="shared" si="170"/>
        <v>0001</v>
      </c>
      <c r="MH24" s="35" t="str">
        <f t="shared" si="171"/>
        <v>0101</v>
      </c>
      <c r="MI24" s="35" t="str">
        <f t="shared" si="172"/>
        <v>1111</v>
      </c>
      <c r="MJ24" s="35" t="str">
        <f t="shared" si="173"/>
        <v>0101</v>
      </c>
      <c r="MK24" s="87">
        <f t="shared" ref="MK24:MR24" si="315">BIN2DEC(MC24)-BIN2DEC(MC25)</f>
        <v>4</v>
      </c>
      <c r="ML24" s="87">
        <f t="shared" si="315"/>
        <v>-8</v>
      </c>
      <c r="MM24" s="87">
        <f t="shared" si="315"/>
        <v>-6</v>
      </c>
      <c r="MN24" s="87">
        <f t="shared" si="315"/>
        <v>-4</v>
      </c>
      <c r="MO24" s="87">
        <f t="shared" si="315"/>
        <v>-9</v>
      </c>
      <c r="MP24" s="87">
        <f t="shared" si="315"/>
        <v>4</v>
      </c>
      <c r="MQ24" s="87">
        <f t="shared" si="315"/>
        <v>14</v>
      </c>
      <c r="MR24" s="87">
        <f t="shared" si="315"/>
        <v>-10</v>
      </c>
      <c r="MS24" s="34" t="str">
        <f t="shared" si="36"/>
        <v>0110001100000010</v>
      </c>
      <c r="MT24" s="34" t="str">
        <f t="shared" si="37"/>
        <v>0000000101100001</v>
      </c>
      <c r="MU24" s="87">
        <f>MID(MS24,16,1)*POWER(2,0)+MID(MS24,15,1)*POWER(2,1)+MID(MS24,14,1)*POWER(2,2)+MID(MS24,13,1)*POWER(2,3)+MID(MS24,12,1)*POWER(2,4)+MID(MS24,11,1)*POWER(2,5)+MID(MS24,10,1)*POWER(2,6)+MID(MS24,9,1)*POWER(2,7)+MID(MS24,8,1)*POWER(2,8)+MID(MS24,7,1)*POWER(2,9)+MID(MS24,6,1)*POWER(2,10)+MID(MS24,5,1)*POWER(2,11)+MID(MS24,4,1)*POWER(2,12)+MID(MS24,3,1)*POWER(2,13)+MID(MS24,2,1)*POWER(2,14)+MID(MS24,1,1)*POWER(2,15)-(MID(MS25,16,1)*POWER(2,0)+MID(MS25,15,1)*POWER(2,1)+MID(MS25,14,1)*POWER(2,2)+MID(MS25,13,1)*POWER(2,3)+MID(MS25,12,1)*POWER(2,4)+MID(MS25,11,1)*POWER(2,5)+MID(MS25,10,1)*POWER(2,6)+MID(MS25,9,1)*POWER(2,7)+MID(MS25,8,1)*POWER(2,8)+MID(MS25,7,1)*POWER(2,9)+MID(MS25,6,1)*POWER(2,10)+MID(MS25,5,1)*POWER(2,11)+MID(MS25,4,1)*POWER(2,12)+MID(MS25,3,1)*POWER(2,13)+MID(MS25,2,1)*POWER(2,14)+MID(MS25,1,1)*POWER(2,15))</f>
        <v>18408</v>
      </c>
      <c r="MV24" s="87">
        <f>MID(MT24,16,1)*POWER(2,0)+MID(MT24,15,1)*POWER(2,1)+MID(MT24,14,1)*POWER(2,2)+MID(MT24,13,1)*POWER(2,3)+MID(MT24,12,1)*POWER(2,4)+MID(MT24,11,1)*POWER(2,5)+MID(MT24,10,1)*POWER(2,6)+MID(MT24,9,1)*POWER(2,7)+MID(MT24,8,1)*POWER(2,8)+MID(MT24,7,1)*POWER(2,9)+MID(MT24,6,1)*POWER(2,10)+MID(MT24,5,1)*POWER(2,11)+MID(MT24,4,1)*POWER(2,12)+MID(MT24,3,1)*POWER(2,13)+MID(MT24,2,1)*POWER(2,14)+MID(MT24,1,1)*POWER(2,15)-(MID(MT25,16,1)*POWER(2,0)+MID(MT25,15,1)*POWER(2,1)+MID(MT25,14,1)*POWER(2,2)+MID(MT25,13,1)*POWER(2,3)+MID(MT25,12,1)*POWER(2,4)+MID(MT25,11,1)*POWER(2,5)+MID(MT25,10,1)*POWER(2,6)+MID(MT25,9,1)*POWER(2,7)+MID(MT25,8,1)*POWER(2,8)+MID(MT25,7,1)*POWER(2,9)+MID(MT25,6,1)*POWER(2,10)+MID(MT25,5,1)*POWER(2,11)+MID(MT25,4,1)*POWER(2,12)+MID(MT25,3,1)*POWER(2,13)+MID(MT25,2,1)*POWER(2,14)+MID(MT25,1,1)*POWER(2,15))</f>
        <v>70</v>
      </c>
    </row>
    <row r="25" spans="1:360" s="39" customFormat="1" ht="18.600000000000001" thickBot="1" x14ac:dyDescent="0.4">
      <c r="A25" s="36"/>
      <c r="B25" s="37"/>
      <c r="C25" s="51" t="s">
        <v>6</v>
      </c>
      <c r="D25" s="51">
        <v>47</v>
      </c>
      <c r="E25" s="51" t="s">
        <v>74</v>
      </c>
      <c r="F25" s="51" t="s">
        <v>81</v>
      </c>
      <c r="G25" s="51">
        <v>63</v>
      </c>
      <c r="H25" s="51" t="str">
        <f t="shared" si="278"/>
        <v>01000111001011111111010001100011</v>
      </c>
      <c r="I25" s="51">
        <f t="shared" si="279"/>
        <v>18</v>
      </c>
      <c r="J25" s="51"/>
      <c r="K25" s="51"/>
      <c r="L25" s="38" t="str">
        <f>CONCATENATE(MID(H25,4,5),MID(H25,25,3),MID(H25,12,5),MID(H25,1,3),MID(H25,20,5),MID(H25,9,3),MID(H25,28,5),MID(H25,17,3))</f>
        <v>00111011011110101010000100011111</v>
      </c>
      <c r="M25" s="34" t="str">
        <f t="shared" si="38"/>
        <v>00111</v>
      </c>
      <c r="N25" s="26" t="str">
        <f t="shared" si="39"/>
        <v>01111</v>
      </c>
      <c r="O25" s="26" t="str">
        <f t="shared" si="40"/>
        <v>10100</v>
      </c>
      <c r="P25" s="26" t="str">
        <f t="shared" si="41"/>
        <v>00011</v>
      </c>
      <c r="Q25" s="88"/>
      <c r="R25" s="88"/>
      <c r="S25" s="88"/>
      <c r="T25" s="88"/>
      <c r="U25" s="39" t="str">
        <f t="shared" si="42"/>
        <v>0011</v>
      </c>
      <c r="V25" s="39" t="str">
        <f t="shared" si="43"/>
        <v>1011</v>
      </c>
      <c r="W25" s="39" t="str">
        <f t="shared" si="44"/>
        <v>0111</v>
      </c>
      <c r="X25" s="39" t="str">
        <f t="shared" si="45"/>
        <v>1010</v>
      </c>
      <c r="Y25" s="39" t="str">
        <f t="shared" si="46"/>
        <v>1010</v>
      </c>
      <c r="Z25" s="39" t="str">
        <f t="shared" si="47"/>
        <v>0001</v>
      </c>
      <c r="AA25" s="39" t="str">
        <f t="shared" si="48"/>
        <v>0001</v>
      </c>
      <c r="AB25" s="39" t="str">
        <f t="shared" si="49"/>
        <v>1111</v>
      </c>
      <c r="AC25" s="88"/>
      <c r="AD25" s="88"/>
      <c r="AE25" s="88"/>
      <c r="AF25" s="88"/>
      <c r="AG25" s="88"/>
      <c r="AH25" s="88"/>
      <c r="AI25" s="88"/>
      <c r="AJ25" s="88"/>
      <c r="AK25" s="38" t="str">
        <f t="shared" si="3"/>
        <v>0011101101111010</v>
      </c>
      <c r="AL25" s="38" t="str">
        <f t="shared" si="4"/>
        <v>1010000100011111</v>
      </c>
      <c r="AM25" s="88"/>
      <c r="AN25" s="88"/>
      <c r="AO25" s="37" t="str">
        <f>CONCATENATE(MID($L25,1,1)*MID($K24,1,1),MID($L25,2,1)*MID($K24,2,1),MID($L25,3,1)*MID($K24,3,1),MID($L25,4,1)*MID($K24,4,1),MID($L25,5,1)*MID($K24,5,1),MID($L25,6,1)*MID($K24,6,1),MID($L25,7,1)*MID($K24,7,1),MID($L25,8,1)*MID($K24,8,1),MID($L25,9,1)*MID($K24,1,1),MID($L25,10,1)*MID($K24,2,1),MID($L25,11,1)*MID($K24,3,1),MID($L25,12,1)*MID($K24,4,1),MID($L25,13,1)*MID($K24,5,1),MID($L25,14,1)*MID($K24,6,1),MID($L25,15,1)*MID($K24,7,1),MID($L25,16,1)*MID($K24,8,1),MID($L25,17,1)*MID($K24,1,1),MID($L25,18,1)*MID($K24,2,1),MID($L25,19,1)*MID($K24,3,1),MID($L25,20,1)*MID($K24,4,1),MID($L25,21,1)*MID($K24,5,1),MID($L25,22,1)*MID($K24,6,1),MID($L25,23,1)*MID($K24,7,1),MID($L25,24,1)*MID($K24,8,1),MID($L25,25,1)*MID($K24,1,1),MID($L25,26,1)*MID($K24,2,1),MID($L25,27,1)*MID($K24,3,1),MID($L25,28,1)*MID($K24,4,1),MID($L25,29,1)*MID($K24,5,1),MID($L25,30,1)*MID($K24,6,1),MID($L25,31,1)*MID($K24,7,1),MID($L25,32,1)*MID($K24,8,1))</f>
        <v>00100011011000100010000100000011</v>
      </c>
      <c r="AP25" s="38" t="str">
        <f t="shared" si="50"/>
        <v>00100011</v>
      </c>
      <c r="AQ25" s="38" t="str">
        <f t="shared" si="51"/>
        <v>01100010</v>
      </c>
      <c r="AR25" s="38" t="str">
        <f t="shared" si="52"/>
        <v>00100001</v>
      </c>
      <c r="AS25" s="38" t="str">
        <f t="shared" si="53"/>
        <v>00000011</v>
      </c>
      <c r="AT25" s="88"/>
      <c r="AU25" s="88"/>
      <c r="AV25" s="88"/>
      <c r="AW25" s="88"/>
      <c r="AX25" s="39" t="str">
        <f t="shared" si="54"/>
        <v>0011</v>
      </c>
      <c r="AY25" s="39" t="str">
        <f t="shared" si="55"/>
        <v>1011</v>
      </c>
      <c r="AZ25" s="39" t="str">
        <f t="shared" si="56"/>
        <v>0111</v>
      </c>
      <c r="BA25" s="39" t="str">
        <f t="shared" si="57"/>
        <v>1010</v>
      </c>
      <c r="BB25" s="39" t="str">
        <f t="shared" si="58"/>
        <v>1010</v>
      </c>
      <c r="BC25" s="39" t="str">
        <f t="shared" si="59"/>
        <v>0001</v>
      </c>
      <c r="BD25" s="39" t="str">
        <f t="shared" si="60"/>
        <v>0001</v>
      </c>
      <c r="BE25" s="39" t="str">
        <f t="shared" si="61"/>
        <v>1111</v>
      </c>
      <c r="BF25" s="88"/>
      <c r="BG25" s="88"/>
      <c r="BH25" s="88"/>
      <c r="BI25" s="88"/>
      <c r="BJ25" s="88"/>
      <c r="BK25" s="88"/>
      <c r="BL25" s="88"/>
      <c r="BM25" s="88"/>
      <c r="BN25" s="38" t="str">
        <f t="shared" si="6"/>
        <v>0010001101100010</v>
      </c>
      <c r="BO25" s="38" t="str">
        <f t="shared" si="7"/>
        <v>0010000100000011</v>
      </c>
      <c r="BP25" s="88"/>
      <c r="BQ25" s="88"/>
      <c r="BR25" s="37" t="str">
        <f>L25</f>
        <v>00111011011110101010000100011111</v>
      </c>
      <c r="BS25" s="38" t="str">
        <f t="shared" si="62"/>
        <v>00111011</v>
      </c>
      <c r="BT25" s="38" t="str">
        <f t="shared" si="63"/>
        <v>01111010</v>
      </c>
      <c r="BU25" s="38" t="str">
        <f t="shared" si="64"/>
        <v>10100001</v>
      </c>
      <c r="BV25" s="38" t="str">
        <f t="shared" si="65"/>
        <v>00011111</v>
      </c>
      <c r="BW25" s="88"/>
      <c r="BX25" s="88"/>
      <c r="BY25" s="88"/>
      <c r="BZ25" s="88"/>
      <c r="CA25" s="39" t="str">
        <f t="shared" si="66"/>
        <v>0011</v>
      </c>
      <c r="CB25" s="39" t="str">
        <f t="shared" si="67"/>
        <v>1011</v>
      </c>
      <c r="CC25" s="39" t="str">
        <f t="shared" si="68"/>
        <v>0111</v>
      </c>
      <c r="CD25" s="39" t="str">
        <f t="shared" si="69"/>
        <v>1010</v>
      </c>
      <c r="CE25" s="39" t="str">
        <f t="shared" si="70"/>
        <v>1010</v>
      </c>
      <c r="CF25" s="39" t="str">
        <f t="shared" si="71"/>
        <v>0001</v>
      </c>
      <c r="CG25" s="39" t="str">
        <f t="shared" si="72"/>
        <v>0001</v>
      </c>
      <c r="CH25" s="39" t="str">
        <f t="shared" si="73"/>
        <v>1111</v>
      </c>
      <c r="CI25" s="88"/>
      <c r="CJ25" s="88"/>
      <c r="CK25" s="88"/>
      <c r="CL25" s="88"/>
      <c r="CM25" s="88"/>
      <c r="CN25" s="88"/>
      <c r="CO25" s="88"/>
      <c r="CP25" s="88"/>
      <c r="CQ25" s="38" t="str">
        <f t="shared" si="9"/>
        <v>0011101101111010</v>
      </c>
      <c r="CR25" s="38" t="str">
        <f t="shared" si="10"/>
        <v>1010000100011111</v>
      </c>
      <c r="CS25" s="88"/>
      <c r="CT25" s="88"/>
      <c r="CU25" s="37" t="str">
        <f>AO25</f>
        <v>00100011011000100010000100000011</v>
      </c>
      <c r="CV25" s="38" t="str">
        <f t="shared" si="74"/>
        <v>00100011</v>
      </c>
      <c r="CW25" s="38" t="str">
        <f t="shared" si="75"/>
        <v>01100010</v>
      </c>
      <c r="CX25" s="38" t="str">
        <f t="shared" si="76"/>
        <v>00100001</v>
      </c>
      <c r="CY25" s="38" t="str">
        <f t="shared" si="77"/>
        <v>00000011</v>
      </c>
      <c r="CZ25" s="88"/>
      <c r="DA25" s="88"/>
      <c r="DB25" s="88"/>
      <c r="DC25" s="88"/>
      <c r="DD25" s="39" t="str">
        <f t="shared" si="78"/>
        <v>0011</v>
      </c>
      <c r="DE25" s="39" t="str">
        <f t="shared" si="79"/>
        <v>1011</v>
      </c>
      <c r="DF25" s="39" t="str">
        <f t="shared" si="80"/>
        <v>0111</v>
      </c>
      <c r="DG25" s="39" t="str">
        <f t="shared" si="81"/>
        <v>1010</v>
      </c>
      <c r="DH25" s="39" t="str">
        <f t="shared" si="82"/>
        <v>1010</v>
      </c>
      <c r="DI25" s="39" t="str">
        <f t="shared" si="83"/>
        <v>0001</v>
      </c>
      <c r="DJ25" s="39" t="str">
        <f t="shared" si="84"/>
        <v>0001</v>
      </c>
      <c r="DK25" s="39" t="str">
        <f t="shared" si="85"/>
        <v>1111</v>
      </c>
      <c r="DL25" s="88"/>
      <c r="DM25" s="88"/>
      <c r="DN25" s="88"/>
      <c r="DO25" s="88"/>
      <c r="DP25" s="88"/>
      <c r="DQ25" s="88"/>
      <c r="DR25" s="88"/>
      <c r="DS25" s="88"/>
      <c r="DT25" s="38" t="str">
        <f t="shared" si="12"/>
        <v>0010001101100010</v>
      </c>
      <c r="DU25" s="38" t="str">
        <f t="shared" si="13"/>
        <v>0010000100000011</v>
      </c>
      <c r="DV25" s="88"/>
      <c r="DW25" s="88"/>
      <c r="DX25" s="37" t="str">
        <f>CONCATENATE(MID($H25,1,1)*MID($K24,1,1),MID($H25,2,1)*MID($K24,2,1),MID($H25,3,1)*MID($K24,3,1),MID($H25,4,1)*MID($K24,4,1),MID($H25,5,1)*MID($K24,5,1),MID($H25,6,1)*MID($K24,6,1),MID($H25,7,1)*MID($K24,7,1),MID($H25,8,1)*MID($K24,8,1),MID($H25,9,1)*MID($K24,1,1),MID($H25,10,1)*MID($K24,2,1),MID($H25,11,1)*MID($K24,3,1),MID($H25,12,1)*MID($K24,4,1),MID($H25,13,1)*MID($K24,5,1),MID($H25,14,1)*MID($K24,6,1),MID($H25,15,1)*MID($K24,7,1),MID($H25,16,1)*MID($K24,8,1),MID($H25,17,1)*MID($K24,1,1),MID($H25,18,1)*MID($K24,2,1),MID($H25,19,1)*MID($K24,3,1),MID($H25,20,1)*MID($K24,4,1),MID($H25,21,1)*MID($K24,5,1),MID($H25,22,1)*MID($K24,6,1),MID($H25,23,1)*MID($K24,7,1),MID($H25,24,1)*MID($K24,8,1),MID($H25,25,1)*MID($K24,1,1),MID($H25,26,1)*MID($K24,2,1),MID($H25,27,1)*MID($K24,3,1),MID($H25,28,1)*MID($K24,4,1),MID($H25,29,1)*MID($K24,5,1),MID($H25,30,1)*MID($K24,6,1),MID($H25,31,1)*MID($K24,7,1),MID($H25,32,1)*MID($K24,8,1))</f>
        <v>01000011001000110110000001100011</v>
      </c>
      <c r="DY25" s="38" t="str">
        <f>CONCATENATE(MID(DX25,4,5),MID(DX25,25,3),MID(DX25,12,5),MID(DX25,1,3),MID(DX25,20,5),MID(DX25,9,3),MID(DX25,28,5),MID(DX25,17,3))</f>
        <v>00011011000110100000000100011011</v>
      </c>
      <c r="DZ25" s="38" t="str">
        <f t="shared" si="178"/>
        <v>00011011</v>
      </c>
      <c r="EA25" s="38" t="str">
        <f t="shared" si="86"/>
        <v>00011010</v>
      </c>
      <c r="EB25" s="38" t="str">
        <f t="shared" si="87"/>
        <v>00000001</v>
      </c>
      <c r="EC25" s="38" t="str">
        <f t="shared" si="88"/>
        <v>00011011</v>
      </c>
      <c r="ED25" s="88"/>
      <c r="EE25" s="88"/>
      <c r="EF25" s="88"/>
      <c r="EG25" s="88"/>
      <c r="EH25" s="39" t="str">
        <f t="shared" si="89"/>
        <v>0011</v>
      </c>
      <c r="EI25" s="39" t="str">
        <f t="shared" si="90"/>
        <v>1011</v>
      </c>
      <c r="EJ25" s="39" t="str">
        <f t="shared" si="91"/>
        <v>0111</v>
      </c>
      <c r="EK25" s="39" t="str">
        <f t="shared" si="92"/>
        <v>1010</v>
      </c>
      <c r="EL25" s="39" t="str">
        <f t="shared" si="93"/>
        <v>1010</v>
      </c>
      <c r="EM25" s="39" t="str">
        <f t="shared" si="94"/>
        <v>0001</v>
      </c>
      <c r="EN25" s="39" t="str">
        <f t="shared" si="95"/>
        <v>0001</v>
      </c>
      <c r="EO25" s="39" t="str">
        <f t="shared" si="96"/>
        <v>1111</v>
      </c>
      <c r="EP25" s="88"/>
      <c r="EQ25" s="88"/>
      <c r="ER25" s="88"/>
      <c r="ES25" s="88"/>
      <c r="ET25" s="88"/>
      <c r="EU25" s="88"/>
      <c r="EV25" s="88"/>
      <c r="EW25" s="88"/>
      <c r="EX25" s="38" t="str">
        <f t="shared" si="15"/>
        <v>0001101100011010</v>
      </c>
      <c r="EY25" s="38" t="str">
        <f t="shared" si="16"/>
        <v>0000000100011011</v>
      </c>
      <c r="EZ25" s="88"/>
      <c r="FA25" s="88"/>
      <c r="FB25" s="37" t="str">
        <f>CONCATENATE(MID(DY25,1,1)*MID($K24,1,1),MID(DY25,2,1)*MID($K24,2,1),MID(DY25,3,1)*MID($K24,3,1),MID(DY25,4,1)*MID($K24,4,1),MID(DY25,5,1)*MID($K24,5,1),MID(DY25,6,1)*MID($K24,6,1),MID(DY25,7,1)*MID($K24,7,1),MID(DY25,8,1)*MID($K24,8,1),MID(DY25,9,1)*MID($K24,1,1),MID(DY25,10,1)*MID($K24,2,1),MID(DY25,11,1)*MID($K24,3,1),MID(DY25,12,1)*MID($K24,4,1),MID(DY25,13,1)*MID($K24,5,1),MID(DY25,14,1)*MID($K24,6,1),MID(DY25,15,1)*MID($K24,7,1),MID(DY25,16,1)*MID($K24,8,1),MID(DY25,17,1)*MID($K24,1,1),MID(DY25,18,1)*MID($K24,2,1),MID(DY25,19,1)*MID($K24,3,1),MID(DY25,20,1)*MID($K24,4,1),MID(DY25,21,1)*MID($K24,5,1),MID(DY25,22,1)*MID($K24,6,1),MID(DY25,23,1)*MID($K24,7,1),MID(DY25,24,1)*MID($K24,8,1),MID(DY25,25,1)*MID($K24,1,1),MID(DY25,26,1)*MID($K24,2,1),MID(DY25,27,1)*MID($K24,3,1),MID(DY25,28,1)*MID($K24,4,1),MID(DY25,29,1)*MID($K24,5,1),MID(DY25,30,1)*MID($K24,6,1),MID(DY25,31,1)*MID($K24,7,1),MID(DY25,32,1)*MID($K24,8,1))</f>
        <v>00000011000000100000000100000011</v>
      </c>
      <c r="FC25" s="38" t="str">
        <f t="shared" si="180"/>
        <v>00000011</v>
      </c>
      <c r="FD25" s="38" t="str">
        <f t="shared" si="97"/>
        <v>00000010</v>
      </c>
      <c r="FE25" s="38" t="str">
        <f t="shared" si="98"/>
        <v>00000001</v>
      </c>
      <c r="FF25" s="38" t="str">
        <f t="shared" si="99"/>
        <v>00000011</v>
      </c>
      <c r="FG25" s="88"/>
      <c r="FH25" s="88"/>
      <c r="FI25" s="88"/>
      <c r="FJ25" s="88"/>
      <c r="FK25" s="39" t="str">
        <f t="shared" si="100"/>
        <v>0011</v>
      </c>
      <c r="FL25" s="39" t="str">
        <f t="shared" si="101"/>
        <v>1011</v>
      </c>
      <c r="FM25" s="39" t="str">
        <f t="shared" si="102"/>
        <v>0111</v>
      </c>
      <c r="FN25" s="39" t="str">
        <f t="shared" si="103"/>
        <v>1010</v>
      </c>
      <c r="FO25" s="39" t="str">
        <f t="shared" si="104"/>
        <v>1010</v>
      </c>
      <c r="FP25" s="39" t="str">
        <f t="shared" si="105"/>
        <v>0001</v>
      </c>
      <c r="FQ25" s="39" t="str">
        <f t="shared" si="106"/>
        <v>0001</v>
      </c>
      <c r="FR25" s="39" t="str">
        <f t="shared" si="107"/>
        <v>1111</v>
      </c>
      <c r="FS25" s="88"/>
      <c r="FT25" s="88"/>
      <c r="FU25" s="88"/>
      <c r="FV25" s="88"/>
      <c r="FW25" s="88"/>
      <c r="FX25" s="88"/>
      <c r="FY25" s="88"/>
      <c r="FZ25" s="88"/>
      <c r="GA25" s="38" t="str">
        <f t="shared" si="18"/>
        <v>0000001100000010</v>
      </c>
      <c r="GB25" s="38" t="str">
        <f t="shared" si="19"/>
        <v>0000000100000011</v>
      </c>
      <c r="GC25" s="88"/>
      <c r="GD25" s="88"/>
      <c r="GE25" s="39" t="str">
        <f>DY25</f>
        <v>00011011000110100000000100011011</v>
      </c>
      <c r="GF25" s="38" t="str">
        <f t="shared" si="182"/>
        <v>00011011</v>
      </c>
      <c r="GG25" s="38" t="str">
        <f t="shared" si="108"/>
        <v>00011010</v>
      </c>
      <c r="GH25" s="38" t="str">
        <f t="shared" si="109"/>
        <v>00000001</v>
      </c>
      <c r="GI25" s="38" t="str">
        <f t="shared" si="110"/>
        <v>00011011</v>
      </c>
      <c r="GJ25" s="88"/>
      <c r="GK25" s="88"/>
      <c r="GL25" s="88"/>
      <c r="GM25" s="88"/>
      <c r="GN25" s="39" t="str">
        <f t="shared" si="111"/>
        <v>0011</v>
      </c>
      <c r="GO25" s="39" t="str">
        <f t="shared" si="112"/>
        <v>1011</v>
      </c>
      <c r="GP25" s="39" t="str">
        <f t="shared" si="113"/>
        <v>0111</v>
      </c>
      <c r="GQ25" s="39" t="str">
        <f t="shared" si="114"/>
        <v>1010</v>
      </c>
      <c r="GR25" s="39" t="str">
        <f t="shared" si="115"/>
        <v>1010</v>
      </c>
      <c r="GS25" s="39" t="str">
        <f t="shared" si="116"/>
        <v>0001</v>
      </c>
      <c r="GT25" s="39" t="str">
        <f t="shared" si="117"/>
        <v>0001</v>
      </c>
      <c r="GU25" s="39" t="str">
        <f t="shared" si="118"/>
        <v>1111</v>
      </c>
      <c r="GV25" s="88"/>
      <c r="GW25" s="88"/>
      <c r="GX25" s="88"/>
      <c r="GY25" s="88"/>
      <c r="GZ25" s="88"/>
      <c r="HA25" s="88"/>
      <c r="HB25" s="88"/>
      <c r="HC25" s="88"/>
      <c r="HD25" s="38" t="str">
        <f t="shared" si="21"/>
        <v>0001101100011010</v>
      </c>
      <c r="HE25" s="38" t="str">
        <f t="shared" si="22"/>
        <v>0000000100011011</v>
      </c>
      <c r="HF25" s="88"/>
      <c r="HG25" s="88"/>
      <c r="HH25" s="39" t="str">
        <f>FB25</f>
        <v>00000011000000100000000100000011</v>
      </c>
      <c r="HI25" s="38" t="str">
        <f t="shared" si="184"/>
        <v>00000011</v>
      </c>
      <c r="HJ25" s="38" t="str">
        <f t="shared" si="119"/>
        <v>00000010</v>
      </c>
      <c r="HK25" s="38" t="str">
        <f t="shared" si="120"/>
        <v>00000001</v>
      </c>
      <c r="HL25" s="38" t="str">
        <f t="shared" si="121"/>
        <v>00000011</v>
      </c>
      <c r="HM25" s="88"/>
      <c r="HN25" s="88"/>
      <c r="HO25" s="88"/>
      <c r="HP25" s="88"/>
      <c r="HQ25" s="39" t="str">
        <f t="shared" si="122"/>
        <v>0011</v>
      </c>
      <c r="HR25" s="39" t="str">
        <f t="shared" si="123"/>
        <v>1011</v>
      </c>
      <c r="HS25" s="39" t="str">
        <f t="shared" si="124"/>
        <v>0111</v>
      </c>
      <c r="HT25" s="39" t="str">
        <f t="shared" si="125"/>
        <v>1010</v>
      </c>
      <c r="HU25" s="39" t="str">
        <f t="shared" si="126"/>
        <v>1010</v>
      </c>
      <c r="HV25" s="39" t="str">
        <f t="shared" si="127"/>
        <v>0001</v>
      </c>
      <c r="HW25" s="39" t="str">
        <f t="shared" si="128"/>
        <v>0001</v>
      </c>
      <c r="HX25" s="39" t="str">
        <f t="shared" si="129"/>
        <v>1111</v>
      </c>
      <c r="HY25" s="88"/>
      <c r="HZ25" s="88"/>
      <c r="IA25" s="88"/>
      <c r="IB25" s="88"/>
      <c r="IC25" s="88"/>
      <c r="ID25" s="88"/>
      <c r="IE25" s="88"/>
      <c r="IF25" s="88"/>
      <c r="IG25" s="38" t="str">
        <f t="shared" si="24"/>
        <v>0000001100000010</v>
      </c>
      <c r="IH25" s="38" t="str">
        <f t="shared" si="25"/>
        <v>0000000100000011</v>
      </c>
      <c r="II25" s="88"/>
      <c r="IJ25" s="88"/>
      <c r="IK25" s="38" t="str">
        <f>L25</f>
        <v>00111011011110101010000100011111</v>
      </c>
      <c r="IL25" s="38" t="str">
        <f t="shared" si="186"/>
        <v>00111011</v>
      </c>
      <c r="IM25" s="38" t="str">
        <f t="shared" si="130"/>
        <v>01111010</v>
      </c>
      <c r="IN25" s="38" t="str">
        <f t="shared" si="131"/>
        <v>10100001</v>
      </c>
      <c r="IO25" s="38" t="str">
        <f t="shared" si="132"/>
        <v>00011111</v>
      </c>
      <c r="IP25" s="88"/>
      <c r="IQ25" s="88"/>
      <c r="IR25" s="88"/>
      <c r="IS25" s="88"/>
      <c r="IT25" s="39" t="str">
        <f t="shared" si="133"/>
        <v>0011</v>
      </c>
      <c r="IU25" s="39" t="str">
        <f t="shared" si="134"/>
        <v>1011</v>
      </c>
      <c r="IV25" s="39" t="str">
        <f t="shared" si="135"/>
        <v>0111</v>
      </c>
      <c r="IW25" s="39" t="str">
        <f t="shared" si="136"/>
        <v>1010</v>
      </c>
      <c r="IX25" s="39" t="str">
        <f t="shared" si="137"/>
        <v>1010</v>
      </c>
      <c r="IY25" s="39" t="str">
        <f t="shared" si="138"/>
        <v>0001</v>
      </c>
      <c r="IZ25" s="39" t="str">
        <f t="shared" si="139"/>
        <v>0001</v>
      </c>
      <c r="JA25" s="39" t="str">
        <f t="shared" si="140"/>
        <v>1111</v>
      </c>
      <c r="JB25" s="88"/>
      <c r="JC25" s="88"/>
      <c r="JD25" s="88"/>
      <c r="JE25" s="88"/>
      <c r="JF25" s="88"/>
      <c r="JG25" s="88"/>
      <c r="JH25" s="88"/>
      <c r="JI25" s="88"/>
      <c r="JJ25" s="38" t="str">
        <f t="shared" si="27"/>
        <v>0011101101111010</v>
      </c>
      <c r="JK25" s="38" t="str">
        <f t="shared" si="28"/>
        <v>1010000100011111</v>
      </c>
      <c r="JL25" s="88"/>
      <c r="JM25" s="88"/>
      <c r="JN25" s="37" t="str">
        <f>L25</f>
        <v>00111011011110101010000100011111</v>
      </c>
      <c r="JO25" s="38" t="str">
        <f t="shared" si="188"/>
        <v>00111011</v>
      </c>
      <c r="JP25" s="38" t="str">
        <f t="shared" si="141"/>
        <v>01111010</v>
      </c>
      <c r="JQ25" s="38" t="str">
        <f t="shared" si="142"/>
        <v>10100001</v>
      </c>
      <c r="JR25" s="38" t="str">
        <f t="shared" si="143"/>
        <v>00011111</v>
      </c>
      <c r="JS25" s="88"/>
      <c r="JT25" s="88"/>
      <c r="JU25" s="88"/>
      <c r="JV25" s="88"/>
      <c r="JW25" s="39" t="str">
        <f t="shared" si="144"/>
        <v>0011</v>
      </c>
      <c r="JX25" s="39" t="str">
        <f t="shared" si="145"/>
        <v>1011</v>
      </c>
      <c r="JY25" s="39" t="str">
        <f t="shared" si="146"/>
        <v>0111</v>
      </c>
      <c r="JZ25" s="39" t="str">
        <f t="shared" si="147"/>
        <v>1010</v>
      </c>
      <c r="KA25" s="39" t="str">
        <f t="shared" si="148"/>
        <v>1010</v>
      </c>
      <c r="KB25" s="39" t="str">
        <f t="shared" si="149"/>
        <v>0001</v>
      </c>
      <c r="KC25" s="39" t="str">
        <f t="shared" si="150"/>
        <v>0001</v>
      </c>
      <c r="KD25" s="39" t="str">
        <f t="shared" si="151"/>
        <v>1111</v>
      </c>
      <c r="KE25" s="88"/>
      <c r="KF25" s="88"/>
      <c r="KG25" s="88"/>
      <c r="KH25" s="88"/>
      <c r="KI25" s="88"/>
      <c r="KJ25" s="88"/>
      <c r="KK25" s="88"/>
      <c r="KL25" s="88"/>
      <c r="KM25" s="38" t="str">
        <f t="shared" si="30"/>
        <v>0011101101111010</v>
      </c>
      <c r="KN25" s="38" t="str">
        <f t="shared" si="31"/>
        <v>1010000100011111</v>
      </c>
      <c r="KO25" s="88"/>
      <c r="KP25" s="88"/>
      <c r="KQ25" s="39" t="str">
        <f>AO25</f>
        <v>00100011011000100010000100000011</v>
      </c>
      <c r="KR25" s="38" t="str">
        <f t="shared" si="190"/>
        <v>00100011</v>
      </c>
      <c r="KS25" s="38" t="str">
        <f t="shared" si="152"/>
        <v>01100010</v>
      </c>
      <c r="KT25" s="38" t="str">
        <f t="shared" si="153"/>
        <v>00100001</v>
      </c>
      <c r="KU25" s="38" t="str">
        <f t="shared" si="154"/>
        <v>00000011</v>
      </c>
      <c r="KV25" s="88"/>
      <c r="KW25" s="88"/>
      <c r="KX25" s="88"/>
      <c r="KY25" s="88"/>
      <c r="KZ25" s="39" t="str">
        <f t="shared" si="155"/>
        <v>0011</v>
      </c>
      <c r="LA25" s="39" t="str">
        <f t="shared" si="156"/>
        <v>1011</v>
      </c>
      <c r="LB25" s="39" t="str">
        <f t="shared" si="157"/>
        <v>0111</v>
      </c>
      <c r="LC25" s="39" t="str">
        <f t="shared" si="158"/>
        <v>1010</v>
      </c>
      <c r="LD25" s="39" t="str">
        <f t="shared" si="159"/>
        <v>1010</v>
      </c>
      <c r="LE25" s="39" t="str">
        <f t="shared" si="160"/>
        <v>0001</v>
      </c>
      <c r="LF25" s="39" t="str">
        <f t="shared" si="161"/>
        <v>0001</v>
      </c>
      <c r="LG25" s="39" t="str">
        <f t="shared" si="162"/>
        <v>1111</v>
      </c>
      <c r="LH25" s="88"/>
      <c r="LI25" s="88"/>
      <c r="LJ25" s="88"/>
      <c r="LK25" s="88"/>
      <c r="LL25" s="88"/>
      <c r="LM25" s="88"/>
      <c r="LN25" s="88"/>
      <c r="LO25" s="88"/>
      <c r="LP25" s="38" t="str">
        <f t="shared" si="33"/>
        <v>0010001101100010</v>
      </c>
      <c r="LQ25" s="38" t="str">
        <f t="shared" si="34"/>
        <v>0010000100000011</v>
      </c>
      <c r="LR25" s="88"/>
      <c r="LS25" s="88"/>
      <c r="LT25" s="39" t="str">
        <f>GE25</f>
        <v>00011011000110100000000100011011</v>
      </c>
      <c r="LU25" s="38" t="str">
        <f t="shared" si="192"/>
        <v>00011011</v>
      </c>
      <c r="LV25" s="38" t="str">
        <f t="shared" si="163"/>
        <v>00011010</v>
      </c>
      <c r="LW25" s="38" t="str">
        <f t="shared" si="164"/>
        <v>00000001</v>
      </c>
      <c r="LX25" s="38" t="str">
        <f t="shared" si="165"/>
        <v>00011011</v>
      </c>
      <c r="LY25" s="88"/>
      <c r="LZ25" s="88"/>
      <c r="MA25" s="88"/>
      <c r="MB25" s="88"/>
      <c r="MC25" s="39" t="str">
        <f t="shared" si="166"/>
        <v>0011</v>
      </c>
      <c r="MD25" s="39" t="str">
        <f t="shared" si="167"/>
        <v>1011</v>
      </c>
      <c r="ME25" s="39" t="str">
        <f t="shared" si="168"/>
        <v>0111</v>
      </c>
      <c r="MF25" s="39" t="str">
        <f t="shared" si="169"/>
        <v>1010</v>
      </c>
      <c r="MG25" s="39" t="str">
        <f t="shared" si="170"/>
        <v>1010</v>
      </c>
      <c r="MH25" s="39" t="str">
        <f t="shared" si="171"/>
        <v>0001</v>
      </c>
      <c r="MI25" s="39" t="str">
        <f t="shared" si="172"/>
        <v>0001</v>
      </c>
      <c r="MJ25" s="39" t="str">
        <f t="shared" si="173"/>
        <v>1111</v>
      </c>
      <c r="MK25" s="88"/>
      <c r="ML25" s="88"/>
      <c r="MM25" s="88"/>
      <c r="MN25" s="88"/>
      <c r="MO25" s="88"/>
      <c r="MP25" s="88"/>
      <c r="MQ25" s="88"/>
      <c r="MR25" s="88"/>
      <c r="MS25" s="38" t="str">
        <f t="shared" si="36"/>
        <v>0001101100011010</v>
      </c>
      <c r="MT25" s="38" t="str">
        <f t="shared" si="37"/>
        <v>0000000100011011</v>
      </c>
      <c r="MU25" s="88"/>
      <c r="MV25" s="88"/>
    </row>
    <row r="26" spans="1:360" s="35" customFormat="1" ht="18.600000000000001" thickBot="1" x14ac:dyDescent="0.4">
      <c r="A26" s="32"/>
      <c r="B26" s="33"/>
      <c r="C26" s="50" t="s">
        <v>0</v>
      </c>
      <c r="D26" s="50">
        <v>10</v>
      </c>
      <c r="E26" s="50" t="s">
        <v>87</v>
      </c>
      <c r="F26" s="50" t="s">
        <v>107</v>
      </c>
      <c r="G26" s="50" t="s">
        <v>135</v>
      </c>
      <c r="H26" s="50" t="str">
        <f t="shared" si="278"/>
        <v>00010000101100111100110010111010</v>
      </c>
      <c r="I26" s="50">
        <f t="shared" si="279"/>
        <v>15</v>
      </c>
      <c r="J26" s="50">
        <v>63</v>
      </c>
      <c r="K26" s="50" t="str">
        <f>HEX2BIN(J26,8)</f>
        <v>01100011</v>
      </c>
      <c r="L26" s="34" t="str">
        <f>CONCATENATE(MID(H26,17,16),MID(H26,1,16))</f>
        <v>11001100101110100001000010110011</v>
      </c>
      <c r="M26" s="34" t="str">
        <f t="shared" si="38"/>
        <v>11001</v>
      </c>
      <c r="N26" s="26" t="str">
        <f t="shared" si="39"/>
        <v>10111</v>
      </c>
      <c r="O26" s="26" t="str">
        <f t="shared" si="40"/>
        <v>00010</v>
      </c>
      <c r="P26" s="26" t="str">
        <f t="shared" si="41"/>
        <v>10110</v>
      </c>
      <c r="Q26" s="87">
        <f>BIN2DEC(M26)-BIN2DEC(M27)</f>
        <v>7</v>
      </c>
      <c r="R26" s="87">
        <f>BIN2DEC(N26)-BIN2DEC(N27)</f>
        <v>20</v>
      </c>
      <c r="S26" s="87">
        <f>BIN2DEC(O26)-BIN2DEC(O27)</f>
        <v>-17</v>
      </c>
      <c r="T26" s="87">
        <f>BIN2DEC(P26)-BIN2DEC(P27)</f>
        <v>-5</v>
      </c>
      <c r="U26" s="35" t="str">
        <f t="shared" si="42"/>
        <v>1100</v>
      </c>
      <c r="V26" s="35" t="str">
        <f t="shared" si="43"/>
        <v>1100</v>
      </c>
      <c r="W26" s="35" t="str">
        <f t="shared" si="44"/>
        <v>1011</v>
      </c>
      <c r="X26" s="35" t="str">
        <f t="shared" si="45"/>
        <v>1010</v>
      </c>
      <c r="Y26" s="35" t="str">
        <f t="shared" si="46"/>
        <v>0001</v>
      </c>
      <c r="Z26" s="35" t="str">
        <f t="shared" si="47"/>
        <v>0000</v>
      </c>
      <c r="AA26" s="35" t="str">
        <f t="shared" si="48"/>
        <v>1011</v>
      </c>
      <c r="AB26" s="35" t="str">
        <f t="shared" si="49"/>
        <v>0011</v>
      </c>
      <c r="AC26" s="87">
        <f>BIN2DEC(U26)-BIN2DEC(U27)</f>
        <v>3</v>
      </c>
      <c r="AD26" s="87">
        <f t="shared" ref="AD26:AI26" si="316">BIN2DEC(V26)-BIN2DEC(V27)</f>
        <v>9</v>
      </c>
      <c r="AE26" s="87">
        <f t="shared" si="316"/>
        <v>10</v>
      </c>
      <c r="AF26" s="87">
        <f t="shared" si="316"/>
        <v>-4</v>
      </c>
      <c r="AG26" s="87">
        <f t="shared" si="316"/>
        <v>-8</v>
      </c>
      <c r="AH26" s="87">
        <f t="shared" si="316"/>
        <v>-12</v>
      </c>
      <c r="AI26" s="87">
        <f t="shared" si="316"/>
        <v>-2</v>
      </c>
      <c r="AJ26" s="87">
        <f>BIN2DEC(AB26)-BIN2DEC(AB27)</f>
        <v>-10</v>
      </c>
      <c r="AK26" s="34" t="str">
        <f t="shared" si="3"/>
        <v>1100110010111010</v>
      </c>
      <c r="AL26" s="34" t="str">
        <f t="shared" si="4"/>
        <v>0001000010110011</v>
      </c>
      <c r="AM26" s="87">
        <f>MID(AK26,16,1)*POWER(2,0)+MID(AK26,15,1)*POWER(2,1)+MID(AK26,14,1)*POWER(2,2)+MID(AK26,13,1)*POWER(2,3)+MID(AK26,12,1)*POWER(2,4)+MID(AK26,11,1)*POWER(2,5)+MID(AK26,10,1)*POWER(2,6)+MID(AK26,9,1)*POWER(2,7)+MID(AK26,8,1)*POWER(2,8)+MID(AK26,7,1)*POWER(2,9)+MID(AK26,6,1)*POWER(2,10)+MID(AK26,5,1)*POWER(2,11)+MID(AK26,4,1)*POWER(2,12)+MID(AK26,3,1)*POWER(2,13)+MID(AK26,2,1)*POWER(2,14)+MID(AK26,1,1)*POWER(2,15)-(MID(AK27,16,1)*POWER(2,0)+MID(AK27,15,1)*POWER(2,1)+MID(AK27,14,1)*POWER(2,2)+MID(AK27,13,1)*POWER(2,3)+MID(AK27,12,1)*POWER(2,4)+MID(AK27,11,1)*POWER(2,5)+MID(AK27,10,1)*POWER(2,6)+MID(AK27,9,1)*POWER(2,7)+MID(AK27,8,1)*POWER(2,8)+MID(AK27,7,1)*POWER(2,9)+MID(AK27,6,1)*POWER(2,10)+MID(AK27,5,1)*POWER(2,11)+MID(AK27,4,1)*POWER(2,12)+MID(AK27,3,1)*POWER(2,13)+MID(AK27,2,1)*POWER(2,14)+MID(AK27,1,1)*POWER(2,15))</f>
        <v>14748</v>
      </c>
      <c r="AN26" s="87">
        <f>MID(AL26,16,1)*POWER(2,0)+MID(AL26,15,1)*POWER(2,1)+MID(AL26,14,1)*POWER(2,2)+MID(AL26,13,1)*POWER(2,3)+MID(AL26,12,1)*POWER(2,4)+MID(AL26,11,1)*POWER(2,5)+MID(AL26,10,1)*POWER(2,6)+MID(AL26,9,1)*POWER(2,7)+MID(AL26,8,1)*POWER(2,8)+MID(AL26,7,1)*POWER(2,9)+MID(AL26,6,1)*POWER(2,10)+MID(AL26,5,1)*POWER(2,11)+MID(AL26,4,1)*POWER(2,12)+MID(AL26,3,1)*POWER(2,13)+MID(AL26,2,1)*POWER(2,14)+MID(AL26,1,1)*POWER(2,15)-(MID(AL27,16,1)*POWER(2,0)+MID(AL27,15,1)*POWER(2,1)+MID(AL27,14,1)*POWER(2,2)+MID(AL27,13,1)*POWER(2,3)+MID(AL27,12,1)*POWER(2,4)+MID(AL27,11,1)*POWER(2,5)+MID(AL27,10,1)*POWER(2,6)+MID(AL27,9,1)*POWER(2,7)+MID(AL27,8,1)*POWER(2,8)+MID(AL27,7,1)*POWER(2,9)+MID(AL27,6,1)*POWER(2,10)+MID(AL27,5,1)*POWER(2,11)+MID(AL27,4,1)*POWER(2,12)+MID(AL27,3,1)*POWER(2,13)+MID(AL27,2,1)*POWER(2,14)+MID(AL27,1,1)*POWER(2,15))</f>
        <v>-35882</v>
      </c>
      <c r="AO26" s="33" t="str">
        <f>L26</f>
        <v>11001100101110100001000010110011</v>
      </c>
      <c r="AP26" s="34" t="str">
        <f t="shared" si="50"/>
        <v>11001100</v>
      </c>
      <c r="AQ26" s="34" t="str">
        <f t="shared" si="51"/>
        <v>10111010</v>
      </c>
      <c r="AR26" s="34" t="str">
        <f t="shared" si="52"/>
        <v>00010000</v>
      </c>
      <c r="AS26" s="34" t="str">
        <f t="shared" si="53"/>
        <v>10110011</v>
      </c>
      <c r="AT26" s="87">
        <f>BIN2DEC(AP26)-BIN2DEC(AP27)</f>
        <v>201</v>
      </c>
      <c r="AU26" s="87">
        <f>BIN2DEC(AQ26)-BIN2DEC(AQ27)</f>
        <v>184</v>
      </c>
      <c r="AV26" s="87">
        <f>BIN2DEC(AR26)-BIN2DEC(AR27)</f>
        <v>16</v>
      </c>
      <c r="AW26" s="87">
        <f>BIN2DEC(AS26)-BIN2DEC(AS27)</f>
        <v>114</v>
      </c>
      <c r="AX26" s="35" t="str">
        <f t="shared" si="54"/>
        <v>1100</v>
      </c>
      <c r="AY26" s="35" t="str">
        <f t="shared" si="55"/>
        <v>1100</v>
      </c>
      <c r="AZ26" s="35" t="str">
        <f t="shared" si="56"/>
        <v>1011</v>
      </c>
      <c r="BA26" s="35" t="str">
        <f t="shared" si="57"/>
        <v>1010</v>
      </c>
      <c r="BB26" s="35" t="str">
        <f t="shared" si="58"/>
        <v>0001</v>
      </c>
      <c r="BC26" s="35" t="str">
        <f t="shared" si="59"/>
        <v>0000</v>
      </c>
      <c r="BD26" s="35" t="str">
        <f t="shared" si="60"/>
        <v>1011</v>
      </c>
      <c r="BE26" s="35" t="str">
        <f t="shared" si="61"/>
        <v>0011</v>
      </c>
      <c r="BF26" s="87">
        <f>BIN2DEC(AX26)-BIN2DEC(AX27)</f>
        <v>3</v>
      </c>
      <c r="BG26" s="87">
        <f t="shared" ref="BG26:BL26" si="317">BIN2DEC(AY26)-BIN2DEC(AY27)</f>
        <v>9</v>
      </c>
      <c r="BH26" s="87">
        <f t="shared" si="317"/>
        <v>10</v>
      </c>
      <c r="BI26" s="87">
        <f t="shared" si="317"/>
        <v>-4</v>
      </c>
      <c r="BJ26" s="87">
        <f t="shared" si="317"/>
        <v>-8</v>
      </c>
      <c r="BK26" s="87">
        <f t="shared" si="317"/>
        <v>-12</v>
      </c>
      <c r="BL26" s="87">
        <f t="shared" si="317"/>
        <v>-2</v>
      </c>
      <c r="BM26" s="87">
        <f>BIN2DEC(BE26)-BIN2DEC(BE27)</f>
        <v>-10</v>
      </c>
      <c r="BN26" s="34" t="str">
        <f t="shared" si="6"/>
        <v>1100110010111010</v>
      </c>
      <c r="BO26" s="34" t="str">
        <f t="shared" si="7"/>
        <v>0001000010110011</v>
      </c>
      <c r="BP26" s="87">
        <f>MID(BN26,16,1)*POWER(2,0)+MID(BN26,15,1)*POWER(2,1)+MID(BN26,14,1)*POWER(2,2)+MID(BN26,13,1)*POWER(2,3)+MID(BN26,12,1)*POWER(2,4)+MID(BN26,11,1)*POWER(2,5)+MID(BN26,10,1)*POWER(2,6)+MID(BN26,9,1)*POWER(2,7)+MID(BN26,8,1)*POWER(2,8)+MID(BN26,7,1)*POWER(2,9)+MID(BN26,6,1)*POWER(2,10)+MID(BN26,5,1)*POWER(2,11)+MID(BN26,4,1)*POWER(2,12)+MID(BN26,3,1)*POWER(2,13)+MID(BN26,2,1)*POWER(2,14)+MID(BN26,1,1)*POWER(2,15)-(MID(BN27,16,1)*POWER(2,0)+MID(BN27,15,1)*POWER(2,1)+MID(BN27,14,1)*POWER(2,2)+MID(BN27,13,1)*POWER(2,3)+MID(BN27,12,1)*POWER(2,4)+MID(BN27,11,1)*POWER(2,5)+MID(BN27,10,1)*POWER(2,6)+MID(BN27,9,1)*POWER(2,7)+MID(BN27,8,1)*POWER(2,8)+MID(BN27,7,1)*POWER(2,9)+MID(BN27,6,1)*POWER(2,10)+MID(BN27,5,1)*POWER(2,11)+MID(BN27,4,1)*POWER(2,12)+MID(BN27,3,1)*POWER(2,13)+MID(BN27,2,1)*POWER(2,14)+MID(BN27,1,1)*POWER(2,15))</f>
        <v>51640</v>
      </c>
      <c r="BQ26" s="87">
        <f>MID(BO26,16,1)*POWER(2,0)+MID(BO26,15,1)*POWER(2,1)+MID(BO26,14,1)*POWER(2,2)+MID(BO26,13,1)*POWER(2,3)+MID(BO26,12,1)*POWER(2,4)+MID(BO26,11,1)*POWER(2,5)+MID(BO26,10,1)*POWER(2,6)+MID(BO26,9,1)*POWER(2,7)+MID(BO26,8,1)*POWER(2,8)+MID(BO26,7,1)*POWER(2,9)+MID(BO26,6,1)*POWER(2,10)+MID(BO26,5,1)*POWER(2,11)+MID(BO26,4,1)*POWER(2,12)+MID(BO26,3,1)*POWER(2,13)+MID(BO26,2,1)*POWER(2,14)+MID(BO26,1,1)*POWER(2,15)-(MID(BO27,16,1)*POWER(2,0)+MID(BO27,15,1)*POWER(2,1)+MID(BO27,14,1)*POWER(2,2)+MID(BO27,13,1)*POWER(2,3)+MID(BO27,12,1)*POWER(2,4)+MID(BO27,11,1)*POWER(2,5)+MID(BO27,10,1)*POWER(2,6)+MID(BO27,9,1)*POWER(2,7)+MID(BO27,8,1)*POWER(2,8)+MID(BO27,7,1)*POWER(2,9)+MID(BO27,6,1)*POWER(2,10)+MID(BO27,5,1)*POWER(2,11)+MID(BO27,4,1)*POWER(2,12)+MID(BO27,3,1)*POWER(2,13)+MID(BO27,2,1)*POWER(2,14)+MID(BO27,1,1)*POWER(2,15))</f>
        <v>4210</v>
      </c>
      <c r="BR26" s="33" t="str">
        <f>CONCATENATE(MID($L26,1,1)*MID($K26,1,1),MID($L26,2,1)*MID($K26,2,1),MID($L26,3,1)*MID($K26,3,1),MID($L26,4,1)*MID($K26,4,1),MID($L26,5,1)*MID($K26,5,1),MID($L26,6,1)*MID($K26,6,1),MID($L26,7,1)*MID($K26,7,1),MID($L26,8,1)*MID($K26,8,1),MID($L26,9,1)*MID($K26,1,1),MID($L26,10,1)*MID($K26,2,1),MID($L26,11,1)*MID($K26,3,1),MID($L26,12,1)*MID($K26,4,1),MID($L26,13,1)*MID($K26,5,1),MID($L26,14,1)*MID($K26,6,1),MID($L26,15,1)*MID($K26,7,1),MID($L26,16,1)*MID($K26,8,1),MID($L26,17,1)*MID($K26,1,1),MID($L26,18,1)*MID($K26,2,1),MID($L26,19,1)*MID($K26,3,1),MID($L26,20,1)*MID($K26,4,1),MID($L26,21,1)*MID($K26,5,1),MID($L26,22,1)*MID($K26,6,1),MID($L26,23,1)*MID($K26,7,1),MID($L26,24,1)*MID($K26,8,1),MID($L26,25,1)*MID($K26,1,1),MID($L26,26,1)*MID($K26,2,1),MID($L26,27,1)*MID($K26,3,1),MID($L26,28,1)*MID($K26,4,1),MID($L26,29,1)*MID($K26,5,1),MID($L26,30,1)*MID($K26,6,1),MID($L26,31,1)*MID($K26,7,1),MID($L26,32,1)*MID($K26,8,1))</f>
        <v>01000000001000100000000000100011</v>
      </c>
      <c r="BS26" s="34" t="str">
        <f t="shared" si="62"/>
        <v>01000000</v>
      </c>
      <c r="BT26" s="34" t="str">
        <f t="shared" si="63"/>
        <v>00100010</v>
      </c>
      <c r="BU26" s="34" t="str">
        <f t="shared" si="64"/>
        <v>00000000</v>
      </c>
      <c r="BV26" s="34" t="str">
        <f t="shared" si="65"/>
        <v>00100011</v>
      </c>
      <c r="BW26" s="87">
        <f>BIN2DEC(BS26)-BIN2DEC(BS27)</f>
        <v>-83</v>
      </c>
      <c r="BX26" s="87">
        <f>BIN2DEC(BT26)-BIN2DEC(BT27)</f>
        <v>4</v>
      </c>
      <c r="BY26" s="87">
        <f>BIN2DEC(BU26)-BIN2DEC(BU27)</f>
        <v>-156</v>
      </c>
      <c r="BZ26" s="87">
        <f>BIN2DEC(BV26)-BIN2DEC(BV27)</f>
        <v>-186</v>
      </c>
      <c r="CA26" s="35" t="str">
        <f t="shared" si="66"/>
        <v>1100</v>
      </c>
      <c r="CB26" s="35" t="str">
        <f t="shared" si="67"/>
        <v>1100</v>
      </c>
      <c r="CC26" s="35" t="str">
        <f t="shared" si="68"/>
        <v>1011</v>
      </c>
      <c r="CD26" s="35" t="str">
        <f t="shared" si="69"/>
        <v>1010</v>
      </c>
      <c r="CE26" s="35" t="str">
        <f t="shared" si="70"/>
        <v>0001</v>
      </c>
      <c r="CF26" s="35" t="str">
        <f t="shared" si="71"/>
        <v>0000</v>
      </c>
      <c r="CG26" s="35" t="str">
        <f t="shared" si="72"/>
        <v>1011</v>
      </c>
      <c r="CH26" s="35" t="str">
        <f t="shared" si="73"/>
        <v>0011</v>
      </c>
      <c r="CI26" s="87">
        <f>BIN2DEC(CA26)-BIN2DEC(CA27)</f>
        <v>3</v>
      </c>
      <c r="CJ26" s="87">
        <f t="shared" ref="CJ26:CO26" si="318">BIN2DEC(CB26)-BIN2DEC(CB27)</f>
        <v>9</v>
      </c>
      <c r="CK26" s="87">
        <f t="shared" si="318"/>
        <v>10</v>
      </c>
      <c r="CL26" s="87">
        <f t="shared" si="318"/>
        <v>-4</v>
      </c>
      <c r="CM26" s="87">
        <f t="shared" si="318"/>
        <v>-8</v>
      </c>
      <c r="CN26" s="87">
        <f t="shared" si="318"/>
        <v>-12</v>
      </c>
      <c r="CO26" s="87">
        <f t="shared" si="318"/>
        <v>-2</v>
      </c>
      <c r="CP26" s="87">
        <f>BIN2DEC(CH26)-BIN2DEC(CH27)</f>
        <v>-10</v>
      </c>
      <c r="CQ26" s="34" t="str">
        <f t="shared" si="9"/>
        <v>0100000000100010</v>
      </c>
      <c r="CR26" s="34" t="str">
        <f t="shared" si="10"/>
        <v>0000000000100011</v>
      </c>
      <c r="CS26" s="87">
        <f>MID(CQ26,16,1)*POWER(2,0)+MID(CQ26,15,1)*POWER(2,1)+MID(CQ26,14,1)*POWER(2,2)+MID(CQ26,13,1)*POWER(2,3)+MID(CQ26,12,1)*POWER(2,4)+MID(CQ26,11,1)*POWER(2,5)+MID(CQ26,10,1)*POWER(2,6)+MID(CQ26,9,1)*POWER(2,7)+MID(CQ26,8,1)*POWER(2,8)+MID(CQ26,7,1)*POWER(2,9)+MID(CQ26,6,1)*POWER(2,10)+MID(CQ26,5,1)*POWER(2,11)+MID(CQ26,4,1)*POWER(2,12)+MID(CQ26,3,1)*POWER(2,13)+MID(CQ26,2,1)*POWER(2,14)+MID(CQ26,1,1)*POWER(2,15)-(MID(CQ27,16,1)*POWER(2,0)+MID(CQ27,15,1)*POWER(2,1)+MID(CQ27,14,1)*POWER(2,2)+MID(CQ27,13,1)*POWER(2,3)+MID(CQ27,12,1)*POWER(2,4)+MID(CQ27,11,1)*POWER(2,5)+MID(CQ27,10,1)*POWER(2,6)+MID(CQ27,9,1)*POWER(2,7)+MID(CQ27,8,1)*POWER(2,8)+MID(CQ27,7,1)*POWER(2,9)+MID(CQ27,6,1)*POWER(2,10)+MID(CQ27,5,1)*POWER(2,11)+MID(CQ27,4,1)*POWER(2,12)+MID(CQ27,3,1)*POWER(2,13)+MID(CQ27,2,1)*POWER(2,14)+MID(CQ27,1,1)*POWER(2,15))</f>
        <v>-21244</v>
      </c>
      <c r="CT26" s="87">
        <f>MID(CR26,16,1)*POWER(2,0)+MID(CR26,15,1)*POWER(2,1)+MID(CR26,14,1)*POWER(2,2)+MID(CR26,13,1)*POWER(2,3)+MID(CR26,12,1)*POWER(2,4)+MID(CR26,11,1)*POWER(2,5)+MID(CR26,10,1)*POWER(2,6)+MID(CR26,9,1)*POWER(2,7)+MID(CR26,8,1)*POWER(2,8)+MID(CR26,7,1)*POWER(2,9)+MID(CR26,6,1)*POWER(2,10)+MID(CR26,5,1)*POWER(2,11)+MID(CR26,4,1)*POWER(2,12)+MID(CR26,3,1)*POWER(2,13)+MID(CR26,2,1)*POWER(2,14)+MID(CR26,1,1)*POWER(2,15)-(MID(CR27,16,1)*POWER(2,0)+MID(CR27,15,1)*POWER(2,1)+MID(CR27,14,1)*POWER(2,2)+MID(CR27,13,1)*POWER(2,3)+MID(CR27,12,1)*POWER(2,4)+MID(CR27,11,1)*POWER(2,5)+MID(CR27,10,1)*POWER(2,6)+MID(CR27,9,1)*POWER(2,7)+MID(CR27,8,1)*POWER(2,8)+MID(CR27,7,1)*POWER(2,9)+MID(CR27,6,1)*POWER(2,10)+MID(CR27,5,1)*POWER(2,11)+MID(CR27,4,1)*POWER(2,12)+MID(CR27,3,1)*POWER(2,13)+MID(CR27,2,1)*POWER(2,14)+MID(CR27,1,1)*POWER(2,15))</f>
        <v>-40122</v>
      </c>
      <c r="CU26" s="33" t="str">
        <f>BR26</f>
        <v>01000000001000100000000000100011</v>
      </c>
      <c r="CV26" s="34" t="str">
        <f t="shared" si="74"/>
        <v>01000000</v>
      </c>
      <c r="CW26" s="34" t="str">
        <f t="shared" si="75"/>
        <v>00100010</v>
      </c>
      <c r="CX26" s="34" t="str">
        <f t="shared" si="76"/>
        <v>00000000</v>
      </c>
      <c r="CY26" s="34" t="str">
        <f t="shared" si="77"/>
        <v>00100011</v>
      </c>
      <c r="CZ26" s="87">
        <f>BIN2DEC(CV26)-BIN2DEC(CV27)</f>
        <v>61</v>
      </c>
      <c r="DA26" s="87">
        <f>BIN2DEC(CW26)-BIN2DEC(CW27)</f>
        <v>32</v>
      </c>
      <c r="DB26" s="87">
        <f>BIN2DEC(CX26)-BIN2DEC(CX27)</f>
        <v>0</v>
      </c>
      <c r="DC26" s="87">
        <f>BIN2DEC(CY26)-BIN2DEC(CY27)</f>
        <v>-30</v>
      </c>
      <c r="DD26" s="35" t="str">
        <f t="shared" si="78"/>
        <v>1100</v>
      </c>
      <c r="DE26" s="35" t="str">
        <f t="shared" si="79"/>
        <v>1100</v>
      </c>
      <c r="DF26" s="35" t="str">
        <f t="shared" si="80"/>
        <v>1011</v>
      </c>
      <c r="DG26" s="35" t="str">
        <f t="shared" si="81"/>
        <v>1010</v>
      </c>
      <c r="DH26" s="35" t="str">
        <f t="shared" si="82"/>
        <v>0001</v>
      </c>
      <c r="DI26" s="35" t="str">
        <f t="shared" si="83"/>
        <v>0000</v>
      </c>
      <c r="DJ26" s="35" t="str">
        <f t="shared" si="84"/>
        <v>1011</v>
      </c>
      <c r="DK26" s="35" t="str">
        <f t="shared" si="85"/>
        <v>0011</v>
      </c>
      <c r="DL26" s="87">
        <f>BIN2DEC(DD26)-BIN2DEC(DD27)</f>
        <v>3</v>
      </c>
      <c r="DM26" s="87">
        <f t="shared" ref="DM26:DR26" si="319">BIN2DEC(DE26)-BIN2DEC(DE27)</f>
        <v>9</v>
      </c>
      <c r="DN26" s="87">
        <f t="shared" si="319"/>
        <v>10</v>
      </c>
      <c r="DO26" s="87">
        <f t="shared" si="319"/>
        <v>-4</v>
      </c>
      <c r="DP26" s="87">
        <f t="shared" si="319"/>
        <v>-8</v>
      </c>
      <c r="DQ26" s="87">
        <f t="shared" si="319"/>
        <v>-12</v>
      </c>
      <c r="DR26" s="87">
        <f t="shared" si="319"/>
        <v>-2</v>
      </c>
      <c r="DS26" s="87">
        <f>BIN2DEC(DK26)-BIN2DEC(DK27)</f>
        <v>-10</v>
      </c>
      <c r="DT26" s="34" t="str">
        <f t="shared" si="12"/>
        <v>0100000000100010</v>
      </c>
      <c r="DU26" s="34" t="str">
        <f t="shared" si="13"/>
        <v>0000000000100011</v>
      </c>
      <c r="DV26" s="87">
        <f>MID(DT26,16,1)*POWER(2,0)+MID(DT26,15,1)*POWER(2,1)+MID(DT26,14,1)*POWER(2,2)+MID(DT26,13,1)*POWER(2,3)+MID(DT26,12,1)*POWER(2,4)+MID(DT26,11,1)*POWER(2,5)+MID(DT26,10,1)*POWER(2,6)+MID(DT26,9,1)*POWER(2,7)+MID(DT26,8,1)*POWER(2,8)+MID(DT26,7,1)*POWER(2,9)+MID(DT26,6,1)*POWER(2,10)+MID(DT26,5,1)*POWER(2,11)+MID(DT26,4,1)*POWER(2,12)+MID(DT26,3,1)*POWER(2,13)+MID(DT26,2,1)*POWER(2,14)+MID(DT26,1,1)*POWER(2,15)-(MID(DT27,16,1)*POWER(2,0)+MID(DT27,15,1)*POWER(2,1)+MID(DT27,14,1)*POWER(2,2)+MID(DT27,13,1)*POWER(2,3)+MID(DT27,12,1)*POWER(2,4)+MID(DT27,11,1)*POWER(2,5)+MID(DT27,10,1)*POWER(2,6)+MID(DT27,9,1)*POWER(2,7)+MID(DT27,8,1)*POWER(2,8)+MID(DT27,7,1)*POWER(2,9)+MID(DT27,6,1)*POWER(2,10)+MID(DT27,5,1)*POWER(2,11)+MID(DT27,4,1)*POWER(2,12)+MID(DT27,3,1)*POWER(2,13)+MID(DT27,2,1)*POWER(2,14)+MID(DT27,1,1)*POWER(2,15))</f>
        <v>15648</v>
      </c>
      <c r="DW26" s="87">
        <f>MID(DU26,16,1)*POWER(2,0)+MID(DU26,15,1)*POWER(2,1)+MID(DU26,14,1)*POWER(2,2)+MID(DU26,13,1)*POWER(2,3)+MID(DU26,12,1)*POWER(2,4)+MID(DU26,11,1)*POWER(2,5)+MID(DU26,10,1)*POWER(2,6)+MID(DU26,9,1)*POWER(2,7)+MID(DU26,8,1)*POWER(2,8)+MID(DU26,7,1)*POWER(2,9)+MID(DU26,6,1)*POWER(2,10)+MID(DU26,5,1)*POWER(2,11)+MID(DU26,4,1)*POWER(2,12)+MID(DU26,3,1)*POWER(2,13)+MID(DU26,2,1)*POWER(2,14)+MID(DU26,1,1)*POWER(2,15)-(MID(DU27,16,1)*POWER(2,0)+MID(DU27,15,1)*POWER(2,1)+MID(DU27,14,1)*POWER(2,2)+MID(DU27,13,1)*POWER(2,3)+MID(DU27,12,1)*POWER(2,4)+MID(DU27,11,1)*POWER(2,5)+MID(DU27,10,1)*POWER(2,6)+MID(DU27,9,1)*POWER(2,7)+MID(DU27,8,1)*POWER(2,8)+MID(DU27,7,1)*POWER(2,9)+MID(DU27,6,1)*POWER(2,10)+MID(DU27,5,1)*POWER(2,11)+MID(DU27,4,1)*POWER(2,12)+MID(DU27,3,1)*POWER(2,13)+MID(DU27,2,1)*POWER(2,14)+MID(DU27,1,1)*POWER(2,15))</f>
        <v>-30</v>
      </c>
      <c r="DX26" s="33" t="str">
        <f>CONCATENATE(MID($H26,1,1)*MID($K26,1,1),MID($H26,2,1)*MID($K26,2,1),MID($H26,3,1)*MID($K26,3,1),MID($H26,4,1)*MID($K26,4,1),MID($H26,5,1)*MID($K26,5,1),MID($H26,6,1)*MID($K26,6,1),MID($H26,7,1)*MID($K26,7,1),MID($H26,8,1)*MID($K26,8,1),MID($H26,9,1)*MID($K26,1,1),MID($H26,10,1)*MID($K26,2,1),MID($H26,11,1)*MID($K26,3,1),MID($H26,12,1)*MID($K26,4,1),MID($H26,13,1)*MID($K26,5,1),MID($H26,14,1)*MID($K26,6,1),MID($H26,15,1)*MID($K26,7,1),MID($H26,16,1)*MID($K26,8,1),MID($H26,17,1)*MID($K26,1,1),MID($H26,18,1)*MID($K26,2,1),MID($H26,19,1)*MID($K26,3,1),MID($H26,20,1)*MID($K26,4,1),MID($H26,21,1)*MID($K26,5,1),MID($H26,22,1)*MID($K26,6,1),MID($H26,23,1)*MID($K26,7,1),MID($H26,24,1)*MID($K26,8,1),MID($H26,25,1)*MID($K26,1,1),MID($H26,26,1)*MID($K26,2,1),MID($H26,27,1)*MID($K26,3,1),MID($H26,28,1)*MID($K26,4,1),MID($H26,29,1)*MID($K26,5,1),MID($H26,30,1)*MID($K26,6,1),MID($H26,31,1)*MID($K26,7,1),MID($H26,32,1)*MID($K26,8,1))</f>
        <v>00000000001000110100000000100010</v>
      </c>
      <c r="DY26" s="34" t="str">
        <f>L26</f>
        <v>11001100101110100001000010110011</v>
      </c>
      <c r="DZ26" s="34" t="str">
        <f t="shared" si="178"/>
        <v>11001100</v>
      </c>
      <c r="EA26" s="34" t="str">
        <f t="shared" si="86"/>
        <v>10111010</v>
      </c>
      <c r="EB26" s="34" t="str">
        <f t="shared" si="87"/>
        <v>00010000</v>
      </c>
      <c r="EC26" s="34" t="str">
        <f t="shared" si="88"/>
        <v>10110011</v>
      </c>
      <c r="ED26" s="87">
        <f>BIN2DEC(DZ26)-BIN2DEC(DZ27)</f>
        <v>185</v>
      </c>
      <c r="EE26" s="87">
        <f>BIN2DEC(EA26)-BIN2DEC(EA27)</f>
        <v>160</v>
      </c>
      <c r="EF26" s="87">
        <f>BIN2DEC(EB26)-BIN2DEC(EB27)</f>
        <v>-8</v>
      </c>
      <c r="EG26" s="87">
        <f>BIN2DEC(EC26)-BIN2DEC(EC27)</f>
        <v>154</v>
      </c>
      <c r="EH26" s="35" t="str">
        <f t="shared" si="89"/>
        <v>1100</v>
      </c>
      <c r="EI26" s="35" t="str">
        <f t="shared" si="90"/>
        <v>1100</v>
      </c>
      <c r="EJ26" s="35" t="str">
        <f t="shared" si="91"/>
        <v>1011</v>
      </c>
      <c r="EK26" s="35" t="str">
        <f t="shared" si="92"/>
        <v>1010</v>
      </c>
      <c r="EL26" s="35" t="str">
        <f t="shared" si="93"/>
        <v>0001</v>
      </c>
      <c r="EM26" s="35" t="str">
        <f t="shared" si="94"/>
        <v>0000</v>
      </c>
      <c r="EN26" s="35" t="str">
        <f t="shared" si="95"/>
        <v>1011</v>
      </c>
      <c r="EO26" s="35" t="str">
        <f t="shared" si="96"/>
        <v>0011</v>
      </c>
      <c r="EP26" s="87">
        <f>BIN2DEC(EH26)-BIN2DEC(EH27)</f>
        <v>3</v>
      </c>
      <c r="EQ26" s="87">
        <f t="shared" ref="EQ26:EV26" si="320">BIN2DEC(EI26)-BIN2DEC(EI27)</f>
        <v>9</v>
      </c>
      <c r="ER26" s="87">
        <f t="shared" si="320"/>
        <v>10</v>
      </c>
      <c r="ES26" s="87">
        <f t="shared" si="320"/>
        <v>-4</v>
      </c>
      <c r="ET26" s="87">
        <f t="shared" si="320"/>
        <v>-8</v>
      </c>
      <c r="EU26" s="87">
        <f t="shared" si="320"/>
        <v>-12</v>
      </c>
      <c r="EV26" s="87">
        <f t="shared" si="320"/>
        <v>-2</v>
      </c>
      <c r="EW26" s="87">
        <f>BIN2DEC(EO26)-BIN2DEC(EO27)</f>
        <v>-10</v>
      </c>
      <c r="EX26" s="34" t="str">
        <f t="shared" si="15"/>
        <v>1100110010111010</v>
      </c>
      <c r="EY26" s="34" t="str">
        <f t="shared" si="16"/>
        <v>0001000010110011</v>
      </c>
      <c r="EZ26" s="87">
        <f>MID(EX26,16,1)*POWER(2,0)+MID(EX26,15,1)*POWER(2,1)+MID(EX26,14,1)*POWER(2,2)+MID(EX26,13,1)*POWER(2,3)+MID(EX26,12,1)*POWER(2,4)+MID(EX26,11,1)*POWER(2,5)+MID(EX26,10,1)*POWER(2,6)+MID(EX26,9,1)*POWER(2,7)+MID(EX26,8,1)*POWER(2,8)+MID(EX26,7,1)*POWER(2,9)+MID(EX26,6,1)*POWER(2,10)+MID(EX26,5,1)*POWER(2,11)+MID(EX26,4,1)*POWER(2,12)+MID(EX26,3,1)*POWER(2,13)+MID(EX26,2,1)*POWER(2,14)+MID(EX26,1,1)*POWER(2,15)-(MID(EX27,16,1)*POWER(2,0)+MID(EX27,15,1)*POWER(2,1)+MID(EX27,14,1)*POWER(2,2)+MID(EX27,13,1)*POWER(2,3)+MID(EX27,12,1)*POWER(2,4)+MID(EX27,11,1)*POWER(2,5)+MID(EX27,10,1)*POWER(2,6)+MID(EX27,9,1)*POWER(2,7)+MID(EX27,8,1)*POWER(2,8)+MID(EX27,7,1)*POWER(2,9)+MID(EX27,6,1)*POWER(2,10)+MID(EX27,5,1)*POWER(2,11)+MID(EX27,4,1)*POWER(2,12)+MID(EX27,3,1)*POWER(2,13)+MID(EX27,2,1)*POWER(2,14)+MID(EX27,1,1)*POWER(2,15))</f>
        <v>47520</v>
      </c>
      <c r="FA26" s="87">
        <f>MID(EY26,16,1)*POWER(2,0)+MID(EY26,15,1)*POWER(2,1)+MID(EY26,14,1)*POWER(2,2)+MID(EY26,13,1)*POWER(2,3)+MID(EY26,12,1)*POWER(2,4)+MID(EY26,11,1)*POWER(2,5)+MID(EY26,10,1)*POWER(2,6)+MID(EY26,9,1)*POWER(2,7)+MID(EY26,8,1)*POWER(2,8)+MID(EY26,7,1)*POWER(2,9)+MID(EY26,6,1)*POWER(2,10)+MID(EY26,5,1)*POWER(2,11)+MID(EY26,4,1)*POWER(2,12)+MID(EY26,3,1)*POWER(2,13)+MID(EY26,2,1)*POWER(2,14)+MID(EY26,1,1)*POWER(2,15)-(MID(EY27,16,1)*POWER(2,0)+MID(EY27,15,1)*POWER(2,1)+MID(EY27,14,1)*POWER(2,2)+MID(EY27,13,1)*POWER(2,3)+MID(EY27,12,1)*POWER(2,4)+MID(EY27,11,1)*POWER(2,5)+MID(EY27,10,1)*POWER(2,6)+MID(EY27,9,1)*POWER(2,7)+MID(EY27,8,1)*POWER(2,8)+MID(EY27,7,1)*POWER(2,9)+MID(EY27,6,1)*POWER(2,10)+MID(EY27,5,1)*POWER(2,11)+MID(EY27,4,1)*POWER(2,12)+MID(EY27,3,1)*POWER(2,13)+MID(EY27,2,1)*POWER(2,14)+MID(EY27,1,1)*POWER(2,15))</f>
        <v>-1894</v>
      </c>
      <c r="FB26" s="33" t="str">
        <f>L26</f>
        <v>11001100101110100001000010110011</v>
      </c>
      <c r="FC26" s="34" t="str">
        <f t="shared" si="180"/>
        <v>11001100</v>
      </c>
      <c r="FD26" s="34" t="str">
        <f t="shared" si="97"/>
        <v>10111010</v>
      </c>
      <c r="FE26" s="34" t="str">
        <f t="shared" si="98"/>
        <v>00010000</v>
      </c>
      <c r="FF26" s="34" t="str">
        <f t="shared" si="99"/>
        <v>10110011</v>
      </c>
      <c r="FG26" s="87">
        <f>BIN2DEC(FC26)-BIN2DEC(FC27)</f>
        <v>201</v>
      </c>
      <c r="FH26" s="87">
        <f>BIN2DEC(FD26)-BIN2DEC(FD27)</f>
        <v>184</v>
      </c>
      <c r="FI26" s="87">
        <f>BIN2DEC(FE26)-BIN2DEC(FE27)</f>
        <v>16</v>
      </c>
      <c r="FJ26" s="87">
        <f>BIN2DEC(FF26)-BIN2DEC(FF27)</f>
        <v>178</v>
      </c>
      <c r="FK26" s="35" t="str">
        <f t="shared" si="100"/>
        <v>1100</v>
      </c>
      <c r="FL26" s="35" t="str">
        <f t="shared" si="101"/>
        <v>1100</v>
      </c>
      <c r="FM26" s="35" t="str">
        <f t="shared" si="102"/>
        <v>1011</v>
      </c>
      <c r="FN26" s="35" t="str">
        <f t="shared" si="103"/>
        <v>1010</v>
      </c>
      <c r="FO26" s="35" t="str">
        <f t="shared" si="104"/>
        <v>0001</v>
      </c>
      <c r="FP26" s="35" t="str">
        <f t="shared" si="105"/>
        <v>0000</v>
      </c>
      <c r="FQ26" s="35" t="str">
        <f t="shared" si="106"/>
        <v>1011</v>
      </c>
      <c r="FR26" s="35" t="str">
        <f t="shared" si="107"/>
        <v>0011</v>
      </c>
      <c r="FS26" s="87">
        <f>BIN2DEC(FK26)-BIN2DEC(FK27)</f>
        <v>3</v>
      </c>
      <c r="FT26" s="87">
        <f t="shared" ref="FT26:FY26" si="321">BIN2DEC(FL26)-BIN2DEC(FL27)</f>
        <v>9</v>
      </c>
      <c r="FU26" s="87">
        <f t="shared" si="321"/>
        <v>10</v>
      </c>
      <c r="FV26" s="87">
        <f t="shared" si="321"/>
        <v>-4</v>
      </c>
      <c r="FW26" s="87">
        <f t="shared" si="321"/>
        <v>-8</v>
      </c>
      <c r="FX26" s="87">
        <f t="shared" si="321"/>
        <v>-12</v>
      </c>
      <c r="FY26" s="87">
        <f t="shared" si="321"/>
        <v>-2</v>
      </c>
      <c r="FZ26" s="87">
        <f>BIN2DEC(FR26)-BIN2DEC(FR27)</f>
        <v>-10</v>
      </c>
      <c r="GA26" s="34" t="str">
        <f t="shared" si="18"/>
        <v>1100110010111010</v>
      </c>
      <c r="GB26" s="34" t="str">
        <f t="shared" si="19"/>
        <v>0001000010110011</v>
      </c>
      <c r="GC26" s="87">
        <f>MID(GA26,16,1)*POWER(2,0)+MID(GA26,15,1)*POWER(2,1)+MID(GA26,14,1)*POWER(2,2)+MID(GA26,13,1)*POWER(2,3)+MID(GA26,12,1)*POWER(2,4)+MID(GA26,11,1)*POWER(2,5)+MID(GA26,10,1)*POWER(2,6)+MID(GA26,9,1)*POWER(2,7)+MID(GA26,8,1)*POWER(2,8)+MID(GA26,7,1)*POWER(2,9)+MID(GA26,6,1)*POWER(2,10)+MID(GA26,5,1)*POWER(2,11)+MID(GA26,4,1)*POWER(2,12)+MID(GA26,3,1)*POWER(2,13)+MID(GA26,2,1)*POWER(2,14)+MID(GA26,1,1)*POWER(2,15)-(MID(GA27,16,1)*POWER(2,0)+MID(GA27,15,1)*POWER(2,1)+MID(GA27,14,1)*POWER(2,2)+MID(GA27,13,1)*POWER(2,3)+MID(GA27,12,1)*POWER(2,4)+MID(GA27,11,1)*POWER(2,5)+MID(GA27,10,1)*POWER(2,6)+MID(GA27,9,1)*POWER(2,7)+MID(GA27,8,1)*POWER(2,8)+MID(GA27,7,1)*POWER(2,9)+MID(GA27,6,1)*POWER(2,10)+MID(GA27,5,1)*POWER(2,11)+MID(GA27,4,1)*POWER(2,12)+MID(GA27,3,1)*POWER(2,13)+MID(GA27,2,1)*POWER(2,14)+MID(GA27,1,1)*POWER(2,15))</f>
        <v>51640</v>
      </c>
      <c r="GD26" s="87">
        <f>MID(GB26,16,1)*POWER(2,0)+MID(GB26,15,1)*POWER(2,1)+MID(GB26,14,1)*POWER(2,2)+MID(GB26,13,1)*POWER(2,3)+MID(GB26,12,1)*POWER(2,4)+MID(GB26,11,1)*POWER(2,5)+MID(GB26,10,1)*POWER(2,6)+MID(GB26,9,1)*POWER(2,7)+MID(GB26,8,1)*POWER(2,8)+MID(GB26,7,1)*POWER(2,9)+MID(GB26,6,1)*POWER(2,10)+MID(GB26,5,1)*POWER(2,11)+MID(GB26,4,1)*POWER(2,12)+MID(GB26,3,1)*POWER(2,13)+MID(GB26,2,1)*POWER(2,14)+MID(GB26,1,1)*POWER(2,15)-(MID(GB27,16,1)*POWER(2,0)+MID(GB27,15,1)*POWER(2,1)+MID(GB27,14,1)*POWER(2,2)+MID(GB27,13,1)*POWER(2,3)+MID(GB27,12,1)*POWER(2,4)+MID(GB27,11,1)*POWER(2,5)+MID(GB27,10,1)*POWER(2,6)+MID(GB27,9,1)*POWER(2,7)+MID(GB27,8,1)*POWER(2,8)+MID(GB27,7,1)*POWER(2,9)+MID(GB27,6,1)*POWER(2,10)+MID(GB27,5,1)*POWER(2,11)+MID(GB27,4,1)*POWER(2,12)+MID(GB27,3,1)*POWER(2,13)+MID(GB27,2,1)*POWER(2,14)+MID(GB27,1,1)*POWER(2,15))</f>
        <v>4274</v>
      </c>
      <c r="GE26" s="35" t="str">
        <f>CU26</f>
        <v>01000000001000100000000000100011</v>
      </c>
      <c r="GF26" s="34" t="str">
        <f t="shared" si="182"/>
        <v>01000000</v>
      </c>
      <c r="GG26" s="34" t="str">
        <f t="shared" si="108"/>
        <v>00100010</v>
      </c>
      <c r="GH26" s="34" t="str">
        <f t="shared" si="109"/>
        <v>00000000</v>
      </c>
      <c r="GI26" s="34" t="str">
        <f t="shared" si="110"/>
        <v>00100011</v>
      </c>
      <c r="GJ26" s="87">
        <f>BIN2DEC(GF26)-BIN2DEC(GF27)</f>
        <v>45</v>
      </c>
      <c r="GK26" s="87">
        <f>BIN2DEC(GG26)-BIN2DEC(GG27)</f>
        <v>8</v>
      </c>
      <c r="GL26" s="87">
        <f>BIN2DEC(GH26)-BIN2DEC(GH27)</f>
        <v>-24</v>
      </c>
      <c r="GM26" s="87">
        <f>BIN2DEC(GI26)-BIN2DEC(GI27)</f>
        <v>10</v>
      </c>
      <c r="GN26" s="35" t="str">
        <f t="shared" si="111"/>
        <v>1100</v>
      </c>
      <c r="GO26" s="35" t="str">
        <f t="shared" si="112"/>
        <v>1100</v>
      </c>
      <c r="GP26" s="35" t="str">
        <f t="shared" si="113"/>
        <v>1011</v>
      </c>
      <c r="GQ26" s="35" t="str">
        <f t="shared" si="114"/>
        <v>1010</v>
      </c>
      <c r="GR26" s="35" t="str">
        <f t="shared" si="115"/>
        <v>0001</v>
      </c>
      <c r="GS26" s="35" t="str">
        <f t="shared" si="116"/>
        <v>0000</v>
      </c>
      <c r="GT26" s="35" t="str">
        <f t="shared" si="117"/>
        <v>1011</v>
      </c>
      <c r="GU26" s="35" t="str">
        <f t="shared" si="118"/>
        <v>0011</v>
      </c>
      <c r="GV26" s="87">
        <f>BIN2DEC(GN26)-BIN2DEC(GN27)</f>
        <v>3</v>
      </c>
      <c r="GW26" s="87">
        <f t="shared" ref="GW26:HB26" si="322">BIN2DEC(GO26)-BIN2DEC(GO27)</f>
        <v>9</v>
      </c>
      <c r="GX26" s="87">
        <f t="shared" si="322"/>
        <v>10</v>
      </c>
      <c r="GY26" s="87">
        <f t="shared" si="322"/>
        <v>-4</v>
      </c>
      <c r="GZ26" s="87">
        <f t="shared" si="322"/>
        <v>-8</v>
      </c>
      <c r="HA26" s="87">
        <f t="shared" si="322"/>
        <v>-12</v>
      </c>
      <c r="HB26" s="87">
        <f t="shared" si="322"/>
        <v>-2</v>
      </c>
      <c r="HC26" s="87">
        <f>BIN2DEC(GU26)-BIN2DEC(GU27)</f>
        <v>-10</v>
      </c>
      <c r="HD26" s="34" t="str">
        <f t="shared" si="21"/>
        <v>0100000000100010</v>
      </c>
      <c r="HE26" s="34" t="str">
        <f t="shared" si="22"/>
        <v>0000000000100011</v>
      </c>
      <c r="HF26" s="87">
        <f>MID(HD26,16,1)*POWER(2,0)+MID(HD26,15,1)*POWER(2,1)+MID(HD26,14,1)*POWER(2,2)+MID(HD26,13,1)*POWER(2,3)+MID(HD26,12,1)*POWER(2,4)+MID(HD26,11,1)*POWER(2,5)+MID(HD26,10,1)*POWER(2,6)+MID(HD26,9,1)*POWER(2,7)+MID(HD26,8,1)*POWER(2,8)+MID(HD26,7,1)*POWER(2,9)+MID(HD26,6,1)*POWER(2,10)+MID(HD26,5,1)*POWER(2,11)+MID(HD26,4,1)*POWER(2,12)+MID(HD26,3,1)*POWER(2,13)+MID(HD26,2,1)*POWER(2,14)+MID(HD26,1,1)*POWER(2,15)-(MID(HD27,16,1)*POWER(2,0)+MID(HD27,15,1)*POWER(2,1)+MID(HD27,14,1)*POWER(2,2)+MID(HD27,13,1)*POWER(2,3)+MID(HD27,12,1)*POWER(2,4)+MID(HD27,11,1)*POWER(2,5)+MID(HD27,10,1)*POWER(2,6)+MID(HD27,9,1)*POWER(2,7)+MID(HD27,8,1)*POWER(2,8)+MID(HD27,7,1)*POWER(2,9)+MID(HD27,6,1)*POWER(2,10)+MID(HD27,5,1)*POWER(2,11)+MID(HD27,4,1)*POWER(2,12)+MID(HD27,3,1)*POWER(2,13)+MID(HD27,2,1)*POWER(2,14)+MID(HD27,1,1)*POWER(2,15))</f>
        <v>11528</v>
      </c>
      <c r="HG26" s="87">
        <f>MID(HE26,16,1)*POWER(2,0)+MID(HE26,15,1)*POWER(2,1)+MID(HE26,14,1)*POWER(2,2)+MID(HE26,13,1)*POWER(2,3)+MID(HE26,12,1)*POWER(2,4)+MID(HE26,11,1)*POWER(2,5)+MID(HE26,10,1)*POWER(2,6)+MID(HE26,9,1)*POWER(2,7)+MID(HE26,8,1)*POWER(2,8)+MID(HE26,7,1)*POWER(2,9)+MID(HE26,6,1)*POWER(2,10)+MID(HE26,5,1)*POWER(2,11)+MID(HE26,4,1)*POWER(2,12)+MID(HE26,3,1)*POWER(2,13)+MID(HE26,2,1)*POWER(2,14)+MID(HE26,1,1)*POWER(2,15)-(MID(HE27,16,1)*POWER(2,0)+MID(HE27,15,1)*POWER(2,1)+MID(HE27,14,1)*POWER(2,2)+MID(HE27,13,1)*POWER(2,3)+MID(HE27,12,1)*POWER(2,4)+MID(HE27,11,1)*POWER(2,5)+MID(HE27,10,1)*POWER(2,6)+MID(HE27,9,1)*POWER(2,7)+MID(HE27,8,1)*POWER(2,8)+MID(HE27,7,1)*POWER(2,9)+MID(HE27,6,1)*POWER(2,10)+MID(HE27,5,1)*POWER(2,11)+MID(HE27,4,1)*POWER(2,12)+MID(HE27,3,1)*POWER(2,13)+MID(HE27,2,1)*POWER(2,14)+MID(HE27,1,1)*POWER(2,15))</f>
        <v>-6134</v>
      </c>
      <c r="HH26" s="34" t="str">
        <f>CONCATENATE(MID(DX26,17,16),MID(DX26,1,16))</f>
        <v>01000000001000100000000000100011</v>
      </c>
      <c r="HI26" s="34" t="str">
        <f t="shared" si="184"/>
        <v>01000000</v>
      </c>
      <c r="HJ26" s="34" t="str">
        <f t="shared" si="119"/>
        <v>00100010</v>
      </c>
      <c r="HK26" s="34" t="str">
        <f t="shared" si="120"/>
        <v>00000000</v>
      </c>
      <c r="HL26" s="34" t="str">
        <f t="shared" si="121"/>
        <v>00100011</v>
      </c>
      <c r="HM26" s="87">
        <f>BIN2DEC(HI26)-BIN2DEC(HI27)</f>
        <v>61</v>
      </c>
      <c r="HN26" s="87">
        <f>BIN2DEC(HJ26)-BIN2DEC(HJ27)</f>
        <v>32</v>
      </c>
      <c r="HO26" s="87">
        <f>BIN2DEC(HK26)-BIN2DEC(HK27)</f>
        <v>0</v>
      </c>
      <c r="HP26" s="87">
        <f>BIN2DEC(HL26)-BIN2DEC(HL27)</f>
        <v>34</v>
      </c>
      <c r="HQ26" s="35" t="str">
        <f t="shared" si="122"/>
        <v>1100</v>
      </c>
      <c r="HR26" s="35" t="str">
        <f t="shared" si="123"/>
        <v>1100</v>
      </c>
      <c r="HS26" s="35" t="str">
        <f t="shared" si="124"/>
        <v>1011</v>
      </c>
      <c r="HT26" s="35" t="str">
        <f t="shared" si="125"/>
        <v>1010</v>
      </c>
      <c r="HU26" s="35" t="str">
        <f t="shared" si="126"/>
        <v>0001</v>
      </c>
      <c r="HV26" s="35" t="str">
        <f t="shared" si="127"/>
        <v>0000</v>
      </c>
      <c r="HW26" s="35" t="str">
        <f t="shared" si="128"/>
        <v>1011</v>
      </c>
      <c r="HX26" s="35" t="str">
        <f t="shared" si="129"/>
        <v>0011</v>
      </c>
      <c r="HY26" s="87">
        <f>BIN2DEC(HQ26)-BIN2DEC(HQ27)</f>
        <v>3</v>
      </c>
      <c r="HZ26" s="87">
        <f t="shared" ref="HZ26:IE26" si="323">BIN2DEC(HR26)-BIN2DEC(HR27)</f>
        <v>9</v>
      </c>
      <c r="IA26" s="87">
        <f t="shared" si="323"/>
        <v>10</v>
      </c>
      <c r="IB26" s="87">
        <f t="shared" si="323"/>
        <v>-4</v>
      </c>
      <c r="IC26" s="87">
        <f t="shared" si="323"/>
        <v>-8</v>
      </c>
      <c r="ID26" s="87">
        <f t="shared" si="323"/>
        <v>-12</v>
      </c>
      <c r="IE26" s="87">
        <f t="shared" si="323"/>
        <v>-2</v>
      </c>
      <c r="IF26" s="87">
        <f>BIN2DEC(HX26)-BIN2DEC(HX27)</f>
        <v>-10</v>
      </c>
      <c r="IG26" s="34" t="str">
        <f t="shared" si="24"/>
        <v>0100000000100010</v>
      </c>
      <c r="IH26" s="34" t="str">
        <f t="shared" si="25"/>
        <v>0000000000100011</v>
      </c>
      <c r="II26" s="87">
        <f>MID(IG26,16,1)*POWER(2,0)+MID(IG26,15,1)*POWER(2,1)+MID(IG26,14,1)*POWER(2,2)+MID(IG26,13,1)*POWER(2,3)+MID(IG26,12,1)*POWER(2,4)+MID(IG26,11,1)*POWER(2,5)+MID(IG26,10,1)*POWER(2,6)+MID(IG26,9,1)*POWER(2,7)+MID(IG26,8,1)*POWER(2,8)+MID(IG26,7,1)*POWER(2,9)+MID(IG26,6,1)*POWER(2,10)+MID(IG26,5,1)*POWER(2,11)+MID(IG26,4,1)*POWER(2,12)+MID(IG26,3,1)*POWER(2,13)+MID(IG26,2,1)*POWER(2,14)+MID(IG26,1,1)*POWER(2,15)-(MID(IG27,16,1)*POWER(2,0)+MID(IG27,15,1)*POWER(2,1)+MID(IG27,14,1)*POWER(2,2)+MID(IG27,13,1)*POWER(2,3)+MID(IG27,12,1)*POWER(2,4)+MID(IG27,11,1)*POWER(2,5)+MID(IG27,10,1)*POWER(2,6)+MID(IG27,9,1)*POWER(2,7)+MID(IG27,8,1)*POWER(2,8)+MID(IG27,7,1)*POWER(2,9)+MID(IG27,6,1)*POWER(2,10)+MID(IG27,5,1)*POWER(2,11)+MID(IG27,4,1)*POWER(2,12)+MID(IG27,3,1)*POWER(2,13)+MID(IG27,2,1)*POWER(2,14)+MID(IG27,1,1)*POWER(2,15))</f>
        <v>15648</v>
      </c>
      <c r="IJ26" s="87">
        <f>MID(IH26,16,1)*POWER(2,0)+MID(IH26,15,1)*POWER(2,1)+MID(IH26,14,1)*POWER(2,2)+MID(IH26,13,1)*POWER(2,3)+MID(IH26,12,1)*POWER(2,4)+MID(IH26,11,1)*POWER(2,5)+MID(IH26,10,1)*POWER(2,6)+MID(IH26,9,1)*POWER(2,7)+MID(IH26,8,1)*POWER(2,8)+MID(IH26,7,1)*POWER(2,9)+MID(IH26,6,1)*POWER(2,10)+MID(IH26,5,1)*POWER(2,11)+MID(IH26,4,1)*POWER(2,12)+MID(IH26,3,1)*POWER(2,13)+MID(IH26,2,1)*POWER(2,14)+MID(IH26,1,1)*POWER(2,15)-(MID(IH27,16,1)*POWER(2,0)+MID(IH27,15,1)*POWER(2,1)+MID(IH27,14,1)*POWER(2,2)+MID(IH27,13,1)*POWER(2,3)+MID(IH27,12,1)*POWER(2,4)+MID(IH27,11,1)*POWER(2,5)+MID(IH27,10,1)*POWER(2,6)+MID(IH27,9,1)*POWER(2,7)+MID(IH27,8,1)*POWER(2,8)+MID(IH27,7,1)*POWER(2,9)+MID(IH27,6,1)*POWER(2,10)+MID(IH27,5,1)*POWER(2,11)+MID(IH27,4,1)*POWER(2,12)+MID(IH27,3,1)*POWER(2,13)+MID(IH27,2,1)*POWER(2,14)+MID(IH27,1,1)*POWER(2,15))</f>
        <v>34</v>
      </c>
      <c r="IK26" s="34" t="str">
        <f>HH26</f>
        <v>01000000001000100000000000100011</v>
      </c>
      <c r="IL26" s="34" t="str">
        <f t="shared" si="186"/>
        <v>01000000</v>
      </c>
      <c r="IM26" s="34" t="str">
        <f t="shared" si="130"/>
        <v>00100010</v>
      </c>
      <c r="IN26" s="34" t="str">
        <f t="shared" si="131"/>
        <v>00000000</v>
      </c>
      <c r="IO26" s="34" t="str">
        <f t="shared" si="132"/>
        <v>00100011</v>
      </c>
      <c r="IP26" s="87">
        <f>BIN2DEC(IL26)-BIN2DEC(IL27)</f>
        <v>-83</v>
      </c>
      <c r="IQ26" s="87">
        <f>BIN2DEC(IM26)-BIN2DEC(IM27)</f>
        <v>4</v>
      </c>
      <c r="IR26" s="87">
        <f>BIN2DEC(IN26)-BIN2DEC(IN27)</f>
        <v>-156</v>
      </c>
      <c r="IS26" s="87">
        <f>BIN2DEC(IO26)-BIN2DEC(IO27)</f>
        <v>-186</v>
      </c>
      <c r="IT26" s="35" t="str">
        <f t="shared" si="133"/>
        <v>1100</v>
      </c>
      <c r="IU26" s="35" t="str">
        <f t="shared" si="134"/>
        <v>1100</v>
      </c>
      <c r="IV26" s="35" t="str">
        <f t="shared" si="135"/>
        <v>1011</v>
      </c>
      <c r="IW26" s="35" t="str">
        <f t="shared" si="136"/>
        <v>1010</v>
      </c>
      <c r="IX26" s="35" t="str">
        <f t="shared" si="137"/>
        <v>0001</v>
      </c>
      <c r="IY26" s="35" t="str">
        <f t="shared" si="138"/>
        <v>0000</v>
      </c>
      <c r="IZ26" s="35" t="str">
        <f t="shared" si="139"/>
        <v>1011</v>
      </c>
      <c r="JA26" s="35" t="str">
        <f t="shared" si="140"/>
        <v>0011</v>
      </c>
      <c r="JB26" s="87">
        <f t="shared" ref="JB26:JI26" si="324">BIN2DEC(IT26)-BIN2DEC(IT27)</f>
        <v>3</v>
      </c>
      <c r="JC26" s="87">
        <f t="shared" si="324"/>
        <v>9</v>
      </c>
      <c r="JD26" s="87">
        <f t="shared" si="324"/>
        <v>10</v>
      </c>
      <c r="JE26" s="87">
        <f t="shared" si="324"/>
        <v>-4</v>
      </c>
      <c r="JF26" s="87">
        <f t="shared" si="324"/>
        <v>-8</v>
      </c>
      <c r="JG26" s="87">
        <f t="shared" si="324"/>
        <v>-12</v>
      </c>
      <c r="JH26" s="87">
        <f t="shared" si="324"/>
        <v>-2</v>
      </c>
      <c r="JI26" s="87">
        <f t="shared" si="324"/>
        <v>-10</v>
      </c>
      <c r="JJ26" s="34" t="str">
        <f t="shared" si="27"/>
        <v>0100000000100010</v>
      </c>
      <c r="JK26" s="34" t="str">
        <f t="shared" si="28"/>
        <v>0000000000100011</v>
      </c>
      <c r="JL26" s="87">
        <f>MID(JJ26,16,1)*POWER(2,0)+MID(JJ26,15,1)*POWER(2,1)+MID(JJ26,14,1)*POWER(2,2)+MID(JJ26,13,1)*POWER(2,3)+MID(JJ26,12,1)*POWER(2,4)+MID(JJ26,11,1)*POWER(2,5)+MID(JJ26,10,1)*POWER(2,6)+MID(JJ26,9,1)*POWER(2,7)+MID(JJ26,8,1)*POWER(2,8)+MID(JJ26,7,1)*POWER(2,9)+MID(JJ26,6,1)*POWER(2,10)+MID(JJ26,5,1)*POWER(2,11)+MID(JJ26,4,1)*POWER(2,12)+MID(JJ26,3,1)*POWER(2,13)+MID(JJ26,2,1)*POWER(2,14)+MID(JJ26,1,1)*POWER(2,15)-(MID(JJ27,16,1)*POWER(2,0)+MID(JJ27,15,1)*POWER(2,1)+MID(JJ27,14,1)*POWER(2,2)+MID(JJ27,13,1)*POWER(2,3)+MID(JJ27,12,1)*POWER(2,4)+MID(JJ27,11,1)*POWER(2,5)+MID(JJ27,10,1)*POWER(2,6)+MID(JJ27,9,1)*POWER(2,7)+MID(JJ27,8,1)*POWER(2,8)+MID(JJ27,7,1)*POWER(2,9)+MID(JJ27,6,1)*POWER(2,10)+MID(JJ27,5,1)*POWER(2,11)+MID(JJ27,4,1)*POWER(2,12)+MID(JJ27,3,1)*POWER(2,13)+MID(JJ27,2,1)*POWER(2,14)+MID(JJ27,1,1)*POWER(2,15))</f>
        <v>-21244</v>
      </c>
      <c r="JM26" s="87">
        <f>MID(JK26,16,1)*POWER(2,0)+MID(JK26,15,1)*POWER(2,1)+MID(JK26,14,1)*POWER(2,2)+MID(JK26,13,1)*POWER(2,3)+MID(JK26,12,1)*POWER(2,4)+MID(JK26,11,1)*POWER(2,5)+MID(JK26,10,1)*POWER(2,6)+MID(JK26,9,1)*POWER(2,7)+MID(JK26,8,1)*POWER(2,8)+MID(JK26,7,1)*POWER(2,9)+MID(JK26,6,1)*POWER(2,10)+MID(JK26,5,1)*POWER(2,11)+MID(JK26,4,1)*POWER(2,12)+MID(JK26,3,1)*POWER(2,13)+MID(JK26,2,1)*POWER(2,14)+MID(JK26,1,1)*POWER(2,15)-(MID(JK27,16,1)*POWER(2,0)+MID(JK27,15,1)*POWER(2,1)+MID(JK27,14,1)*POWER(2,2)+MID(JK27,13,1)*POWER(2,3)+MID(JK27,12,1)*POWER(2,4)+MID(JK27,11,1)*POWER(2,5)+MID(JK27,10,1)*POWER(2,6)+MID(JK27,9,1)*POWER(2,7)+MID(JK27,8,1)*POWER(2,8)+MID(JK27,7,1)*POWER(2,9)+MID(JK27,6,1)*POWER(2,10)+MID(JK27,5,1)*POWER(2,11)+MID(JK27,4,1)*POWER(2,12)+MID(JK27,3,1)*POWER(2,13)+MID(JK27,2,1)*POWER(2,14)+MID(JK27,1,1)*POWER(2,15))</f>
        <v>-40122</v>
      </c>
      <c r="JN26" s="33" t="str">
        <f>CONCATENATE(MID(IK26,1,1)*MID($K26,1,1),MID(IK26,2,1)*MID($K26,2,1),MID(IK26,3,1)*MID($K26,3,1),MID(IK26,4,1)*MID($K26,4,1),MID(IK26,5,1)*MID($K26,5,1),MID(IK26,6,1)*MID($K26,6,1),MID(IK26,7,1)*MID($K26,7,1),MID(IK26,8,1)*MID($K26,8,1),MID(IK26,9,1)*MID($K26,1,1),MID(IK26,10,1)*MID($K26,2,1),MID(IK26,11,1)*MID($K26,3,1),MID(IK26,12,1)*MID($K26,4,1),MID(IK26,13,1)*MID($K26,5,1),MID(IK26,14,1)*MID($K26,6,1),MID(IK26,15,1)*MID($K26,7,1),MID(IK26,16,1)*MID($K26,8,1),MID(IK26,17,1)*MID($K26,1,1),MID(IK26,18,1)*MID($K26,2,1),MID(IK26,19,1)*MID($K26,3,1),MID(IK26,20,1)*MID($K26,4,1),MID(IK26,21,1)*MID($K26,5,1),MID(IK26,22,1)*MID($K26,6,1),MID(IK26,23,1)*MID($K26,7,1),MID(IK26,24,1)*MID($K26,8,1),MID(IK26,25,1)*MID($K26,1,1),MID(IK26,26,1)*MID($K26,2,1),MID(IK26,27,1)*MID($K26,3,1),MID(IK26,28,1)*MID($K26,4,1),MID(IK26,29,1)*MID($K26,5,1),MID(IK26,30,1)*MID($K26,6,1),MID(IK26,31,1)*MID($K26,7,1),MID(IK26,32,1)*MID($K26,8,1))</f>
        <v>01000000001000100000000000100011</v>
      </c>
      <c r="JO26" s="34" t="str">
        <f t="shared" si="188"/>
        <v>01000000</v>
      </c>
      <c r="JP26" s="34" t="str">
        <f t="shared" si="141"/>
        <v>00100010</v>
      </c>
      <c r="JQ26" s="34" t="str">
        <f t="shared" si="142"/>
        <v>00000000</v>
      </c>
      <c r="JR26" s="34" t="str">
        <f t="shared" si="143"/>
        <v>00100011</v>
      </c>
      <c r="JS26" s="87">
        <f>BIN2DEC(JO26)-BIN2DEC(JO27)</f>
        <v>-83</v>
      </c>
      <c r="JT26" s="87">
        <f>BIN2DEC(JP26)-BIN2DEC(JP27)</f>
        <v>4</v>
      </c>
      <c r="JU26" s="87">
        <f>BIN2DEC(JQ26)-BIN2DEC(JQ27)</f>
        <v>-156</v>
      </c>
      <c r="JV26" s="87">
        <f>BIN2DEC(JR26)-BIN2DEC(JR27)</f>
        <v>-186</v>
      </c>
      <c r="JW26" s="35" t="str">
        <f t="shared" si="144"/>
        <v>1100</v>
      </c>
      <c r="JX26" s="35" t="str">
        <f t="shared" si="145"/>
        <v>1100</v>
      </c>
      <c r="JY26" s="35" t="str">
        <f t="shared" si="146"/>
        <v>1011</v>
      </c>
      <c r="JZ26" s="35" t="str">
        <f t="shared" si="147"/>
        <v>1010</v>
      </c>
      <c r="KA26" s="35" t="str">
        <f t="shared" si="148"/>
        <v>0001</v>
      </c>
      <c r="KB26" s="35" t="str">
        <f t="shared" si="149"/>
        <v>0000</v>
      </c>
      <c r="KC26" s="35" t="str">
        <f t="shared" si="150"/>
        <v>1011</v>
      </c>
      <c r="KD26" s="35" t="str">
        <f t="shared" si="151"/>
        <v>0011</v>
      </c>
      <c r="KE26" s="87">
        <f t="shared" ref="KE26:KL26" si="325">BIN2DEC(JW26)-BIN2DEC(JW27)</f>
        <v>3</v>
      </c>
      <c r="KF26" s="87">
        <f t="shared" si="325"/>
        <v>9</v>
      </c>
      <c r="KG26" s="87">
        <f t="shared" si="325"/>
        <v>10</v>
      </c>
      <c r="KH26" s="87">
        <f t="shared" si="325"/>
        <v>-4</v>
      </c>
      <c r="KI26" s="87">
        <f t="shared" si="325"/>
        <v>-8</v>
      </c>
      <c r="KJ26" s="87">
        <f t="shared" si="325"/>
        <v>-12</v>
      </c>
      <c r="KK26" s="87">
        <f t="shared" si="325"/>
        <v>-2</v>
      </c>
      <c r="KL26" s="87">
        <f t="shared" si="325"/>
        <v>-10</v>
      </c>
      <c r="KM26" s="34" t="str">
        <f t="shared" si="30"/>
        <v>0100000000100010</v>
      </c>
      <c r="KN26" s="34" t="str">
        <f t="shared" si="31"/>
        <v>0000000000100011</v>
      </c>
      <c r="KO26" s="87">
        <f>MID(KM26,16,1)*POWER(2,0)+MID(KM26,15,1)*POWER(2,1)+MID(KM26,14,1)*POWER(2,2)+MID(KM26,13,1)*POWER(2,3)+MID(KM26,12,1)*POWER(2,4)+MID(KM26,11,1)*POWER(2,5)+MID(KM26,10,1)*POWER(2,6)+MID(KM26,9,1)*POWER(2,7)+MID(KM26,8,1)*POWER(2,8)+MID(KM26,7,1)*POWER(2,9)+MID(KM26,6,1)*POWER(2,10)+MID(KM26,5,1)*POWER(2,11)+MID(KM26,4,1)*POWER(2,12)+MID(KM26,3,1)*POWER(2,13)+MID(KM26,2,1)*POWER(2,14)+MID(KM26,1,1)*POWER(2,15)-(MID(KM27,16,1)*POWER(2,0)+MID(KM27,15,1)*POWER(2,1)+MID(KM27,14,1)*POWER(2,2)+MID(KM27,13,1)*POWER(2,3)+MID(KM27,12,1)*POWER(2,4)+MID(KM27,11,1)*POWER(2,5)+MID(KM27,10,1)*POWER(2,6)+MID(KM27,9,1)*POWER(2,7)+MID(KM27,8,1)*POWER(2,8)+MID(KM27,7,1)*POWER(2,9)+MID(KM27,6,1)*POWER(2,10)+MID(KM27,5,1)*POWER(2,11)+MID(KM27,4,1)*POWER(2,12)+MID(KM27,3,1)*POWER(2,13)+MID(KM27,2,1)*POWER(2,14)+MID(KM27,1,1)*POWER(2,15))</f>
        <v>-21244</v>
      </c>
      <c r="KP26" s="87">
        <f>MID(KN26,16,1)*POWER(2,0)+MID(KN26,15,1)*POWER(2,1)+MID(KN26,14,1)*POWER(2,2)+MID(KN26,13,1)*POWER(2,3)+MID(KN26,12,1)*POWER(2,4)+MID(KN26,11,1)*POWER(2,5)+MID(KN26,10,1)*POWER(2,6)+MID(KN26,9,1)*POWER(2,7)+MID(KN26,8,1)*POWER(2,8)+MID(KN26,7,1)*POWER(2,9)+MID(KN26,6,1)*POWER(2,10)+MID(KN26,5,1)*POWER(2,11)+MID(KN26,4,1)*POWER(2,12)+MID(KN26,3,1)*POWER(2,13)+MID(KN26,2,1)*POWER(2,14)+MID(KN26,1,1)*POWER(2,15)-(MID(KN27,16,1)*POWER(2,0)+MID(KN27,15,1)*POWER(2,1)+MID(KN27,14,1)*POWER(2,2)+MID(KN27,13,1)*POWER(2,3)+MID(KN27,12,1)*POWER(2,4)+MID(KN27,11,1)*POWER(2,5)+MID(KN27,10,1)*POWER(2,6)+MID(KN27,9,1)*POWER(2,7)+MID(KN27,8,1)*POWER(2,8)+MID(KN27,7,1)*POWER(2,9)+MID(KN27,6,1)*POWER(2,10)+MID(KN27,5,1)*POWER(2,11)+MID(KN27,4,1)*POWER(2,12)+MID(KN27,3,1)*POWER(2,13)+MID(KN27,2,1)*POWER(2,14)+MID(KN27,1,1)*POWER(2,15))</f>
        <v>-40122</v>
      </c>
      <c r="KQ26" s="35" t="str">
        <f>IK26</f>
        <v>01000000001000100000000000100011</v>
      </c>
      <c r="KR26" s="34" t="str">
        <f t="shared" si="190"/>
        <v>01000000</v>
      </c>
      <c r="KS26" s="34" t="str">
        <f t="shared" si="152"/>
        <v>00100010</v>
      </c>
      <c r="KT26" s="34" t="str">
        <f t="shared" si="153"/>
        <v>00000000</v>
      </c>
      <c r="KU26" s="34" t="str">
        <f t="shared" si="154"/>
        <v>00100011</v>
      </c>
      <c r="KV26" s="87">
        <f>BIN2DEC(KR26)-BIN2DEC(KR27)</f>
        <v>61</v>
      </c>
      <c r="KW26" s="87">
        <f>BIN2DEC(KS26)-BIN2DEC(KS27)</f>
        <v>32</v>
      </c>
      <c r="KX26" s="87">
        <f>BIN2DEC(KT26)-BIN2DEC(KT27)</f>
        <v>0</v>
      </c>
      <c r="KY26" s="87">
        <f>BIN2DEC(KU26)-BIN2DEC(KU27)</f>
        <v>-30</v>
      </c>
      <c r="KZ26" s="35" t="str">
        <f t="shared" si="155"/>
        <v>1100</v>
      </c>
      <c r="LA26" s="35" t="str">
        <f t="shared" si="156"/>
        <v>1100</v>
      </c>
      <c r="LB26" s="35" t="str">
        <f t="shared" si="157"/>
        <v>1011</v>
      </c>
      <c r="LC26" s="35" t="str">
        <f t="shared" si="158"/>
        <v>1010</v>
      </c>
      <c r="LD26" s="35" t="str">
        <f t="shared" si="159"/>
        <v>0001</v>
      </c>
      <c r="LE26" s="35" t="str">
        <f t="shared" si="160"/>
        <v>0000</v>
      </c>
      <c r="LF26" s="35" t="str">
        <f t="shared" si="161"/>
        <v>1011</v>
      </c>
      <c r="LG26" s="35" t="str">
        <f t="shared" si="162"/>
        <v>0011</v>
      </c>
      <c r="LH26" s="87">
        <f t="shared" ref="LH26:LO26" si="326">BIN2DEC(KZ26)-BIN2DEC(KZ27)</f>
        <v>3</v>
      </c>
      <c r="LI26" s="87">
        <f t="shared" si="326"/>
        <v>9</v>
      </c>
      <c r="LJ26" s="87">
        <f t="shared" si="326"/>
        <v>10</v>
      </c>
      <c r="LK26" s="87">
        <f t="shared" si="326"/>
        <v>-4</v>
      </c>
      <c r="LL26" s="87">
        <f t="shared" si="326"/>
        <v>-8</v>
      </c>
      <c r="LM26" s="87">
        <f t="shared" si="326"/>
        <v>-12</v>
      </c>
      <c r="LN26" s="87">
        <f t="shared" si="326"/>
        <v>-2</v>
      </c>
      <c r="LO26" s="87">
        <f t="shared" si="326"/>
        <v>-10</v>
      </c>
      <c r="LP26" s="34" t="str">
        <f t="shared" si="33"/>
        <v>0100000000100010</v>
      </c>
      <c r="LQ26" s="34" t="str">
        <f t="shared" si="34"/>
        <v>0000000000100011</v>
      </c>
      <c r="LR26" s="87">
        <f>MID(LP26,16,1)*POWER(2,0)+MID(LP26,15,1)*POWER(2,1)+MID(LP26,14,1)*POWER(2,2)+MID(LP26,13,1)*POWER(2,3)+MID(LP26,12,1)*POWER(2,4)+MID(LP26,11,1)*POWER(2,5)+MID(LP26,10,1)*POWER(2,6)+MID(LP26,9,1)*POWER(2,7)+MID(LP26,8,1)*POWER(2,8)+MID(LP26,7,1)*POWER(2,9)+MID(LP26,6,1)*POWER(2,10)+MID(LP26,5,1)*POWER(2,11)+MID(LP26,4,1)*POWER(2,12)+MID(LP26,3,1)*POWER(2,13)+MID(LP26,2,1)*POWER(2,14)+MID(LP26,1,1)*POWER(2,15)-(MID(LP27,16,1)*POWER(2,0)+MID(LP27,15,1)*POWER(2,1)+MID(LP27,14,1)*POWER(2,2)+MID(LP27,13,1)*POWER(2,3)+MID(LP27,12,1)*POWER(2,4)+MID(LP27,11,1)*POWER(2,5)+MID(LP27,10,1)*POWER(2,6)+MID(LP27,9,1)*POWER(2,7)+MID(LP27,8,1)*POWER(2,8)+MID(LP27,7,1)*POWER(2,9)+MID(LP27,6,1)*POWER(2,10)+MID(LP27,5,1)*POWER(2,11)+MID(LP27,4,1)*POWER(2,12)+MID(LP27,3,1)*POWER(2,13)+MID(LP27,2,1)*POWER(2,14)+MID(LP27,1,1)*POWER(2,15))</f>
        <v>15648</v>
      </c>
      <c r="LS26" s="87">
        <f>MID(LQ26,16,1)*POWER(2,0)+MID(LQ26,15,1)*POWER(2,1)+MID(LQ26,14,1)*POWER(2,2)+MID(LQ26,13,1)*POWER(2,3)+MID(LQ26,12,1)*POWER(2,4)+MID(LQ26,11,1)*POWER(2,5)+MID(LQ26,10,1)*POWER(2,6)+MID(LQ26,9,1)*POWER(2,7)+MID(LQ26,8,1)*POWER(2,8)+MID(LQ26,7,1)*POWER(2,9)+MID(LQ26,6,1)*POWER(2,10)+MID(LQ26,5,1)*POWER(2,11)+MID(LQ26,4,1)*POWER(2,12)+MID(LQ26,3,1)*POWER(2,13)+MID(LQ26,2,1)*POWER(2,14)+MID(LQ26,1,1)*POWER(2,15)-(MID(LQ27,16,1)*POWER(2,0)+MID(LQ27,15,1)*POWER(2,1)+MID(LQ27,14,1)*POWER(2,2)+MID(LQ27,13,1)*POWER(2,3)+MID(LQ27,12,1)*POWER(2,4)+MID(LQ27,11,1)*POWER(2,5)+MID(LQ27,10,1)*POWER(2,6)+MID(LQ27,9,1)*POWER(2,7)+MID(LQ27,8,1)*POWER(2,8)+MID(LQ27,7,1)*POWER(2,9)+MID(LQ27,6,1)*POWER(2,10)+MID(LQ27,5,1)*POWER(2,11)+MID(LQ27,4,1)*POWER(2,12)+MID(LQ27,3,1)*POWER(2,13)+MID(LQ27,2,1)*POWER(2,14)+MID(LQ27,1,1)*POWER(2,15))</f>
        <v>-30</v>
      </c>
      <c r="LT26" s="34" t="str">
        <f>JN26</f>
        <v>01000000001000100000000000100011</v>
      </c>
      <c r="LU26" s="34" t="str">
        <f t="shared" si="192"/>
        <v>01000000</v>
      </c>
      <c r="LV26" s="34" t="str">
        <f t="shared" si="163"/>
        <v>00100010</v>
      </c>
      <c r="LW26" s="34" t="str">
        <f t="shared" si="164"/>
        <v>00000000</v>
      </c>
      <c r="LX26" s="34" t="str">
        <f t="shared" si="165"/>
        <v>00100011</v>
      </c>
      <c r="LY26" s="87">
        <f>BIN2DEC(LU26)-BIN2DEC(LU27)</f>
        <v>45</v>
      </c>
      <c r="LZ26" s="87">
        <f>BIN2DEC(LV26)-BIN2DEC(LV27)</f>
        <v>8</v>
      </c>
      <c r="MA26" s="87">
        <f>BIN2DEC(LW26)-BIN2DEC(LW27)</f>
        <v>-24</v>
      </c>
      <c r="MB26" s="87">
        <f>BIN2DEC(LX26)-BIN2DEC(LX27)</f>
        <v>10</v>
      </c>
      <c r="MC26" s="35" t="str">
        <f t="shared" si="166"/>
        <v>1100</v>
      </c>
      <c r="MD26" s="35" t="str">
        <f t="shared" si="167"/>
        <v>1100</v>
      </c>
      <c r="ME26" s="35" t="str">
        <f t="shared" si="168"/>
        <v>1011</v>
      </c>
      <c r="MF26" s="35" t="str">
        <f t="shared" si="169"/>
        <v>1010</v>
      </c>
      <c r="MG26" s="35" t="str">
        <f t="shared" si="170"/>
        <v>0001</v>
      </c>
      <c r="MH26" s="35" t="str">
        <f t="shared" si="171"/>
        <v>0000</v>
      </c>
      <c r="MI26" s="35" t="str">
        <f t="shared" si="172"/>
        <v>1011</v>
      </c>
      <c r="MJ26" s="35" t="str">
        <f t="shared" si="173"/>
        <v>0011</v>
      </c>
      <c r="MK26" s="87">
        <f t="shared" ref="MK26:MR26" si="327">BIN2DEC(MC26)-BIN2DEC(MC27)</f>
        <v>3</v>
      </c>
      <c r="ML26" s="87">
        <f t="shared" si="327"/>
        <v>9</v>
      </c>
      <c r="MM26" s="87">
        <f t="shared" si="327"/>
        <v>10</v>
      </c>
      <c r="MN26" s="87">
        <f t="shared" si="327"/>
        <v>-4</v>
      </c>
      <c r="MO26" s="87">
        <f t="shared" si="327"/>
        <v>-8</v>
      </c>
      <c r="MP26" s="87">
        <f t="shared" si="327"/>
        <v>-12</v>
      </c>
      <c r="MQ26" s="87">
        <f t="shared" si="327"/>
        <v>-2</v>
      </c>
      <c r="MR26" s="87">
        <f t="shared" si="327"/>
        <v>-10</v>
      </c>
      <c r="MS26" s="34" t="str">
        <f t="shared" si="36"/>
        <v>0100000000100010</v>
      </c>
      <c r="MT26" s="34" t="str">
        <f t="shared" si="37"/>
        <v>0000000000100011</v>
      </c>
      <c r="MU26" s="87">
        <f>MID(MS26,16,1)*POWER(2,0)+MID(MS26,15,1)*POWER(2,1)+MID(MS26,14,1)*POWER(2,2)+MID(MS26,13,1)*POWER(2,3)+MID(MS26,12,1)*POWER(2,4)+MID(MS26,11,1)*POWER(2,5)+MID(MS26,10,1)*POWER(2,6)+MID(MS26,9,1)*POWER(2,7)+MID(MS26,8,1)*POWER(2,8)+MID(MS26,7,1)*POWER(2,9)+MID(MS26,6,1)*POWER(2,10)+MID(MS26,5,1)*POWER(2,11)+MID(MS26,4,1)*POWER(2,12)+MID(MS26,3,1)*POWER(2,13)+MID(MS26,2,1)*POWER(2,14)+MID(MS26,1,1)*POWER(2,15)-(MID(MS27,16,1)*POWER(2,0)+MID(MS27,15,1)*POWER(2,1)+MID(MS27,14,1)*POWER(2,2)+MID(MS27,13,1)*POWER(2,3)+MID(MS27,12,1)*POWER(2,4)+MID(MS27,11,1)*POWER(2,5)+MID(MS27,10,1)*POWER(2,6)+MID(MS27,9,1)*POWER(2,7)+MID(MS27,8,1)*POWER(2,8)+MID(MS27,7,1)*POWER(2,9)+MID(MS27,6,1)*POWER(2,10)+MID(MS27,5,1)*POWER(2,11)+MID(MS27,4,1)*POWER(2,12)+MID(MS27,3,1)*POWER(2,13)+MID(MS27,2,1)*POWER(2,14)+MID(MS27,1,1)*POWER(2,15))</f>
        <v>11528</v>
      </c>
      <c r="MV26" s="87">
        <f>MID(MT26,16,1)*POWER(2,0)+MID(MT26,15,1)*POWER(2,1)+MID(MT26,14,1)*POWER(2,2)+MID(MT26,13,1)*POWER(2,3)+MID(MT26,12,1)*POWER(2,4)+MID(MT26,11,1)*POWER(2,5)+MID(MT26,10,1)*POWER(2,6)+MID(MT26,9,1)*POWER(2,7)+MID(MT26,8,1)*POWER(2,8)+MID(MT26,7,1)*POWER(2,9)+MID(MT26,6,1)*POWER(2,10)+MID(MT26,5,1)*POWER(2,11)+MID(MT26,4,1)*POWER(2,12)+MID(MT26,3,1)*POWER(2,13)+MID(MT26,2,1)*POWER(2,14)+MID(MT26,1,1)*POWER(2,15)-(MID(MT27,16,1)*POWER(2,0)+MID(MT27,15,1)*POWER(2,1)+MID(MT27,14,1)*POWER(2,2)+MID(MT27,13,1)*POWER(2,3)+MID(MT27,12,1)*POWER(2,4)+MID(MT27,11,1)*POWER(2,5)+MID(MT27,10,1)*POWER(2,6)+MID(MT27,9,1)*POWER(2,7)+MID(MT27,8,1)*POWER(2,8)+MID(MT27,7,1)*POWER(2,9)+MID(MT27,6,1)*POWER(2,10)+MID(MT27,5,1)*POWER(2,11)+MID(MT27,4,1)*POWER(2,12)+MID(MT27,3,1)*POWER(2,13)+MID(MT27,2,1)*POWER(2,14)+MID(MT27,1,1)*POWER(2,15))</f>
        <v>-6134</v>
      </c>
    </row>
    <row r="27" spans="1:360" s="39" customFormat="1" ht="18.600000000000001" thickBot="1" x14ac:dyDescent="0.4">
      <c r="A27" s="36"/>
      <c r="B27" s="37"/>
      <c r="C27" s="51" t="s">
        <v>6</v>
      </c>
      <c r="D27" s="51" t="s">
        <v>57</v>
      </c>
      <c r="E27" s="51">
        <v>83</v>
      </c>
      <c r="F27" s="51" t="s">
        <v>87</v>
      </c>
      <c r="G27" s="51" t="s">
        <v>41</v>
      </c>
      <c r="H27" s="51" t="str">
        <f t="shared" si="278"/>
        <v>11010010100000111011001101111011</v>
      </c>
      <c r="I27" s="51">
        <f t="shared" si="279"/>
        <v>18</v>
      </c>
      <c r="J27" s="51"/>
      <c r="K27" s="51"/>
      <c r="L27" s="38" t="str">
        <f>CONCATENATE(MID(H27,4,5),MID(H27,25,3),MID(H27,12,5),MID(H27,1,3),MID(H27,20,5),MID(H27,9,3),MID(H27,28,5),MID(H27,17,3))</f>
        <v>10010011000111101001110011011101</v>
      </c>
      <c r="M27" s="34" t="str">
        <f t="shared" si="38"/>
        <v>10010</v>
      </c>
      <c r="N27" s="26" t="str">
        <f t="shared" si="39"/>
        <v>00011</v>
      </c>
      <c r="O27" s="26" t="str">
        <f t="shared" si="40"/>
        <v>10011</v>
      </c>
      <c r="P27" s="26" t="str">
        <f t="shared" si="41"/>
        <v>11011</v>
      </c>
      <c r="Q27" s="88"/>
      <c r="R27" s="88"/>
      <c r="S27" s="88"/>
      <c r="T27" s="88"/>
      <c r="U27" s="39" t="str">
        <f t="shared" si="42"/>
        <v>1001</v>
      </c>
      <c r="V27" s="39" t="str">
        <f t="shared" si="43"/>
        <v>0011</v>
      </c>
      <c r="W27" s="39" t="str">
        <f t="shared" si="44"/>
        <v>0001</v>
      </c>
      <c r="X27" s="39" t="str">
        <f t="shared" si="45"/>
        <v>1110</v>
      </c>
      <c r="Y27" s="39" t="str">
        <f t="shared" si="46"/>
        <v>1001</v>
      </c>
      <c r="Z27" s="39" t="str">
        <f t="shared" si="47"/>
        <v>1100</v>
      </c>
      <c r="AA27" s="39" t="str">
        <f t="shared" si="48"/>
        <v>1101</v>
      </c>
      <c r="AB27" s="39" t="str">
        <f t="shared" si="49"/>
        <v>1101</v>
      </c>
      <c r="AC27" s="88"/>
      <c r="AD27" s="88"/>
      <c r="AE27" s="88"/>
      <c r="AF27" s="88"/>
      <c r="AG27" s="88"/>
      <c r="AH27" s="88"/>
      <c r="AI27" s="88"/>
      <c r="AJ27" s="88"/>
      <c r="AK27" s="38" t="str">
        <f t="shared" si="3"/>
        <v>1001001100011110</v>
      </c>
      <c r="AL27" s="38" t="str">
        <f t="shared" si="4"/>
        <v>1001110011011101</v>
      </c>
      <c r="AM27" s="88"/>
      <c r="AN27" s="88"/>
      <c r="AO27" s="37" t="str">
        <f>CONCATENATE(MID($L27,1,1)*MID($K26,1,1),MID($L27,2,1)*MID($K26,2,1),MID($L27,3,1)*MID($K26,3,1),MID($L27,4,1)*MID($K26,4,1),MID($L27,5,1)*MID($K26,5,1),MID($L27,6,1)*MID($K26,6,1),MID($L27,7,1)*MID($K26,7,1),MID($L27,8,1)*MID($K26,8,1),MID($L27,9,1)*MID($K26,1,1),MID($L27,10,1)*MID($K26,2,1),MID($L27,11,1)*MID($K26,3,1),MID($L27,12,1)*MID($K26,4,1),MID($L27,13,1)*MID($K26,5,1),MID($L27,14,1)*MID($K26,6,1),MID($L27,15,1)*MID($K26,7,1),MID($L27,16,1)*MID($K26,8,1),MID($L27,17,1)*MID($K26,1,1),MID($L27,18,1)*MID($K26,2,1),MID($L27,19,1)*MID($K26,3,1),MID($L27,20,1)*MID($K26,4,1),MID($L27,21,1)*MID($K26,5,1),MID($L27,22,1)*MID($K26,6,1),MID($L27,23,1)*MID($K26,7,1),MID($L27,24,1)*MID($K26,8,1),MID($L27,25,1)*MID($K26,1,1),MID($L27,26,1)*MID($K26,2,1),MID($L27,27,1)*MID($K26,3,1),MID($L27,28,1)*MID($K26,4,1),MID($L27,29,1)*MID($K26,5,1),MID($L27,30,1)*MID($K26,6,1),MID($L27,31,1)*MID($K26,7,1),MID($L27,32,1)*MID($K26,8,1))</f>
        <v>00000011000000100000000001000001</v>
      </c>
      <c r="AP27" s="38" t="str">
        <f t="shared" si="50"/>
        <v>00000011</v>
      </c>
      <c r="AQ27" s="38" t="str">
        <f t="shared" si="51"/>
        <v>00000010</v>
      </c>
      <c r="AR27" s="38" t="str">
        <f t="shared" si="52"/>
        <v>00000000</v>
      </c>
      <c r="AS27" s="38" t="str">
        <f t="shared" si="53"/>
        <v>01000001</v>
      </c>
      <c r="AT27" s="88"/>
      <c r="AU27" s="88"/>
      <c r="AV27" s="88"/>
      <c r="AW27" s="88"/>
      <c r="AX27" s="39" t="str">
        <f t="shared" si="54"/>
        <v>1001</v>
      </c>
      <c r="AY27" s="39" t="str">
        <f t="shared" si="55"/>
        <v>0011</v>
      </c>
      <c r="AZ27" s="39" t="str">
        <f t="shared" si="56"/>
        <v>0001</v>
      </c>
      <c r="BA27" s="39" t="str">
        <f t="shared" si="57"/>
        <v>1110</v>
      </c>
      <c r="BB27" s="39" t="str">
        <f t="shared" si="58"/>
        <v>1001</v>
      </c>
      <c r="BC27" s="39" t="str">
        <f t="shared" si="59"/>
        <v>1100</v>
      </c>
      <c r="BD27" s="39" t="str">
        <f t="shared" si="60"/>
        <v>1101</v>
      </c>
      <c r="BE27" s="39" t="str">
        <f t="shared" si="61"/>
        <v>1101</v>
      </c>
      <c r="BF27" s="88"/>
      <c r="BG27" s="88"/>
      <c r="BH27" s="88"/>
      <c r="BI27" s="88"/>
      <c r="BJ27" s="88"/>
      <c r="BK27" s="88"/>
      <c r="BL27" s="88"/>
      <c r="BM27" s="88"/>
      <c r="BN27" s="38" t="str">
        <f t="shared" si="6"/>
        <v>0000001100000010</v>
      </c>
      <c r="BO27" s="38" t="str">
        <f t="shared" si="7"/>
        <v>0000000001000001</v>
      </c>
      <c r="BP27" s="88"/>
      <c r="BQ27" s="88"/>
      <c r="BR27" s="37" t="str">
        <f>L27</f>
        <v>10010011000111101001110011011101</v>
      </c>
      <c r="BS27" s="38" t="str">
        <f t="shared" si="62"/>
        <v>10010011</v>
      </c>
      <c r="BT27" s="38" t="str">
        <f t="shared" si="63"/>
        <v>00011110</v>
      </c>
      <c r="BU27" s="38" t="str">
        <f t="shared" si="64"/>
        <v>10011100</v>
      </c>
      <c r="BV27" s="38" t="str">
        <f t="shared" si="65"/>
        <v>11011101</v>
      </c>
      <c r="BW27" s="88"/>
      <c r="BX27" s="88"/>
      <c r="BY27" s="88"/>
      <c r="BZ27" s="88"/>
      <c r="CA27" s="39" t="str">
        <f t="shared" si="66"/>
        <v>1001</v>
      </c>
      <c r="CB27" s="39" t="str">
        <f t="shared" si="67"/>
        <v>0011</v>
      </c>
      <c r="CC27" s="39" t="str">
        <f t="shared" si="68"/>
        <v>0001</v>
      </c>
      <c r="CD27" s="39" t="str">
        <f t="shared" si="69"/>
        <v>1110</v>
      </c>
      <c r="CE27" s="39" t="str">
        <f t="shared" si="70"/>
        <v>1001</v>
      </c>
      <c r="CF27" s="39" t="str">
        <f t="shared" si="71"/>
        <v>1100</v>
      </c>
      <c r="CG27" s="39" t="str">
        <f t="shared" si="72"/>
        <v>1101</v>
      </c>
      <c r="CH27" s="39" t="str">
        <f t="shared" si="73"/>
        <v>1101</v>
      </c>
      <c r="CI27" s="88"/>
      <c r="CJ27" s="88"/>
      <c r="CK27" s="88"/>
      <c r="CL27" s="88"/>
      <c r="CM27" s="88"/>
      <c r="CN27" s="88"/>
      <c r="CO27" s="88"/>
      <c r="CP27" s="88"/>
      <c r="CQ27" s="38" t="str">
        <f t="shared" si="9"/>
        <v>1001001100011110</v>
      </c>
      <c r="CR27" s="38" t="str">
        <f t="shared" si="10"/>
        <v>1001110011011101</v>
      </c>
      <c r="CS27" s="88"/>
      <c r="CT27" s="88"/>
      <c r="CU27" s="37" t="str">
        <f>AO27</f>
        <v>00000011000000100000000001000001</v>
      </c>
      <c r="CV27" s="38" t="str">
        <f t="shared" si="74"/>
        <v>00000011</v>
      </c>
      <c r="CW27" s="38" t="str">
        <f t="shared" si="75"/>
        <v>00000010</v>
      </c>
      <c r="CX27" s="38" t="str">
        <f t="shared" si="76"/>
        <v>00000000</v>
      </c>
      <c r="CY27" s="38" t="str">
        <f t="shared" si="77"/>
        <v>01000001</v>
      </c>
      <c r="CZ27" s="88"/>
      <c r="DA27" s="88"/>
      <c r="DB27" s="88"/>
      <c r="DC27" s="88"/>
      <c r="DD27" s="39" t="str">
        <f t="shared" si="78"/>
        <v>1001</v>
      </c>
      <c r="DE27" s="39" t="str">
        <f t="shared" si="79"/>
        <v>0011</v>
      </c>
      <c r="DF27" s="39" t="str">
        <f t="shared" si="80"/>
        <v>0001</v>
      </c>
      <c r="DG27" s="39" t="str">
        <f t="shared" si="81"/>
        <v>1110</v>
      </c>
      <c r="DH27" s="39" t="str">
        <f t="shared" si="82"/>
        <v>1001</v>
      </c>
      <c r="DI27" s="39" t="str">
        <f t="shared" si="83"/>
        <v>1100</v>
      </c>
      <c r="DJ27" s="39" t="str">
        <f t="shared" si="84"/>
        <v>1101</v>
      </c>
      <c r="DK27" s="39" t="str">
        <f t="shared" si="85"/>
        <v>1101</v>
      </c>
      <c r="DL27" s="88"/>
      <c r="DM27" s="88"/>
      <c r="DN27" s="88"/>
      <c r="DO27" s="88"/>
      <c r="DP27" s="88"/>
      <c r="DQ27" s="88"/>
      <c r="DR27" s="88"/>
      <c r="DS27" s="88"/>
      <c r="DT27" s="38" t="str">
        <f t="shared" si="12"/>
        <v>0000001100000010</v>
      </c>
      <c r="DU27" s="38" t="str">
        <f t="shared" si="13"/>
        <v>0000000001000001</v>
      </c>
      <c r="DV27" s="88"/>
      <c r="DW27" s="88"/>
      <c r="DX27" s="37" t="str">
        <f>CONCATENATE(MID($H27,1,1)*MID($K26,1,1),MID($H27,2,1)*MID($K26,2,1),MID($H27,3,1)*MID($K26,3,1),MID($H27,4,1)*MID($K26,4,1),MID($H27,5,1)*MID($K26,5,1),MID($H27,6,1)*MID($K26,6,1),MID($H27,7,1)*MID($K26,7,1),MID($H27,8,1)*MID($K26,8,1),MID($H27,9,1)*MID($K26,1,1),MID($H27,10,1)*MID($K26,2,1),MID($H27,11,1)*MID($K26,3,1),MID($H27,12,1)*MID($K26,4,1),MID($H27,13,1)*MID($K26,5,1),MID($H27,14,1)*MID($K26,6,1),MID($H27,15,1)*MID($K26,7,1),MID($H27,16,1)*MID($K26,8,1),MID($H27,17,1)*MID($K26,1,1),MID($H27,18,1)*MID($K26,2,1),MID($H27,19,1)*MID($K26,3,1),MID($H27,20,1)*MID($K26,4,1),MID($H27,21,1)*MID($K26,5,1),MID($H27,22,1)*MID($K26,6,1),MID($H27,23,1)*MID($K26,7,1),MID($H27,24,1)*MID($K26,8,1),MID($H27,25,1)*MID($K26,1,1),MID($H27,26,1)*MID($K26,2,1),MID($H27,27,1)*MID($K26,3,1),MID($H27,28,1)*MID($K26,4,1),MID($H27,29,1)*MID($K26,5,1),MID($H27,30,1)*MID($K26,6,1),MID($H27,31,1)*MID($K26,7,1),MID($H27,32,1)*MID($K26,8,1))</f>
        <v>01000010000000110010001101100011</v>
      </c>
      <c r="DY27" s="38" t="str">
        <f>CONCATENATE(MID(DX27,4,5),MID(DX27,25,3),MID(DX27,12,5),MID(DX27,1,3),MID(DX27,20,5),MID(DX27,9,3),MID(DX27,28,5),MID(DX27,17,3))</f>
        <v>00010011000110100001100000011001</v>
      </c>
      <c r="DZ27" s="38" t="str">
        <f t="shared" si="178"/>
        <v>00010011</v>
      </c>
      <c r="EA27" s="38" t="str">
        <f t="shared" si="86"/>
        <v>00011010</v>
      </c>
      <c r="EB27" s="38" t="str">
        <f t="shared" si="87"/>
        <v>00011000</v>
      </c>
      <c r="EC27" s="38" t="str">
        <f t="shared" si="88"/>
        <v>00011001</v>
      </c>
      <c r="ED27" s="88"/>
      <c r="EE27" s="88"/>
      <c r="EF27" s="88"/>
      <c r="EG27" s="88"/>
      <c r="EH27" s="39" t="str">
        <f t="shared" si="89"/>
        <v>1001</v>
      </c>
      <c r="EI27" s="39" t="str">
        <f t="shared" si="90"/>
        <v>0011</v>
      </c>
      <c r="EJ27" s="39" t="str">
        <f t="shared" si="91"/>
        <v>0001</v>
      </c>
      <c r="EK27" s="39" t="str">
        <f t="shared" si="92"/>
        <v>1110</v>
      </c>
      <c r="EL27" s="39" t="str">
        <f t="shared" si="93"/>
        <v>1001</v>
      </c>
      <c r="EM27" s="39" t="str">
        <f t="shared" si="94"/>
        <v>1100</v>
      </c>
      <c r="EN27" s="39" t="str">
        <f t="shared" si="95"/>
        <v>1101</v>
      </c>
      <c r="EO27" s="39" t="str">
        <f t="shared" si="96"/>
        <v>1101</v>
      </c>
      <c r="EP27" s="88"/>
      <c r="EQ27" s="88"/>
      <c r="ER27" s="88"/>
      <c r="ES27" s="88"/>
      <c r="ET27" s="88"/>
      <c r="EU27" s="88"/>
      <c r="EV27" s="88"/>
      <c r="EW27" s="88"/>
      <c r="EX27" s="38" t="str">
        <f t="shared" si="15"/>
        <v>0001001100011010</v>
      </c>
      <c r="EY27" s="38" t="str">
        <f t="shared" si="16"/>
        <v>0001100000011001</v>
      </c>
      <c r="EZ27" s="88"/>
      <c r="FA27" s="88"/>
      <c r="FB27" s="37" t="str">
        <f>CONCATENATE(MID(DY27,1,1)*MID($K26,1,1),MID(DY27,2,1)*MID($K26,2,1),MID(DY27,3,1)*MID($K26,3,1),MID(DY27,4,1)*MID($K26,4,1),MID(DY27,5,1)*MID($K26,5,1),MID(DY27,6,1)*MID($K26,6,1),MID(DY27,7,1)*MID($K26,7,1),MID(DY27,8,1)*MID($K26,8,1),MID(DY27,9,1)*MID($K26,1,1),MID(DY27,10,1)*MID($K26,2,1),MID(DY27,11,1)*MID($K26,3,1),MID(DY27,12,1)*MID($K26,4,1),MID(DY27,13,1)*MID($K26,5,1),MID(DY27,14,1)*MID($K26,6,1),MID(DY27,15,1)*MID($K26,7,1),MID(DY27,16,1)*MID($K26,8,1),MID(DY27,17,1)*MID($K26,1,1),MID(DY27,18,1)*MID($K26,2,1),MID(DY27,19,1)*MID($K26,3,1),MID(DY27,20,1)*MID($K26,4,1),MID(DY27,21,1)*MID($K26,5,1),MID(DY27,22,1)*MID($K26,6,1),MID(DY27,23,1)*MID($K26,7,1),MID(DY27,24,1)*MID($K26,8,1),MID(DY27,25,1)*MID($K26,1,1),MID(DY27,26,1)*MID($K26,2,1),MID(DY27,27,1)*MID($K26,3,1),MID(DY27,28,1)*MID($K26,4,1),MID(DY27,29,1)*MID($K26,5,1),MID(DY27,30,1)*MID($K26,6,1),MID(DY27,31,1)*MID($K26,7,1),MID(DY27,32,1)*MID($K26,8,1))</f>
        <v>00000011000000100000000000000001</v>
      </c>
      <c r="FC27" s="38" t="str">
        <f t="shared" si="180"/>
        <v>00000011</v>
      </c>
      <c r="FD27" s="38" t="str">
        <f t="shared" si="97"/>
        <v>00000010</v>
      </c>
      <c r="FE27" s="38" t="str">
        <f t="shared" si="98"/>
        <v>00000000</v>
      </c>
      <c r="FF27" s="38" t="str">
        <f t="shared" si="99"/>
        <v>00000001</v>
      </c>
      <c r="FG27" s="88"/>
      <c r="FH27" s="88"/>
      <c r="FI27" s="88"/>
      <c r="FJ27" s="88"/>
      <c r="FK27" s="39" t="str">
        <f t="shared" si="100"/>
        <v>1001</v>
      </c>
      <c r="FL27" s="39" t="str">
        <f t="shared" si="101"/>
        <v>0011</v>
      </c>
      <c r="FM27" s="39" t="str">
        <f t="shared" si="102"/>
        <v>0001</v>
      </c>
      <c r="FN27" s="39" t="str">
        <f t="shared" si="103"/>
        <v>1110</v>
      </c>
      <c r="FO27" s="39" t="str">
        <f t="shared" si="104"/>
        <v>1001</v>
      </c>
      <c r="FP27" s="39" t="str">
        <f t="shared" si="105"/>
        <v>1100</v>
      </c>
      <c r="FQ27" s="39" t="str">
        <f t="shared" si="106"/>
        <v>1101</v>
      </c>
      <c r="FR27" s="39" t="str">
        <f t="shared" si="107"/>
        <v>1101</v>
      </c>
      <c r="FS27" s="88"/>
      <c r="FT27" s="88"/>
      <c r="FU27" s="88"/>
      <c r="FV27" s="88"/>
      <c r="FW27" s="88"/>
      <c r="FX27" s="88"/>
      <c r="FY27" s="88"/>
      <c r="FZ27" s="88"/>
      <c r="GA27" s="38" t="str">
        <f t="shared" si="18"/>
        <v>0000001100000010</v>
      </c>
      <c r="GB27" s="38" t="str">
        <f t="shared" si="19"/>
        <v>0000000000000001</v>
      </c>
      <c r="GC27" s="88"/>
      <c r="GD27" s="88"/>
      <c r="GE27" s="39" t="str">
        <f>DY27</f>
        <v>00010011000110100001100000011001</v>
      </c>
      <c r="GF27" s="38" t="str">
        <f t="shared" si="182"/>
        <v>00010011</v>
      </c>
      <c r="GG27" s="38" t="str">
        <f t="shared" si="108"/>
        <v>00011010</v>
      </c>
      <c r="GH27" s="38" t="str">
        <f t="shared" si="109"/>
        <v>00011000</v>
      </c>
      <c r="GI27" s="38" t="str">
        <f t="shared" si="110"/>
        <v>00011001</v>
      </c>
      <c r="GJ27" s="88"/>
      <c r="GK27" s="88"/>
      <c r="GL27" s="88"/>
      <c r="GM27" s="88"/>
      <c r="GN27" s="39" t="str">
        <f t="shared" si="111"/>
        <v>1001</v>
      </c>
      <c r="GO27" s="39" t="str">
        <f t="shared" si="112"/>
        <v>0011</v>
      </c>
      <c r="GP27" s="39" t="str">
        <f t="shared" si="113"/>
        <v>0001</v>
      </c>
      <c r="GQ27" s="39" t="str">
        <f t="shared" si="114"/>
        <v>1110</v>
      </c>
      <c r="GR27" s="39" t="str">
        <f t="shared" si="115"/>
        <v>1001</v>
      </c>
      <c r="GS27" s="39" t="str">
        <f t="shared" si="116"/>
        <v>1100</v>
      </c>
      <c r="GT27" s="39" t="str">
        <f t="shared" si="117"/>
        <v>1101</v>
      </c>
      <c r="GU27" s="39" t="str">
        <f t="shared" si="118"/>
        <v>1101</v>
      </c>
      <c r="GV27" s="88"/>
      <c r="GW27" s="88"/>
      <c r="GX27" s="88"/>
      <c r="GY27" s="88"/>
      <c r="GZ27" s="88"/>
      <c r="HA27" s="88"/>
      <c r="HB27" s="88"/>
      <c r="HC27" s="88"/>
      <c r="HD27" s="38" t="str">
        <f t="shared" si="21"/>
        <v>0001001100011010</v>
      </c>
      <c r="HE27" s="38" t="str">
        <f t="shared" si="22"/>
        <v>0001100000011001</v>
      </c>
      <c r="HF27" s="88"/>
      <c r="HG27" s="88"/>
      <c r="HH27" s="39" t="str">
        <f>FB27</f>
        <v>00000011000000100000000000000001</v>
      </c>
      <c r="HI27" s="38" t="str">
        <f t="shared" si="184"/>
        <v>00000011</v>
      </c>
      <c r="HJ27" s="38" t="str">
        <f t="shared" si="119"/>
        <v>00000010</v>
      </c>
      <c r="HK27" s="38" t="str">
        <f t="shared" si="120"/>
        <v>00000000</v>
      </c>
      <c r="HL27" s="38" t="str">
        <f t="shared" si="121"/>
        <v>00000001</v>
      </c>
      <c r="HM27" s="88"/>
      <c r="HN27" s="88"/>
      <c r="HO27" s="88"/>
      <c r="HP27" s="88"/>
      <c r="HQ27" s="39" t="str">
        <f t="shared" si="122"/>
        <v>1001</v>
      </c>
      <c r="HR27" s="39" t="str">
        <f t="shared" si="123"/>
        <v>0011</v>
      </c>
      <c r="HS27" s="39" t="str">
        <f t="shared" si="124"/>
        <v>0001</v>
      </c>
      <c r="HT27" s="39" t="str">
        <f t="shared" si="125"/>
        <v>1110</v>
      </c>
      <c r="HU27" s="39" t="str">
        <f t="shared" si="126"/>
        <v>1001</v>
      </c>
      <c r="HV27" s="39" t="str">
        <f t="shared" si="127"/>
        <v>1100</v>
      </c>
      <c r="HW27" s="39" t="str">
        <f t="shared" si="128"/>
        <v>1101</v>
      </c>
      <c r="HX27" s="39" t="str">
        <f t="shared" si="129"/>
        <v>1101</v>
      </c>
      <c r="HY27" s="88"/>
      <c r="HZ27" s="88"/>
      <c r="IA27" s="88"/>
      <c r="IB27" s="88"/>
      <c r="IC27" s="88"/>
      <c r="ID27" s="88"/>
      <c r="IE27" s="88"/>
      <c r="IF27" s="88"/>
      <c r="IG27" s="38" t="str">
        <f t="shared" si="24"/>
        <v>0000001100000010</v>
      </c>
      <c r="IH27" s="38" t="str">
        <f t="shared" si="25"/>
        <v>0000000000000001</v>
      </c>
      <c r="II27" s="88"/>
      <c r="IJ27" s="88"/>
      <c r="IK27" s="38" t="str">
        <f>L27</f>
        <v>10010011000111101001110011011101</v>
      </c>
      <c r="IL27" s="38" t="str">
        <f t="shared" si="186"/>
        <v>10010011</v>
      </c>
      <c r="IM27" s="38" t="str">
        <f t="shared" si="130"/>
        <v>00011110</v>
      </c>
      <c r="IN27" s="38" t="str">
        <f t="shared" si="131"/>
        <v>10011100</v>
      </c>
      <c r="IO27" s="38" t="str">
        <f t="shared" si="132"/>
        <v>11011101</v>
      </c>
      <c r="IP27" s="88"/>
      <c r="IQ27" s="88"/>
      <c r="IR27" s="88"/>
      <c r="IS27" s="88"/>
      <c r="IT27" s="39" t="str">
        <f t="shared" si="133"/>
        <v>1001</v>
      </c>
      <c r="IU27" s="39" t="str">
        <f t="shared" si="134"/>
        <v>0011</v>
      </c>
      <c r="IV27" s="39" t="str">
        <f t="shared" si="135"/>
        <v>0001</v>
      </c>
      <c r="IW27" s="39" t="str">
        <f t="shared" si="136"/>
        <v>1110</v>
      </c>
      <c r="IX27" s="39" t="str">
        <f t="shared" si="137"/>
        <v>1001</v>
      </c>
      <c r="IY27" s="39" t="str">
        <f t="shared" si="138"/>
        <v>1100</v>
      </c>
      <c r="IZ27" s="39" t="str">
        <f t="shared" si="139"/>
        <v>1101</v>
      </c>
      <c r="JA27" s="39" t="str">
        <f t="shared" si="140"/>
        <v>1101</v>
      </c>
      <c r="JB27" s="88"/>
      <c r="JC27" s="88"/>
      <c r="JD27" s="88"/>
      <c r="JE27" s="88"/>
      <c r="JF27" s="88"/>
      <c r="JG27" s="88"/>
      <c r="JH27" s="88"/>
      <c r="JI27" s="88"/>
      <c r="JJ27" s="38" t="str">
        <f t="shared" si="27"/>
        <v>1001001100011110</v>
      </c>
      <c r="JK27" s="38" t="str">
        <f t="shared" si="28"/>
        <v>1001110011011101</v>
      </c>
      <c r="JL27" s="88"/>
      <c r="JM27" s="88"/>
      <c r="JN27" s="37" t="str">
        <f>L27</f>
        <v>10010011000111101001110011011101</v>
      </c>
      <c r="JO27" s="38" t="str">
        <f t="shared" si="188"/>
        <v>10010011</v>
      </c>
      <c r="JP27" s="38" t="str">
        <f t="shared" si="141"/>
        <v>00011110</v>
      </c>
      <c r="JQ27" s="38" t="str">
        <f t="shared" si="142"/>
        <v>10011100</v>
      </c>
      <c r="JR27" s="38" t="str">
        <f t="shared" si="143"/>
        <v>11011101</v>
      </c>
      <c r="JS27" s="88"/>
      <c r="JT27" s="88"/>
      <c r="JU27" s="88"/>
      <c r="JV27" s="88"/>
      <c r="JW27" s="39" t="str">
        <f t="shared" si="144"/>
        <v>1001</v>
      </c>
      <c r="JX27" s="39" t="str">
        <f t="shared" si="145"/>
        <v>0011</v>
      </c>
      <c r="JY27" s="39" t="str">
        <f t="shared" si="146"/>
        <v>0001</v>
      </c>
      <c r="JZ27" s="39" t="str">
        <f t="shared" si="147"/>
        <v>1110</v>
      </c>
      <c r="KA27" s="39" t="str">
        <f t="shared" si="148"/>
        <v>1001</v>
      </c>
      <c r="KB27" s="39" t="str">
        <f t="shared" si="149"/>
        <v>1100</v>
      </c>
      <c r="KC27" s="39" t="str">
        <f t="shared" si="150"/>
        <v>1101</v>
      </c>
      <c r="KD27" s="39" t="str">
        <f t="shared" si="151"/>
        <v>1101</v>
      </c>
      <c r="KE27" s="88"/>
      <c r="KF27" s="88"/>
      <c r="KG27" s="88"/>
      <c r="KH27" s="88"/>
      <c r="KI27" s="88"/>
      <c r="KJ27" s="88"/>
      <c r="KK27" s="88"/>
      <c r="KL27" s="88"/>
      <c r="KM27" s="38" t="str">
        <f t="shared" si="30"/>
        <v>1001001100011110</v>
      </c>
      <c r="KN27" s="38" t="str">
        <f t="shared" si="31"/>
        <v>1001110011011101</v>
      </c>
      <c r="KO27" s="88"/>
      <c r="KP27" s="88"/>
      <c r="KQ27" s="39" t="str">
        <f>AO27</f>
        <v>00000011000000100000000001000001</v>
      </c>
      <c r="KR27" s="38" t="str">
        <f t="shared" si="190"/>
        <v>00000011</v>
      </c>
      <c r="KS27" s="38" t="str">
        <f t="shared" si="152"/>
        <v>00000010</v>
      </c>
      <c r="KT27" s="38" t="str">
        <f t="shared" si="153"/>
        <v>00000000</v>
      </c>
      <c r="KU27" s="38" t="str">
        <f t="shared" si="154"/>
        <v>01000001</v>
      </c>
      <c r="KV27" s="88"/>
      <c r="KW27" s="88"/>
      <c r="KX27" s="88"/>
      <c r="KY27" s="88"/>
      <c r="KZ27" s="39" t="str">
        <f t="shared" si="155"/>
        <v>1001</v>
      </c>
      <c r="LA27" s="39" t="str">
        <f t="shared" si="156"/>
        <v>0011</v>
      </c>
      <c r="LB27" s="39" t="str">
        <f t="shared" si="157"/>
        <v>0001</v>
      </c>
      <c r="LC27" s="39" t="str">
        <f t="shared" si="158"/>
        <v>1110</v>
      </c>
      <c r="LD27" s="39" t="str">
        <f t="shared" si="159"/>
        <v>1001</v>
      </c>
      <c r="LE27" s="39" t="str">
        <f t="shared" si="160"/>
        <v>1100</v>
      </c>
      <c r="LF27" s="39" t="str">
        <f t="shared" si="161"/>
        <v>1101</v>
      </c>
      <c r="LG27" s="39" t="str">
        <f t="shared" si="162"/>
        <v>1101</v>
      </c>
      <c r="LH27" s="88"/>
      <c r="LI27" s="88"/>
      <c r="LJ27" s="88"/>
      <c r="LK27" s="88"/>
      <c r="LL27" s="88"/>
      <c r="LM27" s="88"/>
      <c r="LN27" s="88"/>
      <c r="LO27" s="88"/>
      <c r="LP27" s="38" t="str">
        <f t="shared" si="33"/>
        <v>0000001100000010</v>
      </c>
      <c r="LQ27" s="38" t="str">
        <f t="shared" si="34"/>
        <v>0000000001000001</v>
      </c>
      <c r="LR27" s="88"/>
      <c r="LS27" s="88"/>
      <c r="LT27" s="39" t="str">
        <f>GE27</f>
        <v>00010011000110100001100000011001</v>
      </c>
      <c r="LU27" s="38" t="str">
        <f t="shared" si="192"/>
        <v>00010011</v>
      </c>
      <c r="LV27" s="38" t="str">
        <f t="shared" si="163"/>
        <v>00011010</v>
      </c>
      <c r="LW27" s="38" t="str">
        <f t="shared" si="164"/>
        <v>00011000</v>
      </c>
      <c r="LX27" s="38" t="str">
        <f t="shared" si="165"/>
        <v>00011001</v>
      </c>
      <c r="LY27" s="88"/>
      <c r="LZ27" s="88"/>
      <c r="MA27" s="88"/>
      <c r="MB27" s="88"/>
      <c r="MC27" s="39" t="str">
        <f t="shared" si="166"/>
        <v>1001</v>
      </c>
      <c r="MD27" s="39" t="str">
        <f t="shared" si="167"/>
        <v>0011</v>
      </c>
      <c r="ME27" s="39" t="str">
        <f t="shared" si="168"/>
        <v>0001</v>
      </c>
      <c r="MF27" s="39" t="str">
        <f t="shared" si="169"/>
        <v>1110</v>
      </c>
      <c r="MG27" s="39" t="str">
        <f t="shared" si="170"/>
        <v>1001</v>
      </c>
      <c r="MH27" s="39" t="str">
        <f t="shared" si="171"/>
        <v>1100</v>
      </c>
      <c r="MI27" s="39" t="str">
        <f t="shared" si="172"/>
        <v>1101</v>
      </c>
      <c r="MJ27" s="39" t="str">
        <f t="shared" si="173"/>
        <v>1101</v>
      </c>
      <c r="MK27" s="88"/>
      <c r="ML27" s="88"/>
      <c r="MM27" s="88"/>
      <c r="MN27" s="88"/>
      <c r="MO27" s="88"/>
      <c r="MP27" s="88"/>
      <c r="MQ27" s="88"/>
      <c r="MR27" s="88"/>
      <c r="MS27" s="38" t="str">
        <f t="shared" si="36"/>
        <v>0001001100011010</v>
      </c>
      <c r="MT27" s="38" t="str">
        <f t="shared" si="37"/>
        <v>0001100000011001</v>
      </c>
      <c r="MU27" s="88"/>
      <c r="MV27" s="88"/>
    </row>
    <row r="28" spans="1:360" s="35" customFormat="1" ht="18.600000000000001" thickBot="1" x14ac:dyDescent="0.4">
      <c r="A28" s="32"/>
      <c r="B28" s="33"/>
      <c r="C28" s="50" t="s">
        <v>0</v>
      </c>
      <c r="D28" s="50" t="s">
        <v>158</v>
      </c>
      <c r="E28" s="50" t="s">
        <v>163</v>
      </c>
      <c r="F28" s="50" t="s">
        <v>55</v>
      </c>
      <c r="G28" s="50" t="s">
        <v>121</v>
      </c>
      <c r="H28" s="50" t="str">
        <f t="shared" si="278"/>
        <v>11100101110110011000101011100100</v>
      </c>
      <c r="I28" s="50">
        <f t="shared" si="279"/>
        <v>17</v>
      </c>
      <c r="J28" s="50">
        <v>63</v>
      </c>
      <c r="K28" s="50" t="str">
        <f>HEX2BIN(J28,8)</f>
        <v>01100011</v>
      </c>
      <c r="L28" s="34" t="str">
        <f>CONCATENATE(MID(H28,17,16),MID(H28,1,16))</f>
        <v>10001010111001001110010111011001</v>
      </c>
      <c r="M28" s="34" t="str">
        <f t="shared" si="38"/>
        <v>10001</v>
      </c>
      <c r="N28" s="26" t="str">
        <f t="shared" si="39"/>
        <v>11100</v>
      </c>
      <c r="O28" s="26" t="str">
        <f t="shared" si="40"/>
        <v>11100</v>
      </c>
      <c r="P28" s="26" t="str">
        <f t="shared" si="41"/>
        <v>11011</v>
      </c>
      <c r="Q28" s="87">
        <f>BIN2DEC(M28)-BIN2DEC(M29)</f>
        <v>7</v>
      </c>
      <c r="R28" s="87">
        <f>BIN2DEC(N28)-BIN2DEC(N29)</f>
        <v>19</v>
      </c>
      <c r="S28" s="87">
        <f>BIN2DEC(O28)-BIN2DEC(O29)</f>
        <v>14</v>
      </c>
      <c r="T28" s="87">
        <f>BIN2DEC(P28)-BIN2DEC(P29)</f>
        <v>27</v>
      </c>
      <c r="U28" s="35" t="str">
        <f t="shared" si="42"/>
        <v>1000</v>
      </c>
      <c r="V28" s="35" t="str">
        <f t="shared" si="43"/>
        <v>1010</v>
      </c>
      <c r="W28" s="35" t="str">
        <f t="shared" si="44"/>
        <v>1110</v>
      </c>
      <c r="X28" s="35" t="str">
        <f t="shared" si="45"/>
        <v>0100</v>
      </c>
      <c r="Y28" s="35" t="str">
        <f t="shared" si="46"/>
        <v>1110</v>
      </c>
      <c r="Z28" s="35" t="str">
        <f t="shared" si="47"/>
        <v>0101</v>
      </c>
      <c r="AA28" s="35" t="str">
        <f>MID($L28,25,4)</f>
        <v>1101</v>
      </c>
      <c r="AB28" s="35" t="str">
        <f t="shared" si="49"/>
        <v>1001</v>
      </c>
      <c r="AC28" s="87">
        <f>BIN2DEC(U28)-BIN2DEC(U29)</f>
        <v>3</v>
      </c>
      <c r="AD28" s="87">
        <f t="shared" ref="AD28:AI28" si="328">BIN2DEC(V28)-BIN2DEC(V29)</f>
        <v>8</v>
      </c>
      <c r="AE28" s="87">
        <f t="shared" si="328"/>
        <v>10</v>
      </c>
      <c r="AF28" s="87">
        <f t="shared" si="328"/>
        <v>-4</v>
      </c>
      <c r="AG28" s="87">
        <f t="shared" si="328"/>
        <v>7</v>
      </c>
      <c r="AH28" s="87">
        <f t="shared" si="328"/>
        <v>4</v>
      </c>
      <c r="AI28" s="87">
        <f t="shared" si="328"/>
        <v>13</v>
      </c>
      <c r="AJ28" s="87">
        <f>BIN2DEC(AB28)-BIN2DEC(AB29)</f>
        <v>5</v>
      </c>
      <c r="AK28" s="34" t="str">
        <f t="shared" si="3"/>
        <v>1000101011100100</v>
      </c>
      <c r="AL28" s="34" t="str">
        <f t="shared" si="4"/>
        <v>1110010111011001</v>
      </c>
      <c r="AM28" s="87">
        <f>MID(AK28,16,1)*POWER(2,0)+MID(AK28,15,1)*POWER(2,1)+MID(AK28,14,1)*POWER(2,2)+MID(AK28,13,1)*POWER(2,3)+MID(AK28,12,1)*POWER(2,4)+MID(AK28,11,1)*POWER(2,5)+MID(AK28,10,1)*POWER(2,6)+MID(AK28,9,1)*POWER(2,7)+MID(AK28,8,1)*POWER(2,8)+MID(AK28,7,1)*POWER(2,9)+MID(AK28,6,1)*POWER(2,10)+MID(AK28,5,1)*POWER(2,11)+MID(AK28,4,1)*POWER(2,12)+MID(AK28,3,1)*POWER(2,13)+MID(AK28,2,1)*POWER(2,14)+MID(AK28,1,1)*POWER(2,15)-(MID(AK29,16,1)*POWER(2,0)+MID(AK29,15,1)*POWER(2,1)+MID(AK29,14,1)*POWER(2,2)+MID(AK29,13,1)*POWER(2,3)+MID(AK29,12,1)*POWER(2,4)+MID(AK29,11,1)*POWER(2,5)+MID(AK29,10,1)*POWER(2,6)+MID(AK29,9,1)*POWER(2,7)+MID(AK29,8,1)*POWER(2,8)+MID(AK29,7,1)*POWER(2,9)+MID(AK29,6,1)*POWER(2,10)+MID(AK29,5,1)*POWER(2,11)+MID(AK29,4,1)*POWER(2,12)+MID(AK29,3,1)*POWER(2,13)+MID(AK29,2,1)*POWER(2,14)+MID(AK29,1,1)*POWER(2,15))</f>
        <v>14492</v>
      </c>
      <c r="AN28" s="87">
        <f>MID(AL28,16,1)*POWER(2,0)+MID(AL28,15,1)*POWER(2,1)+MID(AL28,14,1)*POWER(2,2)+MID(AL28,13,1)*POWER(2,3)+MID(AL28,12,1)*POWER(2,4)+MID(AL28,11,1)*POWER(2,5)+MID(AL28,10,1)*POWER(2,6)+MID(AL28,9,1)*POWER(2,7)+MID(AL28,8,1)*POWER(2,8)+MID(AL28,7,1)*POWER(2,9)+MID(AL28,6,1)*POWER(2,10)+MID(AL28,5,1)*POWER(2,11)+MID(AL28,4,1)*POWER(2,12)+MID(AL28,3,1)*POWER(2,13)+MID(AL28,2,1)*POWER(2,14)+MID(AL28,1,1)*POWER(2,15)-(MID(AL29,16,1)*POWER(2,0)+MID(AL29,15,1)*POWER(2,1)+MID(AL29,14,1)*POWER(2,2)+MID(AL29,13,1)*POWER(2,3)+MID(AL29,12,1)*POWER(2,4)+MID(AL29,11,1)*POWER(2,5)+MID(AL29,10,1)*POWER(2,6)+MID(AL29,9,1)*POWER(2,7)+MID(AL29,8,1)*POWER(2,8)+MID(AL29,7,1)*POWER(2,9)+MID(AL29,6,1)*POWER(2,10)+MID(AL29,5,1)*POWER(2,11)+MID(AL29,4,1)*POWER(2,12)+MID(AL29,3,1)*POWER(2,13)+MID(AL29,2,1)*POWER(2,14)+MID(AL29,1,1)*POWER(2,15))</f>
        <v>29909</v>
      </c>
      <c r="AO28" s="33" t="str">
        <f>L28</f>
        <v>10001010111001001110010111011001</v>
      </c>
      <c r="AP28" s="34" t="str">
        <f t="shared" si="50"/>
        <v>10001010</v>
      </c>
      <c r="AQ28" s="34" t="str">
        <f t="shared" si="51"/>
        <v>11100100</v>
      </c>
      <c r="AR28" s="34" t="str">
        <f t="shared" si="52"/>
        <v>11100101</v>
      </c>
      <c r="AS28" s="34" t="str">
        <f t="shared" si="53"/>
        <v>11011001</v>
      </c>
      <c r="AT28" s="87">
        <f>BIN2DEC(AP28)-BIN2DEC(AP29)</f>
        <v>72</v>
      </c>
      <c r="AU28" s="87">
        <f>BIN2DEC(AQ28)-BIN2DEC(AQ29)</f>
        <v>164</v>
      </c>
      <c r="AV28" s="87">
        <f>BIN2DEC(AR28)-BIN2DEC(AR29)</f>
        <v>132</v>
      </c>
      <c r="AW28" s="87">
        <f>BIN2DEC(AS28)-BIN2DEC(AS29)</f>
        <v>217</v>
      </c>
      <c r="AX28" s="35" t="str">
        <f t="shared" si="54"/>
        <v>1000</v>
      </c>
      <c r="AY28" s="35" t="str">
        <f t="shared" si="55"/>
        <v>1010</v>
      </c>
      <c r="AZ28" s="35" t="str">
        <f t="shared" si="56"/>
        <v>1110</v>
      </c>
      <c r="BA28" s="35" t="str">
        <f t="shared" si="57"/>
        <v>0100</v>
      </c>
      <c r="BB28" s="35" t="str">
        <f t="shared" si="58"/>
        <v>1110</v>
      </c>
      <c r="BC28" s="35" t="str">
        <f t="shared" si="59"/>
        <v>0101</v>
      </c>
      <c r="BD28" s="35" t="str">
        <f>MID($L28,25,4)</f>
        <v>1101</v>
      </c>
      <c r="BE28" s="35" t="str">
        <f t="shared" si="61"/>
        <v>1001</v>
      </c>
      <c r="BF28" s="87">
        <f>BIN2DEC(AX28)-BIN2DEC(AX29)</f>
        <v>3</v>
      </c>
      <c r="BG28" s="87">
        <f t="shared" ref="BG28:BL28" si="329">BIN2DEC(AY28)-BIN2DEC(AY29)</f>
        <v>8</v>
      </c>
      <c r="BH28" s="87">
        <f t="shared" si="329"/>
        <v>10</v>
      </c>
      <c r="BI28" s="87">
        <f t="shared" si="329"/>
        <v>-4</v>
      </c>
      <c r="BJ28" s="87">
        <f t="shared" si="329"/>
        <v>7</v>
      </c>
      <c r="BK28" s="87">
        <f t="shared" si="329"/>
        <v>4</v>
      </c>
      <c r="BL28" s="87">
        <f t="shared" si="329"/>
        <v>13</v>
      </c>
      <c r="BM28" s="87">
        <f>BIN2DEC(BE28)-BIN2DEC(BE29)</f>
        <v>5</v>
      </c>
      <c r="BN28" s="34" t="str">
        <f t="shared" si="6"/>
        <v>1000101011100100</v>
      </c>
      <c r="BO28" s="34" t="str">
        <f t="shared" si="7"/>
        <v>1110010111011001</v>
      </c>
      <c r="BP28" s="87">
        <f>MID(BN28,16,1)*POWER(2,0)+MID(BN28,15,1)*POWER(2,1)+MID(BN28,14,1)*POWER(2,2)+MID(BN28,13,1)*POWER(2,3)+MID(BN28,12,1)*POWER(2,4)+MID(BN28,11,1)*POWER(2,5)+MID(BN28,10,1)*POWER(2,6)+MID(BN28,9,1)*POWER(2,7)+MID(BN28,8,1)*POWER(2,8)+MID(BN28,7,1)*POWER(2,9)+MID(BN28,6,1)*POWER(2,10)+MID(BN28,5,1)*POWER(2,11)+MID(BN28,4,1)*POWER(2,12)+MID(BN28,3,1)*POWER(2,13)+MID(BN28,2,1)*POWER(2,14)+MID(BN28,1,1)*POWER(2,15)-(MID(BN29,16,1)*POWER(2,0)+MID(BN29,15,1)*POWER(2,1)+MID(BN29,14,1)*POWER(2,2)+MID(BN29,13,1)*POWER(2,3)+MID(BN29,12,1)*POWER(2,4)+MID(BN29,11,1)*POWER(2,5)+MID(BN29,10,1)*POWER(2,6)+MID(BN29,9,1)*POWER(2,7)+MID(BN29,8,1)*POWER(2,8)+MID(BN29,7,1)*POWER(2,9)+MID(BN29,6,1)*POWER(2,10)+MID(BN29,5,1)*POWER(2,11)+MID(BN29,4,1)*POWER(2,12)+MID(BN29,3,1)*POWER(2,13)+MID(BN29,2,1)*POWER(2,14)+MID(BN29,1,1)*POWER(2,15))</f>
        <v>18596</v>
      </c>
      <c r="BQ28" s="87">
        <f>MID(BO28,16,1)*POWER(2,0)+MID(BO28,15,1)*POWER(2,1)+MID(BO28,14,1)*POWER(2,2)+MID(BO28,13,1)*POWER(2,3)+MID(BO28,12,1)*POWER(2,4)+MID(BO28,11,1)*POWER(2,5)+MID(BO28,10,1)*POWER(2,6)+MID(BO28,9,1)*POWER(2,7)+MID(BO28,8,1)*POWER(2,8)+MID(BO28,7,1)*POWER(2,9)+MID(BO28,6,1)*POWER(2,10)+MID(BO28,5,1)*POWER(2,11)+MID(BO28,4,1)*POWER(2,12)+MID(BO28,3,1)*POWER(2,13)+MID(BO28,2,1)*POWER(2,14)+MID(BO28,1,1)*POWER(2,15)-(MID(BO29,16,1)*POWER(2,0)+MID(BO29,15,1)*POWER(2,1)+MID(BO29,14,1)*POWER(2,2)+MID(BO29,13,1)*POWER(2,3)+MID(BO29,12,1)*POWER(2,4)+MID(BO29,11,1)*POWER(2,5)+MID(BO29,10,1)*POWER(2,6)+MID(BO29,9,1)*POWER(2,7)+MID(BO29,8,1)*POWER(2,8)+MID(BO29,7,1)*POWER(2,9)+MID(BO29,6,1)*POWER(2,10)+MID(BO29,5,1)*POWER(2,11)+MID(BO29,4,1)*POWER(2,12)+MID(BO29,3,1)*POWER(2,13)+MID(BO29,2,1)*POWER(2,14)+MID(BO29,1,1)*POWER(2,15))</f>
        <v>34009</v>
      </c>
      <c r="BR28" s="33" t="str">
        <f>CONCATENATE(MID($L28,1,1)*MID($K28,1,1),MID($L28,2,1)*MID($K28,2,1),MID($L28,3,1)*MID($K28,3,1),MID($L28,4,1)*MID($K28,4,1),MID($L28,5,1)*MID($K28,5,1),MID($L28,6,1)*MID($K28,6,1),MID($L28,7,1)*MID($K28,7,1),MID($L28,8,1)*MID($K28,8,1),MID($L28,9,1)*MID($K28,1,1),MID($L28,10,1)*MID($K28,2,1),MID($L28,11,1)*MID($K28,3,1),MID($L28,12,1)*MID($K28,4,1),MID($L28,13,1)*MID($K28,5,1),MID($L28,14,1)*MID($K28,6,1),MID($L28,15,1)*MID($K28,7,1),MID($L28,16,1)*MID($K28,8,1),MID($L28,17,1)*MID($K28,1,1),MID($L28,18,1)*MID($K28,2,1),MID($L28,19,1)*MID($K28,3,1),MID($L28,20,1)*MID($K28,4,1),MID($L28,21,1)*MID($K28,5,1),MID($L28,22,1)*MID($K28,6,1),MID($L28,23,1)*MID($K28,7,1),MID($L28,24,1)*MID($K28,8,1),MID($L28,25,1)*MID($K28,1,1),MID($L28,26,1)*MID($K28,2,1),MID($L28,27,1)*MID($K28,3,1),MID($L28,28,1)*MID($K28,4,1),MID($L28,29,1)*MID($K28,5,1),MID($L28,30,1)*MID($K28,6,1),MID($L28,31,1)*MID($K28,7,1),MID($L28,32,1)*MID($K28,8,1))</f>
        <v>00000010011000000110000101000001</v>
      </c>
      <c r="BS28" s="34" t="str">
        <f t="shared" si="62"/>
        <v>00000010</v>
      </c>
      <c r="BT28" s="34" t="str">
        <f t="shared" si="63"/>
        <v>01100000</v>
      </c>
      <c r="BU28" s="34" t="str">
        <f t="shared" si="64"/>
        <v>01100001</v>
      </c>
      <c r="BV28" s="34" t="str">
        <f t="shared" si="65"/>
        <v>01000001</v>
      </c>
      <c r="BW28" s="87">
        <f>BIN2DEC(BS28)-BIN2DEC(BS29)</f>
        <v>-80</v>
      </c>
      <c r="BX28" s="87">
        <f>BIN2DEC(BT28)-BIN2DEC(BT29)</f>
        <v>24</v>
      </c>
      <c r="BY28" s="87">
        <f>BIN2DEC(BU28)-BIN2DEC(BU29)</f>
        <v>-16</v>
      </c>
      <c r="BZ28" s="87">
        <f>BIN2DEC(BV28)-BIN2DEC(BV29)</f>
        <v>61</v>
      </c>
      <c r="CA28" s="35" t="str">
        <f t="shared" si="66"/>
        <v>1000</v>
      </c>
      <c r="CB28" s="35" t="str">
        <f t="shared" si="67"/>
        <v>1010</v>
      </c>
      <c r="CC28" s="35" t="str">
        <f t="shared" si="68"/>
        <v>1110</v>
      </c>
      <c r="CD28" s="35" t="str">
        <f t="shared" si="69"/>
        <v>0100</v>
      </c>
      <c r="CE28" s="35" t="str">
        <f t="shared" si="70"/>
        <v>1110</v>
      </c>
      <c r="CF28" s="35" t="str">
        <f t="shared" si="71"/>
        <v>0101</v>
      </c>
      <c r="CG28" s="35" t="str">
        <f>MID($L28,25,4)</f>
        <v>1101</v>
      </c>
      <c r="CH28" s="35" t="str">
        <f t="shared" si="73"/>
        <v>1001</v>
      </c>
      <c r="CI28" s="87">
        <f>BIN2DEC(CA28)-BIN2DEC(CA29)</f>
        <v>3</v>
      </c>
      <c r="CJ28" s="87">
        <f t="shared" ref="CJ28:CO28" si="330">BIN2DEC(CB28)-BIN2DEC(CB29)</f>
        <v>8</v>
      </c>
      <c r="CK28" s="87">
        <f t="shared" si="330"/>
        <v>10</v>
      </c>
      <c r="CL28" s="87">
        <f t="shared" si="330"/>
        <v>-4</v>
      </c>
      <c r="CM28" s="87">
        <f t="shared" si="330"/>
        <v>7</v>
      </c>
      <c r="CN28" s="87">
        <f t="shared" si="330"/>
        <v>4</v>
      </c>
      <c r="CO28" s="87">
        <f t="shared" si="330"/>
        <v>13</v>
      </c>
      <c r="CP28" s="87">
        <f>BIN2DEC(CH28)-BIN2DEC(CH29)</f>
        <v>5</v>
      </c>
      <c r="CQ28" s="34" t="str">
        <f t="shared" si="9"/>
        <v>0000001001100000</v>
      </c>
      <c r="CR28" s="34" t="str">
        <f t="shared" si="10"/>
        <v>0110000101000001</v>
      </c>
      <c r="CS28" s="87">
        <f>MID(CQ28,16,1)*POWER(2,0)+MID(CQ28,15,1)*POWER(2,1)+MID(CQ28,14,1)*POWER(2,2)+MID(CQ28,13,1)*POWER(2,3)+MID(CQ28,12,1)*POWER(2,4)+MID(CQ28,11,1)*POWER(2,5)+MID(CQ28,10,1)*POWER(2,6)+MID(CQ28,9,1)*POWER(2,7)+MID(CQ28,8,1)*POWER(2,8)+MID(CQ28,7,1)*POWER(2,9)+MID(CQ28,6,1)*POWER(2,10)+MID(CQ28,5,1)*POWER(2,11)+MID(CQ28,4,1)*POWER(2,12)+MID(CQ28,3,1)*POWER(2,13)+MID(CQ28,2,1)*POWER(2,14)+MID(CQ28,1,1)*POWER(2,15)-(MID(CQ29,16,1)*POWER(2,0)+MID(CQ29,15,1)*POWER(2,1)+MID(CQ29,14,1)*POWER(2,2)+MID(CQ29,13,1)*POWER(2,3)+MID(CQ29,12,1)*POWER(2,4)+MID(CQ29,11,1)*POWER(2,5)+MID(CQ29,10,1)*POWER(2,6)+MID(CQ29,9,1)*POWER(2,7)+MID(CQ29,8,1)*POWER(2,8)+MID(CQ29,7,1)*POWER(2,9)+MID(CQ29,6,1)*POWER(2,10)+MID(CQ29,5,1)*POWER(2,11)+MID(CQ29,4,1)*POWER(2,12)+MID(CQ29,3,1)*POWER(2,13)+MID(CQ29,2,1)*POWER(2,14)+MID(CQ29,1,1)*POWER(2,15))</f>
        <v>-20456</v>
      </c>
      <c r="CT28" s="87">
        <f>MID(CR28,16,1)*POWER(2,0)+MID(CR28,15,1)*POWER(2,1)+MID(CR28,14,1)*POWER(2,2)+MID(CR28,13,1)*POWER(2,3)+MID(CR28,12,1)*POWER(2,4)+MID(CR28,11,1)*POWER(2,5)+MID(CR28,10,1)*POWER(2,6)+MID(CR28,9,1)*POWER(2,7)+MID(CR28,8,1)*POWER(2,8)+MID(CR28,7,1)*POWER(2,9)+MID(CR28,6,1)*POWER(2,10)+MID(CR28,5,1)*POWER(2,11)+MID(CR28,4,1)*POWER(2,12)+MID(CR28,3,1)*POWER(2,13)+MID(CR28,2,1)*POWER(2,14)+MID(CR28,1,1)*POWER(2,15)-(MID(CR29,16,1)*POWER(2,0)+MID(CR29,15,1)*POWER(2,1)+MID(CR29,14,1)*POWER(2,2)+MID(CR29,13,1)*POWER(2,3)+MID(CR29,12,1)*POWER(2,4)+MID(CR29,11,1)*POWER(2,5)+MID(CR29,10,1)*POWER(2,6)+MID(CR29,9,1)*POWER(2,7)+MID(CR29,8,1)*POWER(2,8)+MID(CR29,7,1)*POWER(2,9)+MID(CR29,6,1)*POWER(2,10)+MID(CR29,5,1)*POWER(2,11)+MID(CR29,4,1)*POWER(2,12)+MID(CR29,3,1)*POWER(2,13)+MID(CR29,2,1)*POWER(2,14)+MID(CR29,1,1)*POWER(2,15))</f>
        <v>-4035</v>
      </c>
      <c r="CU28" s="33" t="str">
        <f>BR28</f>
        <v>00000010011000000110000101000001</v>
      </c>
      <c r="CV28" s="34" t="str">
        <f t="shared" si="74"/>
        <v>00000010</v>
      </c>
      <c r="CW28" s="34" t="str">
        <f t="shared" si="75"/>
        <v>01100000</v>
      </c>
      <c r="CX28" s="34" t="str">
        <f t="shared" si="76"/>
        <v>01100001</v>
      </c>
      <c r="CY28" s="34" t="str">
        <f t="shared" si="77"/>
        <v>01000001</v>
      </c>
      <c r="CZ28" s="87">
        <f>BIN2DEC(CV28)-BIN2DEC(CV29)</f>
        <v>-64</v>
      </c>
      <c r="DA28" s="87">
        <f>BIN2DEC(CW28)-BIN2DEC(CW29)</f>
        <v>32</v>
      </c>
      <c r="DB28" s="87">
        <f>BIN2DEC(CX28)-BIN2DEC(CX29)</f>
        <v>0</v>
      </c>
      <c r="DC28" s="87">
        <f>BIN2DEC(CY28)-BIN2DEC(CY29)</f>
        <v>65</v>
      </c>
      <c r="DD28" s="35" t="str">
        <f t="shared" si="78"/>
        <v>1000</v>
      </c>
      <c r="DE28" s="35" t="str">
        <f t="shared" si="79"/>
        <v>1010</v>
      </c>
      <c r="DF28" s="35" t="str">
        <f t="shared" si="80"/>
        <v>1110</v>
      </c>
      <c r="DG28" s="35" t="str">
        <f t="shared" si="81"/>
        <v>0100</v>
      </c>
      <c r="DH28" s="35" t="str">
        <f t="shared" si="82"/>
        <v>1110</v>
      </c>
      <c r="DI28" s="35" t="str">
        <f t="shared" si="83"/>
        <v>0101</v>
      </c>
      <c r="DJ28" s="35" t="str">
        <f>MID($L28,25,4)</f>
        <v>1101</v>
      </c>
      <c r="DK28" s="35" t="str">
        <f t="shared" si="85"/>
        <v>1001</v>
      </c>
      <c r="DL28" s="87">
        <f>BIN2DEC(DD28)-BIN2DEC(DD29)</f>
        <v>3</v>
      </c>
      <c r="DM28" s="87">
        <f t="shared" ref="DM28:DR28" si="331">BIN2DEC(DE28)-BIN2DEC(DE29)</f>
        <v>8</v>
      </c>
      <c r="DN28" s="87">
        <f t="shared" si="331"/>
        <v>10</v>
      </c>
      <c r="DO28" s="87">
        <f t="shared" si="331"/>
        <v>-4</v>
      </c>
      <c r="DP28" s="87">
        <f t="shared" si="331"/>
        <v>7</v>
      </c>
      <c r="DQ28" s="87">
        <f t="shared" si="331"/>
        <v>4</v>
      </c>
      <c r="DR28" s="87">
        <f t="shared" si="331"/>
        <v>13</v>
      </c>
      <c r="DS28" s="87">
        <f>BIN2DEC(DK28)-BIN2DEC(DK29)</f>
        <v>5</v>
      </c>
      <c r="DT28" s="34" t="str">
        <f t="shared" si="12"/>
        <v>0000001001100000</v>
      </c>
      <c r="DU28" s="34" t="str">
        <f t="shared" si="13"/>
        <v>0110000101000001</v>
      </c>
      <c r="DV28" s="87">
        <f>MID(DT28,16,1)*POWER(2,0)+MID(DT28,15,1)*POWER(2,1)+MID(DT28,14,1)*POWER(2,2)+MID(DT28,13,1)*POWER(2,3)+MID(DT28,12,1)*POWER(2,4)+MID(DT28,11,1)*POWER(2,5)+MID(DT28,10,1)*POWER(2,6)+MID(DT28,9,1)*POWER(2,7)+MID(DT28,8,1)*POWER(2,8)+MID(DT28,7,1)*POWER(2,9)+MID(DT28,6,1)*POWER(2,10)+MID(DT28,5,1)*POWER(2,11)+MID(DT28,4,1)*POWER(2,12)+MID(DT28,3,1)*POWER(2,13)+MID(DT28,2,1)*POWER(2,14)+MID(DT28,1,1)*POWER(2,15)-(MID(DT29,16,1)*POWER(2,0)+MID(DT29,15,1)*POWER(2,1)+MID(DT29,14,1)*POWER(2,2)+MID(DT29,13,1)*POWER(2,3)+MID(DT29,12,1)*POWER(2,4)+MID(DT29,11,1)*POWER(2,5)+MID(DT29,10,1)*POWER(2,6)+MID(DT29,9,1)*POWER(2,7)+MID(DT29,8,1)*POWER(2,8)+MID(DT29,7,1)*POWER(2,9)+MID(DT29,6,1)*POWER(2,10)+MID(DT29,5,1)*POWER(2,11)+MID(DT29,4,1)*POWER(2,12)+MID(DT29,3,1)*POWER(2,13)+MID(DT29,2,1)*POWER(2,14)+MID(DT29,1,1)*POWER(2,15))</f>
        <v>-16352</v>
      </c>
      <c r="DW28" s="87">
        <f>MID(DU28,16,1)*POWER(2,0)+MID(DU28,15,1)*POWER(2,1)+MID(DU28,14,1)*POWER(2,2)+MID(DU28,13,1)*POWER(2,3)+MID(DU28,12,1)*POWER(2,4)+MID(DU28,11,1)*POWER(2,5)+MID(DU28,10,1)*POWER(2,6)+MID(DU28,9,1)*POWER(2,7)+MID(DU28,8,1)*POWER(2,8)+MID(DU28,7,1)*POWER(2,9)+MID(DU28,6,1)*POWER(2,10)+MID(DU28,5,1)*POWER(2,11)+MID(DU28,4,1)*POWER(2,12)+MID(DU28,3,1)*POWER(2,13)+MID(DU28,2,1)*POWER(2,14)+MID(DU28,1,1)*POWER(2,15)-(MID(DU29,16,1)*POWER(2,0)+MID(DU29,15,1)*POWER(2,1)+MID(DU29,14,1)*POWER(2,2)+MID(DU29,13,1)*POWER(2,3)+MID(DU29,12,1)*POWER(2,4)+MID(DU29,11,1)*POWER(2,5)+MID(DU29,10,1)*POWER(2,6)+MID(DU29,9,1)*POWER(2,7)+MID(DU29,8,1)*POWER(2,8)+MID(DU29,7,1)*POWER(2,9)+MID(DU29,6,1)*POWER(2,10)+MID(DU29,5,1)*POWER(2,11)+MID(DU29,4,1)*POWER(2,12)+MID(DU29,3,1)*POWER(2,13)+MID(DU29,2,1)*POWER(2,14)+MID(DU29,1,1)*POWER(2,15))</f>
        <v>65</v>
      </c>
      <c r="DX28" s="33" t="str">
        <f>CONCATENATE(MID($H28,1,1)*MID($K28,1,1),MID($H28,2,1)*MID($K28,2,1),MID($H28,3,1)*MID($K28,3,1),MID($H28,4,1)*MID($K28,4,1),MID($H28,5,1)*MID($K28,5,1),MID($H28,6,1)*MID($K28,6,1),MID($H28,7,1)*MID($K28,7,1),MID($H28,8,1)*MID($K28,8,1),MID($H28,9,1)*MID($K28,1,1),MID($H28,10,1)*MID($K28,2,1),MID($H28,11,1)*MID($K28,3,1),MID($H28,12,1)*MID($K28,4,1),MID($H28,13,1)*MID($K28,5,1),MID($H28,14,1)*MID($K28,6,1),MID($H28,15,1)*MID($K28,7,1),MID($H28,16,1)*MID($K28,8,1),MID($H28,17,1)*MID($K28,1,1),MID($H28,18,1)*MID($K28,2,1),MID($H28,19,1)*MID($K28,3,1),MID($H28,20,1)*MID($K28,4,1),MID($H28,21,1)*MID($K28,5,1),MID($H28,22,1)*MID($K28,6,1),MID($H28,23,1)*MID($K28,7,1),MID($H28,24,1)*MID($K28,8,1),MID($H28,25,1)*MID($K28,1,1),MID($H28,26,1)*MID($K28,2,1),MID($H28,27,1)*MID($K28,3,1),MID($H28,28,1)*MID($K28,4,1),MID($H28,29,1)*MID($K28,5,1),MID($H28,30,1)*MID($K28,6,1),MID($H28,31,1)*MID($K28,7,1),MID($H28,32,1)*MID($K28,8,1))</f>
        <v>01100001010000010000001001100000</v>
      </c>
      <c r="DY28" s="34" t="str">
        <f>L28</f>
        <v>10001010111001001110010111011001</v>
      </c>
      <c r="DZ28" s="34" t="str">
        <f t="shared" si="178"/>
        <v>10001010</v>
      </c>
      <c r="EA28" s="34" t="str">
        <f t="shared" si="86"/>
        <v>11100100</v>
      </c>
      <c r="EB28" s="34" t="str">
        <f t="shared" si="87"/>
        <v>11100101</v>
      </c>
      <c r="EC28" s="34" t="str">
        <f t="shared" si="88"/>
        <v>11011001</v>
      </c>
      <c r="ED28" s="87">
        <f>BIN2DEC(DZ28)-BIN2DEC(DZ29)</f>
        <v>120</v>
      </c>
      <c r="EE28" s="87">
        <f>BIN2DEC(EA28)-BIN2DEC(EA29)</f>
        <v>220</v>
      </c>
      <c r="EF28" s="87">
        <f>BIN2DEC(EB28)-BIN2DEC(EB29)</f>
        <v>212</v>
      </c>
      <c r="EG28" s="87">
        <f>BIN2DEC(EC28)-BIN2DEC(EC29)</f>
        <v>217</v>
      </c>
      <c r="EH28" s="35" t="str">
        <f t="shared" si="89"/>
        <v>1000</v>
      </c>
      <c r="EI28" s="35" t="str">
        <f t="shared" si="90"/>
        <v>1010</v>
      </c>
      <c r="EJ28" s="35" t="str">
        <f t="shared" si="91"/>
        <v>1110</v>
      </c>
      <c r="EK28" s="35" t="str">
        <f t="shared" si="92"/>
        <v>0100</v>
      </c>
      <c r="EL28" s="35" t="str">
        <f t="shared" si="93"/>
        <v>1110</v>
      </c>
      <c r="EM28" s="35" t="str">
        <f t="shared" si="94"/>
        <v>0101</v>
      </c>
      <c r="EN28" s="35" t="str">
        <f>MID($L28,25,4)</f>
        <v>1101</v>
      </c>
      <c r="EO28" s="35" t="str">
        <f t="shared" si="96"/>
        <v>1001</v>
      </c>
      <c r="EP28" s="87">
        <f>BIN2DEC(EH28)-BIN2DEC(EH29)</f>
        <v>3</v>
      </c>
      <c r="EQ28" s="87">
        <f t="shared" ref="EQ28:EV28" si="332">BIN2DEC(EI28)-BIN2DEC(EI29)</f>
        <v>8</v>
      </c>
      <c r="ER28" s="87">
        <f t="shared" si="332"/>
        <v>10</v>
      </c>
      <c r="ES28" s="87">
        <f t="shared" si="332"/>
        <v>-4</v>
      </c>
      <c r="ET28" s="87">
        <f t="shared" si="332"/>
        <v>7</v>
      </c>
      <c r="EU28" s="87">
        <f t="shared" si="332"/>
        <v>4</v>
      </c>
      <c r="EV28" s="87">
        <f t="shared" si="332"/>
        <v>13</v>
      </c>
      <c r="EW28" s="87">
        <f>BIN2DEC(EO28)-BIN2DEC(EO29)</f>
        <v>5</v>
      </c>
      <c r="EX28" s="34" t="str">
        <f t="shared" si="15"/>
        <v>1000101011100100</v>
      </c>
      <c r="EY28" s="34" t="str">
        <f t="shared" si="16"/>
        <v>1110010111011001</v>
      </c>
      <c r="EZ28" s="87">
        <f>MID(EX28,16,1)*POWER(2,0)+MID(EX28,15,1)*POWER(2,1)+MID(EX28,14,1)*POWER(2,2)+MID(EX28,13,1)*POWER(2,3)+MID(EX28,12,1)*POWER(2,4)+MID(EX28,11,1)*POWER(2,5)+MID(EX28,10,1)*POWER(2,6)+MID(EX28,9,1)*POWER(2,7)+MID(EX28,8,1)*POWER(2,8)+MID(EX28,7,1)*POWER(2,9)+MID(EX28,6,1)*POWER(2,10)+MID(EX28,5,1)*POWER(2,11)+MID(EX28,4,1)*POWER(2,12)+MID(EX28,3,1)*POWER(2,13)+MID(EX28,2,1)*POWER(2,14)+MID(EX28,1,1)*POWER(2,15)-(MID(EX29,16,1)*POWER(2,0)+MID(EX29,15,1)*POWER(2,1)+MID(EX29,14,1)*POWER(2,2)+MID(EX29,13,1)*POWER(2,3)+MID(EX29,12,1)*POWER(2,4)+MID(EX29,11,1)*POWER(2,5)+MID(EX29,10,1)*POWER(2,6)+MID(EX29,9,1)*POWER(2,7)+MID(EX29,8,1)*POWER(2,8)+MID(EX29,7,1)*POWER(2,9)+MID(EX29,6,1)*POWER(2,10)+MID(EX29,5,1)*POWER(2,11)+MID(EX29,4,1)*POWER(2,12)+MID(EX29,3,1)*POWER(2,13)+MID(EX29,2,1)*POWER(2,14)+MID(EX29,1,1)*POWER(2,15))</f>
        <v>30940</v>
      </c>
      <c r="FA28" s="87">
        <f>MID(EY28,16,1)*POWER(2,0)+MID(EY28,15,1)*POWER(2,1)+MID(EY28,14,1)*POWER(2,2)+MID(EY28,13,1)*POWER(2,3)+MID(EY28,12,1)*POWER(2,4)+MID(EY28,11,1)*POWER(2,5)+MID(EY28,10,1)*POWER(2,6)+MID(EY28,9,1)*POWER(2,7)+MID(EY28,8,1)*POWER(2,8)+MID(EY28,7,1)*POWER(2,9)+MID(EY28,6,1)*POWER(2,10)+MID(EY28,5,1)*POWER(2,11)+MID(EY28,4,1)*POWER(2,12)+MID(EY28,3,1)*POWER(2,13)+MID(EY28,2,1)*POWER(2,14)+MID(EY28,1,1)*POWER(2,15)-(MID(EY29,16,1)*POWER(2,0)+MID(EY29,15,1)*POWER(2,1)+MID(EY29,14,1)*POWER(2,2)+MID(EY29,13,1)*POWER(2,3)+MID(EY29,12,1)*POWER(2,4)+MID(EY29,11,1)*POWER(2,5)+MID(EY29,10,1)*POWER(2,6)+MID(EY29,9,1)*POWER(2,7)+MID(EY29,8,1)*POWER(2,8)+MID(EY29,7,1)*POWER(2,9)+MID(EY29,6,1)*POWER(2,10)+MID(EY29,5,1)*POWER(2,11)+MID(EY29,4,1)*POWER(2,12)+MID(EY29,3,1)*POWER(2,13)+MID(EY29,2,1)*POWER(2,14)+MID(EY29,1,1)*POWER(2,15))</f>
        <v>54489</v>
      </c>
      <c r="FB28" s="33" t="str">
        <f>L28</f>
        <v>10001010111001001110010111011001</v>
      </c>
      <c r="FC28" s="34" t="str">
        <f t="shared" si="180"/>
        <v>10001010</v>
      </c>
      <c r="FD28" s="34" t="str">
        <f t="shared" si="97"/>
        <v>11100100</v>
      </c>
      <c r="FE28" s="34" t="str">
        <f t="shared" si="98"/>
        <v>11100101</v>
      </c>
      <c r="FF28" s="34" t="str">
        <f t="shared" si="99"/>
        <v>11011001</v>
      </c>
      <c r="FG28" s="87">
        <f>BIN2DEC(FC28)-BIN2DEC(FC29)</f>
        <v>136</v>
      </c>
      <c r="FH28" s="87">
        <f>BIN2DEC(FD28)-BIN2DEC(FD29)</f>
        <v>228</v>
      </c>
      <c r="FI28" s="87">
        <f>BIN2DEC(FE28)-BIN2DEC(FE29)</f>
        <v>228</v>
      </c>
      <c r="FJ28" s="87">
        <f>BIN2DEC(FF28)-BIN2DEC(FF29)</f>
        <v>217</v>
      </c>
      <c r="FK28" s="35" t="str">
        <f t="shared" si="100"/>
        <v>1000</v>
      </c>
      <c r="FL28" s="35" t="str">
        <f t="shared" si="101"/>
        <v>1010</v>
      </c>
      <c r="FM28" s="35" t="str">
        <f t="shared" si="102"/>
        <v>1110</v>
      </c>
      <c r="FN28" s="35" t="str">
        <f t="shared" si="103"/>
        <v>0100</v>
      </c>
      <c r="FO28" s="35" t="str">
        <f t="shared" si="104"/>
        <v>1110</v>
      </c>
      <c r="FP28" s="35" t="str">
        <f t="shared" si="105"/>
        <v>0101</v>
      </c>
      <c r="FQ28" s="35" t="str">
        <f>MID($L28,25,4)</f>
        <v>1101</v>
      </c>
      <c r="FR28" s="35" t="str">
        <f t="shared" si="107"/>
        <v>1001</v>
      </c>
      <c r="FS28" s="87">
        <f>BIN2DEC(FK28)-BIN2DEC(FK29)</f>
        <v>3</v>
      </c>
      <c r="FT28" s="87">
        <f t="shared" ref="FT28:FY28" si="333">BIN2DEC(FL28)-BIN2DEC(FL29)</f>
        <v>8</v>
      </c>
      <c r="FU28" s="87">
        <f t="shared" si="333"/>
        <v>10</v>
      </c>
      <c r="FV28" s="87">
        <f t="shared" si="333"/>
        <v>-4</v>
      </c>
      <c r="FW28" s="87">
        <f t="shared" si="333"/>
        <v>7</v>
      </c>
      <c r="FX28" s="87">
        <f t="shared" si="333"/>
        <v>4</v>
      </c>
      <c r="FY28" s="87">
        <f t="shared" si="333"/>
        <v>13</v>
      </c>
      <c r="FZ28" s="87">
        <f>BIN2DEC(FR28)-BIN2DEC(FR29)</f>
        <v>5</v>
      </c>
      <c r="GA28" s="34" t="str">
        <f t="shared" si="18"/>
        <v>1000101011100100</v>
      </c>
      <c r="GB28" s="34" t="str">
        <f t="shared" si="19"/>
        <v>1110010111011001</v>
      </c>
      <c r="GC28" s="87">
        <f>MID(GA28,16,1)*POWER(2,0)+MID(GA28,15,1)*POWER(2,1)+MID(GA28,14,1)*POWER(2,2)+MID(GA28,13,1)*POWER(2,3)+MID(GA28,12,1)*POWER(2,4)+MID(GA28,11,1)*POWER(2,5)+MID(GA28,10,1)*POWER(2,6)+MID(GA28,9,1)*POWER(2,7)+MID(GA28,8,1)*POWER(2,8)+MID(GA28,7,1)*POWER(2,9)+MID(GA28,6,1)*POWER(2,10)+MID(GA28,5,1)*POWER(2,11)+MID(GA28,4,1)*POWER(2,12)+MID(GA28,3,1)*POWER(2,13)+MID(GA28,2,1)*POWER(2,14)+MID(GA28,1,1)*POWER(2,15)-(MID(GA29,16,1)*POWER(2,0)+MID(GA29,15,1)*POWER(2,1)+MID(GA29,14,1)*POWER(2,2)+MID(GA29,13,1)*POWER(2,3)+MID(GA29,12,1)*POWER(2,4)+MID(GA29,11,1)*POWER(2,5)+MID(GA29,10,1)*POWER(2,6)+MID(GA29,9,1)*POWER(2,7)+MID(GA29,8,1)*POWER(2,8)+MID(GA29,7,1)*POWER(2,9)+MID(GA29,6,1)*POWER(2,10)+MID(GA29,5,1)*POWER(2,11)+MID(GA29,4,1)*POWER(2,12)+MID(GA29,3,1)*POWER(2,13)+MID(GA29,2,1)*POWER(2,14)+MID(GA29,1,1)*POWER(2,15))</f>
        <v>35044</v>
      </c>
      <c r="GD28" s="87">
        <f>MID(GB28,16,1)*POWER(2,0)+MID(GB28,15,1)*POWER(2,1)+MID(GB28,14,1)*POWER(2,2)+MID(GB28,13,1)*POWER(2,3)+MID(GB28,12,1)*POWER(2,4)+MID(GB28,11,1)*POWER(2,5)+MID(GB28,10,1)*POWER(2,6)+MID(GB28,9,1)*POWER(2,7)+MID(GB28,8,1)*POWER(2,8)+MID(GB28,7,1)*POWER(2,9)+MID(GB28,6,1)*POWER(2,10)+MID(GB28,5,1)*POWER(2,11)+MID(GB28,4,1)*POWER(2,12)+MID(GB28,3,1)*POWER(2,13)+MID(GB28,2,1)*POWER(2,14)+MID(GB28,1,1)*POWER(2,15)-(MID(GB29,16,1)*POWER(2,0)+MID(GB29,15,1)*POWER(2,1)+MID(GB29,14,1)*POWER(2,2)+MID(GB29,13,1)*POWER(2,3)+MID(GB29,12,1)*POWER(2,4)+MID(GB29,11,1)*POWER(2,5)+MID(GB29,10,1)*POWER(2,6)+MID(GB29,9,1)*POWER(2,7)+MID(GB29,8,1)*POWER(2,8)+MID(GB29,7,1)*POWER(2,9)+MID(GB29,6,1)*POWER(2,10)+MID(GB29,5,1)*POWER(2,11)+MID(GB29,4,1)*POWER(2,12)+MID(GB29,3,1)*POWER(2,13)+MID(GB29,2,1)*POWER(2,14)+MID(GB29,1,1)*POWER(2,15))</f>
        <v>58585</v>
      </c>
      <c r="GE28" s="35" t="str">
        <f>CU28</f>
        <v>00000010011000000110000101000001</v>
      </c>
      <c r="GF28" s="34" t="str">
        <f t="shared" si="182"/>
        <v>00000010</v>
      </c>
      <c r="GG28" s="34" t="str">
        <f t="shared" si="108"/>
        <v>01100000</v>
      </c>
      <c r="GH28" s="34" t="str">
        <f t="shared" si="109"/>
        <v>01100001</v>
      </c>
      <c r="GI28" s="34" t="str">
        <f t="shared" si="110"/>
        <v>01000001</v>
      </c>
      <c r="GJ28" s="87">
        <f>BIN2DEC(GF28)-BIN2DEC(GF29)</f>
        <v>-16</v>
      </c>
      <c r="GK28" s="87">
        <f>BIN2DEC(GG28)-BIN2DEC(GG29)</f>
        <v>88</v>
      </c>
      <c r="GL28" s="87">
        <f>BIN2DEC(GH28)-BIN2DEC(GH29)</f>
        <v>80</v>
      </c>
      <c r="GM28" s="87">
        <f>BIN2DEC(GI28)-BIN2DEC(GI29)</f>
        <v>65</v>
      </c>
      <c r="GN28" s="35" t="str">
        <f t="shared" si="111"/>
        <v>1000</v>
      </c>
      <c r="GO28" s="35" t="str">
        <f t="shared" si="112"/>
        <v>1010</v>
      </c>
      <c r="GP28" s="35" t="str">
        <f t="shared" si="113"/>
        <v>1110</v>
      </c>
      <c r="GQ28" s="35" t="str">
        <f t="shared" si="114"/>
        <v>0100</v>
      </c>
      <c r="GR28" s="35" t="str">
        <f t="shared" si="115"/>
        <v>1110</v>
      </c>
      <c r="GS28" s="35" t="str">
        <f t="shared" si="116"/>
        <v>0101</v>
      </c>
      <c r="GT28" s="35" t="str">
        <f>MID($L28,25,4)</f>
        <v>1101</v>
      </c>
      <c r="GU28" s="35" t="str">
        <f t="shared" si="118"/>
        <v>1001</v>
      </c>
      <c r="GV28" s="87">
        <f>BIN2DEC(GN28)-BIN2DEC(GN29)</f>
        <v>3</v>
      </c>
      <c r="GW28" s="87">
        <f t="shared" ref="GW28:HB28" si="334">BIN2DEC(GO28)-BIN2DEC(GO29)</f>
        <v>8</v>
      </c>
      <c r="GX28" s="87">
        <f t="shared" si="334"/>
        <v>10</v>
      </c>
      <c r="GY28" s="87">
        <f t="shared" si="334"/>
        <v>-4</v>
      </c>
      <c r="GZ28" s="87">
        <f t="shared" si="334"/>
        <v>7</v>
      </c>
      <c r="HA28" s="87">
        <f t="shared" si="334"/>
        <v>4</v>
      </c>
      <c r="HB28" s="87">
        <f t="shared" si="334"/>
        <v>13</v>
      </c>
      <c r="HC28" s="87">
        <f>BIN2DEC(GU28)-BIN2DEC(GU29)</f>
        <v>5</v>
      </c>
      <c r="HD28" s="34" t="str">
        <f t="shared" si="21"/>
        <v>0000001001100000</v>
      </c>
      <c r="HE28" s="34" t="str">
        <f t="shared" si="22"/>
        <v>0110000101000001</v>
      </c>
      <c r="HF28" s="87">
        <f>MID(HD28,16,1)*POWER(2,0)+MID(HD28,15,1)*POWER(2,1)+MID(HD28,14,1)*POWER(2,2)+MID(HD28,13,1)*POWER(2,3)+MID(HD28,12,1)*POWER(2,4)+MID(HD28,11,1)*POWER(2,5)+MID(HD28,10,1)*POWER(2,6)+MID(HD28,9,1)*POWER(2,7)+MID(HD28,8,1)*POWER(2,8)+MID(HD28,7,1)*POWER(2,9)+MID(HD28,6,1)*POWER(2,10)+MID(HD28,5,1)*POWER(2,11)+MID(HD28,4,1)*POWER(2,12)+MID(HD28,3,1)*POWER(2,13)+MID(HD28,2,1)*POWER(2,14)+MID(HD28,1,1)*POWER(2,15)-(MID(HD29,16,1)*POWER(2,0)+MID(HD29,15,1)*POWER(2,1)+MID(HD29,14,1)*POWER(2,2)+MID(HD29,13,1)*POWER(2,3)+MID(HD29,12,1)*POWER(2,4)+MID(HD29,11,1)*POWER(2,5)+MID(HD29,10,1)*POWER(2,6)+MID(HD29,9,1)*POWER(2,7)+MID(HD29,8,1)*POWER(2,8)+MID(HD29,7,1)*POWER(2,9)+MID(HD29,6,1)*POWER(2,10)+MID(HD29,5,1)*POWER(2,11)+MID(HD29,4,1)*POWER(2,12)+MID(HD29,3,1)*POWER(2,13)+MID(HD29,2,1)*POWER(2,14)+MID(HD29,1,1)*POWER(2,15))</f>
        <v>-4008</v>
      </c>
      <c r="HG28" s="87">
        <f>MID(HE28,16,1)*POWER(2,0)+MID(HE28,15,1)*POWER(2,1)+MID(HE28,14,1)*POWER(2,2)+MID(HE28,13,1)*POWER(2,3)+MID(HE28,12,1)*POWER(2,4)+MID(HE28,11,1)*POWER(2,5)+MID(HE28,10,1)*POWER(2,6)+MID(HE28,9,1)*POWER(2,7)+MID(HE28,8,1)*POWER(2,8)+MID(HE28,7,1)*POWER(2,9)+MID(HE28,6,1)*POWER(2,10)+MID(HE28,5,1)*POWER(2,11)+MID(HE28,4,1)*POWER(2,12)+MID(HE28,3,1)*POWER(2,13)+MID(HE28,2,1)*POWER(2,14)+MID(HE28,1,1)*POWER(2,15)-(MID(HE29,16,1)*POWER(2,0)+MID(HE29,15,1)*POWER(2,1)+MID(HE29,14,1)*POWER(2,2)+MID(HE29,13,1)*POWER(2,3)+MID(HE29,12,1)*POWER(2,4)+MID(HE29,11,1)*POWER(2,5)+MID(HE29,10,1)*POWER(2,6)+MID(HE29,9,1)*POWER(2,7)+MID(HE29,8,1)*POWER(2,8)+MID(HE29,7,1)*POWER(2,9)+MID(HE29,6,1)*POWER(2,10)+MID(HE29,5,1)*POWER(2,11)+MID(HE29,4,1)*POWER(2,12)+MID(HE29,3,1)*POWER(2,13)+MID(HE29,2,1)*POWER(2,14)+MID(HE29,1,1)*POWER(2,15))</f>
        <v>20545</v>
      </c>
      <c r="HH28" s="34" t="str">
        <f>CONCATENATE(MID(DX28,17,16),MID(DX28,1,16))</f>
        <v>00000010011000000110000101000001</v>
      </c>
      <c r="HI28" s="34" t="str">
        <f t="shared" si="184"/>
        <v>00000010</v>
      </c>
      <c r="HJ28" s="34" t="str">
        <f t="shared" si="119"/>
        <v>01100000</v>
      </c>
      <c r="HK28" s="34" t="str">
        <f t="shared" si="120"/>
        <v>01100001</v>
      </c>
      <c r="HL28" s="34" t="str">
        <f t="shared" si="121"/>
        <v>01000001</v>
      </c>
      <c r="HM28" s="87">
        <f>BIN2DEC(HI28)-BIN2DEC(HI29)</f>
        <v>0</v>
      </c>
      <c r="HN28" s="87">
        <f>BIN2DEC(HJ28)-BIN2DEC(HJ29)</f>
        <v>96</v>
      </c>
      <c r="HO28" s="87">
        <f>BIN2DEC(HK28)-BIN2DEC(HK29)</f>
        <v>96</v>
      </c>
      <c r="HP28" s="87">
        <f>BIN2DEC(HL28)-BIN2DEC(HL29)</f>
        <v>65</v>
      </c>
      <c r="HQ28" s="35" t="str">
        <f t="shared" si="122"/>
        <v>1000</v>
      </c>
      <c r="HR28" s="35" t="str">
        <f t="shared" si="123"/>
        <v>1010</v>
      </c>
      <c r="HS28" s="35" t="str">
        <f t="shared" si="124"/>
        <v>1110</v>
      </c>
      <c r="HT28" s="35" t="str">
        <f t="shared" si="125"/>
        <v>0100</v>
      </c>
      <c r="HU28" s="35" t="str">
        <f t="shared" si="126"/>
        <v>1110</v>
      </c>
      <c r="HV28" s="35" t="str">
        <f t="shared" si="127"/>
        <v>0101</v>
      </c>
      <c r="HW28" s="35" t="str">
        <f>MID($L28,25,4)</f>
        <v>1101</v>
      </c>
      <c r="HX28" s="35" t="str">
        <f t="shared" si="129"/>
        <v>1001</v>
      </c>
      <c r="HY28" s="87">
        <f>BIN2DEC(HQ28)-BIN2DEC(HQ29)</f>
        <v>3</v>
      </c>
      <c r="HZ28" s="87">
        <f t="shared" ref="HZ28:IE28" si="335">BIN2DEC(HR28)-BIN2DEC(HR29)</f>
        <v>8</v>
      </c>
      <c r="IA28" s="87">
        <f t="shared" si="335"/>
        <v>10</v>
      </c>
      <c r="IB28" s="87">
        <f t="shared" si="335"/>
        <v>-4</v>
      </c>
      <c r="IC28" s="87">
        <f t="shared" si="335"/>
        <v>7</v>
      </c>
      <c r="ID28" s="87">
        <f t="shared" si="335"/>
        <v>4</v>
      </c>
      <c r="IE28" s="87">
        <f t="shared" si="335"/>
        <v>13</v>
      </c>
      <c r="IF28" s="87">
        <f>BIN2DEC(HX28)-BIN2DEC(HX29)</f>
        <v>5</v>
      </c>
      <c r="IG28" s="34" t="str">
        <f t="shared" si="24"/>
        <v>0000001001100000</v>
      </c>
      <c r="IH28" s="34" t="str">
        <f t="shared" si="25"/>
        <v>0110000101000001</v>
      </c>
      <c r="II28" s="87">
        <f>MID(IG28,16,1)*POWER(2,0)+MID(IG28,15,1)*POWER(2,1)+MID(IG28,14,1)*POWER(2,2)+MID(IG28,13,1)*POWER(2,3)+MID(IG28,12,1)*POWER(2,4)+MID(IG28,11,1)*POWER(2,5)+MID(IG28,10,1)*POWER(2,6)+MID(IG28,9,1)*POWER(2,7)+MID(IG28,8,1)*POWER(2,8)+MID(IG28,7,1)*POWER(2,9)+MID(IG28,6,1)*POWER(2,10)+MID(IG28,5,1)*POWER(2,11)+MID(IG28,4,1)*POWER(2,12)+MID(IG28,3,1)*POWER(2,13)+MID(IG28,2,1)*POWER(2,14)+MID(IG28,1,1)*POWER(2,15)-(MID(IG29,16,1)*POWER(2,0)+MID(IG29,15,1)*POWER(2,1)+MID(IG29,14,1)*POWER(2,2)+MID(IG29,13,1)*POWER(2,3)+MID(IG29,12,1)*POWER(2,4)+MID(IG29,11,1)*POWER(2,5)+MID(IG29,10,1)*POWER(2,6)+MID(IG29,9,1)*POWER(2,7)+MID(IG29,8,1)*POWER(2,8)+MID(IG29,7,1)*POWER(2,9)+MID(IG29,6,1)*POWER(2,10)+MID(IG29,5,1)*POWER(2,11)+MID(IG29,4,1)*POWER(2,12)+MID(IG29,3,1)*POWER(2,13)+MID(IG29,2,1)*POWER(2,14)+MID(IG29,1,1)*POWER(2,15))</f>
        <v>96</v>
      </c>
      <c r="IJ28" s="87">
        <f>MID(IH28,16,1)*POWER(2,0)+MID(IH28,15,1)*POWER(2,1)+MID(IH28,14,1)*POWER(2,2)+MID(IH28,13,1)*POWER(2,3)+MID(IH28,12,1)*POWER(2,4)+MID(IH28,11,1)*POWER(2,5)+MID(IH28,10,1)*POWER(2,6)+MID(IH28,9,1)*POWER(2,7)+MID(IH28,8,1)*POWER(2,8)+MID(IH28,7,1)*POWER(2,9)+MID(IH28,6,1)*POWER(2,10)+MID(IH28,5,1)*POWER(2,11)+MID(IH28,4,1)*POWER(2,12)+MID(IH28,3,1)*POWER(2,13)+MID(IH28,2,1)*POWER(2,14)+MID(IH28,1,1)*POWER(2,15)-(MID(IH29,16,1)*POWER(2,0)+MID(IH29,15,1)*POWER(2,1)+MID(IH29,14,1)*POWER(2,2)+MID(IH29,13,1)*POWER(2,3)+MID(IH29,12,1)*POWER(2,4)+MID(IH29,11,1)*POWER(2,5)+MID(IH29,10,1)*POWER(2,6)+MID(IH29,9,1)*POWER(2,7)+MID(IH29,8,1)*POWER(2,8)+MID(IH29,7,1)*POWER(2,9)+MID(IH29,6,1)*POWER(2,10)+MID(IH29,5,1)*POWER(2,11)+MID(IH29,4,1)*POWER(2,12)+MID(IH29,3,1)*POWER(2,13)+MID(IH29,2,1)*POWER(2,14)+MID(IH29,1,1)*POWER(2,15))</f>
        <v>24641</v>
      </c>
      <c r="IK28" s="34" t="str">
        <f>HH28</f>
        <v>00000010011000000110000101000001</v>
      </c>
      <c r="IL28" s="34" t="str">
        <f t="shared" si="186"/>
        <v>00000010</v>
      </c>
      <c r="IM28" s="34" t="str">
        <f t="shared" si="130"/>
        <v>01100000</v>
      </c>
      <c r="IN28" s="34" t="str">
        <f t="shared" si="131"/>
        <v>01100001</v>
      </c>
      <c r="IO28" s="34" t="str">
        <f t="shared" si="132"/>
        <v>01000001</v>
      </c>
      <c r="IP28" s="87">
        <f>BIN2DEC(IL28)-BIN2DEC(IL29)</f>
        <v>-80</v>
      </c>
      <c r="IQ28" s="87">
        <f>BIN2DEC(IM28)-BIN2DEC(IM29)</f>
        <v>24</v>
      </c>
      <c r="IR28" s="87">
        <f>BIN2DEC(IN28)-BIN2DEC(IN29)</f>
        <v>-16</v>
      </c>
      <c r="IS28" s="87">
        <f>BIN2DEC(IO28)-BIN2DEC(IO29)</f>
        <v>61</v>
      </c>
      <c r="IT28" s="35" t="str">
        <f t="shared" si="133"/>
        <v>1000</v>
      </c>
      <c r="IU28" s="35" t="str">
        <f t="shared" si="134"/>
        <v>1010</v>
      </c>
      <c r="IV28" s="35" t="str">
        <f t="shared" si="135"/>
        <v>1110</v>
      </c>
      <c r="IW28" s="35" t="str">
        <f t="shared" si="136"/>
        <v>0100</v>
      </c>
      <c r="IX28" s="35" t="str">
        <f t="shared" si="137"/>
        <v>1110</v>
      </c>
      <c r="IY28" s="35" t="str">
        <f t="shared" si="138"/>
        <v>0101</v>
      </c>
      <c r="IZ28" s="35" t="str">
        <f>MID($L28,25,4)</f>
        <v>1101</v>
      </c>
      <c r="JA28" s="35" t="str">
        <f t="shared" si="140"/>
        <v>1001</v>
      </c>
      <c r="JB28" s="87">
        <f t="shared" ref="JB28:JI28" si="336">BIN2DEC(IT28)-BIN2DEC(IT29)</f>
        <v>3</v>
      </c>
      <c r="JC28" s="87">
        <f t="shared" si="336"/>
        <v>8</v>
      </c>
      <c r="JD28" s="87">
        <f t="shared" si="336"/>
        <v>10</v>
      </c>
      <c r="JE28" s="87">
        <f t="shared" si="336"/>
        <v>-4</v>
      </c>
      <c r="JF28" s="87">
        <f t="shared" si="336"/>
        <v>7</v>
      </c>
      <c r="JG28" s="87">
        <f t="shared" si="336"/>
        <v>4</v>
      </c>
      <c r="JH28" s="87">
        <f t="shared" si="336"/>
        <v>13</v>
      </c>
      <c r="JI28" s="87">
        <f t="shared" si="336"/>
        <v>5</v>
      </c>
      <c r="JJ28" s="34" t="str">
        <f t="shared" si="27"/>
        <v>0000001001100000</v>
      </c>
      <c r="JK28" s="34" t="str">
        <f t="shared" si="28"/>
        <v>0110000101000001</v>
      </c>
      <c r="JL28" s="87">
        <f>MID(JJ28,16,1)*POWER(2,0)+MID(JJ28,15,1)*POWER(2,1)+MID(JJ28,14,1)*POWER(2,2)+MID(JJ28,13,1)*POWER(2,3)+MID(JJ28,12,1)*POWER(2,4)+MID(JJ28,11,1)*POWER(2,5)+MID(JJ28,10,1)*POWER(2,6)+MID(JJ28,9,1)*POWER(2,7)+MID(JJ28,8,1)*POWER(2,8)+MID(JJ28,7,1)*POWER(2,9)+MID(JJ28,6,1)*POWER(2,10)+MID(JJ28,5,1)*POWER(2,11)+MID(JJ28,4,1)*POWER(2,12)+MID(JJ28,3,1)*POWER(2,13)+MID(JJ28,2,1)*POWER(2,14)+MID(JJ28,1,1)*POWER(2,15)-(MID(JJ29,16,1)*POWER(2,0)+MID(JJ29,15,1)*POWER(2,1)+MID(JJ29,14,1)*POWER(2,2)+MID(JJ29,13,1)*POWER(2,3)+MID(JJ29,12,1)*POWER(2,4)+MID(JJ29,11,1)*POWER(2,5)+MID(JJ29,10,1)*POWER(2,6)+MID(JJ29,9,1)*POWER(2,7)+MID(JJ29,8,1)*POWER(2,8)+MID(JJ29,7,1)*POWER(2,9)+MID(JJ29,6,1)*POWER(2,10)+MID(JJ29,5,1)*POWER(2,11)+MID(JJ29,4,1)*POWER(2,12)+MID(JJ29,3,1)*POWER(2,13)+MID(JJ29,2,1)*POWER(2,14)+MID(JJ29,1,1)*POWER(2,15))</f>
        <v>-20456</v>
      </c>
      <c r="JM28" s="87">
        <f>MID(JK28,16,1)*POWER(2,0)+MID(JK28,15,1)*POWER(2,1)+MID(JK28,14,1)*POWER(2,2)+MID(JK28,13,1)*POWER(2,3)+MID(JK28,12,1)*POWER(2,4)+MID(JK28,11,1)*POWER(2,5)+MID(JK28,10,1)*POWER(2,6)+MID(JK28,9,1)*POWER(2,7)+MID(JK28,8,1)*POWER(2,8)+MID(JK28,7,1)*POWER(2,9)+MID(JK28,6,1)*POWER(2,10)+MID(JK28,5,1)*POWER(2,11)+MID(JK28,4,1)*POWER(2,12)+MID(JK28,3,1)*POWER(2,13)+MID(JK28,2,1)*POWER(2,14)+MID(JK28,1,1)*POWER(2,15)-(MID(JK29,16,1)*POWER(2,0)+MID(JK29,15,1)*POWER(2,1)+MID(JK29,14,1)*POWER(2,2)+MID(JK29,13,1)*POWER(2,3)+MID(JK29,12,1)*POWER(2,4)+MID(JK29,11,1)*POWER(2,5)+MID(JK29,10,1)*POWER(2,6)+MID(JK29,9,1)*POWER(2,7)+MID(JK29,8,1)*POWER(2,8)+MID(JK29,7,1)*POWER(2,9)+MID(JK29,6,1)*POWER(2,10)+MID(JK29,5,1)*POWER(2,11)+MID(JK29,4,1)*POWER(2,12)+MID(JK29,3,1)*POWER(2,13)+MID(JK29,2,1)*POWER(2,14)+MID(JK29,1,1)*POWER(2,15))</f>
        <v>-4035</v>
      </c>
      <c r="JN28" s="33" t="str">
        <f>CONCATENATE(MID(IK28,1,1)*MID($K28,1,1),MID(IK28,2,1)*MID($K28,2,1),MID(IK28,3,1)*MID($K28,3,1),MID(IK28,4,1)*MID($K28,4,1),MID(IK28,5,1)*MID($K28,5,1),MID(IK28,6,1)*MID($K28,6,1),MID(IK28,7,1)*MID($K28,7,1),MID(IK28,8,1)*MID($K28,8,1),MID(IK28,9,1)*MID($K28,1,1),MID(IK28,10,1)*MID($K28,2,1),MID(IK28,11,1)*MID($K28,3,1),MID(IK28,12,1)*MID($K28,4,1),MID(IK28,13,1)*MID($K28,5,1),MID(IK28,14,1)*MID($K28,6,1),MID(IK28,15,1)*MID($K28,7,1),MID(IK28,16,1)*MID($K28,8,1),MID(IK28,17,1)*MID($K28,1,1),MID(IK28,18,1)*MID($K28,2,1),MID(IK28,19,1)*MID($K28,3,1),MID(IK28,20,1)*MID($K28,4,1),MID(IK28,21,1)*MID($K28,5,1),MID(IK28,22,1)*MID($K28,6,1),MID(IK28,23,1)*MID($K28,7,1),MID(IK28,24,1)*MID($K28,8,1),MID(IK28,25,1)*MID($K28,1,1),MID(IK28,26,1)*MID($K28,2,1),MID(IK28,27,1)*MID($K28,3,1),MID(IK28,28,1)*MID($K28,4,1),MID(IK28,29,1)*MID($K28,5,1),MID(IK28,30,1)*MID($K28,6,1),MID(IK28,31,1)*MID($K28,7,1),MID(IK28,32,1)*MID($K28,8,1))</f>
        <v>00000010011000000110000101000001</v>
      </c>
      <c r="JO28" s="34" t="str">
        <f t="shared" si="188"/>
        <v>00000010</v>
      </c>
      <c r="JP28" s="34" t="str">
        <f t="shared" si="141"/>
        <v>01100000</v>
      </c>
      <c r="JQ28" s="34" t="str">
        <f t="shared" si="142"/>
        <v>01100001</v>
      </c>
      <c r="JR28" s="34" t="str">
        <f t="shared" si="143"/>
        <v>01000001</v>
      </c>
      <c r="JS28" s="87">
        <f>BIN2DEC(JO28)-BIN2DEC(JO29)</f>
        <v>-80</v>
      </c>
      <c r="JT28" s="87">
        <f>BIN2DEC(JP28)-BIN2DEC(JP29)</f>
        <v>24</v>
      </c>
      <c r="JU28" s="87">
        <f>BIN2DEC(JQ28)-BIN2DEC(JQ29)</f>
        <v>-16</v>
      </c>
      <c r="JV28" s="87">
        <f>BIN2DEC(JR28)-BIN2DEC(JR29)</f>
        <v>61</v>
      </c>
      <c r="JW28" s="35" t="str">
        <f t="shared" si="144"/>
        <v>1000</v>
      </c>
      <c r="JX28" s="35" t="str">
        <f t="shared" si="145"/>
        <v>1010</v>
      </c>
      <c r="JY28" s="35" t="str">
        <f t="shared" si="146"/>
        <v>1110</v>
      </c>
      <c r="JZ28" s="35" t="str">
        <f t="shared" si="147"/>
        <v>0100</v>
      </c>
      <c r="KA28" s="35" t="str">
        <f t="shared" si="148"/>
        <v>1110</v>
      </c>
      <c r="KB28" s="35" t="str">
        <f t="shared" si="149"/>
        <v>0101</v>
      </c>
      <c r="KC28" s="35" t="str">
        <f>MID($L28,25,4)</f>
        <v>1101</v>
      </c>
      <c r="KD28" s="35" t="str">
        <f t="shared" si="151"/>
        <v>1001</v>
      </c>
      <c r="KE28" s="87">
        <f t="shared" ref="KE28:KL28" si="337">BIN2DEC(JW28)-BIN2DEC(JW29)</f>
        <v>3</v>
      </c>
      <c r="KF28" s="87">
        <f t="shared" si="337"/>
        <v>8</v>
      </c>
      <c r="KG28" s="87">
        <f t="shared" si="337"/>
        <v>10</v>
      </c>
      <c r="KH28" s="87">
        <f t="shared" si="337"/>
        <v>-4</v>
      </c>
      <c r="KI28" s="87">
        <f t="shared" si="337"/>
        <v>7</v>
      </c>
      <c r="KJ28" s="87">
        <f t="shared" si="337"/>
        <v>4</v>
      </c>
      <c r="KK28" s="87">
        <f t="shared" si="337"/>
        <v>13</v>
      </c>
      <c r="KL28" s="87">
        <f t="shared" si="337"/>
        <v>5</v>
      </c>
      <c r="KM28" s="34" t="str">
        <f t="shared" si="30"/>
        <v>0000001001100000</v>
      </c>
      <c r="KN28" s="34" t="str">
        <f t="shared" si="31"/>
        <v>0110000101000001</v>
      </c>
      <c r="KO28" s="87">
        <f>MID(KM28,16,1)*POWER(2,0)+MID(KM28,15,1)*POWER(2,1)+MID(KM28,14,1)*POWER(2,2)+MID(KM28,13,1)*POWER(2,3)+MID(KM28,12,1)*POWER(2,4)+MID(KM28,11,1)*POWER(2,5)+MID(KM28,10,1)*POWER(2,6)+MID(KM28,9,1)*POWER(2,7)+MID(KM28,8,1)*POWER(2,8)+MID(KM28,7,1)*POWER(2,9)+MID(KM28,6,1)*POWER(2,10)+MID(KM28,5,1)*POWER(2,11)+MID(KM28,4,1)*POWER(2,12)+MID(KM28,3,1)*POWER(2,13)+MID(KM28,2,1)*POWER(2,14)+MID(KM28,1,1)*POWER(2,15)-(MID(KM29,16,1)*POWER(2,0)+MID(KM29,15,1)*POWER(2,1)+MID(KM29,14,1)*POWER(2,2)+MID(KM29,13,1)*POWER(2,3)+MID(KM29,12,1)*POWER(2,4)+MID(KM29,11,1)*POWER(2,5)+MID(KM29,10,1)*POWER(2,6)+MID(KM29,9,1)*POWER(2,7)+MID(KM29,8,1)*POWER(2,8)+MID(KM29,7,1)*POWER(2,9)+MID(KM29,6,1)*POWER(2,10)+MID(KM29,5,1)*POWER(2,11)+MID(KM29,4,1)*POWER(2,12)+MID(KM29,3,1)*POWER(2,13)+MID(KM29,2,1)*POWER(2,14)+MID(KM29,1,1)*POWER(2,15))</f>
        <v>-20456</v>
      </c>
      <c r="KP28" s="87">
        <f>MID(KN28,16,1)*POWER(2,0)+MID(KN28,15,1)*POWER(2,1)+MID(KN28,14,1)*POWER(2,2)+MID(KN28,13,1)*POWER(2,3)+MID(KN28,12,1)*POWER(2,4)+MID(KN28,11,1)*POWER(2,5)+MID(KN28,10,1)*POWER(2,6)+MID(KN28,9,1)*POWER(2,7)+MID(KN28,8,1)*POWER(2,8)+MID(KN28,7,1)*POWER(2,9)+MID(KN28,6,1)*POWER(2,10)+MID(KN28,5,1)*POWER(2,11)+MID(KN28,4,1)*POWER(2,12)+MID(KN28,3,1)*POWER(2,13)+MID(KN28,2,1)*POWER(2,14)+MID(KN28,1,1)*POWER(2,15)-(MID(KN29,16,1)*POWER(2,0)+MID(KN29,15,1)*POWER(2,1)+MID(KN29,14,1)*POWER(2,2)+MID(KN29,13,1)*POWER(2,3)+MID(KN29,12,1)*POWER(2,4)+MID(KN29,11,1)*POWER(2,5)+MID(KN29,10,1)*POWER(2,6)+MID(KN29,9,1)*POWER(2,7)+MID(KN29,8,1)*POWER(2,8)+MID(KN29,7,1)*POWER(2,9)+MID(KN29,6,1)*POWER(2,10)+MID(KN29,5,1)*POWER(2,11)+MID(KN29,4,1)*POWER(2,12)+MID(KN29,3,1)*POWER(2,13)+MID(KN29,2,1)*POWER(2,14)+MID(KN29,1,1)*POWER(2,15))</f>
        <v>-4035</v>
      </c>
      <c r="KQ28" s="35" t="str">
        <f>IK28</f>
        <v>00000010011000000110000101000001</v>
      </c>
      <c r="KR28" s="34" t="str">
        <f t="shared" si="190"/>
        <v>00000010</v>
      </c>
      <c r="KS28" s="34" t="str">
        <f t="shared" si="152"/>
        <v>01100000</v>
      </c>
      <c r="KT28" s="34" t="str">
        <f t="shared" si="153"/>
        <v>01100001</v>
      </c>
      <c r="KU28" s="34" t="str">
        <f t="shared" si="154"/>
        <v>01000001</v>
      </c>
      <c r="KV28" s="87">
        <f>BIN2DEC(KR28)-BIN2DEC(KR29)</f>
        <v>-64</v>
      </c>
      <c r="KW28" s="87">
        <f>BIN2DEC(KS28)-BIN2DEC(KS29)</f>
        <v>32</v>
      </c>
      <c r="KX28" s="87">
        <f>BIN2DEC(KT28)-BIN2DEC(KT29)</f>
        <v>0</v>
      </c>
      <c r="KY28" s="87">
        <f>BIN2DEC(KU28)-BIN2DEC(KU29)</f>
        <v>65</v>
      </c>
      <c r="KZ28" s="35" t="str">
        <f t="shared" si="155"/>
        <v>1000</v>
      </c>
      <c r="LA28" s="35" t="str">
        <f t="shared" si="156"/>
        <v>1010</v>
      </c>
      <c r="LB28" s="35" t="str">
        <f t="shared" si="157"/>
        <v>1110</v>
      </c>
      <c r="LC28" s="35" t="str">
        <f t="shared" si="158"/>
        <v>0100</v>
      </c>
      <c r="LD28" s="35" t="str">
        <f t="shared" si="159"/>
        <v>1110</v>
      </c>
      <c r="LE28" s="35" t="str">
        <f t="shared" si="160"/>
        <v>0101</v>
      </c>
      <c r="LF28" s="35" t="str">
        <f>MID($L28,25,4)</f>
        <v>1101</v>
      </c>
      <c r="LG28" s="35" t="str">
        <f t="shared" si="162"/>
        <v>1001</v>
      </c>
      <c r="LH28" s="87">
        <f t="shared" ref="LH28:LO28" si="338">BIN2DEC(KZ28)-BIN2DEC(KZ29)</f>
        <v>3</v>
      </c>
      <c r="LI28" s="87">
        <f t="shared" si="338"/>
        <v>8</v>
      </c>
      <c r="LJ28" s="87">
        <f t="shared" si="338"/>
        <v>10</v>
      </c>
      <c r="LK28" s="87">
        <f t="shared" si="338"/>
        <v>-4</v>
      </c>
      <c r="LL28" s="87">
        <f t="shared" si="338"/>
        <v>7</v>
      </c>
      <c r="LM28" s="87">
        <f t="shared" si="338"/>
        <v>4</v>
      </c>
      <c r="LN28" s="87">
        <f t="shared" si="338"/>
        <v>13</v>
      </c>
      <c r="LO28" s="87">
        <f t="shared" si="338"/>
        <v>5</v>
      </c>
      <c r="LP28" s="34" t="str">
        <f t="shared" si="33"/>
        <v>0000001001100000</v>
      </c>
      <c r="LQ28" s="34" t="str">
        <f t="shared" si="34"/>
        <v>0110000101000001</v>
      </c>
      <c r="LR28" s="87">
        <f>MID(LP28,16,1)*POWER(2,0)+MID(LP28,15,1)*POWER(2,1)+MID(LP28,14,1)*POWER(2,2)+MID(LP28,13,1)*POWER(2,3)+MID(LP28,12,1)*POWER(2,4)+MID(LP28,11,1)*POWER(2,5)+MID(LP28,10,1)*POWER(2,6)+MID(LP28,9,1)*POWER(2,7)+MID(LP28,8,1)*POWER(2,8)+MID(LP28,7,1)*POWER(2,9)+MID(LP28,6,1)*POWER(2,10)+MID(LP28,5,1)*POWER(2,11)+MID(LP28,4,1)*POWER(2,12)+MID(LP28,3,1)*POWER(2,13)+MID(LP28,2,1)*POWER(2,14)+MID(LP28,1,1)*POWER(2,15)-(MID(LP29,16,1)*POWER(2,0)+MID(LP29,15,1)*POWER(2,1)+MID(LP29,14,1)*POWER(2,2)+MID(LP29,13,1)*POWER(2,3)+MID(LP29,12,1)*POWER(2,4)+MID(LP29,11,1)*POWER(2,5)+MID(LP29,10,1)*POWER(2,6)+MID(LP29,9,1)*POWER(2,7)+MID(LP29,8,1)*POWER(2,8)+MID(LP29,7,1)*POWER(2,9)+MID(LP29,6,1)*POWER(2,10)+MID(LP29,5,1)*POWER(2,11)+MID(LP29,4,1)*POWER(2,12)+MID(LP29,3,1)*POWER(2,13)+MID(LP29,2,1)*POWER(2,14)+MID(LP29,1,1)*POWER(2,15))</f>
        <v>-16352</v>
      </c>
      <c r="LS28" s="87">
        <f>MID(LQ28,16,1)*POWER(2,0)+MID(LQ28,15,1)*POWER(2,1)+MID(LQ28,14,1)*POWER(2,2)+MID(LQ28,13,1)*POWER(2,3)+MID(LQ28,12,1)*POWER(2,4)+MID(LQ28,11,1)*POWER(2,5)+MID(LQ28,10,1)*POWER(2,6)+MID(LQ28,9,1)*POWER(2,7)+MID(LQ28,8,1)*POWER(2,8)+MID(LQ28,7,1)*POWER(2,9)+MID(LQ28,6,1)*POWER(2,10)+MID(LQ28,5,1)*POWER(2,11)+MID(LQ28,4,1)*POWER(2,12)+MID(LQ28,3,1)*POWER(2,13)+MID(LQ28,2,1)*POWER(2,14)+MID(LQ28,1,1)*POWER(2,15)-(MID(LQ29,16,1)*POWER(2,0)+MID(LQ29,15,1)*POWER(2,1)+MID(LQ29,14,1)*POWER(2,2)+MID(LQ29,13,1)*POWER(2,3)+MID(LQ29,12,1)*POWER(2,4)+MID(LQ29,11,1)*POWER(2,5)+MID(LQ29,10,1)*POWER(2,6)+MID(LQ29,9,1)*POWER(2,7)+MID(LQ29,8,1)*POWER(2,8)+MID(LQ29,7,1)*POWER(2,9)+MID(LQ29,6,1)*POWER(2,10)+MID(LQ29,5,1)*POWER(2,11)+MID(LQ29,4,1)*POWER(2,12)+MID(LQ29,3,1)*POWER(2,13)+MID(LQ29,2,1)*POWER(2,14)+MID(LQ29,1,1)*POWER(2,15))</f>
        <v>65</v>
      </c>
      <c r="LT28" s="34" t="str">
        <f>JN28</f>
        <v>00000010011000000110000101000001</v>
      </c>
      <c r="LU28" s="34" t="str">
        <f t="shared" si="192"/>
        <v>00000010</v>
      </c>
      <c r="LV28" s="34" t="str">
        <f t="shared" si="163"/>
        <v>01100000</v>
      </c>
      <c r="LW28" s="34" t="str">
        <f t="shared" si="164"/>
        <v>01100001</v>
      </c>
      <c r="LX28" s="34" t="str">
        <f t="shared" si="165"/>
        <v>01000001</v>
      </c>
      <c r="LY28" s="87">
        <f>BIN2DEC(LU28)-BIN2DEC(LU29)</f>
        <v>-16</v>
      </c>
      <c r="LZ28" s="87">
        <f>BIN2DEC(LV28)-BIN2DEC(LV29)</f>
        <v>88</v>
      </c>
      <c r="MA28" s="87">
        <f>BIN2DEC(LW28)-BIN2DEC(LW29)</f>
        <v>80</v>
      </c>
      <c r="MB28" s="87">
        <f>BIN2DEC(LX28)-BIN2DEC(LX29)</f>
        <v>65</v>
      </c>
      <c r="MC28" s="35" t="str">
        <f t="shared" si="166"/>
        <v>1000</v>
      </c>
      <c r="MD28" s="35" t="str">
        <f t="shared" si="167"/>
        <v>1010</v>
      </c>
      <c r="ME28" s="35" t="str">
        <f t="shared" si="168"/>
        <v>1110</v>
      </c>
      <c r="MF28" s="35" t="str">
        <f t="shared" si="169"/>
        <v>0100</v>
      </c>
      <c r="MG28" s="35" t="str">
        <f t="shared" si="170"/>
        <v>1110</v>
      </c>
      <c r="MH28" s="35" t="str">
        <f t="shared" si="171"/>
        <v>0101</v>
      </c>
      <c r="MI28" s="35" t="str">
        <f>MID($L28,25,4)</f>
        <v>1101</v>
      </c>
      <c r="MJ28" s="35" t="str">
        <f t="shared" si="173"/>
        <v>1001</v>
      </c>
      <c r="MK28" s="87">
        <f t="shared" ref="MK28:MR28" si="339">BIN2DEC(MC28)-BIN2DEC(MC29)</f>
        <v>3</v>
      </c>
      <c r="ML28" s="87">
        <f t="shared" si="339"/>
        <v>8</v>
      </c>
      <c r="MM28" s="87">
        <f t="shared" si="339"/>
        <v>10</v>
      </c>
      <c r="MN28" s="87">
        <f t="shared" si="339"/>
        <v>-4</v>
      </c>
      <c r="MO28" s="87">
        <f t="shared" si="339"/>
        <v>7</v>
      </c>
      <c r="MP28" s="87">
        <f t="shared" si="339"/>
        <v>4</v>
      </c>
      <c r="MQ28" s="87">
        <f t="shared" si="339"/>
        <v>13</v>
      </c>
      <c r="MR28" s="87">
        <f t="shared" si="339"/>
        <v>5</v>
      </c>
      <c r="MS28" s="34" t="str">
        <f t="shared" si="36"/>
        <v>0000001001100000</v>
      </c>
      <c r="MT28" s="34" t="str">
        <f t="shared" si="37"/>
        <v>0110000101000001</v>
      </c>
      <c r="MU28" s="87">
        <f>MID(MS28,16,1)*POWER(2,0)+MID(MS28,15,1)*POWER(2,1)+MID(MS28,14,1)*POWER(2,2)+MID(MS28,13,1)*POWER(2,3)+MID(MS28,12,1)*POWER(2,4)+MID(MS28,11,1)*POWER(2,5)+MID(MS28,10,1)*POWER(2,6)+MID(MS28,9,1)*POWER(2,7)+MID(MS28,8,1)*POWER(2,8)+MID(MS28,7,1)*POWER(2,9)+MID(MS28,6,1)*POWER(2,10)+MID(MS28,5,1)*POWER(2,11)+MID(MS28,4,1)*POWER(2,12)+MID(MS28,3,1)*POWER(2,13)+MID(MS28,2,1)*POWER(2,14)+MID(MS28,1,1)*POWER(2,15)-(MID(MS29,16,1)*POWER(2,0)+MID(MS29,15,1)*POWER(2,1)+MID(MS29,14,1)*POWER(2,2)+MID(MS29,13,1)*POWER(2,3)+MID(MS29,12,1)*POWER(2,4)+MID(MS29,11,1)*POWER(2,5)+MID(MS29,10,1)*POWER(2,6)+MID(MS29,9,1)*POWER(2,7)+MID(MS29,8,1)*POWER(2,8)+MID(MS29,7,1)*POWER(2,9)+MID(MS29,6,1)*POWER(2,10)+MID(MS29,5,1)*POWER(2,11)+MID(MS29,4,1)*POWER(2,12)+MID(MS29,3,1)*POWER(2,13)+MID(MS29,2,1)*POWER(2,14)+MID(MS29,1,1)*POWER(2,15))</f>
        <v>-4008</v>
      </c>
      <c r="MV28" s="87">
        <f>MID(MT28,16,1)*POWER(2,0)+MID(MT28,15,1)*POWER(2,1)+MID(MT28,14,1)*POWER(2,2)+MID(MT28,13,1)*POWER(2,3)+MID(MT28,12,1)*POWER(2,4)+MID(MT28,11,1)*POWER(2,5)+MID(MT28,10,1)*POWER(2,6)+MID(MT28,9,1)*POWER(2,7)+MID(MT28,8,1)*POWER(2,8)+MID(MT28,7,1)*POWER(2,9)+MID(MT28,6,1)*POWER(2,10)+MID(MT28,5,1)*POWER(2,11)+MID(MT28,4,1)*POWER(2,12)+MID(MT28,3,1)*POWER(2,13)+MID(MT28,2,1)*POWER(2,14)+MID(MT28,1,1)*POWER(2,15)-(MID(MT29,16,1)*POWER(2,0)+MID(MT29,15,1)*POWER(2,1)+MID(MT29,14,1)*POWER(2,2)+MID(MT29,13,1)*POWER(2,3)+MID(MT29,12,1)*POWER(2,4)+MID(MT29,11,1)*POWER(2,5)+MID(MT29,10,1)*POWER(2,6)+MID(MT29,9,1)*POWER(2,7)+MID(MT29,8,1)*POWER(2,8)+MID(MT29,7,1)*POWER(2,9)+MID(MT29,6,1)*POWER(2,10)+MID(MT29,5,1)*POWER(2,11)+MID(MT29,4,1)*POWER(2,12)+MID(MT29,3,1)*POWER(2,13)+MID(MT29,2,1)*POWER(2,14)+MID(MT29,1,1)*POWER(2,15))</f>
        <v>20545</v>
      </c>
    </row>
    <row r="29" spans="1:360" s="39" customFormat="1" ht="18.600000000000001" thickBot="1" x14ac:dyDescent="0.4">
      <c r="A29" s="36"/>
      <c r="B29" s="37"/>
      <c r="C29" s="51" t="s">
        <v>6</v>
      </c>
      <c r="D29" s="51" t="s">
        <v>20</v>
      </c>
      <c r="E29" s="51">
        <v>29</v>
      </c>
      <c r="F29" s="51" t="s">
        <v>39</v>
      </c>
      <c r="G29" s="51">
        <v>40</v>
      </c>
      <c r="H29" s="51" t="str">
        <f t="shared" si="278"/>
        <v>00001010001010011000111001000000</v>
      </c>
      <c r="I29" s="51">
        <f t="shared" si="279"/>
        <v>10</v>
      </c>
      <c r="J29" s="51"/>
      <c r="K29" s="51"/>
      <c r="L29" s="38" t="str">
        <f>CONCATENATE(MID(H29,4,5),MID(H29,25,3),MID(H29,12,5),MID(H29,1,3),MID(H29,20,5),MID(H29,9,3),MID(H29,28,5),MID(H29,17,3))</f>
        <v>01010010010010000111000100000100</v>
      </c>
      <c r="M29" s="34" t="str">
        <f t="shared" si="38"/>
        <v>01010</v>
      </c>
      <c r="N29" s="26" t="str">
        <f t="shared" si="39"/>
        <v>01001</v>
      </c>
      <c r="O29" s="26" t="str">
        <f t="shared" si="40"/>
        <v>01110</v>
      </c>
      <c r="P29" s="26" t="str">
        <f t="shared" si="41"/>
        <v>00000</v>
      </c>
      <c r="Q29" s="88"/>
      <c r="R29" s="88"/>
      <c r="S29" s="88"/>
      <c r="T29" s="88"/>
      <c r="U29" s="39" t="str">
        <f t="shared" si="42"/>
        <v>0101</v>
      </c>
      <c r="V29" s="39" t="str">
        <f t="shared" si="43"/>
        <v>0010</v>
      </c>
      <c r="W29" s="39" t="str">
        <f t="shared" si="44"/>
        <v>0100</v>
      </c>
      <c r="X29" s="39" t="str">
        <f t="shared" si="45"/>
        <v>1000</v>
      </c>
      <c r="Y29" s="39" t="str">
        <f t="shared" si="46"/>
        <v>0111</v>
      </c>
      <c r="Z29" s="39" t="str">
        <f t="shared" si="47"/>
        <v>0001</v>
      </c>
      <c r="AA29" s="39" t="str">
        <f t="shared" si="48"/>
        <v>0000</v>
      </c>
      <c r="AB29" s="39" t="str">
        <f t="shared" si="49"/>
        <v>0100</v>
      </c>
      <c r="AC29" s="88"/>
      <c r="AD29" s="88"/>
      <c r="AE29" s="88"/>
      <c r="AF29" s="88"/>
      <c r="AG29" s="88"/>
      <c r="AH29" s="88"/>
      <c r="AI29" s="88"/>
      <c r="AJ29" s="88"/>
      <c r="AK29" s="38" t="str">
        <f t="shared" si="3"/>
        <v>0101001001001000</v>
      </c>
      <c r="AL29" s="38" t="str">
        <f t="shared" si="4"/>
        <v>0111000100000100</v>
      </c>
      <c r="AM29" s="88"/>
      <c r="AN29" s="88"/>
      <c r="AO29" s="37" t="str">
        <f>CONCATENATE(MID($L29,1,1)*MID($K28,1,1),MID($L29,2,1)*MID($K28,2,1),MID($L29,3,1)*MID($K28,3,1),MID($L29,4,1)*MID($K28,4,1),MID($L29,5,1)*MID($K28,5,1),MID($L29,6,1)*MID($K28,6,1),MID($L29,7,1)*MID($K28,7,1),MID($L29,8,1)*MID($K28,8,1),MID($L29,9,1)*MID($K28,1,1),MID($L29,10,1)*MID($K28,2,1),MID($L29,11,1)*MID($K28,3,1),MID($L29,12,1)*MID($K28,4,1),MID($L29,13,1)*MID($K28,5,1),MID($L29,14,1)*MID($K28,6,1),MID($L29,15,1)*MID($K28,7,1),MID($L29,16,1)*MID($K28,8,1),MID($L29,17,1)*MID($K28,1,1),MID($L29,18,1)*MID($K28,2,1),MID($L29,19,1)*MID($K28,3,1),MID($L29,20,1)*MID($K28,4,1),MID($L29,21,1)*MID($K28,5,1),MID($L29,22,1)*MID($K28,6,1),MID($L29,23,1)*MID($K28,7,1),MID($L29,24,1)*MID($K28,8,1),MID($L29,25,1)*MID($K28,1,1),MID($L29,26,1)*MID($K28,2,1),MID($L29,27,1)*MID($K28,3,1),MID($L29,28,1)*MID($K28,4,1),MID($L29,29,1)*MID($K28,5,1),MID($L29,30,1)*MID($K28,6,1),MID($L29,31,1)*MID($K28,7,1),MID($L29,32,1)*MID($K28,8,1))</f>
        <v>01000010010000000110000100000000</v>
      </c>
      <c r="AP29" s="38" t="str">
        <f t="shared" si="50"/>
        <v>01000010</v>
      </c>
      <c r="AQ29" s="38" t="str">
        <f t="shared" si="51"/>
        <v>01000000</v>
      </c>
      <c r="AR29" s="38" t="str">
        <f t="shared" si="52"/>
        <v>01100001</v>
      </c>
      <c r="AS29" s="38" t="str">
        <f t="shared" si="53"/>
        <v>00000000</v>
      </c>
      <c r="AT29" s="88"/>
      <c r="AU29" s="88"/>
      <c r="AV29" s="88"/>
      <c r="AW29" s="88"/>
      <c r="AX29" s="39" t="str">
        <f t="shared" si="54"/>
        <v>0101</v>
      </c>
      <c r="AY29" s="39" t="str">
        <f t="shared" si="55"/>
        <v>0010</v>
      </c>
      <c r="AZ29" s="39" t="str">
        <f t="shared" si="56"/>
        <v>0100</v>
      </c>
      <c r="BA29" s="39" t="str">
        <f t="shared" si="57"/>
        <v>1000</v>
      </c>
      <c r="BB29" s="39" t="str">
        <f t="shared" si="58"/>
        <v>0111</v>
      </c>
      <c r="BC29" s="39" t="str">
        <f t="shared" si="59"/>
        <v>0001</v>
      </c>
      <c r="BD29" s="39" t="str">
        <f t="shared" si="60"/>
        <v>0000</v>
      </c>
      <c r="BE29" s="39" t="str">
        <f t="shared" si="61"/>
        <v>0100</v>
      </c>
      <c r="BF29" s="88"/>
      <c r="BG29" s="88"/>
      <c r="BH29" s="88"/>
      <c r="BI29" s="88"/>
      <c r="BJ29" s="88"/>
      <c r="BK29" s="88"/>
      <c r="BL29" s="88"/>
      <c r="BM29" s="88"/>
      <c r="BN29" s="38" t="str">
        <f t="shared" si="6"/>
        <v>0100001001000000</v>
      </c>
      <c r="BO29" s="38" t="str">
        <f t="shared" si="7"/>
        <v>0110000100000000</v>
      </c>
      <c r="BP29" s="88"/>
      <c r="BQ29" s="88"/>
      <c r="BR29" s="37" t="str">
        <f>L29</f>
        <v>01010010010010000111000100000100</v>
      </c>
      <c r="BS29" s="38" t="str">
        <f t="shared" si="62"/>
        <v>01010010</v>
      </c>
      <c r="BT29" s="38" t="str">
        <f t="shared" si="63"/>
        <v>01001000</v>
      </c>
      <c r="BU29" s="38" t="str">
        <f t="shared" si="64"/>
        <v>01110001</v>
      </c>
      <c r="BV29" s="38" t="str">
        <f t="shared" si="65"/>
        <v>00000100</v>
      </c>
      <c r="BW29" s="88"/>
      <c r="BX29" s="88"/>
      <c r="BY29" s="88"/>
      <c r="BZ29" s="88"/>
      <c r="CA29" s="39" t="str">
        <f t="shared" si="66"/>
        <v>0101</v>
      </c>
      <c r="CB29" s="39" t="str">
        <f t="shared" si="67"/>
        <v>0010</v>
      </c>
      <c r="CC29" s="39" t="str">
        <f t="shared" si="68"/>
        <v>0100</v>
      </c>
      <c r="CD29" s="39" t="str">
        <f t="shared" si="69"/>
        <v>1000</v>
      </c>
      <c r="CE29" s="39" t="str">
        <f t="shared" si="70"/>
        <v>0111</v>
      </c>
      <c r="CF29" s="39" t="str">
        <f t="shared" si="71"/>
        <v>0001</v>
      </c>
      <c r="CG29" s="39" t="str">
        <f t="shared" si="72"/>
        <v>0000</v>
      </c>
      <c r="CH29" s="39" t="str">
        <f t="shared" si="73"/>
        <v>0100</v>
      </c>
      <c r="CI29" s="88"/>
      <c r="CJ29" s="88"/>
      <c r="CK29" s="88"/>
      <c r="CL29" s="88"/>
      <c r="CM29" s="88"/>
      <c r="CN29" s="88"/>
      <c r="CO29" s="88"/>
      <c r="CP29" s="88"/>
      <c r="CQ29" s="38" t="str">
        <f t="shared" si="9"/>
        <v>0101001001001000</v>
      </c>
      <c r="CR29" s="38" t="str">
        <f t="shared" si="10"/>
        <v>0111000100000100</v>
      </c>
      <c r="CS29" s="88"/>
      <c r="CT29" s="88"/>
      <c r="CU29" s="37" t="str">
        <f>AO29</f>
        <v>01000010010000000110000100000000</v>
      </c>
      <c r="CV29" s="38" t="str">
        <f t="shared" si="74"/>
        <v>01000010</v>
      </c>
      <c r="CW29" s="38" t="str">
        <f t="shared" si="75"/>
        <v>01000000</v>
      </c>
      <c r="CX29" s="38" t="str">
        <f t="shared" si="76"/>
        <v>01100001</v>
      </c>
      <c r="CY29" s="38" t="str">
        <f t="shared" si="77"/>
        <v>00000000</v>
      </c>
      <c r="CZ29" s="88"/>
      <c r="DA29" s="88"/>
      <c r="DB29" s="88"/>
      <c r="DC29" s="88"/>
      <c r="DD29" s="39" t="str">
        <f t="shared" si="78"/>
        <v>0101</v>
      </c>
      <c r="DE29" s="39" t="str">
        <f t="shared" si="79"/>
        <v>0010</v>
      </c>
      <c r="DF29" s="39" t="str">
        <f t="shared" si="80"/>
        <v>0100</v>
      </c>
      <c r="DG29" s="39" t="str">
        <f t="shared" si="81"/>
        <v>1000</v>
      </c>
      <c r="DH29" s="39" t="str">
        <f t="shared" si="82"/>
        <v>0111</v>
      </c>
      <c r="DI29" s="39" t="str">
        <f t="shared" si="83"/>
        <v>0001</v>
      </c>
      <c r="DJ29" s="39" t="str">
        <f t="shared" si="84"/>
        <v>0000</v>
      </c>
      <c r="DK29" s="39" t="str">
        <f t="shared" si="85"/>
        <v>0100</v>
      </c>
      <c r="DL29" s="88"/>
      <c r="DM29" s="88"/>
      <c r="DN29" s="88"/>
      <c r="DO29" s="88"/>
      <c r="DP29" s="88"/>
      <c r="DQ29" s="88"/>
      <c r="DR29" s="88"/>
      <c r="DS29" s="88"/>
      <c r="DT29" s="38" t="str">
        <f t="shared" si="12"/>
        <v>0100001001000000</v>
      </c>
      <c r="DU29" s="38" t="str">
        <f t="shared" si="13"/>
        <v>0110000100000000</v>
      </c>
      <c r="DV29" s="88"/>
      <c r="DW29" s="88"/>
      <c r="DX29" s="37" t="str">
        <f>CONCATENATE(MID($H29,1,1)*MID($K28,1,1),MID($H29,2,1)*MID($K28,2,1),MID($H29,3,1)*MID($K28,3,1),MID($H29,4,1)*MID($K28,4,1),MID($H29,5,1)*MID($K28,5,1),MID($H29,6,1)*MID($K28,6,1),MID($H29,7,1)*MID($K28,7,1),MID($H29,8,1)*MID($K28,8,1),MID($H29,9,1)*MID($K28,1,1),MID($H29,10,1)*MID($K28,2,1),MID($H29,11,1)*MID($K28,3,1),MID($H29,12,1)*MID($K28,4,1),MID($H29,13,1)*MID($K28,5,1),MID($H29,14,1)*MID($K28,6,1),MID($H29,15,1)*MID($K28,7,1),MID($H29,16,1)*MID($K28,8,1),MID($H29,17,1)*MID($K28,1,1),MID($H29,18,1)*MID($K28,2,1),MID($H29,19,1)*MID($K28,3,1),MID($H29,20,1)*MID($K28,4,1),MID($H29,21,1)*MID($K28,5,1),MID($H29,22,1)*MID($K28,6,1),MID($H29,23,1)*MID($K28,7,1),MID($H29,24,1)*MID($K28,8,1),MID($H29,25,1)*MID($K28,1,1),MID($H29,26,1)*MID($K28,2,1),MID($H29,27,1)*MID($K28,3,1),MID($H29,28,1)*MID($K28,4,1),MID($H29,29,1)*MID($K28,5,1),MID($H29,30,1)*MID($K28,6,1),MID($H29,31,1)*MID($K28,7,1),MID($H29,32,1)*MID($K28,8,1))</f>
        <v>00000010001000010000001001000000</v>
      </c>
      <c r="DY29" s="38" t="str">
        <f>CONCATENATE(MID(DX29,4,5),MID(DX29,25,3),MID(DX29,12,5),MID(DX29,1,3),MID(DX29,20,5),MID(DX29,9,3),MID(DX29,28,5),MID(DX29,17,3))</f>
        <v>00010010000010000001000100000000</v>
      </c>
      <c r="DZ29" s="38" t="str">
        <f t="shared" si="178"/>
        <v>00010010</v>
      </c>
      <c r="EA29" s="38" t="str">
        <f t="shared" si="86"/>
        <v>00001000</v>
      </c>
      <c r="EB29" s="38" t="str">
        <f t="shared" si="87"/>
        <v>00010001</v>
      </c>
      <c r="EC29" s="38" t="str">
        <f t="shared" si="88"/>
        <v>00000000</v>
      </c>
      <c r="ED29" s="88"/>
      <c r="EE29" s="88"/>
      <c r="EF29" s="88"/>
      <c r="EG29" s="88"/>
      <c r="EH29" s="39" t="str">
        <f t="shared" si="89"/>
        <v>0101</v>
      </c>
      <c r="EI29" s="39" t="str">
        <f t="shared" si="90"/>
        <v>0010</v>
      </c>
      <c r="EJ29" s="39" t="str">
        <f t="shared" si="91"/>
        <v>0100</v>
      </c>
      <c r="EK29" s="39" t="str">
        <f t="shared" si="92"/>
        <v>1000</v>
      </c>
      <c r="EL29" s="39" t="str">
        <f t="shared" si="93"/>
        <v>0111</v>
      </c>
      <c r="EM29" s="39" t="str">
        <f t="shared" si="94"/>
        <v>0001</v>
      </c>
      <c r="EN29" s="39" t="str">
        <f t="shared" si="95"/>
        <v>0000</v>
      </c>
      <c r="EO29" s="39" t="str">
        <f t="shared" si="96"/>
        <v>0100</v>
      </c>
      <c r="EP29" s="88"/>
      <c r="EQ29" s="88"/>
      <c r="ER29" s="88"/>
      <c r="ES29" s="88"/>
      <c r="ET29" s="88"/>
      <c r="EU29" s="88"/>
      <c r="EV29" s="88"/>
      <c r="EW29" s="88"/>
      <c r="EX29" s="38" t="str">
        <f t="shared" si="15"/>
        <v>0001001000001000</v>
      </c>
      <c r="EY29" s="38" t="str">
        <f t="shared" si="16"/>
        <v>0001000100000000</v>
      </c>
      <c r="EZ29" s="88"/>
      <c r="FA29" s="88"/>
      <c r="FB29" s="37" t="str">
        <f>CONCATENATE(MID(DY29,1,1)*MID($K28,1,1),MID(DY29,2,1)*MID($K28,2,1),MID(DY29,3,1)*MID($K28,3,1),MID(DY29,4,1)*MID($K28,4,1),MID(DY29,5,1)*MID($K28,5,1),MID(DY29,6,1)*MID($K28,6,1),MID(DY29,7,1)*MID($K28,7,1),MID(DY29,8,1)*MID($K28,8,1),MID(DY29,9,1)*MID($K28,1,1),MID(DY29,10,1)*MID($K28,2,1),MID(DY29,11,1)*MID($K28,3,1),MID(DY29,12,1)*MID($K28,4,1),MID(DY29,13,1)*MID($K28,5,1),MID(DY29,14,1)*MID($K28,6,1),MID(DY29,15,1)*MID($K28,7,1),MID(DY29,16,1)*MID($K28,8,1),MID(DY29,17,1)*MID($K28,1,1),MID(DY29,18,1)*MID($K28,2,1),MID(DY29,19,1)*MID($K28,3,1),MID(DY29,20,1)*MID($K28,4,1),MID(DY29,21,1)*MID($K28,5,1),MID(DY29,22,1)*MID($K28,6,1),MID(DY29,23,1)*MID($K28,7,1),MID(DY29,24,1)*MID($K28,8,1),MID(DY29,25,1)*MID($K28,1,1),MID(DY29,26,1)*MID($K28,2,1),MID(DY29,27,1)*MID($K28,3,1),MID(DY29,28,1)*MID($K28,4,1),MID(DY29,29,1)*MID($K28,5,1),MID(DY29,30,1)*MID($K28,6,1),MID(DY29,31,1)*MID($K28,7,1),MID(DY29,32,1)*MID($K28,8,1))</f>
        <v>00000010000000000000000100000000</v>
      </c>
      <c r="FC29" s="38" t="str">
        <f t="shared" si="180"/>
        <v>00000010</v>
      </c>
      <c r="FD29" s="38" t="str">
        <f t="shared" si="97"/>
        <v>00000000</v>
      </c>
      <c r="FE29" s="38" t="str">
        <f t="shared" si="98"/>
        <v>00000001</v>
      </c>
      <c r="FF29" s="38" t="str">
        <f t="shared" si="99"/>
        <v>00000000</v>
      </c>
      <c r="FG29" s="88"/>
      <c r="FH29" s="88"/>
      <c r="FI29" s="88"/>
      <c r="FJ29" s="88"/>
      <c r="FK29" s="39" t="str">
        <f t="shared" si="100"/>
        <v>0101</v>
      </c>
      <c r="FL29" s="39" t="str">
        <f t="shared" si="101"/>
        <v>0010</v>
      </c>
      <c r="FM29" s="39" t="str">
        <f t="shared" si="102"/>
        <v>0100</v>
      </c>
      <c r="FN29" s="39" t="str">
        <f t="shared" si="103"/>
        <v>1000</v>
      </c>
      <c r="FO29" s="39" t="str">
        <f t="shared" si="104"/>
        <v>0111</v>
      </c>
      <c r="FP29" s="39" t="str">
        <f t="shared" si="105"/>
        <v>0001</v>
      </c>
      <c r="FQ29" s="39" t="str">
        <f t="shared" si="106"/>
        <v>0000</v>
      </c>
      <c r="FR29" s="39" t="str">
        <f t="shared" si="107"/>
        <v>0100</v>
      </c>
      <c r="FS29" s="88"/>
      <c r="FT29" s="88"/>
      <c r="FU29" s="88"/>
      <c r="FV29" s="88"/>
      <c r="FW29" s="88"/>
      <c r="FX29" s="88"/>
      <c r="FY29" s="88"/>
      <c r="FZ29" s="88"/>
      <c r="GA29" s="38" t="str">
        <f t="shared" si="18"/>
        <v>0000001000000000</v>
      </c>
      <c r="GB29" s="38" t="str">
        <f t="shared" si="19"/>
        <v>0000000100000000</v>
      </c>
      <c r="GC29" s="88"/>
      <c r="GD29" s="88"/>
      <c r="GE29" s="39" t="str">
        <f>DY29</f>
        <v>00010010000010000001000100000000</v>
      </c>
      <c r="GF29" s="38" t="str">
        <f t="shared" si="182"/>
        <v>00010010</v>
      </c>
      <c r="GG29" s="38" t="str">
        <f t="shared" si="108"/>
        <v>00001000</v>
      </c>
      <c r="GH29" s="38" t="str">
        <f t="shared" si="109"/>
        <v>00010001</v>
      </c>
      <c r="GI29" s="38" t="str">
        <f t="shared" si="110"/>
        <v>00000000</v>
      </c>
      <c r="GJ29" s="88"/>
      <c r="GK29" s="88"/>
      <c r="GL29" s="88"/>
      <c r="GM29" s="88"/>
      <c r="GN29" s="39" t="str">
        <f t="shared" si="111"/>
        <v>0101</v>
      </c>
      <c r="GO29" s="39" t="str">
        <f t="shared" si="112"/>
        <v>0010</v>
      </c>
      <c r="GP29" s="39" t="str">
        <f t="shared" si="113"/>
        <v>0100</v>
      </c>
      <c r="GQ29" s="39" t="str">
        <f t="shared" si="114"/>
        <v>1000</v>
      </c>
      <c r="GR29" s="39" t="str">
        <f t="shared" si="115"/>
        <v>0111</v>
      </c>
      <c r="GS29" s="39" t="str">
        <f t="shared" si="116"/>
        <v>0001</v>
      </c>
      <c r="GT29" s="39" t="str">
        <f t="shared" si="117"/>
        <v>0000</v>
      </c>
      <c r="GU29" s="39" t="str">
        <f t="shared" si="118"/>
        <v>0100</v>
      </c>
      <c r="GV29" s="88"/>
      <c r="GW29" s="88"/>
      <c r="GX29" s="88"/>
      <c r="GY29" s="88"/>
      <c r="GZ29" s="88"/>
      <c r="HA29" s="88"/>
      <c r="HB29" s="88"/>
      <c r="HC29" s="88"/>
      <c r="HD29" s="38" t="str">
        <f t="shared" si="21"/>
        <v>0001001000001000</v>
      </c>
      <c r="HE29" s="38" t="str">
        <f t="shared" si="22"/>
        <v>0001000100000000</v>
      </c>
      <c r="HF29" s="88"/>
      <c r="HG29" s="88"/>
      <c r="HH29" s="39" t="str">
        <f>FB29</f>
        <v>00000010000000000000000100000000</v>
      </c>
      <c r="HI29" s="38" t="str">
        <f t="shared" si="184"/>
        <v>00000010</v>
      </c>
      <c r="HJ29" s="38" t="str">
        <f t="shared" si="119"/>
        <v>00000000</v>
      </c>
      <c r="HK29" s="38" t="str">
        <f t="shared" si="120"/>
        <v>00000001</v>
      </c>
      <c r="HL29" s="38" t="str">
        <f t="shared" si="121"/>
        <v>00000000</v>
      </c>
      <c r="HM29" s="88"/>
      <c r="HN29" s="88"/>
      <c r="HO29" s="88"/>
      <c r="HP29" s="88"/>
      <c r="HQ29" s="39" t="str">
        <f t="shared" si="122"/>
        <v>0101</v>
      </c>
      <c r="HR29" s="39" t="str">
        <f t="shared" si="123"/>
        <v>0010</v>
      </c>
      <c r="HS29" s="39" t="str">
        <f t="shared" si="124"/>
        <v>0100</v>
      </c>
      <c r="HT29" s="39" t="str">
        <f t="shared" si="125"/>
        <v>1000</v>
      </c>
      <c r="HU29" s="39" t="str">
        <f t="shared" si="126"/>
        <v>0111</v>
      </c>
      <c r="HV29" s="39" t="str">
        <f t="shared" si="127"/>
        <v>0001</v>
      </c>
      <c r="HW29" s="39" t="str">
        <f t="shared" si="128"/>
        <v>0000</v>
      </c>
      <c r="HX29" s="39" t="str">
        <f t="shared" si="129"/>
        <v>0100</v>
      </c>
      <c r="HY29" s="88"/>
      <c r="HZ29" s="88"/>
      <c r="IA29" s="88"/>
      <c r="IB29" s="88"/>
      <c r="IC29" s="88"/>
      <c r="ID29" s="88"/>
      <c r="IE29" s="88"/>
      <c r="IF29" s="88"/>
      <c r="IG29" s="38" t="str">
        <f t="shared" si="24"/>
        <v>0000001000000000</v>
      </c>
      <c r="IH29" s="38" t="str">
        <f t="shared" si="25"/>
        <v>0000000100000000</v>
      </c>
      <c r="II29" s="88"/>
      <c r="IJ29" s="88"/>
      <c r="IK29" s="38" t="str">
        <f>L29</f>
        <v>01010010010010000111000100000100</v>
      </c>
      <c r="IL29" s="38" t="str">
        <f t="shared" si="186"/>
        <v>01010010</v>
      </c>
      <c r="IM29" s="38" t="str">
        <f t="shared" si="130"/>
        <v>01001000</v>
      </c>
      <c r="IN29" s="38" t="str">
        <f t="shared" si="131"/>
        <v>01110001</v>
      </c>
      <c r="IO29" s="38" t="str">
        <f t="shared" si="132"/>
        <v>00000100</v>
      </c>
      <c r="IP29" s="88"/>
      <c r="IQ29" s="88"/>
      <c r="IR29" s="88"/>
      <c r="IS29" s="88"/>
      <c r="IT29" s="39" t="str">
        <f t="shared" si="133"/>
        <v>0101</v>
      </c>
      <c r="IU29" s="39" t="str">
        <f t="shared" si="134"/>
        <v>0010</v>
      </c>
      <c r="IV29" s="39" t="str">
        <f t="shared" si="135"/>
        <v>0100</v>
      </c>
      <c r="IW29" s="39" t="str">
        <f t="shared" si="136"/>
        <v>1000</v>
      </c>
      <c r="IX29" s="39" t="str">
        <f t="shared" si="137"/>
        <v>0111</v>
      </c>
      <c r="IY29" s="39" t="str">
        <f t="shared" si="138"/>
        <v>0001</v>
      </c>
      <c r="IZ29" s="39" t="str">
        <f t="shared" si="139"/>
        <v>0000</v>
      </c>
      <c r="JA29" s="39" t="str">
        <f t="shared" si="140"/>
        <v>0100</v>
      </c>
      <c r="JB29" s="88"/>
      <c r="JC29" s="88"/>
      <c r="JD29" s="88"/>
      <c r="JE29" s="88"/>
      <c r="JF29" s="88"/>
      <c r="JG29" s="88"/>
      <c r="JH29" s="88"/>
      <c r="JI29" s="88"/>
      <c r="JJ29" s="38" t="str">
        <f t="shared" si="27"/>
        <v>0101001001001000</v>
      </c>
      <c r="JK29" s="38" t="str">
        <f t="shared" si="28"/>
        <v>0111000100000100</v>
      </c>
      <c r="JL29" s="88"/>
      <c r="JM29" s="88"/>
      <c r="JN29" s="37" t="str">
        <f>L29</f>
        <v>01010010010010000111000100000100</v>
      </c>
      <c r="JO29" s="38" t="str">
        <f t="shared" si="188"/>
        <v>01010010</v>
      </c>
      <c r="JP29" s="38" t="str">
        <f t="shared" si="141"/>
        <v>01001000</v>
      </c>
      <c r="JQ29" s="38" t="str">
        <f t="shared" si="142"/>
        <v>01110001</v>
      </c>
      <c r="JR29" s="38" t="str">
        <f t="shared" si="143"/>
        <v>00000100</v>
      </c>
      <c r="JS29" s="88"/>
      <c r="JT29" s="88"/>
      <c r="JU29" s="88"/>
      <c r="JV29" s="88"/>
      <c r="JW29" s="39" t="str">
        <f t="shared" si="144"/>
        <v>0101</v>
      </c>
      <c r="JX29" s="39" t="str">
        <f t="shared" si="145"/>
        <v>0010</v>
      </c>
      <c r="JY29" s="39" t="str">
        <f t="shared" si="146"/>
        <v>0100</v>
      </c>
      <c r="JZ29" s="39" t="str">
        <f t="shared" si="147"/>
        <v>1000</v>
      </c>
      <c r="KA29" s="39" t="str">
        <f t="shared" si="148"/>
        <v>0111</v>
      </c>
      <c r="KB29" s="39" t="str">
        <f t="shared" si="149"/>
        <v>0001</v>
      </c>
      <c r="KC29" s="39" t="str">
        <f t="shared" si="150"/>
        <v>0000</v>
      </c>
      <c r="KD29" s="39" t="str">
        <f t="shared" si="151"/>
        <v>0100</v>
      </c>
      <c r="KE29" s="88"/>
      <c r="KF29" s="88"/>
      <c r="KG29" s="88"/>
      <c r="KH29" s="88"/>
      <c r="KI29" s="88"/>
      <c r="KJ29" s="88"/>
      <c r="KK29" s="88"/>
      <c r="KL29" s="88"/>
      <c r="KM29" s="38" t="str">
        <f t="shared" si="30"/>
        <v>0101001001001000</v>
      </c>
      <c r="KN29" s="38" t="str">
        <f t="shared" si="31"/>
        <v>0111000100000100</v>
      </c>
      <c r="KO29" s="88"/>
      <c r="KP29" s="88"/>
      <c r="KQ29" s="39" t="str">
        <f>AO29</f>
        <v>01000010010000000110000100000000</v>
      </c>
      <c r="KR29" s="38" t="str">
        <f t="shared" si="190"/>
        <v>01000010</v>
      </c>
      <c r="KS29" s="38" t="str">
        <f t="shared" si="152"/>
        <v>01000000</v>
      </c>
      <c r="KT29" s="38" t="str">
        <f t="shared" si="153"/>
        <v>01100001</v>
      </c>
      <c r="KU29" s="38" t="str">
        <f t="shared" si="154"/>
        <v>00000000</v>
      </c>
      <c r="KV29" s="88"/>
      <c r="KW29" s="88"/>
      <c r="KX29" s="88"/>
      <c r="KY29" s="88"/>
      <c r="KZ29" s="39" t="str">
        <f t="shared" si="155"/>
        <v>0101</v>
      </c>
      <c r="LA29" s="39" t="str">
        <f t="shared" si="156"/>
        <v>0010</v>
      </c>
      <c r="LB29" s="39" t="str">
        <f t="shared" si="157"/>
        <v>0100</v>
      </c>
      <c r="LC29" s="39" t="str">
        <f t="shared" si="158"/>
        <v>1000</v>
      </c>
      <c r="LD29" s="39" t="str">
        <f t="shared" si="159"/>
        <v>0111</v>
      </c>
      <c r="LE29" s="39" t="str">
        <f t="shared" si="160"/>
        <v>0001</v>
      </c>
      <c r="LF29" s="39" t="str">
        <f t="shared" si="161"/>
        <v>0000</v>
      </c>
      <c r="LG29" s="39" t="str">
        <f t="shared" si="162"/>
        <v>0100</v>
      </c>
      <c r="LH29" s="88"/>
      <c r="LI29" s="88"/>
      <c r="LJ29" s="88"/>
      <c r="LK29" s="88"/>
      <c r="LL29" s="88"/>
      <c r="LM29" s="88"/>
      <c r="LN29" s="88"/>
      <c r="LO29" s="88"/>
      <c r="LP29" s="38" t="str">
        <f t="shared" si="33"/>
        <v>0100001001000000</v>
      </c>
      <c r="LQ29" s="38" t="str">
        <f t="shared" si="34"/>
        <v>0110000100000000</v>
      </c>
      <c r="LR29" s="88"/>
      <c r="LS29" s="88"/>
      <c r="LT29" s="39" t="str">
        <f>GE29</f>
        <v>00010010000010000001000100000000</v>
      </c>
      <c r="LU29" s="38" t="str">
        <f t="shared" si="192"/>
        <v>00010010</v>
      </c>
      <c r="LV29" s="38" t="str">
        <f t="shared" si="163"/>
        <v>00001000</v>
      </c>
      <c r="LW29" s="38" t="str">
        <f t="shared" si="164"/>
        <v>00010001</v>
      </c>
      <c r="LX29" s="38" t="str">
        <f t="shared" si="165"/>
        <v>00000000</v>
      </c>
      <c r="LY29" s="88"/>
      <c r="LZ29" s="88"/>
      <c r="MA29" s="88"/>
      <c r="MB29" s="88"/>
      <c r="MC29" s="39" t="str">
        <f t="shared" si="166"/>
        <v>0101</v>
      </c>
      <c r="MD29" s="39" t="str">
        <f t="shared" si="167"/>
        <v>0010</v>
      </c>
      <c r="ME29" s="39" t="str">
        <f t="shared" si="168"/>
        <v>0100</v>
      </c>
      <c r="MF29" s="39" t="str">
        <f t="shared" si="169"/>
        <v>1000</v>
      </c>
      <c r="MG29" s="39" t="str">
        <f t="shared" si="170"/>
        <v>0111</v>
      </c>
      <c r="MH29" s="39" t="str">
        <f t="shared" si="171"/>
        <v>0001</v>
      </c>
      <c r="MI29" s="39" t="str">
        <f t="shared" si="172"/>
        <v>0000</v>
      </c>
      <c r="MJ29" s="39" t="str">
        <f t="shared" si="173"/>
        <v>0100</v>
      </c>
      <c r="MK29" s="88"/>
      <c r="ML29" s="88"/>
      <c r="MM29" s="88"/>
      <c r="MN29" s="88"/>
      <c r="MO29" s="88"/>
      <c r="MP29" s="88"/>
      <c r="MQ29" s="88"/>
      <c r="MR29" s="88"/>
      <c r="MS29" s="38" t="str">
        <f t="shared" si="36"/>
        <v>0001001000001000</v>
      </c>
      <c r="MT29" s="38" t="str">
        <f t="shared" si="37"/>
        <v>0001000100000000</v>
      </c>
      <c r="MU29" s="88"/>
      <c r="MV29" s="88"/>
    </row>
    <row r="30" spans="1:360" s="35" customFormat="1" ht="18.600000000000001" thickBot="1" x14ac:dyDescent="0.4">
      <c r="A30" s="32"/>
      <c r="B30" s="33"/>
      <c r="C30" s="50" t="s">
        <v>0</v>
      </c>
      <c r="D30" s="50" t="s">
        <v>75</v>
      </c>
      <c r="E30" s="50">
        <v>86</v>
      </c>
      <c r="F30" s="50">
        <v>76</v>
      </c>
      <c r="G30" s="50" t="s">
        <v>90</v>
      </c>
      <c r="H30" s="50" t="str">
        <f t="shared" si="278"/>
        <v>11010011100001100111011000111011</v>
      </c>
      <c r="I30" s="50">
        <f t="shared" si="279"/>
        <v>18</v>
      </c>
      <c r="J30" s="50">
        <v>63</v>
      </c>
      <c r="K30" s="50" t="str">
        <f>HEX2BIN(J30,8)</f>
        <v>01100011</v>
      </c>
      <c r="L30" s="34" t="str">
        <f>CONCATENATE(MID(H30,17,16),MID(H30,1,16))</f>
        <v>01110110001110111101001110000110</v>
      </c>
      <c r="M30" s="34" t="str">
        <f t="shared" si="38"/>
        <v>01110</v>
      </c>
      <c r="N30" s="26" t="str">
        <f t="shared" si="39"/>
        <v>00111</v>
      </c>
      <c r="O30" s="26" t="str">
        <f t="shared" si="40"/>
        <v>11010</v>
      </c>
      <c r="P30" s="26" t="str">
        <f t="shared" si="41"/>
        <v>10000</v>
      </c>
      <c r="Q30" s="87">
        <f>BIN2DEC(M30)-BIN2DEC(M31)</f>
        <v>7</v>
      </c>
      <c r="R30" s="87">
        <f>BIN2DEC(N30)-BIN2DEC(N31)</f>
        <v>-12</v>
      </c>
      <c r="S30" s="87">
        <f>BIN2DEC(O30)-BIN2DEC(O31)</f>
        <v>15</v>
      </c>
      <c r="T30" s="87">
        <f>BIN2DEC(P30)-BIN2DEC(P31)</f>
        <v>-6</v>
      </c>
      <c r="U30" s="35" t="str">
        <f t="shared" si="42"/>
        <v>0111</v>
      </c>
      <c r="V30" s="35" t="str">
        <f t="shared" si="43"/>
        <v>0110</v>
      </c>
      <c r="W30" s="35" t="str">
        <f t="shared" si="44"/>
        <v>0011</v>
      </c>
      <c r="X30" s="35" t="str">
        <f t="shared" si="45"/>
        <v>1011</v>
      </c>
      <c r="Y30" s="35" t="str">
        <f t="shared" si="46"/>
        <v>1101</v>
      </c>
      <c r="Z30" s="35" t="str">
        <f t="shared" si="47"/>
        <v>0011</v>
      </c>
      <c r="AA30" s="35" t="str">
        <f t="shared" si="48"/>
        <v>1000</v>
      </c>
      <c r="AB30" s="35" t="str">
        <f t="shared" si="49"/>
        <v>0110</v>
      </c>
      <c r="AC30" s="87">
        <f>BIN2DEC(U30)-BIN2DEC(U31)</f>
        <v>4</v>
      </c>
      <c r="AD30" s="87">
        <f t="shared" ref="AD30:AI30" si="340">BIN2DEC(V30)-BIN2DEC(V31)</f>
        <v>-7</v>
      </c>
      <c r="AE30" s="87">
        <f t="shared" si="340"/>
        <v>-6</v>
      </c>
      <c r="AF30" s="87">
        <f t="shared" si="340"/>
        <v>-4</v>
      </c>
      <c r="AG30" s="87">
        <f t="shared" si="340"/>
        <v>8</v>
      </c>
      <c r="AH30" s="87">
        <f t="shared" si="340"/>
        <v>-12</v>
      </c>
      <c r="AI30" s="87">
        <f t="shared" si="340"/>
        <v>-3</v>
      </c>
      <c r="AJ30" s="87">
        <f>BIN2DEC(AB30)-BIN2DEC(AB31)</f>
        <v>5</v>
      </c>
      <c r="AK30" s="34" t="str">
        <f t="shared" si="3"/>
        <v>0111011000111011</v>
      </c>
      <c r="AL30" s="34" t="str">
        <f t="shared" si="4"/>
        <v>1101001110000110</v>
      </c>
      <c r="AM30" s="87">
        <f>MID(AK30,16,1)*POWER(2,0)+MID(AK30,15,1)*POWER(2,1)+MID(AK30,14,1)*POWER(2,2)+MID(AK30,13,1)*POWER(2,3)+MID(AK30,12,1)*POWER(2,4)+MID(AK30,11,1)*POWER(2,5)+MID(AK30,10,1)*POWER(2,6)+MID(AK30,9,1)*POWER(2,7)+MID(AK30,8,1)*POWER(2,8)+MID(AK30,7,1)*POWER(2,9)+MID(AK30,6,1)*POWER(2,10)+MID(AK30,5,1)*POWER(2,11)+MID(AK30,4,1)*POWER(2,12)+MID(AK30,3,1)*POWER(2,13)+MID(AK30,2,1)*POWER(2,14)+MID(AK30,1,1)*POWER(2,15)-(MID(AK31,16,1)*POWER(2,0)+MID(AK31,15,1)*POWER(2,1)+MID(AK31,14,1)*POWER(2,2)+MID(AK31,13,1)*POWER(2,3)+MID(AK31,12,1)*POWER(2,4)+MID(AK31,11,1)*POWER(2,5)+MID(AK31,10,1)*POWER(2,6)+MID(AK31,9,1)*POWER(2,7)+MID(AK31,8,1)*POWER(2,8)+MID(AK31,7,1)*POWER(2,9)+MID(AK31,6,1)*POWER(2,10)+MID(AK31,5,1)*POWER(2,11)+MID(AK31,4,1)*POWER(2,12)+MID(AK31,3,1)*POWER(2,13)+MID(AK31,2,1)*POWER(2,14)+MID(AK31,1,1)*POWER(2,15))</f>
        <v>14492</v>
      </c>
      <c r="AN30" s="87">
        <f>MID(AL30,16,1)*POWER(2,0)+MID(AL30,15,1)*POWER(2,1)+MID(AL30,14,1)*POWER(2,2)+MID(AL30,13,1)*POWER(2,3)+MID(AL30,12,1)*POWER(2,4)+MID(AL30,11,1)*POWER(2,5)+MID(AL30,10,1)*POWER(2,6)+MID(AL30,9,1)*POWER(2,7)+MID(AL30,8,1)*POWER(2,8)+MID(AL30,7,1)*POWER(2,9)+MID(AL30,6,1)*POWER(2,10)+MID(AL30,5,1)*POWER(2,11)+MID(AL30,4,1)*POWER(2,12)+MID(AL30,3,1)*POWER(2,13)+MID(AL30,2,1)*POWER(2,14)+MID(AL30,1,1)*POWER(2,15)-(MID(AL31,16,1)*POWER(2,0)+MID(AL31,15,1)*POWER(2,1)+MID(AL31,14,1)*POWER(2,2)+MID(AL31,13,1)*POWER(2,3)+MID(AL31,12,1)*POWER(2,4)+MID(AL31,11,1)*POWER(2,5)+MID(AL31,10,1)*POWER(2,6)+MID(AL31,9,1)*POWER(2,7)+MID(AL31,8,1)*POWER(2,8)+MID(AL31,7,1)*POWER(2,9)+MID(AL31,6,1)*POWER(2,10)+MID(AL31,5,1)*POWER(2,11)+MID(AL31,4,1)*POWER(2,12)+MID(AL31,3,1)*POWER(2,13)+MID(AL31,2,1)*POWER(2,14)+MID(AL31,1,1)*POWER(2,15))</f>
        <v>29653</v>
      </c>
      <c r="AO30" s="33" t="str">
        <f>L30</f>
        <v>01110110001110111101001110000110</v>
      </c>
      <c r="AP30" s="34" t="str">
        <f t="shared" si="50"/>
        <v>01110110</v>
      </c>
      <c r="AQ30" s="34" t="str">
        <f t="shared" si="51"/>
        <v>00111011</v>
      </c>
      <c r="AR30" s="34" t="str">
        <f t="shared" si="52"/>
        <v>11010011</v>
      </c>
      <c r="AS30" s="34" t="str">
        <f t="shared" si="53"/>
        <v>10000110</v>
      </c>
      <c r="AT30" s="87">
        <f>BIN2DEC(AP30)-BIN2DEC(AP31)</f>
        <v>85</v>
      </c>
      <c r="AU30" s="87">
        <f>BIN2DEC(AQ30)-BIN2DEC(AQ31)</f>
        <v>56</v>
      </c>
      <c r="AV30" s="87">
        <f>BIN2DEC(AR30)-BIN2DEC(AR31)</f>
        <v>144</v>
      </c>
      <c r="AW30" s="87">
        <f>BIN2DEC(AS30)-BIN2DEC(AS31)</f>
        <v>101</v>
      </c>
      <c r="AX30" s="35" t="str">
        <f t="shared" si="54"/>
        <v>0111</v>
      </c>
      <c r="AY30" s="35" t="str">
        <f t="shared" si="55"/>
        <v>0110</v>
      </c>
      <c r="AZ30" s="35" t="str">
        <f t="shared" si="56"/>
        <v>0011</v>
      </c>
      <c r="BA30" s="35" t="str">
        <f t="shared" si="57"/>
        <v>1011</v>
      </c>
      <c r="BB30" s="35" t="str">
        <f t="shared" si="58"/>
        <v>1101</v>
      </c>
      <c r="BC30" s="35" t="str">
        <f t="shared" si="59"/>
        <v>0011</v>
      </c>
      <c r="BD30" s="35" t="str">
        <f t="shared" si="60"/>
        <v>1000</v>
      </c>
      <c r="BE30" s="35" t="str">
        <f t="shared" si="61"/>
        <v>0110</v>
      </c>
      <c r="BF30" s="87">
        <f>BIN2DEC(AX30)-BIN2DEC(AX31)</f>
        <v>4</v>
      </c>
      <c r="BG30" s="87">
        <f t="shared" ref="BG30:BL30" si="341">BIN2DEC(AY30)-BIN2DEC(AY31)</f>
        <v>-7</v>
      </c>
      <c r="BH30" s="87">
        <f t="shared" si="341"/>
        <v>-6</v>
      </c>
      <c r="BI30" s="87">
        <f t="shared" si="341"/>
        <v>-4</v>
      </c>
      <c r="BJ30" s="87">
        <f t="shared" si="341"/>
        <v>8</v>
      </c>
      <c r="BK30" s="87">
        <f t="shared" si="341"/>
        <v>-12</v>
      </c>
      <c r="BL30" s="87">
        <f t="shared" si="341"/>
        <v>-3</v>
      </c>
      <c r="BM30" s="87">
        <f>BIN2DEC(BE30)-BIN2DEC(BE31)</f>
        <v>5</v>
      </c>
      <c r="BN30" s="34" t="str">
        <f t="shared" si="6"/>
        <v>0111011000111011</v>
      </c>
      <c r="BO30" s="34" t="str">
        <f t="shared" si="7"/>
        <v>1101001110000110</v>
      </c>
      <c r="BP30" s="87">
        <f>MID(BN30,16,1)*POWER(2,0)+MID(BN30,15,1)*POWER(2,1)+MID(BN30,14,1)*POWER(2,2)+MID(BN30,13,1)*POWER(2,3)+MID(BN30,12,1)*POWER(2,4)+MID(BN30,11,1)*POWER(2,5)+MID(BN30,10,1)*POWER(2,6)+MID(BN30,9,1)*POWER(2,7)+MID(BN30,8,1)*POWER(2,8)+MID(BN30,7,1)*POWER(2,9)+MID(BN30,6,1)*POWER(2,10)+MID(BN30,5,1)*POWER(2,11)+MID(BN30,4,1)*POWER(2,12)+MID(BN30,3,1)*POWER(2,13)+MID(BN30,2,1)*POWER(2,14)+MID(BN30,1,1)*POWER(2,15)-(MID(BN31,16,1)*POWER(2,0)+MID(BN31,15,1)*POWER(2,1)+MID(BN31,14,1)*POWER(2,2)+MID(BN31,13,1)*POWER(2,3)+MID(BN31,12,1)*POWER(2,4)+MID(BN31,11,1)*POWER(2,5)+MID(BN31,10,1)*POWER(2,6)+MID(BN31,9,1)*POWER(2,7)+MID(BN31,8,1)*POWER(2,8)+MID(BN31,7,1)*POWER(2,9)+MID(BN31,6,1)*POWER(2,10)+MID(BN31,5,1)*POWER(2,11)+MID(BN31,4,1)*POWER(2,12)+MID(BN31,3,1)*POWER(2,13)+MID(BN31,2,1)*POWER(2,14)+MID(BN31,1,1)*POWER(2,15))</f>
        <v>21816</v>
      </c>
      <c r="BQ30" s="87">
        <f>MID(BO30,16,1)*POWER(2,0)+MID(BO30,15,1)*POWER(2,1)+MID(BO30,14,1)*POWER(2,2)+MID(BO30,13,1)*POWER(2,3)+MID(BO30,12,1)*POWER(2,4)+MID(BO30,11,1)*POWER(2,5)+MID(BO30,10,1)*POWER(2,6)+MID(BO30,9,1)*POWER(2,7)+MID(BO30,8,1)*POWER(2,8)+MID(BO30,7,1)*POWER(2,9)+MID(BO30,6,1)*POWER(2,10)+MID(BO30,5,1)*POWER(2,11)+MID(BO30,4,1)*POWER(2,12)+MID(BO30,3,1)*POWER(2,13)+MID(BO30,2,1)*POWER(2,14)+MID(BO30,1,1)*POWER(2,15)-(MID(BO31,16,1)*POWER(2,0)+MID(BO31,15,1)*POWER(2,1)+MID(BO31,14,1)*POWER(2,2)+MID(BO31,13,1)*POWER(2,3)+MID(BO31,12,1)*POWER(2,4)+MID(BO31,11,1)*POWER(2,5)+MID(BO31,10,1)*POWER(2,6)+MID(BO31,9,1)*POWER(2,7)+MID(BO31,8,1)*POWER(2,8)+MID(BO31,7,1)*POWER(2,9)+MID(BO31,6,1)*POWER(2,10)+MID(BO31,5,1)*POWER(2,11)+MID(BO31,4,1)*POWER(2,12)+MID(BO31,3,1)*POWER(2,13)+MID(BO31,2,1)*POWER(2,14)+MID(BO31,1,1)*POWER(2,15))</f>
        <v>36965</v>
      </c>
      <c r="BR30" s="33" t="str">
        <f>CONCATENATE(MID($L30,1,1)*MID($K20,1,1),MID($L30,2,1)*MID($K20,2,1),MID($L30,3,1)*MID($K20,3,1),MID($L30,4,1)*MID($K20,4,1),MID($L30,5,1)*MID($K20,5,1),MID($L30,6,1)*MID($K20,6,1),MID($L30,7,1)*MID($K20,7,1),MID($L30,8,1)*MID($K20,8,1),MID($L30,9,1)*MID($K20,1,1),MID($L30,10,1)*MID($K20,2,1),MID($L30,11,1)*MID($K20,3,1),MID($L30,12,1)*MID($K20,4,1),MID($L30,13,1)*MID($K20,5,1),MID($L30,14,1)*MID($K20,6,1),MID($L30,15,1)*MID($K20,7,1),MID($L30,16,1)*MID($K20,8,1),MID($L30,17,1)*MID($K20,1,1),MID($L30,18,1)*MID($K20,2,1),MID($L30,19,1)*MID($K20,3,1),MID($L30,20,1)*MID($K20,4,1),MID($L30,21,1)*MID($K20,5,1),MID($L30,22,1)*MID($K20,6,1),MID($L30,23,1)*MID($K20,7,1),MID($L30,24,1)*MID($K20,8,1),MID($L30,25,1)*MID($K20,1,1),MID($L30,26,1)*MID($K20,2,1),MID($L30,27,1)*MID($K20,3,1),MID($L30,28,1)*MID($K20,4,1),MID($L30,29,1)*MID($K20,5,1),MID($L30,30,1)*MID($K20,6,1),MID($L30,31,1)*MID($K20,7,1),MID($L30,32,1)*MID($K20,8,1))</f>
        <v>01100100001000000100000000000100</v>
      </c>
      <c r="BS30" s="34" t="str">
        <f t="shared" si="62"/>
        <v>01100100</v>
      </c>
      <c r="BT30" s="34" t="str">
        <f t="shared" si="63"/>
        <v>00100000</v>
      </c>
      <c r="BU30" s="34" t="str">
        <f t="shared" si="64"/>
        <v>01000000</v>
      </c>
      <c r="BV30" s="34" t="str">
        <f t="shared" si="65"/>
        <v>00000100</v>
      </c>
      <c r="BW30" s="87">
        <f>BIN2DEC(BS30)-BIN2DEC(BS31)</f>
        <v>39</v>
      </c>
      <c r="BX30" s="87">
        <f>BIN2DEC(BT30)-BIN2DEC(BT31)</f>
        <v>-127</v>
      </c>
      <c r="BY30" s="87">
        <f>BIN2DEC(BU30)-BIN2DEC(BU31)</f>
        <v>-31</v>
      </c>
      <c r="BZ30" s="87">
        <f>BIN2DEC(BV30)-BIN2DEC(BV31)</f>
        <v>-173</v>
      </c>
      <c r="CA30" s="35" t="str">
        <f t="shared" si="66"/>
        <v>0111</v>
      </c>
      <c r="CB30" s="35" t="str">
        <f t="shared" si="67"/>
        <v>0110</v>
      </c>
      <c r="CC30" s="35" t="str">
        <f t="shared" si="68"/>
        <v>0011</v>
      </c>
      <c r="CD30" s="35" t="str">
        <f t="shared" si="69"/>
        <v>1011</v>
      </c>
      <c r="CE30" s="35" t="str">
        <f t="shared" si="70"/>
        <v>1101</v>
      </c>
      <c r="CF30" s="35" t="str">
        <f t="shared" si="71"/>
        <v>0011</v>
      </c>
      <c r="CG30" s="35" t="str">
        <f t="shared" si="72"/>
        <v>1000</v>
      </c>
      <c r="CH30" s="35" t="str">
        <f t="shared" si="73"/>
        <v>0110</v>
      </c>
      <c r="CI30" s="87">
        <f>BIN2DEC(CA30)-BIN2DEC(CA31)</f>
        <v>4</v>
      </c>
      <c r="CJ30" s="87">
        <f t="shared" ref="CJ30:CO30" si="342">BIN2DEC(CB30)-BIN2DEC(CB31)</f>
        <v>-7</v>
      </c>
      <c r="CK30" s="87">
        <f t="shared" si="342"/>
        <v>-6</v>
      </c>
      <c r="CL30" s="87">
        <f t="shared" si="342"/>
        <v>-4</v>
      </c>
      <c r="CM30" s="87">
        <f t="shared" si="342"/>
        <v>8</v>
      </c>
      <c r="CN30" s="87">
        <f t="shared" si="342"/>
        <v>-12</v>
      </c>
      <c r="CO30" s="87">
        <f t="shared" si="342"/>
        <v>-3</v>
      </c>
      <c r="CP30" s="87">
        <f>BIN2DEC(CH30)-BIN2DEC(CH31)</f>
        <v>5</v>
      </c>
      <c r="CQ30" s="34" t="str">
        <f t="shared" si="9"/>
        <v>0110010000100000</v>
      </c>
      <c r="CR30" s="34" t="str">
        <f t="shared" si="10"/>
        <v>0100000000000100</v>
      </c>
      <c r="CS30" s="87">
        <f>MID(CQ30,16,1)*POWER(2,0)+MID(CQ30,15,1)*POWER(2,1)+MID(CQ30,14,1)*POWER(2,2)+MID(CQ30,13,1)*POWER(2,3)+MID(CQ30,12,1)*POWER(2,4)+MID(CQ30,11,1)*POWER(2,5)+MID(CQ30,10,1)*POWER(2,6)+MID(CQ30,9,1)*POWER(2,7)+MID(CQ30,8,1)*POWER(2,8)+MID(CQ30,7,1)*POWER(2,9)+MID(CQ30,6,1)*POWER(2,10)+MID(CQ30,5,1)*POWER(2,11)+MID(CQ30,4,1)*POWER(2,12)+MID(CQ30,3,1)*POWER(2,13)+MID(CQ30,2,1)*POWER(2,14)+MID(CQ30,1,1)*POWER(2,15)-(MID(CQ31,16,1)*POWER(2,0)+MID(CQ31,15,1)*POWER(2,1)+MID(CQ31,14,1)*POWER(2,2)+MID(CQ31,13,1)*POWER(2,3)+MID(CQ31,12,1)*POWER(2,4)+MID(CQ31,11,1)*POWER(2,5)+MID(CQ31,10,1)*POWER(2,6)+MID(CQ31,9,1)*POWER(2,7)+MID(CQ31,8,1)*POWER(2,8)+MID(CQ31,7,1)*POWER(2,9)+MID(CQ31,6,1)*POWER(2,10)+MID(CQ31,5,1)*POWER(2,11)+MID(CQ31,4,1)*POWER(2,12)+MID(CQ31,3,1)*POWER(2,13)+MID(CQ31,2,1)*POWER(2,14)+MID(CQ31,1,1)*POWER(2,15))</f>
        <v>9857</v>
      </c>
      <c r="CT30" s="87">
        <f>MID(CR30,16,1)*POWER(2,0)+MID(CR30,15,1)*POWER(2,1)+MID(CR30,14,1)*POWER(2,2)+MID(CR30,13,1)*POWER(2,3)+MID(CR30,12,1)*POWER(2,4)+MID(CR30,11,1)*POWER(2,5)+MID(CR30,10,1)*POWER(2,6)+MID(CR30,9,1)*POWER(2,7)+MID(CR30,8,1)*POWER(2,8)+MID(CR30,7,1)*POWER(2,9)+MID(CR30,6,1)*POWER(2,10)+MID(CR30,5,1)*POWER(2,11)+MID(CR30,4,1)*POWER(2,12)+MID(CR30,3,1)*POWER(2,13)+MID(CR30,2,1)*POWER(2,14)+MID(CR30,1,1)*POWER(2,15)-(MID(CR31,16,1)*POWER(2,0)+MID(CR31,15,1)*POWER(2,1)+MID(CR31,14,1)*POWER(2,2)+MID(CR31,13,1)*POWER(2,3)+MID(CR31,12,1)*POWER(2,4)+MID(CR31,11,1)*POWER(2,5)+MID(CR31,10,1)*POWER(2,6)+MID(CR31,9,1)*POWER(2,7)+MID(CR31,8,1)*POWER(2,8)+MID(CR31,7,1)*POWER(2,9)+MID(CR31,6,1)*POWER(2,10)+MID(CR31,5,1)*POWER(2,11)+MID(CR31,4,1)*POWER(2,12)+MID(CR31,3,1)*POWER(2,13)+MID(CR31,2,1)*POWER(2,14)+MID(CR31,1,1)*POWER(2,15))</f>
        <v>-8109</v>
      </c>
      <c r="CU30" s="33" t="str">
        <f>BR30</f>
        <v>01100100001000000100000000000100</v>
      </c>
      <c r="CV30" s="34" t="str">
        <f t="shared" si="74"/>
        <v>01100100</v>
      </c>
      <c r="CW30" s="34" t="str">
        <f t="shared" si="75"/>
        <v>00100000</v>
      </c>
      <c r="CX30" s="34" t="str">
        <f t="shared" si="76"/>
        <v>01000000</v>
      </c>
      <c r="CY30" s="34" t="str">
        <f t="shared" si="77"/>
        <v>00000100</v>
      </c>
      <c r="CZ30" s="87">
        <f>BIN2DEC(CV30)-BIN2DEC(CV31)</f>
        <v>67</v>
      </c>
      <c r="DA30" s="87">
        <f>BIN2DEC(CW30)-BIN2DEC(CW31)</f>
        <v>29</v>
      </c>
      <c r="DB30" s="87">
        <f>BIN2DEC(CX30)-BIN2DEC(CX31)</f>
        <v>-3</v>
      </c>
      <c r="DC30" s="87">
        <f>BIN2DEC(CY30)-BIN2DEC(CY31)</f>
        <v>-29</v>
      </c>
      <c r="DD30" s="35" t="str">
        <f t="shared" si="78"/>
        <v>0111</v>
      </c>
      <c r="DE30" s="35" t="str">
        <f t="shared" si="79"/>
        <v>0110</v>
      </c>
      <c r="DF30" s="35" t="str">
        <f t="shared" si="80"/>
        <v>0011</v>
      </c>
      <c r="DG30" s="35" t="str">
        <f t="shared" si="81"/>
        <v>1011</v>
      </c>
      <c r="DH30" s="35" t="str">
        <f t="shared" si="82"/>
        <v>1101</v>
      </c>
      <c r="DI30" s="35" t="str">
        <f t="shared" si="83"/>
        <v>0011</v>
      </c>
      <c r="DJ30" s="35" t="str">
        <f t="shared" si="84"/>
        <v>1000</v>
      </c>
      <c r="DK30" s="35" t="str">
        <f t="shared" si="85"/>
        <v>0110</v>
      </c>
      <c r="DL30" s="87">
        <f>BIN2DEC(DD30)-BIN2DEC(DD31)</f>
        <v>4</v>
      </c>
      <c r="DM30" s="87">
        <f t="shared" ref="DM30:DR30" si="343">BIN2DEC(DE30)-BIN2DEC(DE31)</f>
        <v>-7</v>
      </c>
      <c r="DN30" s="87">
        <f t="shared" si="343"/>
        <v>-6</v>
      </c>
      <c r="DO30" s="87">
        <f t="shared" si="343"/>
        <v>-4</v>
      </c>
      <c r="DP30" s="87">
        <f t="shared" si="343"/>
        <v>8</v>
      </c>
      <c r="DQ30" s="87">
        <f t="shared" si="343"/>
        <v>-12</v>
      </c>
      <c r="DR30" s="87">
        <f t="shared" si="343"/>
        <v>-3</v>
      </c>
      <c r="DS30" s="87">
        <f>BIN2DEC(DK30)-BIN2DEC(DK31)</f>
        <v>5</v>
      </c>
      <c r="DT30" s="34" t="str">
        <f t="shared" si="12"/>
        <v>0110010000100000</v>
      </c>
      <c r="DU30" s="34" t="str">
        <f t="shared" si="13"/>
        <v>0100000000000100</v>
      </c>
      <c r="DV30" s="87">
        <f>MID(DT30,16,1)*POWER(2,0)+MID(DT30,15,1)*POWER(2,1)+MID(DT30,14,1)*POWER(2,2)+MID(DT30,13,1)*POWER(2,3)+MID(DT30,12,1)*POWER(2,4)+MID(DT30,11,1)*POWER(2,5)+MID(DT30,10,1)*POWER(2,6)+MID(DT30,9,1)*POWER(2,7)+MID(DT30,8,1)*POWER(2,8)+MID(DT30,7,1)*POWER(2,9)+MID(DT30,6,1)*POWER(2,10)+MID(DT30,5,1)*POWER(2,11)+MID(DT30,4,1)*POWER(2,12)+MID(DT30,3,1)*POWER(2,13)+MID(DT30,2,1)*POWER(2,14)+MID(DT30,1,1)*POWER(2,15)-(MID(DT31,16,1)*POWER(2,0)+MID(DT31,15,1)*POWER(2,1)+MID(DT31,14,1)*POWER(2,2)+MID(DT31,13,1)*POWER(2,3)+MID(DT31,12,1)*POWER(2,4)+MID(DT31,11,1)*POWER(2,5)+MID(DT31,10,1)*POWER(2,6)+MID(DT31,9,1)*POWER(2,7)+MID(DT31,8,1)*POWER(2,8)+MID(DT31,7,1)*POWER(2,9)+MID(DT31,6,1)*POWER(2,10)+MID(DT31,5,1)*POWER(2,11)+MID(DT31,4,1)*POWER(2,12)+MID(DT31,3,1)*POWER(2,13)+MID(DT31,2,1)*POWER(2,14)+MID(DT31,1,1)*POWER(2,15))</f>
        <v>17181</v>
      </c>
      <c r="DW30" s="87">
        <f>MID(DU30,16,1)*POWER(2,0)+MID(DU30,15,1)*POWER(2,1)+MID(DU30,14,1)*POWER(2,2)+MID(DU30,13,1)*POWER(2,3)+MID(DU30,12,1)*POWER(2,4)+MID(DU30,11,1)*POWER(2,5)+MID(DU30,10,1)*POWER(2,6)+MID(DU30,9,1)*POWER(2,7)+MID(DU30,8,1)*POWER(2,8)+MID(DU30,7,1)*POWER(2,9)+MID(DU30,6,1)*POWER(2,10)+MID(DU30,5,1)*POWER(2,11)+MID(DU30,4,1)*POWER(2,12)+MID(DU30,3,1)*POWER(2,13)+MID(DU30,2,1)*POWER(2,14)+MID(DU30,1,1)*POWER(2,15)-(MID(DU31,16,1)*POWER(2,0)+MID(DU31,15,1)*POWER(2,1)+MID(DU31,14,1)*POWER(2,2)+MID(DU31,13,1)*POWER(2,3)+MID(DU31,12,1)*POWER(2,4)+MID(DU31,11,1)*POWER(2,5)+MID(DU31,10,1)*POWER(2,6)+MID(DU31,9,1)*POWER(2,7)+MID(DU31,8,1)*POWER(2,8)+MID(DU31,7,1)*POWER(2,9)+MID(DU31,6,1)*POWER(2,10)+MID(DU31,5,1)*POWER(2,11)+MID(DU31,4,1)*POWER(2,12)+MID(DU31,3,1)*POWER(2,13)+MID(DU31,2,1)*POWER(2,14)+MID(DU31,1,1)*POWER(2,15))</f>
        <v>-797</v>
      </c>
      <c r="DX30" s="33" t="str">
        <f>CONCATENATE(MID($H30,1,1)*MID($K30,1,1),MID($H30,2,1)*MID($K30,2,1),MID($H30,3,1)*MID($K30,3,1),MID($H30,4,1)*MID($K30,4,1),MID($H30,5,1)*MID($K30,5,1),MID($H30,6,1)*MID($K30,6,1),MID($H30,7,1)*MID($K30,7,1),MID($H30,8,1)*MID($K30,8,1),MID($H30,9,1)*MID($K30,1,1),MID($H30,10,1)*MID($K30,2,1),MID($H30,11,1)*MID($K30,3,1),MID($H30,12,1)*MID($K30,4,1),MID($H30,13,1)*MID($K30,5,1),MID($H30,14,1)*MID($K30,6,1),MID($H30,15,1)*MID($K30,7,1),MID($H30,16,1)*MID($K30,8,1),MID($H30,17,1)*MID($K30,1,1),MID($H30,18,1)*MID($K30,2,1),MID($H30,19,1)*MID($K30,3,1),MID($H30,20,1)*MID($K30,4,1),MID($H30,21,1)*MID($K30,5,1),MID($H30,22,1)*MID($K30,6,1),MID($H30,23,1)*MID($K30,7,1),MID($H30,24,1)*MID($K30,8,1),MID($H30,25,1)*MID($K30,1,1),MID($H30,26,1)*MID($K30,2,1),MID($H30,27,1)*MID($K30,3,1),MID($H30,28,1)*MID($K30,4,1),MID($H30,29,1)*MID($K30,5,1),MID($H30,30,1)*MID($K30,6,1),MID($H30,31,1)*MID($K30,7,1),MID($H30,32,1)*MID($K30,8,1))</f>
        <v>01000011000000100110001000100011</v>
      </c>
      <c r="DY30" s="34" t="str">
        <f>L30</f>
        <v>01110110001110111101001110000110</v>
      </c>
      <c r="DZ30" s="34" t="str">
        <f t="shared" si="178"/>
        <v>01110110</v>
      </c>
      <c r="EA30" s="34" t="str">
        <f t="shared" si="86"/>
        <v>00111011</v>
      </c>
      <c r="EB30" s="34" t="str">
        <f t="shared" si="87"/>
        <v>11010011</v>
      </c>
      <c r="EC30" s="34" t="str">
        <f t="shared" si="88"/>
        <v>10000110</v>
      </c>
      <c r="ED30" s="87">
        <f>BIN2DEC(DZ30)-BIN2DEC(DZ31)</f>
        <v>93</v>
      </c>
      <c r="EE30" s="87">
        <f>BIN2DEC(EA30)-BIN2DEC(EA31)</f>
        <v>32</v>
      </c>
      <c r="EF30" s="87">
        <f>BIN2DEC(EB30)-BIN2DEC(EB31)</f>
        <v>184</v>
      </c>
      <c r="EG30" s="87">
        <f>BIN2DEC(EC30)-BIN2DEC(EC31)</f>
        <v>117</v>
      </c>
      <c r="EH30" s="35" t="str">
        <f t="shared" si="89"/>
        <v>0111</v>
      </c>
      <c r="EI30" s="35" t="str">
        <f t="shared" si="90"/>
        <v>0110</v>
      </c>
      <c r="EJ30" s="35" t="str">
        <f t="shared" si="91"/>
        <v>0011</v>
      </c>
      <c r="EK30" s="35" t="str">
        <f t="shared" si="92"/>
        <v>1011</v>
      </c>
      <c r="EL30" s="35" t="str">
        <f t="shared" si="93"/>
        <v>1101</v>
      </c>
      <c r="EM30" s="35" t="str">
        <f t="shared" si="94"/>
        <v>0011</v>
      </c>
      <c r="EN30" s="35" t="str">
        <f t="shared" si="95"/>
        <v>1000</v>
      </c>
      <c r="EO30" s="35" t="str">
        <f t="shared" si="96"/>
        <v>0110</v>
      </c>
      <c r="EP30" s="87">
        <f>BIN2DEC(EH30)-BIN2DEC(EH31)</f>
        <v>4</v>
      </c>
      <c r="EQ30" s="87">
        <f t="shared" ref="EQ30:EV30" si="344">BIN2DEC(EI30)-BIN2DEC(EI31)</f>
        <v>-7</v>
      </c>
      <c r="ER30" s="87">
        <f t="shared" si="344"/>
        <v>-6</v>
      </c>
      <c r="ES30" s="87">
        <f t="shared" si="344"/>
        <v>-4</v>
      </c>
      <c r="ET30" s="87">
        <f t="shared" si="344"/>
        <v>8</v>
      </c>
      <c r="EU30" s="87">
        <f t="shared" si="344"/>
        <v>-12</v>
      </c>
      <c r="EV30" s="87">
        <f t="shared" si="344"/>
        <v>-3</v>
      </c>
      <c r="EW30" s="87">
        <f>BIN2DEC(EO30)-BIN2DEC(EO31)</f>
        <v>5</v>
      </c>
      <c r="EX30" s="34" t="str">
        <f t="shared" si="15"/>
        <v>0111011000111011</v>
      </c>
      <c r="EY30" s="34" t="str">
        <f t="shared" si="16"/>
        <v>1101001110000110</v>
      </c>
      <c r="EZ30" s="87">
        <f>MID(EX30,16,1)*POWER(2,0)+MID(EX30,15,1)*POWER(2,1)+MID(EX30,14,1)*POWER(2,2)+MID(EX30,13,1)*POWER(2,3)+MID(EX30,12,1)*POWER(2,4)+MID(EX30,11,1)*POWER(2,5)+MID(EX30,10,1)*POWER(2,6)+MID(EX30,9,1)*POWER(2,7)+MID(EX30,8,1)*POWER(2,8)+MID(EX30,7,1)*POWER(2,9)+MID(EX30,6,1)*POWER(2,10)+MID(EX30,5,1)*POWER(2,11)+MID(EX30,4,1)*POWER(2,12)+MID(EX30,3,1)*POWER(2,13)+MID(EX30,2,1)*POWER(2,14)+MID(EX30,1,1)*POWER(2,15)-(MID(EX31,16,1)*POWER(2,0)+MID(EX31,15,1)*POWER(2,1)+MID(EX31,14,1)*POWER(2,2)+MID(EX31,13,1)*POWER(2,3)+MID(EX31,12,1)*POWER(2,4)+MID(EX31,11,1)*POWER(2,5)+MID(EX31,10,1)*POWER(2,6)+MID(EX31,9,1)*POWER(2,7)+MID(EX31,8,1)*POWER(2,8)+MID(EX31,7,1)*POWER(2,9)+MID(EX31,6,1)*POWER(2,10)+MID(EX31,5,1)*POWER(2,11)+MID(EX31,4,1)*POWER(2,12)+MID(EX31,3,1)*POWER(2,13)+MID(EX31,2,1)*POWER(2,14)+MID(EX31,1,1)*POWER(2,15))</f>
        <v>23840</v>
      </c>
      <c r="FA30" s="87">
        <f>MID(EY30,16,1)*POWER(2,0)+MID(EY30,15,1)*POWER(2,1)+MID(EY30,14,1)*POWER(2,2)+MID(EY30,13,1)*POWER(2,3)+MID(EY30,12,1)*POWER(2,4)+MID(EY30,11,1)*POWER(2,5)+MID(EY30,10,1)*POWER(2,6)+MID(EY30,9,1)*POWER(2,7)+MID(EY30,8,1)*POWER(2,8)+MID(EY30,7,1)*POWER(2,9)+MID(EY30,6,1)*POWER(2,10)+MID(EY30,5,1)*POWER(2,11)+MID(EY30,4,1)*POWER(2,12)+MID(EY30,3,1)*POWER(2,13)+MID(EY30,2,1)*POWER(2,14)+MID(EY30,1,1)*POWER(2,15)-(MID(EY31,16,1)*POWER(2,0)+MID(EY31,15,1)*POWER(2,1)+MID(EY31,14,1)*POWER(2,2)+MID(EY31,13,1)*POWER(2,3)+MID(EY31,12,1)*POWER(2,4)+MID(EY31,11,1)*POWER(2,5)+MID(EY31,10,1)*POWER(2,6)+MID(EY31,9,1)*POWER(2,7)+MID(EY31,8,1)*POWER(2,8)+MID(EY31,7,1)*POWER(2,9)+MID(EY31,6,1)*POWER(2,10)+MID(EY31,5,1)*POWER(2,11)+MID(EY31,4,1)*POWER(2,12)+MID(EY31,3,1)*POWER(2,13)+MID(EY31,2,1)*POWER(2,14)+MID(EY31,1,1)*POWER(2,15))</f>
        <v>47221</v>
      </c>
      <c r="FB30" s="33" t="str">
        <f>L30</f>
        <v>01110110001110111101001110000110</v>
      </c>
      <c r="FC30" s="34" t="str">
        <f t="shared" si="180"/>
        <v>01110110</v>
      </c>
      <c r="FD30" s="34" t="str">
        <f t="shared" si="97"/>
        <v>00111011</v>
      </c>
      <c r="FE30" s="34" t="str">
        <f t="shared" si="98"/>
        <v>11010011</v>
      </c>
      <c r="FF30" s="34" t="str">
        <f t="shared" si="99"/>
        <v>10000110</v>
      </c>
      <c r="FG30" s="87">
        <f>BIN2DEC(FC30)-BIN2DEC(FC31)</f>
        <v>117</v>
      </c>
      <c r="FH30" s="87">
        <f>BIN2DEC(FD30)-BIN2DEC(FD31)</f>
        <v>56</v>
      </c>
      <c r="FI30" s="87">
        <f>BIN2DEC(FE30)-BIN2DEC(FE31)</f>
        <v>208</v>
      </c>
      <c r="FJ30" s="87">
        <f>BIN2DEC(FF30)-BIN2DEC(FF31)</f>
        <v>133</v>
      </c>
      <c r="FK30" s="35" t="str">
        <f t="shared" si="100"/>
        <v>0111</v>
      </c>
      <c r="FL30" s="35" t="str">
        <f t="shared" si="101"/>
        <v>0110</v>
      </c>
      <c r="FM30" s="35" t="str">
        <f t="shared" si="102"/>
        <v>0011</v>
      </c>
      <c r="FN30" s="35" t="str">
        <f t="shared" si="103"/>
        <v>1011</v>
      </c>
      <c r="FO30" s="35" t="str">
        <f t="shared" si="104"/>
        <v>1101</v>
      </c>
      <c r="FP30" s="35" t="str">
        <f t="shared" si="105"/>
        <v>0011</v>
      </c>
      <c r="FQ30" s="35" t="str">
        <f t="shared" si="106"/>
        <v>1000</v>
      </c>
      <c r="FR30" s="35" t="str">
        <f t="shared" si="107"/>
        <v>0110</v>
      </c>
      <c r="FS30" s="87">
        <f>BIN2DEC(FK30)-BIN2DEC(FK31)</f>
        <v>4</v>
      </c>
      <c r="FT30" s="87">
        <f t="shared" ref="FT30:FY30" si="345">BIN2DEC(FL30)-BIN2DEC(FL31)</f>
        <v>-7</v>
      </c>
      <c r="FU30" s="87">
        <f t="shared" si="345"/>
        <v>-6</v>
      </c>
      <c r="FV30" s="87">
        <f t="shared" si="345"/>
        <v>-4</v>
      </c>
      <c r="FW30" s="87">
        <f t="shared" si="345"/>
        <v>8</v>
      </c>
      <c r="FX30" s="87">
        <f t="shared" si="345"/>
        <v>-12</v>
      </c>
      <c r="FY30" s="87">
        <f t="shared" si="345"/>
        <v>-3</v>
      </c>
      <c r="FZ30" s="87">
        <f>BIN2DEC(FR30)-BIN2DEC(FR31)</f>
        <v>5</v>
      </c>
      <c r="GA30" s="34" t="str">
        <f t="shared" si="18"/>
        <v>0111011000111011</v>
      </c>
      <c r="GB30" s="34" t="str">
        <f t="shared" si="19"/>
        <v>1101001110000110</v>
      </c>
      <c r="GC30" s="87">
        <f>MID(GA30,16,1)*POWER(2,0)+MID(GA30,15,1)*POWER(2,1)+MID(GA30,14,1)*POWER(2,2)+MID(GA30,13,1)*POWER(2,3)+MID(GA30,12,1)*POWER(2,4)+MID(GA30,11,1)*POWER(2,5)+MID(GA30,10,1)*POWER(2,6)+MID(GA30,9,1)*POWER(2,7)+MID(GA30,8,1)*POWER(2,8)+MID(GA30,7,1)*POWER(2,9)+MID(GA30,6,1)*POWER(2,10)+MID(GA30,5,1)*POWER(2,11)+MID(GA30,4,1)*POWER(2,12)+MID(GA30,3,1)*POWER(2,13)+MID(GA30,2,1)*POWER(2,14)+MID(GA30,1,1)*POWER(2,15)-(MID(GA31,16,1)*POWER(2,0)+MID(GA31,15,1)*POWER(2,1)+MID(GA31,14,1)*POWER(2,2)+MID(GA31,13,1)*POWER(2,3)+MID(GA31,12,1)*POWER(2,4)+MID(GA31,11,1)*POWER(2,5)+MID(GA31,10,1)*POWER(2,6)+MID(GA31,9,1)*POWER(2,7)+MID(GA31,8,1)*POWER(2,8)+MID(GA31,7,1)*POWER(2,9)+MID(GA31,6,1)*POWER(2,10)+MID(GA31,5,1)*POWER(2,11)+MID(GA31,4,1)*POWER(2,12)+MID(GA31,3,1)*POWER(2,13)+MID(GA31,2,1)*POWER(2,14)+MID(GA31,1,1)*POWER(2,15))</f>
        <v>30008</v>
      </c>
      <c r="GD30" s="87">
        <f>MID(GB30,16,1)*POWER(2,0)+MID(GB30,15,1)*POWER(2,1)+MID(GB30,14,1)*POWER(2,2)+MID(GB30,13,1)*POWER(2,3)+MID(GB30,12,1)*POWER(2,4)+MID(GB30,11,1)*POWER(2,5)+MID(GB30,10,1)*POWER(2,6)+MID(GB30,9,1)*POWER(2,7)+MID(GB30,8,1)*POWER(2,8)+MID(GB30,7,1)*POWER(2,9)+MID(GB30,6,1)*POWER(2,10)+MID(GB30,5,1)*POWER(2,11)+MID(GB30,4,1)*POWER(2,12)+MID(GB30,3,1)*POWER(2,13)+MID(GB30,2,1)*POWER(2,14)+MID(GB30,1,1)*POWER(2,15)-(MID(GB31,16,1)*POWER(2,0)+MID(GB31,15,1)*POWER(2,1)+MID(GB31,14,1)*POWER(2,2)+MID(GB31,13,1)*POWER(2,3)+MID(GB31,12,1)*POWER(2,4)+MID(GB31,11,1)*POWER(2,5)+MID(GB31,10,1)*POWER(2,6)+MID(GB31,9,1)*POWER(2,7)+MID(GB31,8,1)*POWER(2,8)+MID(GB31,7,1)*POWER(2,9)+MID(GB31,6,1)*POWER(2,10)+MID(GB31,5,1)*POWER(2,11)+MID(GB31,4,1)*POWER(2,12)+MID(GB31,3,1)*POWER(2,13)+MID(GB31,2,1)*POWER(2,14)+MID(GB31,1,1)*POWER(2,15))</f>
        <v>53381</v>
      </c>
      <c r="GE30" s="35" t="str">
        <f>CU30</f>
        <v>01100100001000000100000000000100</v>
      </c>
      <c r="GF30" s="34" t="str">
        <f t="shared" si="182"/>
        <v>01100100</v>
      </c>
      <c r="GG30" s="34" t="str">
        <f t="shared" si="108"/>
        <v>00100000</v>
      </c>
      <c r="GH30" s="34" t="str">
        <f t="shared" si="109"/>
        <v>01000000</v>
      </c>
      <c r="GI30" s="34" t="str">
        <f t="shared" si="110"/>
        <v>00000100</v>
      </c>
      <c r="GJ30" s="87">
        <f>BIN2DEC(GF30)-BIN2DEC(GF31)</f>
        <v>75</v>
      </c>
      <c r="GK30" s="87">
        <f>BIN2DEC(GG30)-BIN2DEC(GG31)</f>
        <v>5</v>
      </c>
      <c r="GL30" s="87">
        <f>BIN2DEC(GH30)-BIN2DEC(GH31)</f>
        <v>37</v>
      </c>
      <c r="GM30" s="87">
        <f>BIN2DEC(GI30)-BIN2DEC(GI31)</f>
        <v>-13</v>
      </c>
      <c r="GN30" s="35" t="str">
        <f t="shared" si="111"/>
        <v>0111</v>
      </c>
      <c r="GO30" s="35" t="str">
        <f t="shared" si="112"/>
        <v>0110</v>
      </c>
      <c r="GP30" s="35" t="str">
        <f t="shared" si="113"/>
        <v>0011</v>
      </c>
      <c r="GQ30" s="35" t="str">
        <f t="shared" si="114"/>
        <v>1011</v>
      </c>
      <c r="GR30" s="35" t="str">
        <f t="shared" si="115"/>
        <v>1101</v>
      </c>
      <c r="GS30" s="35" t="str">
        <f t="shared" si="116"/>
        <v>0011</v>
      </c>
      <c r="GT30" s="35" t="str">
        <f t="shared" si="117"/>
        <v>1000</v>
      </c>
      <c r="GU30" s="35" t="str">
        <f t="shared" si="118"/>
        <v>0110</v>
      </c>
      <c r="GV30" s="87">
        <f>BIN2DEC(GN30)-BIN2DEC(GN31)</f>
        <v>4</v>
      </c>
      <c r="GW30" s="87">
        <f t="shared" ref="GW30:HB30" si="346">BIN2DEC(GO30)-BIN2DEC(GO31)</f>
        <v>-7</v>
      </c>
      <c r="GX30" s="87">
        <f t="shared" si="346"/>
        <v>-6</v>
      </c>
      <c r="GY30" s="87">
        <f t="shared" si="346"/>
        <v>-4</v>
      </c>
      <c r="GZ30" s="87">
        <f t="shared" si="346"/>
        <v>8</v>
      </c>
      <c r="HA30" s="87">
        <f t="shared" si="346"/>
        <v>-12</v>
      </c>
      <c r="HB30" s="87">
        <f t="shared" si="346"/>
        <v>-3</v>
      </c>
      <c r="HC30" s="87">
        <f>BIN2DEC(GU30)-BIN2DEC(GU31)</f>
        <v>5</v>
      </c>
      <c r="HD30" s="34" t="str">
        <f t="shared" si="21"/>
        <v>0110010000100000</v>
      </c>
      <c r="HE30" s="34" t="str">
        <f t="shared" si="22"/>
        <v>0100000000000100</v>
      </c>
      <c r="HF30" s="87">
        <f>MID(HD30,16,1)*POWER(2,0)+MID(HD30,15,1)*POWER(2,1)+MID(HD30,14,1)*POWER(2,2)+MID(HD30,13,1)*POWER(2,3)+MID(HD30,12,1)*POWER(2,4)+MID(HD30,11,1)*POWER(2,5)+MID(HD30,10,1)*POWER(2,6)+MID(HD30,9,1)*POWER(2,7)+MID(HD30,8,1)*POWER(2,8)+MID(HD30,7,1)*POWER(2,9)+MID(HD30,6,1)*POWER(2,10)+MID(HD30,5,1)*POWER(2,11)+MID(HD30,4,1)*POWER(2,12)+MID(HD30,3,1)*POWER(2,13)+MID(HD30,2,1)*POWER(2,14)+MID(HD30,1,1)*POWER(2,15)-(MID(HD31,16,1)*POWER(2,0)+MID(HD31,15,1)*POWER(2,1)+MID(HD31,14,1)*POWER(2,2)+MID(HD31,13,1)*POWER(2,3)+MID(HD31,12,1)*POWER(2,4)+MID(HD31,11,1)*POWER(2,5)+MID(HD31,10,1)*POWER(2,6)+MID(HD31,9,1)*POWER(2,7)+MID(HD31,8,1)*POWER(2,8)+MID(HD31,7,1)*POWER(2,9)+MID(HD31,6,1)*POWER(2,10)+MID(HD31,5,1)*POWER(2,11)+MID(HD31,4,1)*POWER(2,12)+MID(HD31,3,1)*POWER(2,13)+MID(HD31,2,1)*POWER(2,14)+MID(HD31,1,1)*POWER(2,15))</f>
        <v>19205</v>
      </c>
      <c r="HG30" s="87">
        <f>MID(HE30,16,1)*POWER(2,0)+MID(HE30,15,1)*POWER(2,1)+MID(HE30,14,1)*POWER(2,2)+MID(HE30,13,1)*POWER(2,3)+MID(HE30,12,1)*POWER(2,4)+MID(HE30,11,1)*POWER(2,5)+MID(HE30,10,1)*POWER(2,6)+MID(HE30,9,1)*POWER(2,7)+MID(HE30,8,1)*POWER(2,8)+MID(HE30,7,1)*POWER(2,9)+MID(HE30,6,1)*POWER(2,10)+MID(HE30,5,1)*POWER(2,11)+MID(HE30,4,1)*POWER(2,12)+MID(HE30,3,1)*POWER(2,13)+MID(HE30,2,1)*POWER(2,14)+MID(HE30,1,1)*POWER(2,15)-(MID(HE31,16,1)*POWER(2,0)+MID(HE31,15,1)*POWER(2,1)+MID(HE31,14,1)*POWER(2,2)+MID(HE31,13,1)*POWER(2,3)+MID(HE31,12,1)*POWER(2,4)+MID(HE31,11,1)*POWER(2,5)+MID(HE31,10,1)*POWER(2,6)+MID(HE31,9,1)*POWER(2,7)+MID(HE31,8,1)*POWER(2,8)+MID(HE31,7,1)*POWER(2,9)+MID(HE31,6,1)*POWER(2,10)+MID(HE31,5,1)*POWER(2,11)+MID(HE31,4,1)*POWER(2,12)+MID(HE31,3,1)*POWER(2,13)+MID(HE31,2,1)*POWER(2,14)+MID(HE31,1,1)*POWER(2,15))</f>
        <v>9459</v>
      </c>
      <c r="HH30" s="34" t="str">
        <f>CONCATENATE(MID(DX30,17,16),MID(DX30,1,16))</f>
        <v>01100010001000110100001100000010</v>
      </c>
      <c r="HI30" s="34" t="str">
        <f t="shared" si="184"/>
        <v>01100010</v>
      </c>
      <c r="HJ30" s="34" t="str">
        <f t="shared" si="119"/>
        <v>00100011</v>
      </c>
      <c r="HK30" s="34" t="str">
        <f t="shared" si="120"/>
        <v>01000011</v>
      </c>
      <c r="HL30" s="34" t="str">
        <f t="shared" si="121"/>
        <v>00000010</v>
      </c>
      <c r="HM30" s="87">
        <f>BIN2DEC(HI30)-BIN2DEC(HI31)</f>
        <v>97</v>
      </c>
      <c r="HN30" s="87">
        <f>BIN2DEC(HJ30)-BIN2DEC(HJ31)</f>
        <v>32</v>
      </c>
      <c r="HO30" s="87">
        <f>BIN2DEC(HK30)-BIN2DEC(HK31)</f>
        <v>64</v>
      </c>
      <c r="HP30" s="87">
        <f>BIN2DEC(HL30)-BIN2DEC(HL31)</f>
        <v>1</v>
      </c>
      <c r="HQ30" s="35" t="str">
        <f t="shared" si="122"/>
        <v>0111</v>
      </c>
      <c r="HR30" s="35" t="str">
        <f t="shared" si="123"/>
        <v>0110</v>
      </c>
      <c r="HS30" s="35" t="str">
        <f t="shared" si="124"/>
        <v>0011</v>
      </c>
      <c r="HT30" s="35" t="str">
        <f t="shared" si="125"/>
        <v>1011</v>
      </c>
      <c r="HU30" s="35" t="str">
        <f t="shared" si="126"/>
        <v>1101</v>
      </c>
      <c r="HV30" s="35" t="str">
        <f t="shared" si="127"/>
        <v>0011</v>
      </c>
      <c r="HW30" s="35" t="str">
        <f t="shared" si="128"/>
        <v>1000</v>
      </c>
      <c r="HX30" s="35" t="str">
        <f t="shared" si="129"/>
        <v>0110</v>
      </c>
      <c r="HY30" s="87">
        <f>BIN2DEC(HQ30)-BIN2DEC(HQ31)</f>
        <v>4</v>
      </c>
      <c r="HZ30" s="87">
        <f t="shared" ref="HZ30:IE30" si="347">BIN2DEC(HR30)-BIN2DEC(HR31)</f>
        <v>-7</v>
      </c>
      <c r="IA30" s="87">
        <f t="shared" si="347"/>
        <v>-6</v>
      </c>
      <c r="IB30" s="87">
        <f t="shared" si="347"/>
        <v>-4</v>
      </c>
      <c r="IC30" s="87">
        <f t="shared" si="347"/>
        <v>8</v>
      </c>
      <c r="ID30" s="87">
        <f t="shared" si="347"/>
        <v>-12</v>
      </c>
      <c r="IE30" s="87">
        <f t="shared" si="347"/>
        <v>-3</v>
      </c>
      <c r="IF30" s="87">
        <f>BIN2DEC(HX30)-BIN2DEC(HX31)</f>
        <v>5</v>
      </c>
      <c r="IG30" s="34" t="str">
        <f t="shared" si="24"/>
        <v>0110001000100011</v>
      </c>
      <c r="IH30" s="34" t="str">
        <f t="shared" si="25"/>
        <v>0100001100000010</v>
      </c>
      <c r="II30" s="87">
        <f>MID(IG30,16,1)*POWER(2,0)+MID(IG30,15,1)*POWER(2,1)+MID(IG30,14,1)*POWER(2,2)+MID(IG30,13,1)*POWER(2,3)+MID(IG30,12,1)*POWER(2,4)+MID(IG30,11,1)*POWER(2,5)+MID(IG30,10,1)*POWER(2,6)+MID(IG30,9,1)*POWER(2,7)+MID(IG30,8,1)*POWER(2,8)+MID(IG30,7,1)*POWER(2,9)+MID(IG30,6,1)*POWER(2,10)+MID(IG30,5,1)*POWER(2,11)+MID(IG30,4,1)*POWER(2,12)+MID(IG30,3,1)*POWER(2,13)+MID(IG30,2,1)*POWER(2,14)+MID(IG30,1,1)*POWER(2,15)-(MID(IG31,16,1)*POWER(2,0)+MID(IG31,15,1)*POWER(2,1)+MID(IG31,14,1)*POWER(2,2)+MID(IG31,13,1)*POWER(2,3)+MID(IG31,12,1)*POWER(2,4)+MID(IG31,11,1)*POWER(2,5)+MID(IG31,10,1)*POWER(2,6)+MID(IG31,9,1)*POWER(2,7)+MID(IG31,8,1)*POWER(2,8)+MID(IG31,7,1)*POWER(2,9)+MID(IG31,6,1)*POWER(2,10)+MID(IG31,5,1)*POWER(2,11)+MID(IG31,4,1)*POWER(2,12)+MID(IG31,3,1)*POWER(2,13)+MID(IG31,2,1)*POWER(2,14)+MID(IG31,1,1)*POWER(2,15))</f>
        <v>24864</v>
      </c>
      <c r="IJ30" s="87">
        <f>MID(IH30,16,1)*POWER(2,0)+MID(IH30,15,1)*POWER(2,1)+MID(IH30,14,1)*POWER(2,2)+MID(IH30,13,1)*POWER(2,3)+MID(IH30,12,1)*POWER(2,4)+MID(IH30,11,1)*POWER(2,5)+MID(IH30,10,1)*POWER(2,6)+MID(IH30,9,1)*POWER(2,7)+MID(IH30,8,1)*POWER(2,8)+MID(IH30,7,1)*POWER(2,9)+MID(IH30,6,1)*POWER(2,10)+MID(IH30,5,1)*POWER(2,11)+MID(IH30,4,1)*POWER(2,12)+MID(IH30,3,1)*POWER(2,13)+MID(IH30,2,1)*POWER(2,14)+MID(IH30,1,1)*POWER(2,15)-(MID(IH31,16,1)*POWER(2,0)+MID(IH31,15,1)*POWER(2,1)+MID(IH31,14,1)*POWER(2,2)+MID(IH31,13,1)*POWER(2,3)+MID(IH31,12,1)*POWER(2,4)+MID(IH31,11,1)*POWER(2,5)+MID(IH31,10,1)*POWER(2,6)+MID(IH31,9,1)*POWER(2,7)+MID(IH31,8,1)*POWER(2,8)+MID(IH31,7,1)*POWER(2,9)+MID(IH31,6,1)*POWER(2,10)+MID(IH31,5,1)*POWER(2,11)+MID(IH31,4,1)*POWER(2,12)+MID(IH31,3,1)*POWER(2,13)+MID(IH31,2,1)*POWER(2,14)+MID(IH31,1,1)*POWER(2,15))</f>
        <v>16385</v>
      </c>
      <c r="IK30" s="34" t="str">
        <f>HH30</f>
        <v>01100010001000110100001100000010</v>
      </c>
      <c r="IL30" s="34" t="str">
        <f t="shared" si="186"/>
        <v>01100010</v>
      </c>
      <c r="IM30" s="34" t="str">
        <f t="shared" si="130"/>
        <v>00100011</v>
      </c>
      <c r="IN30" s="34" t="str">
        <f t="shared" si="131"/>
        <v>01000011</v>
      </c>
      <c r="IO30" s="34" t="str">
        <f t="shared" si="132"/>
        <v>00000010</v>
      </c>
      <c r="IP30" s="87">
        <f>BIN2DEC(IL30)-BIN2DEC(IL31)</f>
        <v>37</v>
      </c>
      <c r="IQ30" s="87">
        <f>BIN2DEC(IM30)-BIN2DEC(IM31)</f>
        <v>-124</v>
      </c>
      <c r="IR30" s="87">
        <f>BIN2DEC(IN30)-BIN2DEC(IN31)</f>
        <v>-28</v>
      </c>
      <c r="IS30" s="87">
        <f>BIN2DEC(IO30)-BIN2DEC(IO31)</f>
        <v>-175</v>
      </c>
      <c r="IT30" s="35" t="str">
        <f t="shared" si="133"/>
        <v>0111</v>
      </c>
      <c r="IU30" s="35" t="str">
        <f t="shared" si="134"/>
        <v>0110</v>
      </c>
      <c r="IV30" s="35" t="str">
        <f t="shared" si="135"/>
        <v>0011</v>
      </c>
      <c r="IW30" s="35" t="str">
        <f t="shared" si="136"/>
        <v>1011</v>
      </c>
      <c r="IX30" s="35" t="str">
        <f t="shared" si="137"/>
        <v>1101</v>
      </c>
      <c r="IY30" s="35" t="str">
        <f t="shared" si="138"/>
        <v>0011</v>
      </c>
      <c r="IZ30" s="35" t="str">
        <f t="shared" si="139"/>
        <v>1000</v>
      </c>
      <c r="JA30" s="35" t="str">
        <f t="shared" si="140"/>
        <v>0110</v>
      </c>
      <c r="JB30" s="87">
        <f t="shared" ref="JB30:JI30" si="348">BIN2DEC(IT30)-BIN2DEC(IT31)</f>
        <v>4</v>
      </c>
      <c r="JC30" s="87">
        <f t="shared" si="348"/>
        <v>-7</v>
      </c>
      <c r="JD30" s="87">
        <f t="shared" si="348"/>
        <v>-6</v>
      </c>
      <c r="JE30" s="87">
        <f t="shared" si="348"/>
        <v>-4</v>
      </c>
      <c r="JF30" s="87">
        <f t="shared" si="348"/>
        <v>8</v>
      </c>
      <c r="JG30" s="87">
        <f t="shared" si="348"/>
        <v>-12</v>
      </c>
      <c r="JH30" s="87">
        <f t="shared" si="348"/>
        <v>-3</v>
      </c>
      <c r="JI30" s="87">
        <f t="shared" si="348"/>
        <v>5</v>
      </c>
      <c r="JJ30" s="34" t="str">
        <f t="shared" si="27"/>
        <v>0110001000100011</v>
      </c>
      <c r="JK30" s="34" t="str">
        <f t="shared" si="28"/>
        <v>0100001100000010</v>
      </c>
      <c r="JL30" s="87">
        <f>MID(JJ30,16,1)*POWER(2,0)+MID(JJ30,15,1)*POWER(2,1)+MID(JJ30,14,1)*POWER(2,2)+MID(JJ30,13,1)*POWER(2,3)+MID(JJ30,12,1)*POWER(2,4)+MID(JJ30,11,1)*POWER(2,5)+MID(JJ30,10,1)*POWER(2,6)+MID(JJ30,9,1)*POWER(2,7)+MID(JJ30,8,1)*POWER(2,8)+MID(JJ30,7,1)*POWER(2,9)+MID(JJ30,6,1)*POWER(2,10)+MID(JJ30,5,1)*POWER(2,11)+MID(JJ30,4,1)*POWER(2,12)+MID(JJ30,3,1)*POWER(2,13)+MID(JJ30,2,1)*POWER(2,14)+MID(JJ30,1,1)*POWER(2,15)-(MID(JJ31,16,1)*POWER(2,0)+MID(JJ31,15,1)*POWER(2,1)+MID(JJ31,14,1)*POWER(2,2)+MID(JJ31,13,1)*POWER(2,3)+MID(JJ31,12,1)*POWER(2,4)+MID(JJ31,11,1)*POWER(2,5)+MID(JJ31,10,1)*POWER(2,6)+MID(JJ31,9,1)*POWER(2,7)+MID(JJ31,8,1)*POWER(2,8)+MID(JJ31,7,1)*POWER(2,9)+MID(JJ31,6,1)*POWER(2,10)+MID(JJ31,5,1)*POWER(2,11)+MID(JJ31,4,1)*POWER(2,12)+MID(JJ31,3,1)*POWER(2,13)+MID(JJ31,2,1)*POWER(2,14)+MID(JJ31,1,1)*POWER(2,15))</f>
        <v>9348</v>
      </c>
      <c r="JM30" s="87">
        <f>MID(JK30,16,1)*POWER(2,0)+MID(JK30,15,1)*POWER(2,1)+MID(JK30,14,1)*POWER(2,2)+MID(JK30,13,1)*POWER(2,3)+MID(JK30,12,1)*POWER(2,4)+MID(JK30,11,1)*POWER(2,5)+MID(JK30,10,1)*POWER(2,6)+MID(JK30,9,1)*POWER(2,7)+MID(JK30,8,1)*POWER(2,8)+MID(JK30,7,1)*POWER(2,9)+MID(JK30,6,1)*POWER(2,10)+MID(JK30,5,1)*POWER(2,11)+MID(JK30,4,1)*POWER(2,12)+MID(JK30,3,1)*POWER(2,13)+MID(JK30,2,1)*POWER(2,14)+MID(JK30,1,1)*POWER(2,15)-(MID(JK31,16,1)*POWER(2,0)+MID(JK31,15,1)*POWER(2,1)+MID(JK31,14,1)*POWER(2,2)+MID(JK31,13,1)*POWER(2,3)+MID(JK31,12,1)*POWER(2,4)+MID(JK31,11,1)*POWER(2,5)+MID(JK31,10,1)*POWER(2,6)+MID(JK31,9,1)*POWER(2,7)+MID(JK31,8,1)*POWER(2,8)+MID(JK31,7,1)*POWER(2,9)+MID(JK31,6,1)*POWER(2,10)+MID(JK31,5,1)*POWER(2,11)+MID(JK31,4,1)*POWER(2,12)+MID(JK31,3,1)*POWER(2,13)+MID(JK31,2,1)*POWER(2,14)+MID(JK31,1,1)*POWER(2,15))</f>
        <v>-7343</v>
      </c>
      <c r="JN30" s="33" t="str">
        <f>CONCATENATE(MID(IK30,1,1)*MID($K30,1,1),MID(IK30,2,1)*MID($K30,2,1),MID(IK30,3,1)*MID($K30,3,1),MID(IK30,4,1)*MID($K30,4,1),MID(IK30,5,1)*MID($K30,5,1),MID(IK30,6,1)*MID($K30,6,1),MID(IK30,7,1)*MID($K30,7,1),MID(IK30,8,1)*MID($K30,8,1),MID(IK30,9,1)*MID($K30,1,1),MID(IK30,10,1)*MID($K30,2,1),MID(IK30,11,1)*MID($K30,3,1),MID(IK30,12,1)*MID($K30,4,1),MID(IK30,13,1)*MID($K30,5,1),MID(IK30,14,1)*MID($K30,6,1),MID(IK30,15,1)*MID($K30,7,1),MID(IK30,16,1)*MID($K30,8,1),MID(IK30,17,1)*MID($K30,1,1),MID(IK30,18,1)*MID($K30,2,1),MID(IK30,19,1)*MID($K30,3,1),MID(IK30,20,1)*MID($K30,4,1),MID(IK30,21,1)*MID($K30,5,1),MID(IK30,22,1)*MID($K30,6,1),MID(IK30,23,1)*MID($K30,7,1),MID(IK30,24,1)*MID($K30,8,1),MID(IK30,25,1)*MID($K30,1,1),MID(IK30,26,1)*MID($K30,2,1),MID(IK30,27,1)*MID($K30,3,1),MID(IK30,28,1)*MID($K30,4,1),MID(IK30,29,1)*MID($K30,5,1),MID(IK30,30,1)*MID($K30,6,1),MID(IK30,31,1)*MID($K30,7,1),MID(IK30,32,1)*MID($K30,8,1))</f>
        <v>01100010001000110100001100000010</v>
      </c>
      <c r="JO30" s="34" t="str">
        <f t="shared" si="188"/>
        <v>01100010</v>
      </c>
      <c r="JP30" s="34" t="str">
        <f t="shared" si="141"/>
        <v>00100011</v>
      </c>
      <c r="JQ30" s="34" t="str">
        <f t="shared" si="142"/>
        <v>01000011</v>
      </c>
      <c r="JR30" s="34" t="str">
        <f t="shared" si="143"/>
        <v>00000010</v>
      </c>
      <c r="JS30" s="87">
        <f>BIN2DEC(JO30)-BIN2DEC(JO31)</f>
        <v>37</v>
      </c>
      <c r="JT30" s="87">
        <f>BIN2DEC(JP30)-BIN2DEC(JP31)</f>
        <v>-124</v>
      </c>
      <c r="JU30" s="87">
        <f>BIN2DEC(JQ30)-BIN2DEC(JQ31)</f>
        <v>-28</v>
      </c>
      <c r="JV30" s="87">
        <f>BIN2DEC(JR30)-BIN2DEC(JR31)</f>
        <v>-175</v>
      </c>
      <c r="JW30" s="35" t="str">
        <f t="shared" si="144"/>
        <v>0111</v>
      </c>
      <c r="JX30" s="35" t="str">
        <f t="shared" si="145"/>
        <v>0110</v>
      </c>
      <c r="JY30" s="35" t="str">
        <f t="shared" si="146"/>
        <v>0011</v>
      </c>
      <c r="JZ30" s="35" t="str">
        <f t="shared" si="147"/>
        <v>1011</v>
      </c>
      <c r="KA30" s="35" t="str">
        <f t="shared" si="148"/>
        <v>1101</v>
      </c>
      <c r="KB30" s="35" t="str">
        <f t="shared" si="149"/>
        <v>0011</v>
      </c>
      <c r="KC30" s="35" t="str">
        <f t="shared" si="150"/>
        <v>1000</v>
      </c>
      <c r="KD30" s="35" t="str">
        <f t="shared" si="151"/>
        <v>0110</v>
      </c>
      <c r="KE30" s="87">
        <f t="shared" ref="KE30:KL30" si="349">BIN2DEC(JW30)-BIN2DEC(JW31)</f>
        <v>4</v>
      </c>
      <c r="KF30" s="87">
        <f t="shared" si="349"/>
        <v>-7</v>
      </c>
      <c r="KG30" s="87">
        <f t="shared" si="349"/>
        <v>-6</v>
      </c>
      <c r="KH30" s="87">
        <f t="shared" si="349"/>
        <v>-4</v>
      </c>
      <c r="KI30" s="87">
        <f t="shared" si="349"/>
        <v>8</v>
      </c>
      <c r="KJ30" s="87">
        <f t="shared" si="349"/>
        <v>-12</v>
      </c>
      <c r="KK30" s="87">
        <f t="shared" si="349"/>
        <v>-3</v>
      </c>
      <c r="KL30" s="87">
        <f t="shared" si="349"/>
        <v>5</v>
      </c>
      <c r="KM30" s="34" t="str">
        <f t="shared" si="30"/>
        <v>0110001000100011</v>
      </c>
      <c r="KN30" s="34" t="str">
        <f t="shared" si="31"/>
        <v>0100001100000010</v>
      </c>
      <c r="KO30" s="87">
        <f>MID(KM30,16,1)*POWER(2,0)+MID(KM30,15,1)*POWER(2,1)+MID(KM30,14,1)*POWER(2,2)+MID(KM30,13,1)*POWER(2,3)+MID(KM30,12,1)*POWER(2,4)+MID(KM30,11,1)*POWER(2,5)+MID(KM30,10,1)*POWER(2,6)+MID(KM30,9,1)*POWER(2,7)+MID(KM30,8,1)*POWER(2,8)+MID(KM30,7,1)*POWER(2,9)+MID(KM30,6,1)*POWER(2,10)+MID(KM30,5,1)*POWER(2,11)+MID(KM30,4,1)*POWER(2,12)+MID(KM30,3,1)*POWER(2,13)+MID(KM30,2,1)*POWER(2,14)+MID(KM30,1,1)*POWER(2,15)-(MID(KM31,16,1)*POWER(2,0)+MID(KM31,15,1)*POWER(2,1)+MID(KM31,14,1)*POWER(2,2)+MID(KM31,13,1)*POWER(2,3)+MID(KM31,12,1)*POWER(2,4)+MID(KM31,11,1)*POWER(2,5)+MID(KM31,10,1)*POWER(2,6)+MID(KM31,9,1)*POWER(2,7)+MID(KM31,8,1)*POWER(2,8)+MID(KM31,7,1)*POWER(2,9)+MID(KM31,6,1)*POWER(2,10)+MID(KM31,5,1)*POWER(2,11)+MID(KM31,4,1)*POWER(2,12)+MID(KM31,3,1)*POWER(2,13)+MID(KM31,2,1)*POWER(2,14)+MID(KM31,1,1)*POWER(2,15))</f>
        <v>9348</v>
      </c>
      <c r="KP30" s="87">
        <f>MID(KN30,16,1)*POWER(2,0)+MID(KN30,15,1)*POWER(2,1)+MID(KN30,14,1)*POWER(2,2)+MID(KN30,13,1)*POWER(2,3)+MID(KN30,12,1)*POWER(2,4)+MID(KN30,11,1)*POWER(2,5)+MID(KN30,10,1)*POWER(2,6)+MID(KN30,9,1)*POWER(2,7)+MID(KN30,8,1)*POWER(2,8)+MID(KN30,7,1)*POWER(2,9)+MID(KN30,6,1)*POWER(2,10)+MID(KN30,5,1)*POWER(2,11)+MID(KN30,4,1)*POWER(2,12)+MID(KN30,3,1)*POWER(2,13)+MID(KN30,2,1)*POWER(2,14)+MID(KN30,1,1)*POWER(2,15)-(MID(KN31,16,1)*POWER(2,0)+MID(KN31,15,1)*POWER(2,1)+MID(KN31,14,1)*POWER(2,2)+MID(KN31,13,1)*POWER(2,3)+MID(KN31,12,1)*POWER(2,4)+MID(KN31,11,1)*POWER(2,5)+MID(KN31,10,1)*POWER(2,6)+MID(KN31,9,1)*POWER(2,7)+MID(KN31,8,1)*POWER(2,8)+MID(KN31,7,1)*POWER(2,9)+MID(KN31,6,1)*POWER(2,10)+MID(KN31,5,1)*POWER(2,11)+MID(KN31,4,1)*POWER(2,12)+MID(KN31,3,1)*POWER(2,13)+MID(KN31,2,1)*POWER(2,14)+MID(KN31,1,1)*POWER(2,15))</f>
        <v>-7343</v>
      </c>
      <c r="KQ30" s="35" t="str">
        <f>IK30</f>
        <v>01100010001000110100001100000010</v>
      </c>
      <c r="KR30" s="34" t="str">
        <f t="shared" si="190"/>
        <v>01100010</v>
      </c>
      <c r="KS30" s="34" t="str">
        <f t="shared" si="152"/>
        <v>00100011</v>
      </c>
      <c r="KT30" s="34" t="str">
        <f t="shared" si="153"/>
        <v>01000011</v>
      </c>
      <c r="KU30" s="34" t="str">
        <f t="shared" si="154"/>
        <v>00000010</v>
      </c>
      <c r="KV30" s="87">
        <f>BIN2DEC(KR30)-BIN2DEC(KR31)</f>
        <v>65</v>
      </c>
      <c r="KW30" s="87">
        <f>BIN2DEC(KS30)-BIN2DEC(KS31)</f>
        <v>32</v>
      </c>
      <c r="KX30" s="87">
        <f>BIN2DEC(KT30)-BIN2DEC(KT31)</f>
        <v>0</v>
      </c>
      <c r="KY30" s="87">
        <f>BIN2DEC(KU30)-BIN2DEC(KU31)</f>
        <v>-31</v>
      </c>
      <c r="KZ30" s="35" t="str">
        <f t="shared" si="155"/>
        <v>0111</v>
      </c>
      <c r="LA30" s="35" t="str">
        <f t="shared" si="156"/>
        <v>0110</v>
      </c>
      <c r="LB30" s="35" t="str">
        <f t="shared" si="157"/>
        <v>0011</v>
      </c>
      <c r="LC30" s="35" t="str">
        <f t="shared" si="158"/>
        <v>1011</v>
      </c>
      <c r="LD30" s="35" t="str">
        <f t="shared" si="159"/>
        <v>1101</v>
      </c>
      <c r="LE30" s="35" t="str">
        <f t="shared" si="160"/>
        <v>0011</v>
      </c>
      <c r="LF30" s="35" t="str">
        <f t="shared" si="161"/>
        <v>1000</v>
      </c>
      <c r="LG30" s="35" t="str">
        <f t="shared" si="162"/>
        <v>0110</v>
      </c>
      <c r="LH30" s="87">
        <f t="shared" ref="LH30:LO30" si="350">BIN2DEC(KZ30)-BIN2DEC(KZ31)</f>
        <v>4</v>
      </c>
      <c r="LI30" s="87">
        <f t="shared" si="350"/>
        <v>-7</v>
      </c>
      <c r="LJ30" s="87">
        <f t="shared" si="350"/>
        <v>-6</v>
      </c>
      <c r="LK30" s="87">
        <f t="shared" si="350"/>
        <v>-4</v>
      </c>
      <c r="LL30" s="87">
        <f t="shared" si="350"/>
        <v>8</v>
      </c>
      <c r="LM30" s="87">
        <f t="shared" si="350"/>
        <v>-12</v>
      </c>
      <c r="LN30" s="87">
        <f t="shared" si="350"/>
        <v>-3</v>
      </c>
      <c r="LO30" s="87">
        <f t="shared" si="350"/>
        <v>5</v>
      </c>
      <c r="LP30" s="34" t="str">
        <f t="shared" si="33"/>
        <v>0110001000100011</v>
      </c>
      <c r="LQ30" s="34" t="str">
        <f t="shared" si="34"/>
        <v>0100001100000010</v>
      </c>
      <c r="LR30" s="87">
        <f>MID(LP30,16,1)*POWER(2,0)+MID(LP30,15,1)*POWER(2,1)+MID(LP30,14,1)*POWER(2,2)+MID(LP30,13,1)*POWER(2,3)+MID(LP30,12,1)*POWER(2,4)+MID(LP30,11,1)*POWER(2,5)+MID(LP30,10,1)*POWER(2,6)+MID(LP30,9,1)*POWER(2,7)+MID(LP30,8,1)*POWER(2,8)+MID(LP30,7,1)*POWER(2,9)+MID(LP30,6,1)*POWER(2,10)+MID(LP30,5,1)*POWER(2,11)+MID(LP30,4,1)*POWER(2,12)+MID(LP30,3,1)*POWER(2,13)+MID(LP30,2,1)*POWER(2,14)+MID(LP30,1,1)*POWER(2,15)-(MID(LP31,16,1)*POWER(2,0)+MID(LP31,15,1)*POWER(2,1)+MID(LP31,14,1)*POWER(2,2)+MID(LP31,13,1)*POWER(2,3)+MID(LP31,12,1)*POWER(2,4)+MID(LP31,11,1)*POWER(2,5)+MID(LP31,10,1)*POWER(2,6)+MID(LP31,9,1)*POWER(2,7)+MID(LP31,8,1)*POWER(2,8)+MID(LP31,7,1)*POWER(2,9)+MID(LP31,6,1)*POWER(2,10)+MID(LP31,5,1)*POWER(2,11)+MID(LP31,4,1)*POWER(2,12)+MID(LP31,3,1)*POWER(2,13)+MID(LP31,2,1)*POWER(2,14)+MID(LP31,1,1)*POWER(2,15))</f>
        <v>16672</v>
      </c>
      <c r="LS30" s="87">
        <f>MID(LQ30,16,1)*POWER(2,0)+MID(LQ30,15,1)*POWER(2,1)+MID(LQ30,14,1)*POWER(2,2)+MID(LQ30,13,1)*POWER(2,3)+MID(LQ30,12,1)*POWER(2,4)+MID(LQ30,11,1)*POWER(2,5)+MID(LQ30,10,1)*POWER(2,6)+MID(LQ30,9,1)*POWER(2,7)+MID(LQ30,8,1)*POWER(2,8)+MID(LQ30,7,1)*POWER(2,9)+MID(LQ30,6,1)*POWER(2,10)+MID(LQ30,5,1)*POWER(2,11)+MID(LQ30,4,1)*POWER(2,12)+MID(LQ30,3,1)*POWER(2,13)+MID(LQ30,2,1)*POWER(2,14)+MID(LQ30,1,1)*POWER(2,15)-(MID(LQ31,16,1)*POWER(2,0)+MID(LQ31,15,1)*POWER(2,1)+MID(LQ31,14,1)*POWER(2,2)+MID(LQ31,13,1)*POWER(2,3)+MID(LQ31,12,1)*POWER(2,4)+MID(LQ31,11,1)*POWER(2,5)+MID(LQ31,10,1)*POWER(2,6)+MID(LQ31,9,1)*POWER(2,7)+MID(LQ31,8,1)*POWER(2,8)+MID(LQ31,7,1)*POWER(2,9)+MID(LQ31,6,1)*POWER(2,10)+MID(LQ31,5,1)*POWER(2,11)+MID(LQ31,4,1)*POWER(2,12)+MID(LQ31,3,1)*POWER(2,13)+MID(LQ31,2,1)*POWER(2,14)+MID(LQ31,1,1)*POWER(2,15))</f>
        <v>-31</v>
      </c>
      <c r="LT30" s="34" t="str">
        <f>JN30</f>
        <v>01100010001000110100001100000010</v>
      </c>
      <c r="LU30" s="34" t="str">
        <f t="shared" si="192"/>
        <v>01100010</v>
      </c>
      <c r="LV30" s="34" t="str">
        <f t="shared" si="163"/>
        <v>00100011</v>
      </c>
      <c r="LW30" s="34" t="str">
        <f t="shared" si="164"/>
        <v>01000011</v>
      </c>
      <c r="LX30" s="34" t="str">
        <f t="shared" si="165"/>
        <v>00000010</v>
      </c>
      <c r="LY30" s="87">
        <f>BIN2DEC(LU30)-BIN2DEC(LU31)</f>
        <v>73</v>
      </c>
      <c r="LZ30" s="87">
        <f>BIN2DEC(LV30)-BIN2DEC(LV31)</f>
        <v>8</v>
      </c>
      <c r="MA30" s="87">
        <f>BIN2DEC(LW30)-BIN2DEC(LW31)</f>
        <v>40</v>
      </c>
      <c r="MB30" s="87">
        <f>BIN2DEC(LX30)-BIN2DEC(LX31)</f>
        <v>-15</v>
      </c>
      <c r="MC30" s="35" t="str">
        <f t="shared" si="166"/>
        <v>0111</v>
      </c>
      <c r="MD30" s="35" t="str">
        <f t="shared" si="167"/>
        <v>0110</v>
      </c>
      <c r="ME30" s="35" t="str">
        <f t="shared" si="168"/>
        <v>0011</v>
      </c>
      <c r="MF30" s="35" t="str">
        <f t="shared" si="169"/>
        <v>1011</v>
      </c>
      <c r="MG30" s="35" t="str">
        <f t="shared" si="170"/>
        <v>1101</v>
      </c>
      <c r="MH30" s="35" t="str">
        <f t="shared" si="171"/>
        <v>0011</v>
      </c>
      <c r="MI30" s="35" t="str">
        <f t="shared" si="172"/>
        <v>1000</v>
      </c>
      <c r="MJ30" s="35" t="str">
        <f t="shared" si="173"/>
        <v>0110</v>
      </c>
      <c r="MK30" s="87">
        <f t="shared" ref="MK30:MR30" si="351">BIN2DEC(MC30)-BIN2DEC(MC31)</f>
        <v>4</v>
      </c>
      <c r="ML30" s="87">
        <f t="shared" si="351"/>
        <v>-7</v>
      </c>
      <c r="MM30" s="87">
        <f t="shared" si="351"/>
        <v>-6</v>
      </c>
      <c r="MN30" s="87">
        <f t="shared" si="351"/>
        <v>-4</v>
      </c>
      <c r="MO30" s="87">
        <f t="shared" si="351"/>
        <v>8</v>
      </c>
      <c r="MP30" s="87">
        <f t="shared" si="351"/>
        <v>-12</v>
      </c>
      <c r="MQ30" s="87">
        <f t="shared" si="351"/>
        <v>-3</v>
      </c>
      <c r="MR30" s="87">
        <f t="shared" si="351"/>
        <v>5</v>
      </c>
      <c r="MS30" s="34" t="str">
        <f t="shared" si="36"/>
        <v>0110001000100011</v>
      </c>
      <c r="MT30" s="34" t="str">
        <f t="shared" si="37"/>
        <v>0100001100000010</v>
      </c>
      <c r="MU30" s="87">
        <f>MID(MS30,16,1)*POWER(2,0)+MID(MS30,15,1)*POWER(2,1)+MID(MS30,14,1)*POWER(2,2)+MID(MS30,13,1)*POWER(2,3)+MID(MS30,12,1)*POWER(2,4)+MID(MS30,11,1)*POWER(2,5)+MID(MS30,10,1)*POWER(2,6)+MID(MS30,9,1)*POWER(2,7)+MID(MS30,8,1)*POWER(2,8)+MID(MS30,7,1)*POWER(2,9)+MID(MS30,6,1)*POWER(2,10)+MID(MS30,5,1)*POWER(2,11)+MID(MS30,4,1)*POWER(2,12)+MID(MS30,3,1)*POWER(2,13)+MID(MS30,2,1)*POWER(2,14)+MID(MS30,1,1)*POWER(2,15)-(MID(MS31,16,1)*POWER(2,0)+MID(MS31,15,1)*POWER(2,1)+MID(MS31,14,1)*POWER(2,2)+MID(MS31,13,1)*POWER(2,3)+MID(MS31,12,1)*POWER(2,4)+MID(MS31,11,1)*POWER(2,5)+MID(MS31,10,1)*POWER(2,6)+MID(MS31,9,1)*POWER(2,7)+MID(MS31,8,1)*POWER(2,8)+MID(MS31,7,1)*POWER(2,9)+MID(MS31,6,1)*POWER(2,10)+MID(MS31,5,1)*POWER(2,11)+MID(MS31,4,1)*POWER(2,12)+MID(MS31,3,1)*POWER(2,13)+MID(MS31,2,1)*POWER(2,14)+MID(MS31,1,1)*POWER(2,15))</f>
        <v>18696</v>
      </c>
      <c r="MV30" s="87">
        <f>MID(MT30,16,1)*POWER(2,0)+MID(MT30,15,1)*POWER(2,1)+MID(MT30,14,1)*POWER(2,2)+MID(MT30,13,1)*POWER(2,3)+MID(MT30,12,1)*POWER(2,4)+MID(MT30,11,1)*POWER(2,5)+MID(MT30,10,1)*POWER(2,6)+MID(MT30,9,1)*POWER(2,7)+MID(MT30,8,1)*POWER(2,8)+MID(MT30,7,1)*POWER(2,9)+MID(MT30,6,1)*POWER(2,10)+MID(MT30,5,1)*POWER(2,11)+MID(MT30,4,1)*POWER(2,12)+MID(MT30,3,1)*POWER(2,13)+MID(MT30,2,1)*POWER(2,14)+MID(MT30,1,1)*POWER(2,15)-(MID(MT31,16,1)*POWER(2,0)+MID(MT31,15,1)*POWER(2,1)+MID(MT31,14,1)*POWER(2,2)+MID(MT31,13,1)*POWER(2,3)+MID(MT31,12,1)*POWER(2,4)+MID(MT31,11,1)*POWER(2,5)+MID(MT31,10,1)*POWER(2,6)+MID(MT31,9,1)*POWER(2,7)+MID(MT31,8,1)*POWER(2,8)+MID(MT31,7,1)*POWER(2,9)+MID(MT31,6,1)*POWER(2,10)+MID(MT31,5,1)*POWER(2,11)+MID(MT31,4,1)*POWER(2,12)+MID(MT31,3,1)*POWER(2,13)+MID(MT31,2,1)*POWER(2,14)+MID(MT31,1,1)*POWER(2,15))</f>
        <v>10225</v>
      </c>
    </row>
    <row r="31" spans="1:360" s="39" customFormat="1" ht="18.600000000000001" thickBot="1" x14ac:dyDescent="0.4">
      <c r="A31" s="36"/>
      <c r="B31" s="37"/>
      <c r="C31" s="51" t="s">
        <v>6</v>
      </c>
      <c r="D31" s="51" t="s">
        <v>83</v>
      </c>
      <c r="E31" s="51" t="s">
        <v>62</v>
      </c>
      <c r="F31" s="51" t="s">
        <v>18</v>
      </c>
      <c r="G31" s="51" t="s">
        <v>49</v>
      </c>
      <c r="H31" s="51" t="str">
        <f t="shared" si="278"/>
        <v>11100111111100110010101110110110</v>
      </c>
      <c r="I31" s="51">
        <f t="shared" si="279"/>
        <v>21</v>
      </c>
      <c r="J31" s="51"/>
      <c r="K31" s="51"/>
      <c r="L31" s="38" t="str">
        <f>CONCATENATE(MID(H31,4,5),MID(H31,25,3),MID(H31,12,5),MID(H31,1,3),MID(H31,20,5),MID(H31,9,3),MID(H31,28,5),MID(H31,17,3))</f>
        <v>00111101100111110101111110110001</v>
      </c>
      <c r="M31" s="34" t="str">
        <f t="shared" si="38"/>
        <v>00111</v>
      </c>
      <c r="N31" s="26" t="str">
        <f t="shared" si="39"/>
        <v>10011</v>
      </c>
      <c r="O31" s="26" t="str">
        <f t="shared" si="40"/>
        <v>01011</v>
      </c>
      <c r="P31" s="26" t="str">
        <f t="shared" si="41"/>
        <v>10110</v>
      </c>
      <c r="Q31" s="88"/>
      <c r="R31" s="88"/>
      <c r="S31" s="88"/>
      <c r="T31" s="88"/>
      <c r="U31" s="39" t="str">
        <f t="shared" si="42"/>
        <v>0011</v>
      </c>
      <c r="V31" s="39" t="str">
        <f t="shared" si="43"/>
        <v>1101</v>
      </c>
      <c r="W31" s="39" t="str">
        <f t="shared" si="44"/>
        <v>1001</v>
      </c>
      <c r="X31" s="39" t="str">
        <f t="shared" si="45"/>
        <v>1111</v>
      </c>
      <c r="Y31" s="39" t="str">
        <f t="shared" si="46"/>
        <v>0101</v>
      </c>
      <c r="Z31" s="39" t="str">
        <f t="shared" si="47"/>
        <v>1111</v>
      </c>
      <c r="AA31" s="39" t="str">
        <f t="shared" si="48"/>
        <v>1011</v>
      </c>
      <c r="AB31" s="39" t="str">
        <f t="shared" si="49"/>
        <v>0001</v>
      </c>
      <c r="AC31" s="88"/>
      <c r="AD31" s="88"/>
      <c r="AE31" s="88"/>
      <c r="AF31" s="88"/>
      <c r="AG31" s="88"/>
      <c r="AH31" s="88"/>
      <c r="AI31" s="88"/>
      <c r="AJ31" s="88"/>
      <c r="AK31" s="38" t="str">
        <f t="shared" si="3"/>
        <v>0011110110011111</v>
      </c>
      <c r="AL31" s="38" t="str">
        <f t="shared" si="4"/>
        <v>0101111110110001</v>
      </c>
      <c r="AM31" s="88"/>
      <c r="AN31" s="88"/>
      <c r="AO31" s="37" t="str">
        <f>CONCATENATE(MID($L31,1,1)*MID($K30,1,1),MID($L31,2,1)*MID($K30,2,1),MID($L31,3,1)*MID($K30,3,1),MID($L31,4,1)*MID($K30,4,1),MID($L31,5,1)*MID($K30,5,1),MID($L31,6,1)*MID($K30,6,1),MID($L31,7,1)*MID($K30,7,1),MID($L31,8,1)*MID($K30,8,1),MID($L31,9,1)*MID($K30,1,1),MID($L31,10,1)*MID($K30,2,1),MID($L31,11,1)*MID($K30,3,1),MID($L31,12,1)*MID($K30,4,1),MID($L31,13,1)*MID($K30,5,1),MID($L31,14,1)*MID($K30,6,1),MID($L31,15,1)*MID($K30,7,1),MID($L31,16,1)*MID($K30,8,1),MID($L31,17,1)*MID($K30,1,1),MID($L31,18,1)*MID($K30,2,1),MID($L31,19,1)*MID($K30,3,1),MID($L31,20,1)*MID($K30,4,1),MID($L31,21,1)*MID($K30,5,1),MID($L31,22,1)*MID($K30,6,1),MID($L31,23,1)*MID($K30,7,1),MID($L31,24,1)*MID($K30,8,1),MID($L31,25,1)*MID($K30,1,1),MID($L31,26,1)*MID($K30,2,1),MID($L31,27,1)*MID($K30,3,1),MID($L31,28,1)*MID($K30,4,1),MID($L31,29,1)*MID($K30,5,1),MID($L31,30,1)*MID($K30,6,1),MID($L31,31,1)*MID($K30,7,1),MID($L31,32,1)*MID($K30,8,1))</f>
        <v>00100001000000110100001100100001</v>
      </c>
      <c r="AP31" s="38" t="str">
        <f t="shared" si="50"/>
        <v>00100001</v>
      </c>
      <c r="AQ31" s="38" t="str">
        <f t="shared" si="51"/>
        <v>00000011</v>
      </c>
      <c r="AR31" s="38" t="str">
        <f t="shared" si="52"/>
        <v>01000011</v>
      </c>
      <c r="AS31" s="38" t="str">
        <f t="shared" si="53"/>
        <v>00100001</v>
      </c>
      <c r="AT31" s="88"/>
      <c r="AU31" s="88"/>
      <c r="AV31" s="88"/>
      <c r="AW31" s="88"/>
      <c r="AX31" s="39" t="str">
        <f t="shared" si="54"/>
        <v>0011</v>
      </c>
      <c r="AY31" s="39" t="str">
        <f t="shared" si="55"/>
        <v>1101</v>
      </c>
      <c r="AZ31" s="39" t="str">
        <f t="shared" si="56"/>
        <v>1001</v>
      </c>
      <c r="BA31" s="39" t="str">
        <f t="shared" si="57"/>
        <v>1111</v>
      </c>
      <c r="BB31" s="39" t="str">
        <f t="shared" si="58"/>
        <v>0101</v>
      </c>
      <c r="BC31" s="39" t="str">
        <f t="shared" si="59"/>
        <v>1111</v>
      </c>
      <c r="BD31" s="39" t="str">
        <f t="shared" si="60"/>
        <v>1011</v>
      </c>
      <c r="BE31" s="39" t="str">
        <f t="shared" si="61"/>
        <v>0001</v>
      </c>
      <c r="BF31" s="88"/>
      <c r="BG31" s="88"/>
      <c r="BH31" s="88"/>
      <c r="BI31" s="88"/>
      <c r="BJ31" s="88"/>
      <c r="BK31" s="88"/>
      <c r="BL31" s="88"/>
      <c r="BM31" s="88"/>
      <c r="BN31" s="38" t="str">
        <f t="shared" si="6"/>
        <v>0010000100000011</v>
      </c>
      <c r="BO31" s="38" t="str">
        <f t="shared" si="7"/>
        <v>0100001100100001</v>
      </c>
      <c r="BP31" s="88"/>
      <c r="BQ31" s="88"/>
      <c r="BR31" s="37" t="str">
        <f>L31</f>
        <v>00111101100111110101111110110001</v>
      </c>
      <c r="BS31" s="38" t="str">
        <f t="shared" si="62"/>
        <v>00111101</v>
      </c>
      <c r="BT31" s="38" t="str">
        <f t="shared" si="63"/>
        <v>10011111</v>
      </c>
      <c r="BU31" s="38" t="str">
        <f t="shared" si="64"/>
        <v>01011111</v>
      </c>
      <c r="BV31" s="38" t="str">
        <f t="shared" si="65"/>
        <v>10110001</v>
      </c>
      <c r="BW31" s="88"/>
      <c r="BX31" s="88"/>
      <c r="BY31" s="88"/>
      <c r="BZ31" s="88"/>
      <c r="CA31" s="39" t="str">
        <f t="shared" si="66"/>
        <v>0011</v>
      </c>
      <c r="CB31" s="39" t="str">
        <f t="shared" si="67"/>
        <v>1101</v>
      </c>
      <c r="CC31" s="39" t="str">
        <f t="shared" si="68"/>
        <v>1001</v>
      </c>
      <c r="CD31" s="39" t="str">
        <f t="shared" si="69"/>
        <v>1111</v>
      </c>
      <c r="CE31" s="39" t="str">
        <f t="shared" si="70"/>
        <v>0101</v>
      </c>
      <c r="CF31" s="39" t="str">
        <f t="shared" si="71"/>
        <v>1111</v>
      </c>
      <c r="CG31" s="39" t="str">
        <f t="shared" si="72"/>
        <v>1011</v>
      </c>
      <c r="CH31" s="39" t="str">
        <f t="shared" si="73"/>
        <v>0001</v>
      </c>
      <c r="CI31" s="88"/>
      <c r="CJ31" s="88"/>
      <c r="CK31" s="88"/>
      <c r="CL31" s="88"/>
      <c r="CM31" s="88"/>
      <c r="CN31" s="88"/>
      <c r="CO31" s="88"/>
      <c r="CP31" s="88"/>
      <c r="CQ31" s="38" t="str">
        <f t="shared" si="9"/>
        <v>0011110110011111</v>
      </c>
      <c r="CR31" s="38" t="str">
        <f t="shared" si="10"/>
        <v>0101111110110001</v>
      </c>
      <c r="CS31" s="88"/>
      <c r="CT31" s="88"/>
      <c r="CU31" s="37" t="str">
        <f>AO31</f>
        <v>00100001000000110100001100100001</v>
      </c>
      <c r="CV31" s="38" t="str">
        <f t="shared" si="74"/>
        <v>00100001</v>
      </c>
      <c r="CW31" s="38" t="str">
        <f t="shared" si="75"/>
        <v>00000011</v>
      </c>
      <c r="CX31" s="38" t="str">
        <f t="shared" si="76"/>
        <v>01000011</v>
      </c>
      <c r="CY31" s="38" t="str">
        <f t="shared" si="77"/>
        <v>00100001</v>
      </c>
      <c r="CZ31" s="88"/>
      <c r="DA31" s="88"/>
      <c r="DB31" s="88"/>
      <c r="DC31" s="88"/>
      <c r="DD31" s="39" t="str">
        <f t="shared" si="78"/>
        <v>0011</v>
      </c>
      <c r="DE31" s="39" t="str">
        <f t="shared" si="79"/>
        <v>1101</v>
      </c>
      <c r="DF31" s="39" t="str">
        <f t="shared" si="80"/>
        <v>1001</v>
      </c>
      <c r="DG31" s="39" t="str">
        <f t="shared" si="81"/>
        <v>1111</v>
      </c>
      <c r="DH31" s="39" t="str">
        <f t="shared" si="82"/>
        <v>0101</v>
      </c>
      <c r="DI31" s="39" t="str">
        <f t="shared" si="83"/>
        <v>1111</v>
      </c>
      <c r="DJ31" s="39" t="str">
        <f t="shared" si="84"/>
        <v>1011</v>
      </c>
      <c r="DK31" s="39" t="str">
        <f t="shared" si="85"/>
        <v>0001</v>
      </c>
      <c r="DL31" s="88"/>
      <c r="DM31" s="88"/>
      <c r="DN31" s="88"/>
      <c r="DO31" s="88"/>
      <c r="DP31" s="88"/>
      <c r="DQ31" s="88"/>
      <c r="DR31" s="88"/>
      <c r="DS31" s="88"/>
      <c r="DT31" s="38" t="str">
        <f t="shared" si="12"/>
        <v>0010000100000011</v>
      </c>
      <c r="DU31" s="38" t="str">
        <f t="shared" si="13"/>
        <v>0100001100100001</v>
      </c>
      <c r="DV31" s="88"/>
      <c r="DW31" s="88"/>
      <c r="DX31" s="37" t="str">
        <f>CONCATENATE(MID($H31,1,1)*MID($K30,1,1),MID($H31,2,1)*MID($K30,2,1),MID($H31,3,1)*MID($K30,3,1),MID($H31,4,1)*MID($K30,4,1),MID($H31,5,1)*MID($K30,5,1),MID($H31,6,1)*MID($K30,6,1),MID($H31,7,1)*MID($K30,7,1),MID($H31,8,1)*MID($K30,8,1),MID($H31,9,1)*MID($K30,1,1),MID($H31,10,1)*MID($K30,2,1),MID($H31,11,1)*MID($K30,3,1),MID($H31,12,1)*MID($K30,4,1),MID($H31,13,1)*MID($K30,5,1),MID($H31,14,1)*MID($K30,6,1),MID($H31,15,1)*MID($K30,7,1),MID($H31,16,1)*MID($K30,8,1),MID($H31,17,1)*MID($K30,1,1),MID($H31,18,1)*MID($K30,2,1),MID($H31,19,1)*MID($K30,3,1),MID($H31,20,1)*MID($K30,4,1),MID($H31,21,1)*MID($K30,5,1),MID($H31,22,1)*MID($K30,6,1),MID($H31,23,1)*MID($K30,7,1),MID($H31,24,1)*MID($K30,8,1),MID($H31,25,1)*MID($K30,1,1),MID($H31,26,1)*MID($K30,2,1),MID($H31,27,1)*MID($K30,3,1),MID($H31,28,1)*MID($K30,4,1),MID($H31,29,1)*MID($K30,5,1),MID($H31,30,1)*MID($K30,6,1),MID($H31,31,1)*MID($K30,7,1),MID($H31,32,1)*MID($K30,8,1))</f>
        <v>01100011011000110010001100100010</v>
      </c>
      <c r="DY31" s="38" t="str">
        <f>CONCATENATE(MID(DX31,4,5),MID(DX31,25,3),MID(DX31,12,5),MID(DX31,1,3),MID(DX31,20,5),MID(DX31,9,3),MID(DX31,28,5),MID(DX31,17,3))</f>
        <v>00011001000110110001101100010001</v>
      </c>
      <c r="DZ31" s="38" t="str">
        <f t="shared" si="178"/>
        <v>00011001</v>
      </c>
      <c r="EA31" s="38" t="str">
        <f t="shared" si="86"/>
        <v>00011011</v>
      </c>
      <c r="EB31" s="38" t="str">
        <f t="shared" si="87"/>
        <v>00011011</v>
      </c>
      <c r="EC31" s="38" t="str">
        <f t="shared" si="88"/>
        <v>00010001</v>
      </c>
      <c r="ED31" s="88"/>
      <c r="EE31" s="88"/>
      <c r="EF31" s="88"/>
      <c r="EG31" s="88"/>
      <c r="EH31" s="39" t="str">
        <f t="shared" si="89"/>
        <v>0011</v>
      </c>
      <c r="EI31" s="39" t="str">
        <f t="shared" si="90"/>
        <v>1101</v>
      </c>
      <c r="EJ31" s="39" t="str">
        <f t="shared" si="91"/>
        <v>1001</v>
      </c>
      <c r="EK31" s="39" t="str">
        <f t="shared" si="92"/>
        <v>1111</v>
      </c>
      <c r="EL31" s="39" t="str">
        <f t="shared" si="93"/>
        <v>0101</v>
      </c>
      <c r="EM31" s="39" t="str">
        <f t="shared" si="94"/>
        <v>1111</v>
      </c>
      <c r="EN31" s="39" t="str">
        <f t="shared" si="95"/>
        <v>1011</v>
      </c>
      <c r="EO31" s="39" t="str">
        <f t="shared" si="96"/>
        <v>0001</v>
      </c>
      <c r="EP31" s="88"/>
      <c r="EQ31" s="88"/>
      <c r="ER31" s="88"/>
      <c r="ES31" s="88"/>
      <c r="ET31" s="88"/>
      <c r="EU31" s="88"/>
      <c r="EV31" s="88"/>
      <c r="EW31" s="88"/>
      <c r="EX31" s="38" t="str">
        <f t="shared" si="15"/>
        <v>0001100100011011</v>
      </c>
      <c r="EY31" s="38" t="str">
        <f t="shared" si="16"/>
        <v>0001101100010001</v>
      </c>
      <c r="EZ31" s="88"/>
      <c r="FA31" s="88"/>
      <c r="FB31" s="37" t="str">
        <f>CONCATENATE(MID(DY31,1,1)*MID($K30,1,1),MID(DY31,2,1)*MID($K30,2,1),MID(DY31,3,1)*MID($K30,3,1),MID(DY31,4,1)*MID($K30,4,1),MID(DY31,5,1)*MID($K30,5,1),MID(DY31,6,1)*MID($K30,6,1),MID(DY31,7,1)*MID($K30,7,1),MID(DY31,8,1)*MID($K30,8,1),MID(DY31,9,1)*MID($K30,1,1),MID(DY31,10,1)*MID($K30,2,1),MID(DY31,11,1)*MID($K30,3,1),MID(DY31,12,1)*MID($K30,4,1),MID(DY31,13,1)*MID($K30,5,1),MID(DY31,14,1)*MID($K30,6,1),MID(DY31,15,1)*MID($K30,7,1),MID(DY31,16,1)*MID($K30,8,1),MID(DY31,17,1)*MID($K30,1,1),MID(DY31,18,1)*MID($K30,2,1),MID(DY31,19,1)*MID($K30,3,1),MID(DY31,20,1)*MID($K30,4,1),MID(DY31,21,1)*MID($K30,5,1),MID(DY31,22,1)*MID($K30,6,1),MID(DY31,23,1)*MID($K30,7,1),MID(DY31,24,1)*MID($K30,8,1),MID(DY31,25,1)*MID($K30,1,1),MID(DY31,26,1)*MID($K30,2,1),MID(DY31,27,1)*MID($K30,3,1),MID(DY31,28,1)*MID($K30,4,1),MID(DY31,29,1)*MID($K30,5,1),MID(DY31,30,1)*MID($K30,6,1),MID(DY31,31,1)*MID($K30,7,1),MID(DY31,32,1)*MID($K30,8,1))</f>
        <v>00000001000000110000001100000001</v>
      </c>
      <c r="FC31" s="38" t="str">
        <f t="shared" si="180"/>
        <v>00000001</v>
      </c>
      <c r="FD31" s="38" t="str">
        <f t="shared" si="97"/>
        <v>00000011</v>
      </c>
      <c r="FE31" s="38" t="str">
        <f t="shared" si="98"/>
        <v>00000011</v>
      </c>
      <c r="FF31" s="38" t="str">
        <f t="shared" si="99"/>
        <v>00000001</v>
      </c>
      <c r="FG31" s="88"/>
      <c r="FH31" s="88"/>
      <c r="FI31" s="88"/>
      <c r="FJ31" s="88"/>
      <c r="FK31" s="39" t="str">
        <f t="shared" si="100"/>
        <v>0011</v>
      </c>
      <c r="FL31" s="39" t="str">
        <f t="shared" si="101"/>
        <v>1101</v>
      </c>
      <c r="FM31" s="39" t="str">
        <f t="shared" si="102"/>
        <v>1001</v>
      </c>
      <c r="FN31" s="39" t="str">
        <f t="shared" si="103"/>
        <v>1111</v>
      </c>
      <c r="FO31" s="39" t="str">
        <f t="shared" si="104"/>
        <v>0101</v>
      </c>
      <c r="FP31" s="39" t="str">
        <f t="shared" si="105"/>
        <v>1111</v>
      </c>
      <c r="FQ31" s="39" t="str">
        <f t="shared" si="106"/>
        <v>1011</v>
      </c>
      <c r="FR31" s="39" t="str">
        <f t="shared" si="107"/>
        <v>0001</v>
      </c>
      <c r="FS31" s="88"/>
      <c r="FT31" s="88"/>
      <c r="FU31" s="88"/>
      <c r="FV31" s="88"/>
      <c r="FW31" s="88"/>
      <c r="FX31" s="88"/>
      <c r="FY31" s="88"/>
      <c r="FZ31" s="88"/>
      <c r="GA31" s="38" t="str">
        <f t="shared" si="18"/>
        <v>0000000100000011</v>
      </c>
      <c r="GB31" s="38" t="str">
        <f t="shared" si="19"/>
        <v>0000001100000001</v>
      </c>
      <c r="GC31" s="88"/>
      <c r="GD31" s="88"/>
      <c r="GE31" s="39" t="str">
        <f>DY31</f>
        <v>00011001000110110001101100010001</v>
      </c>
      <c r="GF31" s="38" t="str">
        <f t="shared" si="182"/>
        <v>00011001</v>
      </c>
      <c r="GG31" s="38" t="str">
        <f t="shared" si="108"/>
        <v>00011011</v>
      </c>
      <c r="GH31" s="38" t="str">
        <f t="shared" si="109"/>
        <v>00011011</v>
      </c>
      <c r="GI31" s="38" t="str">
        <f t="shared" si="110"/>
        <v>00010001</v>
      </c>
      <c r="GJ31" s="88"/>
      <c r="GK31" s="88"/>
      <c r="GL31" s="88"/>
      <c r="GM31" s="88"/>
      <c r="GN31" s="39" t="str">
        <f t="shared" si="111"/>
        <v>0011</v>
      </c>
      <c r="GO31" s="39" t="str">
        <f t="shared" si="112"/>
        <v>1101</v>
      </c>
      <c r="GP31" s="39" t="str">
        <f t="shared" si="113"/>
        <v>1001</v>
      </c>
      <c r="GQ31" s="39" t="str">
        <f t="shared" si="114"/>
        <v>1111</v>
      </c>
      <c r="GR31" s="39" t="str">
        <f t="shared" si="115"/>
        <v>0101</v>
      </c>
      <c r="GS31" s="39" t="str">
        <f t="shared" si="116"/>
        <v>1111</v>
      </c>
      <c r="GT31" s="39" t="str">
        <f t="shared" si="117"/>
        <v>1011</v>
      </c>
      <c r="GU31" s="39" t="str">
        <f t="shared" si="118"/>
        <v>0001</v>
      </c>
      <c r="GV31" s="88"/>
      <c r="GW31" s="88"/>
      <c r="GX31" s="88"/>
      <c r="GY31" s="88"/>
      <c r="GZ31" s="88"/>
      <c r="HA31" s="88"/>
      <c r="HB31" s="88"/>
      <c r="HC31" s="88"/>
      <c r="HD31" s="38" t="str">
        <f t="shared" si="21"/>
        <v>0001100100011011</v>
      </c>
      <c r="HE31" s="38" t="str">
        <f t="shared" si="22"/>
        <v>0001101100010001</v>
      </c>
      <c r="HF31" s="88"/>
      <c r="HG31" s="88"/>
      <c r="HH31" s="39" t="str">
        <f>FB31</f>
        <v>00000001000000110000001100000001</v>
      </c>
      <c r="HI31" s="38" t="str">
        <f t="shared" si="184"/>
        <v>00000001</v>
      </c>
      <c r="HJ31" s="38" t="str">
        <f t="shared" si="119"/>
        <v>00000011</v>
      </c>
      <c r="HK31" s="38" t="str">
        <f t="shared" si="120"/>
        <v>00000011</v>
      </c>
      <c r="HL31" s="38" t="str">
        <f t="shared" si="121"/>
        <v>00000001</v>
      </c>
      <c r="HM31" s="88"/>
      <c r="HN31" s="88"/>
      <c r="HO31" s="88"/>
      <c r="HP31" s="88"/>
      <c r="HQ31" s="39" t="str">
        <f t="shared" si="122"/>
        <v>0011</v>
      </c>
      <c r="HR31" s="39" t="str">
        <f t="shared" si="123"/>
        <v>1101</v>
      </c>
      <c r="HS31" s="39" t="str">
        <f t="shared" si="124"/>
        <v>1001</v>
      </c>
      <c r="HT31" s="39" t="str">
        <f t="shared" si="125"/>
        <v>1111</v>
      </c>
      <c r="HU31" s="39" t="str">
        <f t="shared" si="126"/>
        <v>0101</v>
      </c>
      <c r="HV31" s="39" t="str">
        <f t="shared" si="127"/>
        <v>1111</v>
      </c>
      <c r="HW31" s="39" t="str">
        <f t="shared" si="128"/>
        <v>1011</v>
      </c>
      <c r="HX31" s="39" t="str">
        <f t="shared" si="129"/>
        <v>0001</v>
      </c>
      <c r="HY31" s="88"/>
      <c r="HZ31" s="88"/>
      <c r="IA31" s="88"/>
      <c r="IB31" s="88"/>
      <c r="IC31" s="88"/>
      <c r="ID31" s="88"/>
      <c r="IE31" s="88"/>
      <c r="IF31" s="88"/>
      <c r="IG31" s="38" t="str">
        <f t="shared" si="24"/>
        <v>0000000100000011</v>
      </c>
      <c r="IH31" s="38" t="str">
        <f t="shared" si="25"/>
        <v>0000001100000001</v>
      </c>
      <c r="II31" s="88"/>
      <c r="IJ31" s="88"/>
      <c r="IK31" s="38" t="str">
        <f>L31</f>
        <v>00111101100111110101111110110001</v>
      </c>
      <c r="IL31" s="38" t="str">
        <f t="shared" si="186"/>
        <v>00111101</v>
      </c>
      <c r="IM31" s="38" t="str">
        <f t="shared" si="130"/>
        <v>10011111</v>
      </c>
      <c r="IN31" s="38" t="str">
        <f t="shared" si="131"/>
        <v>01011111</v>
      </c>
      <c r="IO31" s="38" t="str">
        <f t="shared" si="132"/>
        <v>10110001</v>
      </c>
      <c r="IP31" s="88"/>
      <c r="IQ31" s="88"/>
      <c r="IR31" s="88"/>
      <c r="IS31" s="88"/>
      <c r="IT31" s="39" t="str">
        <f t="shared" si="133"/>
        <v>0011</v>
      </c>
      <c r="IU31" s="39" t="str">
        <f t="shared" si="134"/>
        <v>1101</v>
      </c>
      <c r="IV31" s="39" t="str">
        <f t="shared" si="135"/>
        <v>1001</v>
      </c>
      <c r="IW31" s="39" t="str">
        <f t="shared" si="136"/>
        <v>1111</v>
      </c>
      <c r="IX31" s="39" t="str">
        <f t="shared" si="137"/>
        <v>0101</v>
      </c>
      <c r="IY31" s="39" t="str">
        <f t="shared" si="138"/>
        <v>1111</v>
      </c>
      <c r="IZ31" s="39" t="str">
        <f t="shared" si="139"/>
        <v>1011</v>
      </c>
      <c r="JA31" s="39" t="str">
        <f t="shared" si="140"/>
        <v>0001</v>
      </c>
      <c r="JB31" s="88"/>
      <c r="JC31" s="88"/>
      <c r="JD31" s="88"/>
      <c r="JE31" s="88"/>
      <c r="JF31" s="88"/>
      <c r="JG31" s="88"/>
      <c r="JH31" s="88"/>
      <c r="JI31" s="88"/>
      <c r="JJ31" s="38" t="str">
        <f t="shared" si="27"/>
        <v>0011110110011111</v>
      </c>
      <c r="JK31" s="38" t="str">
        <f t="shared" si="28"/>
        <v>0101111110110001</v>
      </c>
      <c r="JL31" s="88"/>
      <c r="JM31" s="88"/>
      <c r="JN31" s="37" t="str">
        <f>L31</f>
        <v>00111101100111110101111110110001</v>
      </c>
      <c r="JO31" s="38" t="str">
        <f t="shared" si="188"/>
        <v>00111101</v>
      </c>
      <c r="JP31" s="38" t="str">
        <f t="shared" si="141"/>
        <v>10011111</v>
      </c>
      <c r="JQ31" s="38" t="str">
        <f t="shared" si="142"/>
        <v>01011111</v>
      </c>
      <c r="JR31" s="38" t="str">
        <f t="shared" si="143"/>
        <v>10110001</v>
      </c>
      <c r="JS31" s="88"/>
      <c r="JT31" s="88"/>
      <c r="JU31" s="88"/>
      <c r="JV31" s="88"/>
      <c r="JW31" s="39" t="str">
        <f t="shared" si="144"/>
        <v>0011</v>
      </c>
      <c r="JX31" s="39" t="str">
        <f t="shared" si="145"/>
        <v>1101</v>
      </c>
      <c r="JY31" s="39" t="str">
        <f t="shared" si="146"/>
        <v>1001</v>
      </c>
      <c r="JZ31" s="39" t="str">
        <f t="shared" si="147"/>
        <v>1111</v>
      </c>
      <c r="KA31" s="39" t="str">
        <f t="shared" si="148"/>
        <v>0101</v>
      </c>
      <c r="KB31" s="39" t="str">
        <f t="shared" si="149"/>
        <v>1111</v>
      </c>
      <c r="KC31" s="39" t="str">
        <f t="shared" si="150"/>
        <v>1011</v>
      </c>
      <c r="KD31" s="39" t="str">
        <f t="shared" si="151"/>
        <v>0001</v>
      </c>
      <c r="KE31" s="88"/>
      <c r="KF31" s="88"/>
      <c r="KG31" s="88"/>
      <c r="KH31" s="88"/>
      <c r="KI31" s="88"/>
      <c r="KJ31" s="88"/>
      <c r="KK31" s="88"/>
      <c r="KL31" s="88"/>
      <c r="KM31" s="38" t="str">
        <f t="shared" si="30"/>
        <v>0011110110011111</v>
      </c>
      <c r="KN31" s="38" t="str">
        <f t="shared" si="31"/>
        <v>0101111110110001</v>
      </c>
      <c r="KO31" s="88"/>
      <c r="KP31" s="88"/>
      <c r="KQ31" s="39" t="str">
        <f>AO31</f>
        <v>00100001000000110100001100100001</v>
      </c>
      <c r="KR31" s="38" t="str">
        <f t="shared" si="190"/>
        <v>00100001</v>
      </c>
      <c r="KS31" s="38" t="str">
        <f t="shared" si="152"/>
        <v>00000011</v>
      </c>
      <c r="KT31" s="38" t="str">
        <f t="shared" si="153"/>
        <v>01000011</v>
      </c>
      <c r="KU31" s="38" t="str">
        <f t="shared" si="154"/>
        <v>00100001</v>
      </c>
      <c r="KV31" s="88"/>
      <c r="KW31" s="88"/>
      <c r="KX31" s="88"/>
      <c r="KY31" s="88"/>
      <c r="KZ31" s="39" t="str">
        <f t="shared" si="155"/>
        <v>0011</v>
      </c>
      <c r="LA31" s="39" t="str">
        <f t="shared" si="156"/>
        <v>1101</v>
      </c>
      <c r="LB31" s="39" t="str">
        <f t="shared" si="157"/>
        <v>1001</v>
      </c>
      <c r="LC31" s="39" t="str">
        <f t="shared" si="158"/>
        <v>1111</v>
      </c>
      <c r="LD31" s="39" t="str">
        <f t="shared" si="159"/>
        <v>0101</v>
      </c>
      <c r="LE31" s="39" t="str">
        <f t="shared" si="160"/>
        <v>1111</v>
      </c>
      <c r="LF31" s="39" t="str">
        <f t="shared" si="161"/>
        <v>1011</v>
      </c>
      <c r="LG31" s="39" t="str">
        <f t="shared" si="162"/>
        <v>0001</v>
      </c>
      <c r="LH31" s="88"/>
      <c r="LI31" s="88"/>
      <c r="LJ31" s="88"/>
      <c r="LK31" s="88"/>
      <c r="LL31" s="88"/>
      <c r="LM31" s="88"/>
      <c r="LN31" s="88"/>
      <c r="LO31" s="88"/>
      <c r="LP31" s="38" t="str">
        <f t="shared" si="33"/>
        <v>0010000100000011</v>
      </c>
      <c r="LQ31" s="38" t="str">
        <f t="shared" si="34"/>
        <v>0100001100100001</v>
      </c>
      <c r="LR31" s="88"/>
      <c r="LS31" s="88"/>
      <c r="LT31" s="39" t="str">
        <f>GE31</f>
        <v>00011001000110110001101100010001</v>
      </c>
      <c r="LU31" s="38" t="str">
        <f t="shared" si="192"/>
        <v>00011001</v>
      </c>
      <c r="LV31" s="38" t="str">
        <f t="shared" si="163"/>
        <v>00011011</v>
      </c>
      <c r="LW31" s="38" t="str">
        <f t="shared" si="164"/>
        <v>00011011</v>
      </c>
      <c r="LX31" s="38" t="str">
        <f t="shared" si="165"/>
        <v>00010001</v>
      </c>
      <c r="LY31" s="88"/>
      <c r="LZ31" s="88"/>
      <c r="MA31" s="88"/>
      <c r="MB31" s="88"/>
      <c r="MC31" s="39" t="str">
        <f t="shared" si="166"/>
        <v>0011</v>
      </c>
      <c r="MD31" s="39" t="str">
        <f t="shared" si="167"/>
        <v>1101</v>
      </c>
      <c r="ME31" s="39" t="str">
        <f t="shared" si="168"/>
        <v>1001</v>
      </c>
      <c r="MF31" s="39" t="str">
        <f t="shared" si="169"/>
        <v>1111</v>
      </c>
      <c r="MG31" s="39" t="str">
        <f t="shared" si="170"/>
        <v>0101</v>
      </c>
      <c r="MH31" s="39" t="str">
        <f t="shared" si="171"/>
        <v>1111</v>
      </c>
      <c r="MI31" s="39" t="str">
        <f t="shared" si="172"/>
        <v>1011</v>
      </c>
      <c r="MJ31" s="39" t="str">
        <f t="shared" si="173"/>
        <v>0001</v>
      </c>
      <c r="MK31" s="88"/>
      <c r="ML31" s="88"/>
      <c r="MM31" s="88"/>
      <c r="MN31" s="88"/>
      <c r="MO31" s="88"/>
      <c r="MP31" s="88"/>
      <c r="MQ31" s="88"/>
      <c r="MR31" s="88"/>
      <c r="MS31" s="38" t="str">
        <f t="shared" si="36"/>
        <v>0001100100011011</v>
      </c>
      <c r="MT31" s="38" t="str">
        <f t="shared" si="37"/>
        <v>0001101100010001</v>
      </c>
      <c r="MU31" s="88"/>
      <c r="MV31" s="88"/>
    </row>
    <row r="32" spans="1:360" s="35" customFormat="1" ht="18.600000000000001" thickBot="1" x14ac:dyDescent="0.4">
      <c r="A32" s="32"/>
      <c r="B32" s="33"/>
      <c r="C32" s="50" t="s">
        <v>0</v>
      </c>
      <c r="D32" s="50">
        <v>22</v>
      </c>
      <c r="E32" s="50">
        <v>18</v>
      </c>
      <c r="F32" s="50">
        <v>22</v>
      </c>
      <c r="G32" s="50" t="s">
        <v>155</v>
      </c>
      <c r="H32" s="50" t="str">
        <f t="shared" si="278"/>
        <v>00100010000110000010001010110100</v>
      </c>
      <c r="I32" s="50">
        <f t="shared" si="279"/>
        <v>10</v>
      </c>
      <c r="J32" s="50">
        <v>63</v>
      </c>
      <c r="K32" s="50" t="str">
        <f>HEX2BIN(J32,8)</f>
        <v>01100011</v>
      </c>
      <c r="L32" s="34" t="str">
        <f>CONCATENATE(MID(H32,17,16),MID(H32,1,16))</f>
        <v>00100010101101000010001000011000</v>
      </c>
      <c r="M32" s="34" t="str">
        <f t="shared" si="38"/>
        <v>00100</v>
      </c>
      <c r="N32" s="26" t="str">
        <f t="shared" si="39"/>
        <v>10110</v>
      </c>
      <c r="O32" s="26" t="str">
        <f t="shared" si="40"/>
        <v>00100</v>
      </c>
      <c r="P32" s="26" t="str">
        <f t="shared" si="41"/>
        <v>00011</v>
      </c>
      <c r="Q32" s="87">
        <f>BIN2DEC(M32)-BIN2DEC(M33)</f>
        <v>-25</v>
      </c>
      <c r="R32" s="87">
        <f>BIN2DEC(N32)-BIN2DEC(N33)</f>
        <v>20</v>
      </c>
      <c r="S32" s="87">
        <f>BIN2DEC(O32)-BIN2DEC(O33)</f>
        <v>-17</v>
      </c>
      <c r="T32" s="87">
        <f>BIN2DEC(P32)-BIN2DEC(P33)</f>
        <v>-5</v>
      </c>
      <c r="U32" s="35" t="str">
        <f t="shared" si="42"/>
        <v>0010</v>
      </c>
      <c r="V32" s="35" t="str">
        <f t="shared" si="43"/>
        <v>0010</v>
      </c>
      <c r="W32" s="35" t="str">
        <f t="shared" si="44"/>
        <v>1011</v>
      </c>
      <c r="X32" s="35" t="str">
        <f t="shared" si="45"/>
        <v>0100</v>
      </c>
      <c r="Y32" s="35" t="str">
        <f t="shared" si="46"/>
        <v>0010</v>
      </c>
      <c r="Z32" s="35" t="str">
        <f t="shared" si="47"/>
        <v>0010</v>
      </c>
      <c r="AA32" s="35" t="str">
        <f t="shared" si="48"/>
        <v>0001</v>
      </c>
      <c r="AB32" s="35" t="str">
        <f t="shared" si="49"/>
        <v>1000</v>
      </c>
      <c r="AC32" s="87">
        <f>BIN2DEC(U32)-BIN2DEC(U33)</f>
        <v>-12</v>
      </c>
      <c r="AD32" s="87">
        <f t="shared" ref="AD32:AI32" si="352">BIN2DEC(V32)-BIN2DEC(V33)</f>
        <v>-7</v>
      </c>
      <c r="AE32" s="87">
        <f t="shared" si="352"/>
        <v>10</v>
      </c>
      <c r="AF32" s="87">
        <f t="shared" si="352"/>
        <v>-3</v>
      </c>
      <c r="AG32" s="87">
        <f t="shared" si="352"/>
        <v>-8</v>
      </c>
      <c r="AH32" s="87">
        <f t="shared" si="352"/>
        <v>-12</v>
      </c>
      <c r="AI32" s="87">
        <f t="shared" si="352"/>
        <v>-3</v>
      </c>
      <c r="AJ32" s="87">
        <f>BIN2DEC(AB32)-BIN2DEC(AB33)</f>
        <v>6</v>
      </c>
      <c r="AK32" s="34" t="str">
        <f t="shared" si="3"/>
        <v>0010001010110100</v>
      </c>
      <c r="AL32" s="34" t="str">
        <f t="shared" si="4"/>
        <v>0010001000011000</v>
      </c>
      <c r="AM32" s="87">
        <f>MID(AK32,16,1)*POWER(2,0)+MID(AK32,15,1)*POWER(2,1)+MID(AK32,14,1)*POWER(2,2)+MID(AK32,13,1)*POWER(2,3)+MID(AK32,12,1)*POWER(2,4)+MID(AK32,11,1)*POWER(2,5)+MID(AK32,10,1)*POWER(2,6)+MID(AK32,9,1)*POWER(2,7)+MID(AK32,8,1)*POWER(2,8)+MID(AK32,7,1)*POWER(2,9)+MID(AK32,6,1)*POWER(2,10)+MID(AK32,5,1)*POWER(2,11)+MID(AK32,4,1)*POWER(2,12)+MID(AK32,3,1)*POWER(2,13)+MID(AK32,2,1)*POWER(2,14)+MID(AK32,1,1)*POWER(2,15)-(MID(AK33,16,1)*POWER(2,0)+MID(AK33,15,1)*POWER(2,1)+MID(AK33,14,1)*POWER(2,2)+MID(AK33,13,1)*POWER(2,3)+MID(AK33,12,1)*POWER(2,4)+MID(AK33,11,1)*POWER(2,5)+MID(AK33,10,1)*POWER(2,6)+MID(AK33,9,1)*POWER(2,7)+MID(AK33,8,1)*POWER(2,8)+MID(AK33,7,1)*POWER(2,9)+MID(AK33,6,1)*POWER(2,10)+MID(AK33,5,1)*POWER(2,11)+MID(AK33,4,1)*POWER(2,12)+MID(AK33,3,1)*POWER(2,13)+MID(AK33,2,1)*POWER(2,14)+MID(AK33,1,1)*POWER(2,15))</f>
        <v>-50787</v>
      </c>
      <c r="AN32" s="87">
        <f>MID(AL32,16,1)*POWER(2,0)+MID(AL32,15,1)*POWER(2,1)+MID(AL32,14,1)*POWER(2,2)+MID(AL32,13,1)*POWER(2,3)+MID(AL32,12,1)*POWER(2,4)+MID(AL32,11,1)*POWER(2,5)+MID(AL32,10,1)*POWER(2,6)+MID(AL32,9,1)*POWER(2,7)+MID(AL32,8,1)*POWER(2,8)+MID(AL32,7,1)*POWER(2,9)+MID(AL32,6,1)*POWER(2,10)+MID(AL32,5,1)*POWER(2,11)+MID(AL32,4,1)*POWER(2,12)+MID(AL32,3,1)*POWER(2,13)+MID(AL32,2,1)*POWER(2,14)+MID(AL32,1,1)*POWER(2,15)-(MID(AL33,16,1)*POWER(2,0)+MID(AL33,15,1)*POWER(2,1)+MID(AL33,14,1)*POWER(2,2)+MID(AL33,13,1)*POWER(2,3)+MID(AL33,12,1)*POWER(2,4)+MID(AL33,11,1)*POWER(2,5)+MID(AL33,10,1)*POWER(2,6)+MID(AL33,9,1)*POWER(2,7)+MID(AL33,8,1)*POWER(2,8)+MID(AL33,7,1)*POWER(2,9)+MID(AL33,6,1)*POWER(2,10)+MID(AL33,5,1)*POWER(2,11)+MID(AL33,4,1)*POWER(2,12)+MID(AL33,3,1)*POWER(2,13)+MID(AL33,2,1)*POWER(2,14)+MID(AL33,1,1)*POWER(2,15))</f>
        <v>-35882</v>
      </c>
      <c r="AO32" s="33" t="str">
        <f>L32</f>
        <v>00100010101101000010001000011000</v>
      </c>
      <c r="AP32" s="34" t="str">
        <f t="shared" si="50"/>
        <v>00100010</v>
      </c>
      <c r="AQ32" s="34" t="str">
        <f t="shared" si="51"/>
        <v>10110100</v>
      </c>
      <c r="AR32" s="34" t="str">
        <f t="shared" si="52"/>
        <v>00100010</v>
      </c>
      <c r="AS32" s="34" t="str">
        <f t="shared" si="53"/>
        <v>00011000</v>
      </c>
      <c r="AT32" s="87">
        <f>BIN2DEC(AP32)-BIN2DEC(AP33)</f>
        <v>-63</v>
      </c>
      <c r="AU32" s="87">
        <f>BIN2DEC(AQ32)-BIN2DEC(AQ33)</f>
        <v>177</v>
      </c>
      <c r="AV32" s="87">
        <f>BIN2DEC(AR32)-BIN2DEC(AR33)</f>
        <v>0</v>
      </c>
      <c r="AW32" s="87">
        <f>BIN2DEC(AS32)-BIN2DEC(AS33)</f>
        <v>-42</v>
      </c>
      <c r="AX32" s="35" t="str">
        <f t="shared" si="54"/>
        <v>0010</v>
      </c>
      <c r="AY32" s="35" t="str">
        <f t="shared" si="55"/>
        <v>0010</v>
      </c>
      <c r="AZ32" s="35" t="str">
        <f t="shared" si="56"/>
        <v>1011</v>
      </c>
      <c r="BA32" s="35" t="str">
        <f t="shared" si="57"/>
        <v>0100</v>
      </c>
      <c r="BB32" s="35" t="str">
        <f t="shared" si="58"/>
        <v>0010</v>
      </c>
      <c r="BC32" s="35" t="str">
        <f t="shared" si="59"/>
        <v>0010</v>
      </c>
      <c r="BD32" s="35" t="str">
        <f t="shared" si="60"/>
        <v>0001</v>
      </c>
      <c r="BE32" s="35" t="str">
        <f t="shared" si="61"/>
        <v>1000</v>
      </c>
      <c r="BF32" s="87">
        <f>BIN2DEC(AX32)-BIN2DEC(AX33)</f>
        <v>-12</v>
      </c>
      <c r="BG32" s="87">
        <f t="shared" ref="BG32:BL32" si="353">BIN2DEC(AY32)-BIN2DEC(AY33)</f>
        <v>-7</v>
      </c>
      <c r="BH32" s="87">
        <f t="shared" si="353"/>
        <v>10</v>
      </c>
      <c r="BI32" s="87">
        <f t="shared" si="353"/>
        <v>-3</v>
      </c>
      <c r="BJ32" s="87">
        <f t="shared" si="353"/>
        <v>-8</v>
      </c>
      <c r="BK32" s="87">
        <f t="shared" si="353"/>
        <v>-12</v>
      </c>
      <c r="BL32" s="87">
        <f t="shared" si="353"/>
        <v>-3</v>
      </c>
      <c r="BM32" s="87">
        <f>BIN2DEC(BE32)-BIN2DEC(BE33)</f>
        <v>6</v>
      </c>
      <c r="BN32" s="34" t="str">
        <f t="shared" si="6"/>
        <v>0010001010110100</v>
      </c>
      <c r="BO32" s="34" t="str">
        <f t="shared" si="7"/>
        <v>0010001000011000</v>
      </c>
      <c r="BP32" s="87">
        <f>MID(BN32,16,1)*POWER(2,0)+MID(BN32,15,1)*POWER(2,1)+MID(BN32,14,1)*POWER(2,2)+MID(BN32,13,1)*POWER(2,3)+MID(BN32,12,1)*POWER(2,4)+MID(BN32,11,1)*POWER(2,5)+MID(BN32,10,1)*POWER(2,6)+MID(BN32,9,1)*POWER(2,7)+MID(BN32,8,1)*POWER(2,8)+MID(BN32,7,1)*POWER(2,9)+MID(BN32,6,1)*POWER(2,10)+MID(BN32,5,1)*POWER(2,11)+MID(BN32,4,1)*POWER(2,12)+MID(BN32,3,1)*POWER(2,13)+MID(BN32,2,1)*POWER(2,14)+MID(BN32,1,1)*POWER(2,15)-(MID(BN33,16,1)*POWER(2,0)+MID(BN33,15,1)*POWER(2,1)+MID(BN33,14,1)*POWER(2,2)+MID(BN33,13,1)*POWER(2,3)+MID(BN33,12,1)*POWER(2,4)+MID(BN33,11,1)*POWER(2,5)+MID(BN33,10,1)*POWER(2,6)+MID(BN33,9,1)*POWER(2,7)+MID(BN33,8,1)*POWER(2,8)+MID(BN33,7,1)*POWER(2,9)+MID(BN33,6,1)*POWER(2,10)+MID(BN33,5,1)*POWER(2,11)+MID(BN33,4,1)*POWER(2,12)+MID(BN33,3,1)*POWER(2,13)+MID(BN33,2,1)*POWER(2,14)+MID(BN33,1,1)*POWER(2,15))</f>
        <v>-15951</v>
      </c>
      <c r="BQ32" s="87">
        <f>MID(BO32,16,1)*POWER(2,0)+MID(BO32,15,1)*POWER(2,1)+MID(BO32,14,1)*POWER(2,2)+MID(BO32,13,1)*POWER(2,3)+MID(BO32,12,1)*POWER(2,4)+MID(BO32,11,1)*POWER(2,5)+MID(BO32,10,1)*POWER(2,6)+MID(BO32,9,1)*POWER(2,7)+MID(BO32,8,1)*POWER(2,8)+MID(BO32,7,1)*POWER(2,9)+MID(BO32,6,1)*POWER(2,10)+MID(BO32,5,1)*POWER(2,11)+MID(BO32,4,1)*POWER(2,12)+MID(BO32,3,1)*POWER(2,13)+MID(BO32,2,1)*POWER(2,14)+MID(BO32,1,1)*POWER(2,15)-(MID(BO33,16,1)*POWER(2,0)+MID(BO33,15,1)*POWER(2,1)+MID(BO33,14,1)*POWER(2,2)+MID(BO33,13,1)*POWER(2,3)+MID(BO33,12,1)*POWER(2,4)+MID(BO33,11,1)*POWER(2,5)+MID(BO33,10,1)*POWER(2,6)+MID(BO33,9,1)*POWER(2,7)+MID(BO33,8,1)*POWER(2,8)+MID(BO33,7,1)*POWER(2,9)+MID(BO33,6,1)*POWER(2,10)+MID(BO33,5,1)*POWER(2,11)+MID(BO33,4,1)*POWER(2,12)+MID(BO33,3,1)*POWER(2,13)+MID(BO33,2,1)*POWER(2,14)+MID(BO33,1,1)*POWER(2,15))</f>
        <v>-42</v>
      </c>
      <c r="BR32" s="33" t="str">
        <f>CONCATENATE(MID($L32,1,1)*MID($K22,1,1),MID($L32,2,1)*MID($K22,2,1),MID($L32,3,1)*MID($K22,3,1),MID($L32,4,1)*MID($K22,4,1),MID($L32,5,1)*MID($K22,5,1),MID($L32,6,1)*MID($K22,6,1),MID($L32,7,1)*MID($K22,7,1),MID($L32,8,1)*MID($K22,8,1),MID($L32,9,1)*MID($K22,1,1),MID($L32,10,1)*MID($K22,2,1),MID($L32,11,1)*MID($K22,3,1),MID($L32,12,1)*MID($K22,4,1),MID($L32,13,1)*MID($K22,5,1),MID($L32,14,1)*MID($K22,6,1),MID($L32,15,1)*MID($K22,7,1),MID($L32,16,1)*MID($K22,8,1),MID($L32,17,1)*MID($K22,1,1),MID($L32,18,1)*MID($K22,2,1),MID($L32,19,1)*MID($K22,3,1),MID($L32,20,1)*MID($K22,4,1),MID($L32,21,1)*MID($K22,5,1),MID($L32,22,1)*MID($K22,6,1),MID($L32,23,1)*MID($K22,7,1),MID($L32,24,1)*MID($K22,8,1),MID($L32,25,1)*MID($K22,1,1),MID($L32,26,1)*MID($K22,2,1),MID($L32,27,1)*MID($K22,3,1),MID($L32,28,1)*MID($K22,4,1),MID($L32,29,1)*MID($K22,5,1),MID($L32,30,1)*MID($K22,6,1),MID($L32,31,1)*MID($K22,7,1),MID($L32,32,1)*MID($K22,8,1))</f>
        <v>00100010001000000010001000000000</v>
      </c>
      <c r="BS32" s="34" t="str">
        <f t="shared" si="62"/>
        <v>00100010</v>
      </c>
      <c r="BT32" s="34" t="str">
        <f t="shared" si="63"/>
        <v>00100000</v>
      </c>
      <c r="BU32" s="34" t="str">
        <f t="shared" si="64"/>
        <v>00100010</v>
      </c>
      <c r="BV32" s="34" t="str">
        <f t="shared" si="65"/>
        <v>00000000</v>
      </c>
      <c r="BW32" s="87">
        <f>BIN2DEC(BS32)-BIN2DEC(BS33)</f>
        <v>-199</v>
      </c>
      <c r="BX32" s="87">
        <f>BIN2DEC(BT32)-BIN2DEC(BT33)</f>
        <v>9</v>
      </c>
      <c r="BY32" s="87">
        <f>BIN2DEC(BU32)-BIN2DEC(BU33)</f>
        <v>-140</v>
      </c>
      <c r="BZ32" s="87">
        <f>BIN2DEC(BV32)-BIN2DEC(BV33)</f>
        <v>-66</v>
      </c>
      <c r="CA32" s="35" t="str">
        <f t="shared" si="66"/>
        <v>0010</v>
      </c>
      <c r="CB32" s="35" t="str">
        <f t="shared" si="67"/>
        <v>0010</v>
      </c>
      <c r="CC32" s="35" t="str">
        <f t="shared" si="68"/>
        <v>1011</v>
      </c>
      <c r="CD32" s="35" t="str">
        <f t="shared" si="69"/>
        <v>0100</v>
      </c>
      <c r="CE32" s="35" t="str">
        <f t="shared" si="70"/>
        <v>0010</v>
      </c>
      <c r="CF32" s="35" t="str">
        <f t="shared" si="71"/>
        <v>0010</v>
      </c>
      <c r="CG32" s="35" t="str">
        <f t="shared" si="72"/>
        <v>0001</v>
      </c>
      <c r="CH32" s="35" t="str">
        <f t="shared" si="73"/>
        <v>1000</v>
      </c>
      <c r="CI32" s="87">
        <f>BIN2DEC(CA32)-BIN2DEC(CA33)</f>
        <v>-12</v>
      </c>
      <c r="CJ32" s="87">
        <f t="shared" ref="CJ32:CO32" si="354">BIN2DEC(CB32)-BIN2DEC(CB33)</f>
        <v>-7</v>
      </c>
      <c r="CK32" s="87">
        <f t="shared" si="354"/>
        <v>10</v>
      </c>
      <c r="CL32" s="87">
        <f t="shared" si="354"/>
        <v>-3</v>
      </c>
      <c r="CM32" s="87">
        <f t="shared" si="354"/>
        <v>-8</v>
      </c>
      <c r="CN32" s="87">
        <f t="shared" si="354"/>
        <v>-12</v>
      </c>
      <c r="CO32" s="87">
        <f t="shared" si="354"/>
        <v>-3</v>
      </c>
      <c r="CP32" s="87">
        <f>BIN2DEC(CH32)-BIN2DEC(CH33)</f>
        <v>6</v>
      </c>
      <c r="CQ32" s="34" t="str">
        <f t="shared" si="9"/>
        <v>0010001000100000</v>
      </c>
      <c r="CR32" s="34" t="str">
        <f t="shared" si="10"/>
        <v>0010001000000000</v>
      </c>
      <c r="CS32" s="87">
        <f>MID(CQ32,16,1)*POWER(2,0)+MID(CQ32,15,1)*POWER(2,1)+MID(CQ32,14,1)*POWER(2,2)+MID(CQ32,13,1)*POWER(2,3)+MID(CQ32,12,1)*POWER(2,4)+MID(CQ32,11,1)*POWER(2,5)+MID(CQ32,10,1)*POWER(2,6)+MID(CQ32,9,1)*POWER(2,7)+MID(CQ32,8,1)*POWER(2,8)+MID(CQ32,7,1)*POWER(2,9)+MID(CQ32,6,1)*POWER(2,10)+MID(CQ32,5,1)*POWER(2,11)+MID(CQ32,4,1)*POWER(2,12)+MID(CQ32,3,1)*POWER(2,13)+MID(CQ32,2,1)*POWER(2,14)+MID(CQ32,1,1)*POWER(2,15)-(MID(CQ33,16,1)*POWER(2,0)+MID(CQ33,15,1)*POWER(2,1)+MID(CQ33,14,1)*POWER(2,2)+MID(CQ33,13,1)*POWER(2,3)+MID(CQ33,12,1)*POWER(2,4)+MID(CQ33,11,1)*POWER(2,5)+MID(CQ33,10,1)*POWER(2,6)+MID(CQ33,9,1)*POWER(2,7)+MID(CQ33,8,1)*POWER(2,8)+MID(CQ33,7,1)*POWER(2,9)+MID(CQ33,6,1)*POWER(2,10)+MID(CQ33,5,1)*POWER(2,11)+MID(CQ33,4,1)*POWER(2,12)+MID(CQ33,3,1)*POWER(2,13)+MID(CQ33,2,1)*POWER(2,14)+MID(CQ33,1,1)*POWER(2,15))</f>
        <v>-50935</v>
      </c>
      <c r="CT32" s="87">
        <f>MID(CR32,16,1)*POWER(2,0)+MID(CR32,15,1)*POWER(2,1)+MID(CR32,14,1)*POWER(2,2)+MID(CR32,13,1)*POWER(2,3)+MID(CR32,12,1)*POWER(2,4)+MID(CR32,11,1)*POWER(2,5)+MID(CR32,10,1)*POWER(2,6)+MID(CR32,9,1)*POWER(2,7)+MID(CR32,8,1)*POWER(2,8)+MID(CR32,7,1)*POWER(2,9)+MID(CR32,6,1)*POWER(2,10)+MID(CR32,5,1)*POWER(2,11)+MID(CR32,4,1)*POWER(2,12)+MID(CR32,3,1)*POWER(2,13)+MID(CR32,2,1)*POWER(2,14)+MID(CR32,1,1)*POWER(2,15)-(MID(CR33,16,1)*POWER(2,0)+MID(CR33,15,1)*POWER(2,1)+MID(CR33,14,1)*POWER(2,2)+MID(CR33,13,1)*POWER(2,3)+MID(CR33,12,1)*POWER(2,4)+MID(CR33,11,1)*POWER(2,5)+MID(CR33,10,1)*POWER(2,6)+MID(CR33,9,1)*POWER(2,7)+MID(CR33,8,1)*POWER(2,8)+MID(CR33,7,1)*POWER(2,9)+MID(CR33,6,1)*POWER(2,10)+MID(CR33,5,1)*POWER(2,11)+MID(CR33,4,1)*POWER(2,12)+MID(CR33,3,1)*POWER(2,13)+MID(CR33,2,1)*POWER(2,14)+MID(CR33,1,1)*POWER(2,15))</f>
        <v>-35906</v>
      </c>
      <c r="CU32" s="33" t="str">
        <f>BR32</f>
        <v>00100010001000000010001000000000</v>
      </c>
      <c r="CV32" s="34" t="str">
        <f t="shared" si="74"/>
        <v>00100010</v>
      </c>
      <c r="CW32" s="34" t="str">
        <f t="shared" si="75"/>
        <v>00100000</v>
      </c>
      <c r="CX32" s="34" t="str">
        <f t="shared" si="76"/>
        <v>00100010</v>
      </c>
      <c r="CY32" s="34" t="str">
        <f t="shared" si="77"/>
        <v>00000000</v>
      </c>
      <c r="CZ32" s="87">
        <f>BIN2DEC(CV32)-BIN2DEC(CV33)</f>
        <v>-63</v>
      </c>
      <c r="DA32" s="87">
        <f>BIN2DEC(CW32)-BIN2DEC(CW33)</f>
        <v>29</v>
      </c>
      <c r="DB32" s="87">
        <f>BIN2DEC(CX32)-BIN2DEC(CX33)</f>
        <v>0</v>
      </c>
      <c r="DC32" s="87">
        <f>BIN2DEC(CY32)-BIN2DEC(CY33)</f>
        <v>-66</v>
      </c>
      <c r="DD32" s="35" t="str">
        <f t="shared" si="78"/>
        <v>0010</v>
      </c>
      <c r="DE32" s="35" t="str">
        <f t="shared" si="79"/>
        <v>0010</v>
      </c>
      <c r="DF32" s="35" t="str">
        <f t="shared" si="80"/>
        <v>1011</v>
      </c>
      <c r="DG32" s="35" t="str">
        <f t="shared" si="81"/>
        <v>0100</v>
      </c>
      <c r="DH32" s="35" t="str">
        <f t="shared" si="82"/>
        <v>0010</v>
      </c>
      <c r="DI32" s="35" t="str">
        <f t="shared" si="83"/>
        <v>0010</v>
      </c>
      <c r="DJ32" s="35" t="str">
        <f t="shared" si="84"/>
        <v>0001</v>
      </c>
      <c r="DK32" s="35" t="str">
        <f t="shared" si="85"/>
        <v>1000</v>
      </c>
      <c r="DL32" s="87">
        <f>BIN2DEC(DD32)-BIN2DEC(DD33)</f>
        <v>-12</v>
      </c>
      <c r="DM32" s="87">
        <f t="shared" ref="DM32:DR32" si="355">BIN2DEC(DE32)-BIN2DEC(DE33)</f>
        <v>-7</v>
      </c>
      <c r="DN32" s="87">
        <f t="shared" si="355"/>
        <v>10</v>
      </c>
      <c r="DO32" s="87">
        <f t="shared" si="355"/>
        <v>-3</v>
      </c>
      <c r="DP32" s="87">
        <f t="shared" si="355"/>
        <v>-8</v>
      </c>
      <c r="DQ32" s="87">
        <f t="shared" si="355"/>
        <v>-12</v>
      </c>
      <c r="DR32" s="87">
        <f t="shared" si="355"/>
        <v>-3</v>
      </c>
      <c r="DS32" s="87">
        <f>BIN2DEC(DK32)-BIN2DEC(DK33)</f>
        <v>6</v>
      </c>
      <c r="DT32" s="34" t="str">
        <f t="shared" si="12"/>
        <v>0010001000100000</v>
      </c>
      <c r="DU32" s="34" t="str">
        <f t="shared" si="13"/>
        <v>0010001000000000</v>
      </c>
      <c r="DV32" s="87">
        <f>MID(DT32,16,1)*POWER(2,0)+MID(DT32,15,1)*POWER(2,1)+MID(DT32,14,1)*POWER(2,2)+MID(DT32,13,1)*POWER(2,3)+MID(DT32,12,1)*POWER(2,4)+MID(DT32,11,1)*POWER(2,5)+MID(DT32,10,1)*POWER(2,6)+MID(DT32,9,1)*POWER(2,7)+MID(DT32,8,1)*POWER(2,8)+MID(DT32,7,1)*POWER(2,9)+MID(DT32,6,1)*POWER(2,10)+MID(DT32,5,1)*POWER(2,11)+MID(DT32,4,1)*POWER(2,12)+MID(DT32,3,1)*POWER(2,13)+MID(DT32,2,1)*POWER(2,14)+MID(DT32,1,1)*POWER(2,15)-(MID(DT33,16,1)*POWER(2,0)+MID(DT33,15,1)*POWER(2,1)+MID(DT33,14,1)*POWER(2,2)+MID(DT33,13,1)*POWER(2,3)+MID(DT33,12,1)*POWER(2,4)+MID(DT33,11,1)*POWER(2,5)+MID(DT33,10,1)*POWER(2,6)+MID(DT33,9,1)*POWER(2,7)+MID(DT33,8,1)*POWER(2,8)+MID(DT33,7,1)*POWER(2,9)+MID(DT33,6,1)*POWER(2,10)+MID(DT33,5,1)*POWER(2,11)+MID(DT33,4,1)*POWER(2,12)+MID(DT33,3,1)*POWER(2,13)+MID(DT33,2,1)*POWER(2,14)+MID(DT33,1,1)*POWER(2,15))</f>
        <v>-16099</v>
      </c>
      <c r="DW32" s="87">
        <f>MID(DU32,16,1)*POWER(2,0)+MID(DU32,15,1)*POWER(2,1)+MID(DU32,14,1)*POWER(2,2)+MID(DU32,13,1)*POWER(2,3)+MID(DU32,12,1)*POWER(2,4)+MID(DU32,11,1)*POWER(2,5)+MID(DU32,10,1)*POWER(2,6)+MID(DU32,9,1)*POWER(2,7)+MID(DU32,8,1)*POWER(2,8)+MID(DU32,7,1)*POWER(2,9)+MID(DU32,6,1)*POWER(2,10)+MID(DU32,5,1)*POWER(2,11)+MID(DU32,4,1)*POWER(2,12)+MID(DU32,3,1)*POWER(2,13)+MID(DU32,2,1)*POWER(2,14)+MID(DU32,1,1)*POWER(2,15)-(MID(DU33,16,1)*POWER(2,0)+MID(DU33,15,1)*POWER(2,1)+MID(DU33,14,1)*POWER(2,2)+MID(DU33,13,1)*POWER(2,3)+MID(DU33,12,1)*POWER(2,4)+MID(DU33,11,1)*POWER(2,5)+MID(DU33,10,1)*POWER(2,6)+MID(DU33,9,1)*POWER(2,7)+MID(DU33,8,1)*POWER(2,8)+MID(DU33,7,1)*POWER(2,9)+MID(DU33,6,1)*POWER(2,10)+MID(DU33,5,1)*POWER(2,11)+MID(DU33,4,1)*POWER(2,12)+MID(DU33,3,1)*POWER(2,13)+MID(DU33,2,1)*POWER(2,14)+MID(DU33,1,1)*POWER(2,15))</f>
        <v>-66</v>
      </c>
      <c r="DX32" s="33" t="str">
        <f>CONCATENATE(MID($H32,1,1)*MID($K32,1,1),MID($H32,2,1)*MID($K32,2,1),MID($H32,3,1)*MID($K32,3,1),MID($H32,4,1)*MID($K32,4,1),MID($H32,5,1)*MID($K32,5,1),MID($H32,6,1)*MID($K32,6,1),MID($H32,7,1)*MID($K32,7,1),MID($H32,8,1)*MID($K32,8,1),MID($H32,9,1)*MID($K32,1,1),MID($H32,10,1)*MID($K32,2,1),MID($H32,11,1)*MID($K32,3,1),MID($H32,12,1)*MID($K32,4,1),MID($H32,13,1)*MID($K32,5,1),MID($H32,14,1)*MID($K32,6,1),MID($H32,15,1)*MID($K32,7,1),MID($H32,16,1)*MID($K32,8,1),MID($H32,17,1)*MID($K32,1,1),MID($H32,18,1)*MID($K32,2,1),MID($H32,19,1)*MID($K32,3,1),MID($H32,20,1)*MID($K32,4,1),MID($H32,21,1)*MID($K32,5,1),MID($H32,22,1)*MID($K32,6,1),MID($H32,23,1)*MID($K32,7,1),MID($H32,24,1)*MID($K32,8,1),MID($H32,25,1)*MID($K32,1,1),MID($H32,26,1)*MID($K32,2,1),MID($H32,27,1)*MID($K32,3,1),MID($H32,28,1)*MID($K32,4,1),MID($H32,29,1)*MID($K32,5,1),MID($H32,30,1)*MID($K32,6,1),MID($H32,31,1)*MID($K32,7,1),MID($H32,32,1)*MID($K32,8,1))</f>
        <v>00100010000000000010001000100000</v>
      </c>
      <c r="DY32" s="34" t="str">
        <f>L32</f>
        <v>00100010101101000010001000011000</v>
      </c>
      <c r="DZ32" s="34" t="str">
        <f t="shared" si="178"/>
        <v>00100010</v>
      </c>
      <c r="EA32" s="34" t="str">
        <f t="shared" si="86"/>
        <v>10110100</v>
      </c>
      <c r="EB32" s="34" t="str">
        <f t="shared" si="87"/>
        <v>00100010</v>
      </c>
      <c r="EC32" s="34" t="str">
        <f t="shared" si="88"/>
        <v>00011000</v>
      </c>
      <c r="ED32" s="87">
        <f>BIN2DEC(DZ32)-BIN2DEC(DZ33)</f>
        <v>25</v>
      </c>
      <c r="EE32" s="87">
        <f>BIN2DEC(EA32)-BIN2DEC(EA33)</f>
        <v>161</v>
      </c>
      <c r="EF32" s="87">
        <f>BIN2DEC(EB32)-BIN2DEC(EB33)</f>
        <v>24</v>
      </c>
      <c r="EG32" s="87">
        <f>BIN2DEC(EC32)-BIN2DEC(EC33)</f>
        <v>22</v>
      </c>
      <c r="EH32" s="35" t="str">
        <f t="shared" si="89"/>
        <v>0010</v>
      </c>
      <c r="EI32" s="35" t="str">
        <f t="shared" si="90"/>
        <v>0010</v>
      </c>
      <c r="EJ32" s="35" t="str">
        <f t="shared" si="91"/>
        <v>1011</v>
      </c>
      <c r="EK32" s="35" t="str">
        <f t="shared" si="92"/>
        <v>0100</v>
      </c>
      <c r="EL32" s="35" t="str">
        <f t="shared" si="93"/>
        <v>0010</v>
      </c>
      <c r="EM32" s="35" t="str">
        <f t="shared" si="94"/>
        <v>0010</v>
      </c>
      <c r="EN32" s="35" t="str">
        <f t="shared" si="95"/>
        <v>0001</v>
      </c>
      <c r="EO32" s="35" t="str">
        <f t="shared" si="96"/>
        <v>1000</v>
      </c>
      <c r="EP32" s="87">
        <f>BIN2DEC(EH32)-BIN2DEC(EH33)</f>
        <v>-12</v>
      </c>
      <c r="EQ32" s="87">
        <f t="shared" ref="EQ32:EV32" si="356">BIN2DEC(EI32)-BIN2DEC(EI33)</f>
        <v>-7</v>
      </c>
      <c r="ER32" s="87">
        <f t="shared" si="356"/>
        <v>10</v>
      </c>
      <c r="ES32" s="87">
        <f t="shared" si="356"/>
        <v>-3</v>
      </c>
      <c r="ET32" s="87">
        <f t="shared" si="356"/>
        <v>-8</v>
      </c>
      <c r="EU32" s="87">
        <f t="shared" si="356"/>
        <v>-12</v>
      </c>
      <c r="EV32" s="87">
        <f t="shared" si="356"/>
        <v>-3</v>
      </c>
      <c r="EW32" s="87">
        <f>BIN2DEC(EO32)-BIN2DEC(EO33)</f>
        <v>6</v>
      </c>
      <c r="EX32" s="34" t="str">
        <f t="shared" si="15"/>
        <v>0010001010110100</v>
      </c>
      <c r="EY32" s="34" t="str">
        <f t="shared" si="16"/>
        <v>0010001000011000</v>
      </c>
      <c r="EZ32" s="87">
        <f>MID(EX32,16,1)*POWER(2,0)+MID(EX32,15,1)*POWER(2,1)+MID(EX32,14,1)*POWER(2,2)+MID(EX32,13,1)*POWER(2,3)+MID(EX32,12,1)*POWER(2,4)+MID(EX32,11,1)*POWER(2,5)+MID(EX32,10,1)*POWER(2,6)+MID(EX32,9,1)*POWER(2,7)+MID(EX32,8,1)*POWER(2,8)+MID(EX32,7,1)*POWER(2,9)+MID(EX32,6,1)*POWER(2,10)+MID(EX32,5,1)*POWER(2,11)+MID(EX32,4,1)*POWER(2,12)+MID(EX32,3,1)*POWER(2,13)+MID(EX32,2,1)*POWER(2,14)+MID(EX32,1,1)*POWER(2,15)-(MID(EX33,16,1)*POWER(2,0)+MID(EX33,15,1)*POWER(2,1)+MID(EX33,14,1)*POWER(2,2)+MID(EX33,13,1)*POWER(2,3)+MID(EX33,12,1)*POWER(2,4)+MID(EX33,11,1)*POWER(2,5)+MID(EX33,10,1)*POWER(2,6)+MID(EX33,9,1)*POWER(2,7)+MID(EX33,8,1)*POWER(2,8)+MID(EX33,7,1)*POWER(2,9)+MID(EX33,6,1)*POWER(2,10)+MID(EX33,5,1)*POWER(2,11)+MID(EX33,4,1)*POWER(2,12)+MID(EX33,3,1)*POWER(2,13)+MID(EX33,2,1)*POWER(2,14)+MID(EX33,1,1)*POWER(2,15))</f>
        <v>6561</v>
      </c>
      <c r="FA32" s="87">
        <f>MID(EY32,16,1)*POWER(2,0)+MID(EY32,15,1)*POWER(2,1)+MID(EY32,14,1)*POWER(2,2)+MID(EY32,13,1)*POWER(2,3)+MID(EY32,12,1)*POWER(2,4)+MID(EY32,11,1)*POWER(2,5)+MID(EY32,10,1)*POWER(2,6)+MID(EY32,9,1)*POWER(2,7)+MID(EY32,8,1)*POWER(2,8)+MID(EY32,7,1)*POWER(2,9)+MID(EY32,6,1)*POWER(2,10)+MID(EY32,5,1)*POWER(2,11)+MID(EY32,4,1)*POWER(2,12)+MID(EY32,3,1)*POWER(2,13)+MID(EY32,2,1)*POWER(2,14)+MID(EY32,1,1)*POWER(2,15)-(MID(EY33,16,1)*POWER(2,0)+MID(EY33,15,1)*POWER(2,1)+MID(EY33,14,1)*POWER(2,2)+MID(EY33,13,1)*POWER(2,3)+MID(EY33,12,1)*POWER(2,4)+MID(EY33,11,1)*POWER(2,5)+MID(EY33,10,1)*POWER(2,6)+MID(EY33,9,1)*POWER(2,7)+MID(EY33,8,1)*POWER(2,8)+MID(EY33,7,1)*POWER(2,9)+MID(EY33,6,1)*POWER(2,10)+MID(EY33,5,1)*POWER(2,11)+MID(EY33,4,1)*POWER(2,12)+MID(EY33,3,1)*POWER(2,13)+MID(EY33,2,1)*POWER(2,14)+MID(EY33,1,1)*POWER(2,15))</f>
        <v>6166</v>
      </c>
      <c r="FB32" s="33" t="str">
        <f>L32</f>
        <v>00100010101101000010001000011000</v>
      </c>
      <c r="FC32" s="34" t="str">
        <f t="shared" si="180"/>
        <v>00100010</v>
      </c>
      <c r="FD32" s="34" t="str">
        <f t="shared" si="97"/>
        <v>10110100</v>
      </c>
      <c r="FE32" s="34" t="str">
        <f t="shared" si="98"/>
        <v>00100010</v>
      </c>
      <c r="FF32" s="34" t="str">
        <f t="shared" si="99"/>
        <v>00011000</v>
      </c>
      <c r="FG32" s="87">
        <f>BIN2DEC(FC32)-BIN2DEC(FC33)</f>
        <v>33</v>
      </c>
      <c r="FH32" s="87">
        <f>BIN2DEC(FD32)-BIN2DEC(FD33)</f>
        <v>177</v>
      </c>
      <c r="FI32" s="87">
        <f>BIN2DEC(FE32)-BIN2DEC(FE33)</f>
        <v>32</v>
      </c>
      <c r="FJ32" s="87">
        <f>BIN2DEC(FF32)-BIN2DEC(FF33)</f>
        <v>22</v>
      </c>
      <c r="FK32" s="35" t="str">
        <f t="shared" si="100"/>
        <v>0010</v>
      </c>
      <c r="FL32" s="35" t="str">
        <f t="shared" si="101"/>
        <v>0010</v>
      </c>
      <c r="FM32" s="35" t="str">
        <f t="shared" si="102"/>
        <v>1011</v>
      </c>
      <c r="FN32" s="35" t="str">
        <f t="shared" si="103"/>
        <v>0100</v>
      </c>
      <c r="FO32" s="35" t="str">
        <f t="shared" si="104"/>
        <v>0010</v>
      </c>
      <c r="FP32" s="35" t="str">
        <f t="shared" si="105"/>
        <v>0010</v>
      </c>
      <c r="FQ32" s="35" t="str">
        <f t="shared" si="106"/>
        <v>0001</v>
      </c>
      <c r="FR32" s="35" t="str">
        <f t="shared" si="107"/>
        <v>1000</v>
      </c>
      <c r="FS32" s="87">
        <f>BIN2DEC(FK32)-BIN2DEC(FK33)</f>
        <v>-12</v>
      </c>
      <c r="FT32" s="87">
        <f t="shared" ref="FT32:FY32" si="357">BIN2DEC(FL32)-BIN2DEC(FL33)</f>
        <v>-7</v>
      </c>
      <c r="FU32" s="87">
        <f t="shared" si="357"/>
        <v>10</v>
      </c>
      <c r="FV32" s="87">
        <f t="shared" si="357"/>
        <v>-3</v>
      </c>
      <c r="FW32" s="87">
        <f t="shared" si="357"/>
        <v>-8</v>
      </c>
      <c r="FX32" s="87">
        <f t="shared" si="357"/>
        <v>-12</v>
      </c>
      <c r="FY32" s="87">
        <f t="shared" si="357"/>
        <v>-3</v>
      </c>
      <c r="FZ32" s="87">
        <f>BIN2DEC(FR32)-BIN2DEC(FR33)</f>
        <v>6</v>
      </c>
      <c r="GA32" s="34" t="str">
        <f t="shared" si="18"/>
        <v>0010001010110100</v>
      </c>
      <c r="GB32" s="34" t="str">
        <f t="shared" si="19"/>
        <v>0010001000011000</v>
      </c>
      <c r="GC32" s="87">
        <f>MID(GA32,16,1)*POWER(2,0)+MID(GA32,15,1)*POWER(2,1)+MID(GA32,14,1)*POWER(2,2)+MID(GA32,13,1)*POWER(2,3)+MID(GA32,12,1)*POWER(2,4)+MID(GA32,11,1)*POWER(2,5)+MID(GA32,10,1)*POWER(2,6)+MID(GA32,9,1)*POWER(2,7)+MID(GA32,8,1)*POWER(2,8)+MID(GA32,7,1)*POWER(2,9)+MID(GA32,6,1)*POWER(2,10)+MID(GA32,5,1)*POWER(2,11)+MID(GA32,4,1)*POWER(2,12)+MID(GA32,3,1)*POWER(2,13)+MID(GA32,2,1)*POWER(2,14)+MID(GA32,1,1)*POWER(2,15)-(MID(GA33,16,1)*POWER(2,0)+MID(GA33,15,1)*POWER(2,1)+MID(GA33,14,1)*POWER(2,2)+MID(GA33,13,1)*POWER(2,3)+MID(GA33,12,1)*POWER(2,4)+MID(GA33,11,1)*POWER(2,5)+MID(GA33,10,1)*POWER(2,6)+MID(GA33,9,1)*POWER(2,7)+MID(GA33,8,1)*POWER(2,8)+MID(GA33,7,1)*POWER(2,9)+MID(GA33,6,1)*POWER(2,10)+MID(GA33,5,1)*POWER(2,11)+MID(GA33,4,1)*POWER(2,12)+MID(GA33,3,1)*POWER(2,13)+MID(GA33,2,1)*POWER(2,14)+MID(GA33,1,1)*POWER(2,15))</f>
        <v>8625</v>
      </c>
      <c r="GD32" s="87">
        <f>MID(GB32,16,1)*POWER(2,0)+MID(GB32,15,1)*POWER(2,1)+MID(GB32,14,1)*POWER(2,2)+MID(GB32,13,1)*POWER(2,3)+MID(GB32,12,1)*POWER(2,4)+MID(GB32,11,1)*POWER(2,5)+MID(GB32,10,1)*POWER(2,6)+MID(GB32,9,1)*POWER(2,7)+MID(GB32,8,1)*POWER(2,8)+MID(GB32,7,1)*POWER(2,9)+MID(GB32,6,1)*POWER(2,10)+MID(GB32,5,1)*POWER(2,11)+MID(GB32,4,1)*POWER(2,12)+MID(GB32,3,1)*POWER(2,13)+MID(GB32,2,1)*POWER(2,14)+MID(GB32,1,1)*POWER(2,15)-(MID(GB33,16,1)*POWER(2,0)+MID(GB33,15,1)*POWER(2,1)+MID(GB33,14,1)*POWER(2,2)+MID(GB33,13,1)*POWER(2,3)+MID(GB33,12,1)*POWER(2,4)+MID(GB33,11,1)*POWER(2,5)+MID(GB33,10,1)*POWER(2,6)+MID(GB33,9,1)*POWER(2,7)+MID(GB33,8,1)*POWER(2,8)+MID(GB33,7,1)*POWER(2,9)+MID(GB33,6,1)*POWER(2,10)+MID(GB33,5,1)*POWER(2,11)+MID(GB33,4,1)*POWER(2,12)+MID(GB33,3,1)*POWER(2,13)+MID(GB33,2,1)*POWER(2,14)+MID(GB33,1,1)*POWER(2,15))</f>
        <v>8214</v>
      </c>
      <c r="GE32" s="35" t="str">
        <f>CU32</f>
        <v>00100010001000000010001000000000</v>
      </c>
      <c r="GF32" s="34" t="str">
        <f t="shared" si="182"/>
        <v>00100010</v>
      </c>
      <c r="GG32" s="34" t="str">
        <f t="shared" si="108"/>
        <v>00100000</v>
      </c>
      <c r="GH32" s="34" t="str">
        <f t="shared" si="109"/>
        <v>00100010</v>
      </c>
      <c r="GI32" s="34" t="str">
        <f t="shared" si="110"/>
        <v>00000000</v>
      </c>
      <c r="GJ32" s="87">
        <f>BIN2DEC(GF32)-BIN2DEC(GF33)</f>
        <v>25</v>
      </c>
      <c r="GK32" s="87">
        <f>BIN2DEC(GG32)-BIN2DEC(GG33)</f>
        <v>13</v>
      </c>
      <c r="GL32" s="87">
        <f>BIN2DEC(GH32)-BIN2DEC(GH33)</f>
        <v>24</v>
      </c>
      <c r="GM32" s="87">
        <f>BIN2DEC(GI32)-BIN2DEC(GI33)</f>
        <v>-2</v>
      </c>
      <c r="GN32" s="35" t="str">
        <f t="shared" si="111"/>
        <v>0010</v>
      </c>
      <c r="GO32" s="35" t="str">
        <f t="shared" si="112"/>
        <v>0010</v>
      </c>
      <c r="GP32" s="35" t="str">
        <f t="shared" si="113"/>
        <v>1011</v>
      </c>
      <c r="GQ32" s="35" t="str">
        <f t="shared" si="114"/>
        <v>0100</v>
      </c>
      <c r="GR32" s="35" t="str">
        <f t="shared" si="115"/>
        <v>0010</v>
      </c>
      <c r="GS32" s="35" t="str">
        <f t="shared" si="116"/>
        <v>0010</v>
      </c>
      <c r="GT32" s="35" t="str">
        <f t="shared" si="117"/>
        <v>0001</v>
      </c>
      <c r="GU32" s="35" t="str">
        <f t="shared" si="118"/>
        <v>1000</v>
      </c>
      <c r="GV32" s="87">
        <f>BIN2DEC(GN32)-BIN2DEC(GN33)</f>
        <v>-12</v>
      </c>
      <c r="GW32" s="87">
        <f t="shared" ref="GW32:HB32" si="358">BIN2DEC(GO32)-BIN2DEC(GO33)</f>
        <v>-7</v>
      </c>
      <c r="GX32" s="87">
        <f t="shared" si="358"/>
        <v>10</v>
      </c>
      <c r="GY32" s="87">
        <f t="shared" si="358"/>
        <v>-3</v>
      </c>
      <c r="GZ32" s="87">
        <f t="shared" si="358"/>
        <v>-8</v>
      </c>
      <c r="HA32" s="87">
        <f t="shared" si="358"/>
        <v>-12</v>
      </c>
      <c r="HB32" s="87">
        <f t="shared" si="358"/>
        <v>-3</v>
      </c>
      <c r="HC32" s="87">
        <f>BIN2DEC(GU32)-BIN2DEC(GU33)</f>
        <v>6</v>
      </c>
      <c r="HD32" s="34" t="str">
        <f t="shared" si="21"/>
        <v>0010001000100000</v>
      </c>
      <c r="HE32" s="34" t="str">
        <f t="shared" si="22"/>
        <v>0010001000000000</v>
      </c>
      <c r="HF32" s="87">
        <f>MID(HD32,16,1)*POWER(2,0)+MID(HD32,15,1)*POWER(2,1)+MID(HD32,14,1)*POWER(2,2)+MID(HD32,13,1)*POWER(2,3)+MID(HD32,12,1)*POWER(2,4)+MID(HD32,11,1)*POWER(2,5)+MID(HD32,10,1)*POWER(2,6)+MID(HD32,9,1)*POWER(2,7)+MID(HD32,8,1)*POWER(2,8)+MID(HD32,7,1)*POWER(2,9)+MID(HD32,6,1)*POWER(2,10)+MID(HD32,5,1)*POWER(2,11)+MID(HD32,4,1)*POWER(2,12)+MID(HD32,3,1)*POWER(2,13)+MID(HD32,2,1)*POWER(2,14)+MID(HD32,1,1)*POWER(2,15)-(MID(HD33,16,1)*POWER(2,0)+MID(HD33,15,1)*POWER(2,1)+MID(HD33,14,1)*POWER(2,2)+MID(HD33,13,1)*POWER(2,3)+MID(HD33,12,1)*POWER(2,4)+MID(HD33,11,1)*POWER(2,5)+MID(HD33,10,1)*POWER(2,6)+MID(HD33,9,1)*POWER(2,7)+MID(HD33,8,1)*POWER(2,8)+MID(HD33,7,1)*POWER(2,9)+MID(HD33,6,1)*POWER(2,10)+MID(HD33,5,1)*POWER(2,11)+MID(HD33,4,1)*POWER(2,12)+MID(HD33,3,1)*POWER(2,13)+MID(HD33,2,1)*POWER(2,14)+MID(HD33,1,1)*POWER(2,15))</f>
        <v>6413</v>
      </c>
      <c r="HG32" s="87">
        <f>MID(HE32,16,1)*POWER(2,0)+MID(HE32,15,1)*POWER(2,1)+MID(HE32,14,1)*POWER(2,2)+MID(HE32,13,1)*POWER(2,3)+MID(HE32,12,1)*POWER(2,4)+MID(HE32,11,1)*POWER(2,5)+MID(HE32,10,1)*POWER(2,6)+MID(HE32,9,1)*POWER(2,7)+MID(HE32,8,1)*POWER(2,8)+MID(HE32,7,1)*POWER(2,9)+MID(HE32,6,1)*POWER(2,10)+MID(HE32,5,1)*POWER(2,11)+MID(HE32,4,1)*POWER(2,12)+MID(HE32,3,1)*POWER(2,13)+MID(HE32,2,1)*POWER(2,14)+MID(HE32,1,1)*POWER(2,15)-(MID(HE33,16,1)*POWER(2,0)+MID(HE33,15,1)*POWER(2,1)+MID(HE33,14,1)*POWER(2,2)+MID(HE33,13,1)*POWER(2,3)+MID(HE33,12,1)*POWER(2,4)+MID(HE33,11,1)*POWER(2,5)+MID(HE33,10,1)*POWER(2,6)+MID(HE33,9,1)*POWER(2,7)+MID(HE33,8,1)*POWER(2,8)+MID(HE33,7,1)*POWER(2,9)+MID(HE33,6,1)*POWER(2,10)+MID(HE33,5,1)*POWER(2,11)+MID(HE33,4,1)*POWER(2,12)+MID(HE33,3,1)*POWER(2,13)+MID(HE33,2,1)*POWER(2,14)+MID(HE33,1,1)*POWER(2,15))</f>
        <v>6142</v>
      </c>
      <c r="HH32" s="34" t="str">
        <f>CONCATENATE(MID(DX32,17,16),MID(DX32,1,16))</f>
        <v>00100010001000000010001000000000</v>
      </c>
      <c r="HI32" s="34" t="str">
        <f t="shared" si="184"/>
        <v>00100010</v>
      </c>
      <c r="HJ32" s="34" t="str">
        <f t="shared" si="119"/>
        <v>00100000</v>
      </c>
      <c r="HK32" s="34" t="str">
        <f t="shared" si="120"/>
        <v>00100010</v>
      </c>
      <c r="HL32" s="34" t="str">
        <f t="shared" si="121"/>
        <v>00000000</v>
      </c>
      <c r="HM32" s="87">
        <f>BIN2DEC(HI32)-BIN2DEC(HI33)</f>
        <v>33</v>
      </c>
      <c r="HN32" s="87">
        <f>BIN2DEC(HJ32)-BIN2DEC(HJ33)</f>
        <v>29</v>
      </c>
      <c r="HO32" s="87">
        <f>BIN2DEC(HK32)-BIN2DEC(HK33)</f>
        <v>32</v>
      </c>
      <c r="HP32" s="87">
        <f>BIN2DEC(HL32)-BIN2DEC(HL33)</f>
        <v>-2</v>
      </c>
      <c r="HQ32" s="35" t="str">
        <f t="shared" si="122"/>
        <v>0010</v>
      </c>
      <c r="HR32" s="35" t="str">
        <f t="shared" si="123"/>
        <v>0010</v>
      </c>
      <c r="HS32" s="35" t="str">
        <f t="shared" si="124"/>
        <v>1011</v>
      </c>
      <c r="HT32" s="35" t="str">
        <f t="shared" si="125"/>
        <v>0100</v>
      </c>
      <c r="HU32" s="35" t="str">
        <f t="shared" si="126"/>
        <v>0010</v>
      </c>
      <c r="HV32" s="35" t="str">
        <f t="shared" si="127"/>
        <v>0010</v>
      </c>
      <c r="HW32" s="35" t="str">
        <f t="shared" si="128"/>
        <v>0001</v>
      </c>
      <c r="HX32" s="35" t="str">
        <f t="shared" si="129"/>
        <v>1000</v>
      </c>
      <c r="HY32" s="87">
        <f>BIN2DEC(HQ32)-BIN2DEC(HQ33)</f>
        <v>-12</v>
      </c>
      <c r="HZ32" s="87">
        <f t="shared" ref="HZ32:IE32" si="359">BIN2DEC(HR32)-BIN2DEC(HR33)</f>
        <v>-7</v>
      </c>
      <c r="IA32" s="87">
        <f t="shared" si="359"/>
        <v>10</v>
      </c>
      <c r="IB32" s="87">
        <f t="shared" si="359"/>
        <v>-3</v>
      </c>
      <c r="IC32" s="87">
        <f t="shared" si="359"/>
        <v>-8</v>
      </c>
      <c r="ID32" s="87">
        <f t="shared" si="359"/>
        <v>-12</v>
      </c>
      <c r="IE32" s="87">
        <f t="shared" si="359"/>
        <v>-3</v>
      </c>
      <c r="IF32" s="87">
        <f>BIN2DEC(HX32)-BIN2DEC(HX33)</f>
        <v>6</v>
      </c>
      <c r="IG32" s="34" t="str">
        <f t="shared" si="24"/>
        <v>0010001000100000</v>
      </c>
      <c r="IH32" s="34" t="str">
        <f t="shared" si="25"/>
        <v>0010001000000000</v>
      </c>
      <c r="II32" s="87">
        <f>MID(IG32,16,1)*POWER(2,0)+MID(IG32,15,1)*POWER(2,1)+MID(IG32,14,1)*POWER(2,2)+MID(IG32,13,1)*POWER(2,3)+MID(IG32,12,1)*POWER(2,4)+MID(IG32,11,1)*POWER(2,5)+MID(IG32,10,1)*POWER(2,6)+MID(IG32,9,1)*POWER(2,7)+MID(IG32,8,1)*POWER(2,8)+MID(IG32,7,1)*POWER(2,9)+MID(IG32,6,1)*POWER(2,10)+MID(IG32,5,1)*POWER(2,11)+MID(IG32,4,1)*POWER(2,12)+MID(IG32,3,1)*POWER(2,13)+MID(IG32,2,1)*POWER(2,14)+MID(IG32,1,1)*POWER(2,15)-(MID(IG33,16,1)*POWER(2,0)+MID(IG33,15,1)*POWER(2,1)+MID(IG33,14,1)*POWER(2,2)+MID(IG33,13,1)*POWER(2,3)+MID(IG33,12,1)*POWER(2,4)+MID(IG33,11,1)*POWER(2,5)+MID(IG33,10,1)*POWER(2,6)+MID(IG33,9,1)*POWER(2,7)+MID(IG33,8,1)*POWER(2,8)+MID(IG33,7,1)*POWER(2,9)+MID(IG33,6,1)*POWER(2,10)+MID(IG33,5,1)*POWER(2,11)+MID(IG33,4,1)*POWER(2,12)+MID(IG33,3,1)*POWER(2,13)+MID(IG33,2,1)*POWER(2,14)+MID(IG33,1,1)*POWER(2,15))</f>
        <v>8477</v>
      </c>
      <c r="IJ32" s="87">
        <f>MID(IH32,16,1)*POWER(2,0)+MID(IH32,15,1)*POWER(2,1)+MID(IH32,14,1)*POWER(2,2)+MID(IH32,13,1)*POWER(2,3)+MID(IH32,12,1)*POWER(2,4)+MID(IH32,11,1)*POWER(2,5)+MID(IH32,10,1)*POWER(2,6)+MID(IH32,9,1)*POWER(2,7)+MID(IH32,8,1)*POWER(2,8)+MID(IH32,7,1)*POWER(2,9)+MID(IH32,6,1)*POWER(2,10)+MID(IH32,5,1)*POWER(2,11)+MID(IH32,4,1)*POWER(2,12)+MID(IH32,3,1)*POWER(2,13)+MID(IH32,2,1)*POWER(2,14)+MID(IH32,1,1)*POWER(2,15)-(MID(IH33,16,1)*POWER(2,0)+MID(IH33,15,1)*POWER(2,1)+MID(IH33,14,1)*POWER(2,2)+MID(IH33,13,1)*POWER(2,3)+MID(IH33,12,1)*POWER(2,4)+MID(IH33,11,1)*POWER(2,5)+MID(IH33,10,1)*POWER(2,6)+MID(IH33,9,1)*POWER(2,7)+MID(IH33,8,1)*POWER(2,8)+MID(IH33,7,1)*POWER(2,9)+MID(IH33,6,1)*POWER(2,10)+MID(IH33,5,1)*POWER(2,11)+MID(IH33,4,1)*POWER(2,12)+MID(IH33,3,1)*POWER(2,13)+MID(IH33,2,1)*POWER(2,14)+MID(IH33,1,1)*POWER(2,15))</f>
        <v>8190</v>
      </c>
      <c r="IK32" s="34" t="str">
        <f>HH32</f>
        <v>00100010001000000010001000000000</v>
      </c>
      <c r="IL32" s="34" t="str">
        <f t="shared" si="186"/>
        <v>00100010</v>
      </c>
      <c r="IM32" s="34" t="str">
        <f t="shared" si="130"/>
        <v>00100000</v>
      </c>
      <c r="IN32" s="34" t="str">
        <f t="shared" si="131"/>
        <v>00100010</v>
      </c>
      <c r="IO32" s="34" t="str">
        <f t="shared" si="132"/>
        <v>00000000</v>
      </c>
      <c r="IP32" s="87">
        <f>BIN2DEC(IL32)-BIN2DEC(IL33)</f>
        <v>-199</v>
      </c>
      <c r="IQ32" s="87">
        <f>BIN2DEC(IM32)-BIN2DEC(IM33)</f>
        <v>9</v>
      </c>
      <c r="IR32" s="87">
        <f>BIN2DEC(IN32)-BIN2DEC(IN33)</f>
        <v>-140</v>
      </c>
      <c r="IS32" s="87">
        <f>BIN2DEC(IO32)-BIN2DEC(IO33)</f>
        <v>-66</v>
      </c>
      <c r="IT32" s="35" t="str">
        <f t="shared" si="133"/>
        <v>0010</v>
      </c>
      <c r="IU32" s="35" t="str">
        <f t="shared" si="134"/>
        <v>0010</v>
      </c>
      <c r="IV32" s="35" t="str">
        <f t="shared" si="135"/>
        <v>1011</v>
      </c>
      <c r="IW32" s="35" t="str">
        <f t="shared" si="136"/>
        <v>0100</v>
      </c>
      <c r="IX32" s="35" t="str">
        <f t="shared" si="137"/>
        <v>0010</v>
      </c>
      <c r="IY32" s="35" t="str">
        <f t="shared" si="138"/>
        <v>0010</v>
      </c>
      <c r="IZ32" s="35" t="str">
        <f t="shared" si="139"/>
        <v>0001</v>
      </c>
      <c r="JA32" s="35" t="str">
        <f t="shared" si="140"/>
        <v>1000</v>
      </c>
      <c r="JB32" s="87">
        <f t="shared" ref="JB32:JI32" si="360">BIN2DEC(IT32)-BIN2DEC(IT33)</f>
        <v>-12</v>
      </c>
      <c r="JC32" s="87">
        <f t="shared" si="360"/>
        <v>-7</v>
      </c>
      <c r="JD32" s="87">
        <f t="shared" si="360"/>
        <v>10</v>
      </c>
      <c r="JE32" s="87">
        <f t="shared" si="360"/>
        <v>-3</v>
      </c>
      <c r="JF32" s="87">
        <f t="shared" si="360"/>
        <v>-8</v>
      </c>
      <c r="JG32" s="87">
        <f t="shared" si="360"/>
        <v>-12</v>
      </c>
      <c r="JH32" s="87">
        <f t="shared" si="360"/>
        <v>-3</v>
      </c>
      <c r="JI32" s="87">
        <f t="shared" si="360"/>
        <v>6</v>
      </c>
      <c r="JJ32" s="34" t="str">
        <f t="shared" si="27"/>
        <v>0010001000100000</v>
      </c>
      <c r="JK32" s="34" t="str">
        <f t="shared" si="28"/>
        <v>0010001000000000</v>
      </c>
      <c r="JL32" s="87">
        <f>MID(JJ32,16,1)*POWER(2,0)+MID(JJ32,15,1)*POWER(2,1)+MID(JJ32,14,1)*POWER(2,2)+MID(JJ32,13,1)*POWER(2,3)+MID(JJ32,12,1)*POWER(2,4)+MID(JJ32,11,1)*POWER(2,5)+MID(JJ32,10,1)*POWER(2,6)+MID(JJ32,9,1)*POWER(2,7)+MID(JJ32,8,1)*POWER(2,8)+MID(JJ32,7,1)*POWER(2,9)+MID(JJ32,6,1)*POWER(2,10)+MID(JJ32,5,1)*POWER(2,11)+MID(JJ32,4,1)*POWER(2,12)+MID(JJ32,3,1)*POWER(2,13)+MID(JJ32,2,1)*POWER(2,14)+MID(JJ32,1,1)*POWER(2,15)-(MID(JJ33,16,1)*POWER(2,0)+MID(JJ33,15,1)*POWER(2,1)+MID(JJ33,14,1)*POWER(2,2)+MID(JJ33,13,1)*POWER(2,3)+MID(JJ33,12,1)*POWER(2,4)+MID(JJ33,11,1)*POWER(2,5)+MID(JJ33,10,1)*POWER(2,6)+MID(JJ33,9,1)*POWER(2,7)+MID(JJ33,8,1)*POWER(2,8)+MID(JJ33,7,1)*POWER(2,9)+MID(JJ33,6,1)*POWER(2,10)+MID(JJ33,5,1)*POWER(2,11)+MID(JJ33,4,1)*POWER(2,12)+MID(JJ33,3,1)*POWER(2,13)+MID(JJ33,2,1)*POWER(2,14)+MID(JJ33,1,1)*POWER(2,15))</f>
        <v>-50935</v>
      </c>
      <c r="JM32" s="87">
        <f>MID(JK32,16,1)*POWER(2,0)+MID(JK32,15,1)*POWER(2,1)+MID(JK32,14,1)*POWER(2,2)+MID(JK32,13,1)*POWER(2,3)+MID(JK32,12,1)*POWER(2,4)+MID(JK32,11,1)*POWER(2,5)+MID(JK32,10,1)*POWER(2,6)+MID(JK32,9,1)*POWER(2,7)+MID(JK32,8,1)*POWER(2,8)+MID(JK32,7,1)*POWER(2,9)+MID(JK32,6,1)*POWER(2,10)+MID(JK32,5,1)*POWER(2,11)+MID(JK32,4,1)*POWER(2,12)+MID(JK32,3,1)*POWER(2,13)+MID(JK32,2,1)*POWER(2,14)+MID(JK32,1,1)*POWER(2,15)-(MID(JK33,16,1)*POWER(2,0)+MID(JK33,15,1)*POWER(2,1)+MID(JK33,14,1)*POWER(2,2)+MID(JK33,13,1)*POWER(2,3)+MID(JK33,12,1)*POWER(2,4)+MID(JK33,11,1)*POWER(2,5)+MID(JK33,10,1)*POWER(2,6)+MID(JK33,9,1)*POWER(2,7)+MID(JK33,8,1)*POWER(2,8)+MID(JK33,7,1)*POWER(2,9)+MID(JK33,6,1)*POWER(2,10)+MID(JK33,5,1)*POWER(2,11)+MID(JK33,4,1)*POWER(2,12)+MID(JK33,3,1)*POWER(2,13)+MID(JK33,2,1)*POWER(2,14)+MID(JK33,1,1)*POWER(2,15))</f>
        <v>-35906</v>
      </c>
      <c r="JN32" s="33" t="str">
        <f>CONCATENATE(MID(IK32,1,1)*MID($K32,1,1),MID(IK32,2,1)*MID($K32,2,1),MID(IK32,3,1)*MID($K32,3,1),MID(IK32,4,1)*MID($K32,4,1),MID(IK32,5,1)*MID($K32,5,1),MID(IK32,6,1)*MID($K32,6,1),MID(IK32,7,1)*MID($K32,7,1),MID(IK32,8,1)*MID($K32,8,1),MID(IK32,9,1)*MID($K32,1,1),MID(IK32,10,1)*MID($K32,2,1),MID(IK32,11,1)*MID($K32,3,1),MID(IK32,12,1)*MID($K32,4,1),MID(IK32,13,1)*MID($K32,5,1),MID(IK32,14,1)*MID($K32,6,1),MID(IK32,15,1)*MID($K32,7,1),MID(IK32,16,1)*MID($K32,8,1),MID(IK32,17,1)*MID($K32,1,1),MID(IK32,18,1)*MID($K32,2,1),MID(IK32,19,1)*MID($K32,3,1),MID(IK32,20,1)*MID($K32,4,1),MID(IK32,21,1)*MID($K32,5,1),MID(IK32,22,1)*MID($K32,6,1),MID(IK32,23,1)*MID($K32,7,1),MID(IK32,24,1)*MID($K32,8,1),MID(IK32,25,1)*MID($K32,1,1),MID(IK32,26,1)*MID($K32,2,1),MID(IK32,27,1)*MID($K32,3,1),MID(IK32,28,1)*MID($K32,4,1),MID(IK32,29,1)*MID($K32,5,1),MID(IK32,30,1)*MID($K32,6,1),MID(IK32,31,1)*MID($K32,7,1),MID(IK32,32,1)*MID($K32,8,1))</f>
        <v>00100010001000000010001000000000</v>
      </c>
      <c r="JO32" s="34" t="str">
        <f t="shared" si="188"/>
        <v>00100010</v>
      </c>
      <c r="JP32" s="34" t="str">
        <f t="shared" si="141"/>
        <v>00100000</v>
      </c>
      <c r="JQ32" s="34" t="str">
        <f t="shared" si="142"/>
        <v>00100010</v>
      </c>
      <c r="JR32" s="34" t="str">
        <f t="shared" si="143"/>
        <v>00000000</v>
      </c>
      <c r="JS32" s="87">
        <f>BIN2DEC(JO32)-BIN2DEC(JO33)</f>
        <v>-199</v>
      </c>
      <c r="JT32" s="87">
        <f>BIN2DEC(JP32)-BIN2DEC(JP33)</f>
        <v>9</v>
      </c>
      <c r="JU32" s="87">
        <f>BIN2DEC(JQ32)-BIN2DEC(JQ33)</f>
        <v>-140</v>
      </c>
      <c r="JV32" s="87">
        <f>BIN2DEC(JR32)-BIN2DEC(JR33)</f>
        <v>-66</v>
      </c>
      <c r="JW32" s="35" t="str">
        <f t="shared" si="144"/>
        <v>0010</v>
      </c>
      <c r="JX32" s="35" t="str">
        <f t="shared" si="145"/>
        <v>0010</v>
      </c>
      <c r="JY32" s="35" t="str">
        <f t="shared" si="146"/>
        <v>1011</v>
      </c>
      <c r="JZ32" s="35" t="str">
        <f t="shared" si="147"/>
        <v>0100</v>
      </c>
      <c r="KA32" s="35" t="str">
        <f t="shared" si="148"/>
        <v>0010</v>
      </c>
      <c r="KB32" s="35" t="str">
        <f t="shared" si="149"/>
        <v>0010</v>
      </c>
      <c r="KC32" s="35" t="str">
        <f t="shared" si="150"/>
        <v>0001</v>
      </c>
      <c r="KD32" s="35" t="str">
        <f t="shared" si="151"/>
        <v>1000</v>
      </c>
      <c r="KE32" s="87">
        <f t="shared" ref="KE32:KL32" si="361">BIN2DEC(JW32)-BIN2DEC(JW33)</f>
        <v>-12</v>
      </c>
      <c r="KF32" s="87">
        <f t="shared" si="361"/>
        <v>-7</v>
      </c>
      <c r="KG32" s="87">
        <f t="shared" si="361"/>
        <v>10</v>
      </c>
      <c r="KH32" s="87">
        <f t="shared" si="361"/>
        <v>-3</v>
      </c>
      <c r="KI32" s="87">
        <f t="shared" si="361"/>
        <v>-8</v>
      </c>
      <c r="KJ32" s="87">
        <f t="shared" si="361"/>
        <v>-12</v>
      </c>
      <c r="KK32" s="87">
        <f t="shared" si="361"/>
        <v>-3</v>
      </c>
      <c r="KL32" s="87">
        <f t="shared" si="361"/>
        <v>6</v>
      </c>
      <c r="KM32" s="34" t="str">
        <f t="shared" si="30"/>
        <v>0010001000100000</v>
      </c>
      <c r="KN32" s="34" t="str">
        <f t="shared" si="31"/>
        <v>0010001000000000</v>
      </c>
      <c r="KO32" s="87">
        <f>MID(KM32,16,1)*POWER(2,0)+MID(KM32,15,1)*POWER(2,1)+MID(KM32,14,1)*POWER(2,2)+MID(KM32,13,1)*POWER(2,3)+MID(KM32,12,1)*POWER(2,4)+MID(KM32,11,1)*POWER(2,5)+MID(KM32,10,1)*POWER(2,6)+MID(KM32,9,1)*POWER(2,7)+MID(KM32,8,1)*POWER(2,8)+MID(KM32,7,1)*POWER(2,9)+MID(KM32,6,1)*POWER(2,10)+MID(KM32,5,1)*POWER(2,11)+MID(KM32,4,1)*POWER(2,12)+MID(KM32,3,1)*POWER(2,13)+MID(KM32,2,1)*POWER(2,14)+MID(KM32,1,1)*POWER(2,15)-(MID(KM33,16,1)*POWER(2,0)+MID(KM33,15,1)*POWER(2,1)+MID(KM33,14,1)*POWER(2,2)+MID(KM33,13,1)*POWER(2,3)+MID(KM33,12,1)*POWER(2,4)+MID(KM33,11,1)*POWER(2,5)+MID(KM33,10,1)*POWER(2,6)+MID(KM33,9,1)*POWER(2,7)+MID(KM33,8,1)*POWER(2,8)+MID(KM33,7,1)*POWER(2,9)+MID(KM33,6,1)*POWER(2,10)+MID(KM33,5,1)*POWER(2,11)+MID(KM33,4,1)*POWER(2,12)+MID(KM33,3,1)*POWER(2,13)+MID(KM33,2,1)*POWER(2,14)+MID(KM33,1,1)*POWER(2,15))</f>
        <v>-50935</v>
      </c>
      <c r="KP32" s="87">
        <f>MID(KN32,16,1)*POWER(2,0)+MID(KN32,15,1)*POWER(2,1)+MID(KN32,14,1)*POWER(2,2)+MID(KN32,13,1)*POWER(2,3)+MID(KN32,12,1)*POWER(2,4)+MID(KN32,11,1)*POWER(2,5)+MID(KN32,10,1)*POWER(2,6)+MID(KN32,9,1)*POWER(2,7)+MID(KN32,8,1)*POWER(2,8)+MID(KN32,7,1)*POWER(2,9)+MID(KN32,6,1)*POWER(2,10)+MID(KN32,5,1)*POWER(2,11)+MID(KN32,4,1)*POWER(2,12)+MID(KN32,3,1)*POWER(2,13)+MID(KN32,2,1)*POWER(2,14)+MID(KN32,1,1)*POWER(2,15)-(MID(KN33,16,1)*POWER(2,0)+MID(KN33,15,1)*POWER(2,1)+MID(KN33,14,1)*POWER(2,2)+MID(KN33,13,1)*POWER(2,3)+MID(KN33,12,1)*POWER(2,4)+MID(KN33,11,1)*POWER(2,5)+MID(KN33,10,1)*POWER(2,6)+MID(KN33,9,1)*POWER(2,7)+MID(KN33,8,1)*POWER(2,8)+MID(KN33,7,1)*POWER(2,9)+MID(KN33,6,1)*POWER(2,10)+MID(KN33,5,1)*POWER(2,11)+MID(KN33,4,1)*POWER(2,12)+MID(KN33,3,1)*POWER(2,13)+MID(KN33,2,1)*POWER(2,14)+MID(KN33,1,1)*POWER(2,15))</f>
        <v>-35906</v>
      </c>
      <c r="KQ32" s="35" t="str">
        <f>IK32</f>
        <v>00100010001000000010001000000000</v>
      </c>
      <c r="KR32" s="34" t="str">
        <f t="shared" si="190"/>
        <v>00100010</v>
      </c>
      <c r="KS32" s="34" t="str">
        <f t="shared" si="152"/>
        <v>00100000</v>
      </c>
      <c r="KT32" s="34" t="str">
        <f t="shared" si="153"/>
        <v>00100010</v>
      </c>
      <c r="KU32" s="34" t="str">
        <f t="shared" si="154"/>
        <v>00000000</v>
      </c>
      <c r="KV32" s="87">
        <f>BIN2DEC(KR32)-BIN2DEC(KR33)</f>
        <v>-63</v>
      </c>
      <c r="KW32" s="87">
        <f>BIN2DEC(KS32)-BIN2DEC(KS33)</f>
        <v>29</v>
      </c>
      <c r="KX32" s="87">
        <f>BIN2DEC(KT32)-BIN2DEC(KT33)</f>
        <v>0</v>
      </c>
      <c r="KY32" s="87">
        <f>BIN2DEC(KU32)-BIN2DEC(KU33)</f>
        <v>-66</v>
      </c>
      <c r="KZ32" s="35" t="str">
        <f t="shared" si="155"/>
        <v>0010</v>
      </c>
      <c r="LA32" s="35" t="str">
        <f t="shared" si="156"/>
        <v>0010</v>
      </c>
      <c r="LB32" s="35" t="str">
        <f t="shared" si="157"/>
        <v>1011</v>
      </c>
      <c r="LC32" s="35" t="str">
        <f t="shared" si="158"/>
        <v>0100</v>
      </c>
      <c r="LD32" s="35" t="str">
        <f t="shared" si="159"/>
        <v>0010</v>
      </c>
      <c r="LE32" s="35" t="str">
        <f t="shared" si="160"/>
        <v>0010</v>
      </c>
      <c r="LF32" s="35" t="str">
        <f t="shared" si="161"/>
        <v>0001</v>
      </c>
      <c r="LG32" s="35" t="str">
        <f t="shared" si="162"/>
        <v>1000</v>
      </c>
      <c r="LH32" s="87">
        <f t="shared" ref="LH32:LO32" si="362">BIN2DEC(KZ32)-BIN2DEC(KZ33)</f>
        <v>-12</v>
      </c>
      <c r="LI32" s="87">
        <f t="shared" si="362"/>
        <v>-7</v>
      </c>
      <c r="LJ32" s="87">
        <f t="shared" si="362"/>
        <v>10</v>
      </c>
      <c r="LK32" s="87">
        <f t="shared" si="362"/>
        <v>-3</v>
      </c>
      <c r="LL32" s="87">
        <f t="shared" si="362"/>
        <v>-8</v>
      </c>
      <c r="LM32" s="87">
        <f t="shared" si="362"/>
        <v>-12</v>
      </c>
      <c r="LN32" s="87">
        <f t="shared" si="362"/>
        <v>-3</v>
      </c>
      <c r="LO32" s="87">
        <f t="shared" si="362"/>
        <v>6</v>
      </c>
      <c r="LP32" s="34" t="str">
        <f t="shared" si="33"/>
        <v>0010001000100000</v>
      </c>
      <c r="LQ32" s="34" t="str">
        <f t="shared" si="34"/>
        <v>0010001000000000</v>
      </c>
      <c r="LR32" s="87">
        <f>MID(LP32,16,1)*POWER(2,0)+MID(LP32,15,1)*POWER(2,1)+MID(LP32,14,1)*POWER(2,2)+MID(LP32,13,1)*POWER(2,3)+MID(LP32,12,1)*POWER(2,4)+MID(LP32,11,1)*POWER(2,5)+MID(LP32,10,1)*POWER(2,6)+MID(LP32,9,1)*POWER(2,7)+MID(LP32,8,1)*POWER(2,8)+MID(LP32,7,1)*POWER(2,9)+MID(LP32,6,1)*POWER(2,10)+MID(LP32,5,1)*POWER(2,11)+MID(LP32,4,1)*POWER(2,12)+MID(LP32,3,1)*POWER(2,13)+MID(LP32,2,1)*POWER(2,14)+MID(LP32,1,1)*POWER(2,15)-(MID(LP33,16,1)*POWER(2,0)+MID(LP33,15,1)*POWER(2,1)+MID(LP33,14,1)*POWER(2,2)+MID(LP33,13,1)*POWER(2,3)+MID(LP33,12,1)*POWER(2,4)+MID(LP33,11,1)*POWER(2,5)+MID(LP33,10,1)*POWER(2,6)+MID(LP33,9,1)*POWER(2,7)+MID(LP33,8,1)*POWER(2,8)+MID(LP33,7,1)*POWER(2,9)+MID(LP33,6,1)*POWER(2,10)+MID(LP33,5,1)*POWER(2,11)+MID(LP33,4,1)*POWER(2,12)+MID(LP33,3,1)*POWER(2,13)+MID(LP33,2,1)*POWER(2,14)+MID(LP33,1,1)*POWER(2,15))</f>
        <v>-16099</v>
      </c>
      <c r="LS32" s="87">
        <f>MID(LQ32,16,1)*POWER(2,0)+MID(LQ32,15,1)*POWER(2,1)+MID(LQ32,14,1)*POWER(2,2)+MID(LQ32,13,1)*POWER(2,3)+MID(LQ32,12,1)*POWER(2,4)+MID(LQ32,11,1)*POWER(2,5)+MID(LQ32,10,1)*POWER(2,6)+MID(LQ32,9,1)*POWER(2,7)+MID(LQ32,8,1)*POWER(2,8)+MID(LQ32,7,1)*POWER(2,9)+MID(LQ32,6,1)*POWER(2,10)+MID(LQ32,5,1)*POWER(2,11)+MID(LQ32,4,1)*POWER(2,12)+MID(LQ32,3,1)*POWER(2,13)+MID(LQ32,2,1)*POWER(2,14)+MID(LQ32,1,1)*POWER(2,15)-(MID(LQ33,16,1)*POWER(2,0)+MID(LQ33,15,1)*POWER(2,1)+MID(LQ33,14,1)*POWER(2,2)+MID(LQ33,13,1)*POWER(2,3)+MID(LQ33,12,1)*POWER(2,4)+MID(LQ33,11,1)*POWER(2,5)+MID(LQ33,10,1)*POWER(2,6)+MID(LQ33,9,1)*POWER(2,7)+MID(LQ33,8,1)*POWER(2,8)+MID(LQ33,7,1)*POWER(2,9)+MID(LQ33,6,1)*POWER(2,10)+MID(LQ33,5,1)*POWER(2,11)+MID(LQ33,4,1)*POWER(2,12)+MID(LQ33,3,1)*POWER(2,13)+MID(LQ33,2,1)*POWER(2,14)+MID(LQ33,1,1)*POWER(2,15))</f>
        <v>-66</v>
      </c>
      <c r="LT32" s="34" t="str">
        <f>JN32</f>
        <v>00100010001000000010001000000000</v>
      </c>
      <c r="LU32" s="34" t="str">
        <f t="shared" si="192"/>
        <v>00100010</v>
      </c>
      <c r="LV32" s="34" t="str">
        <f t="shared" si="163"/>
        <v>00100000</v>
      </c>
      <c r="LW32" s="34" t="str">
        <f t="shared" si="164"/>
        <v>00100010</v>
      </c>
      <c r="LX32" s="34" t="str">
        <f t="shared" si="165"/>
        <v>00000000</v>
      </c>
      <c r="LY32" s="87">
        <f>BIN2DEC(LU32)-BIN2DEC(LU33)</f>
        <v>25</v>
      </c>
      <c r="LZ32" s="87">
        <f>BIN2DEC(LV32)-BIN2DEC(LV33)</f>
        <v>13</v>
      </c>
      <c r="MA32" s="87">
        <f>BIN2DEC(LW32)-BIN2DEC(LW33)</f>
        <v>24</v>
      </c>
      <c r="MB32" s="87">
        <f>BIN2DEC(LX32)-BIN2DEC(LX33)</f>
        <v>-2</v>
      </c>
      <c r="MC32" s="35" t="str">
        <f t="shared" si="166"/>
        <v>0010</v>
      </c>
      <c r="MD32" s="35" t="str">
        <f t="shared" si="167"/>
        <v>0010</v>
      </c>
      <c r="ME32" s="35" t="str">
        <f t="shared" si="168"/>
        <v>1011</v>
      </c>
      <c r="MF32" s="35" t="str">
        <f t="shared" si="169"/>
        <v>0100</v>
      </c>
      <c r="MG32" s="35" t="str">
        <f t="shared" si="170"/>
        <v>0010</v>
      </c>
      <c r="MH32" s="35" t="str">
        <f t="shared" si="171"/>
        <v>0010</v>
      </c>
      <c r="MI32" s="35" t="str">
        <f t="shared" si="172"/>
        <v>0001</v>
      </c>
      <c r="MJ32" s="35" t="str">
        <f t="shared" si="173"/>
        <v>1000</v>
      </c>
      <c r="MK32" s="87">
        <f t="shared" ref="MK32:MR32" si="363">BIN2DEC(MC32)-BIN2DEC(MC33)</f>
        <v>-12</v>
      </c>
      <c r="ML32" s="87">
        <f t="shared" si="363"/>
        <v>-7</v>
      </c>
      <c r="MM32" s="87">
        <f t="shared" si="363"/>
        <v>10</v>
      </c>
      <c r="MN32" s="87">
        <f t="shared" si="363"/>
        <v>-3</v>
      </c>
      <c r="MO32" s="87">
        <f t="shared" si="363"/>
        <v>-8</v>
      </c>
      <c r="MP32" s="87">
        <f t="shared" si="363"/>
        <v>-12</v>
      </c>
      <c r="MQ32" s="87">
        <f t="shared" si="363"/>
        <v>-3</v>
      </c>
      <c r="MR32" s="87">
        <f t="shared" si="363"/>
        <v>6</v>
      </c>
      <c r="MS32" s="34" t="str">
        <f t="shared" si="36"/>
        <v>0010001000100000</v>
      </c>
      <c r="MT32" s="34" t="str">
        <f t="shared" si="37"/>
        <v>0010001000000000</v>
      </c>
      <c r="MU32" s="87">
        <f>MID(MS32,16,1)*POWER(2,0)+MID(MS32,15,1)*POWER(2,1)+MID(MS32,14,1)*POWER(2,2)+MID(MS32,13,1)*POWER(2,3)+MID(MS32,12,1)*POWER(2,4)+MID(MS32,11,1)*POWER(2,5)+MID(MS32,10,1)*POWER(2,6)+MID(MS32,9,1)*POWER(2,7)+MID(MS32,8,1)*POWER(2,8)+MID(MS32,7,1)*POWER(2,9)+MID(MS32,6,1)*POWER(2,10)+MID(MS32,5,1)*POWER(2,11)+MID(MS32,4,1)*POWER(2,12)+MID(MS32,3,1)*POWER(2,13)+MID(MS32,2,1)*POWER(2,14)+MID(MS32,1,1)*POWER(2,15)-(MID(MS33,16,1)*POWER(2,0)+MID(MS33,15,1)*POWER(2,1)+MID(MS33,14,1)*POWER(2,2)+MID(MS33,13,1)*POWER(2,3)+MID(MS33,12,1)*POWER(2,4)+MID(MS33,11,1)*POWER(2,5)+MID(MS33,10,1)*POWER(2,6)+MID(MS33,9,1)*POWER(2,7)+MID(MS33,8,1)*POWER(2,8)+MID(MS33,7,1)*POWER(2,9)+MID(MS33,6,1)*POWER(2,10)+MID(MS33,5,1)*POWER(2,11)+MID(MS33,4,1)*POWER(2,12)+MID(MS33,3,1)*POWER(2,13)+MID(MS33,2,1)*POWER(2,14)+MID(MS33,1,1)*POWER(2,15))</f>
        <v>6413</v>
      </c>
      <c r="MV32" s="87">
        <f>MID(MT32,16,1)*POWER(2,0)+MID(MT32,15,1)*POWER(2,1)+MID(MT32,14,1)*POWER(2,2)+MID(MT32,13,1)*POWER(2,3)+MID(MT32,12,1)*POWER(2,4)+MID(MT32,11,1)*POWER(2,5)+MID(MT32,10,1)*POWER(2,6)+MID(MT32,9,1)*POWER(2,7)+MID(MT32,8,1)*POWER(2,8)+MID(MT32,7,1)*POWER(2,9)+MID(MT32,6,1)*POWER(2,10)+MID(MT32,5,1)*POWER(2,11)+MID(MT32,4,1)*POWER(2,12)+MID(MT32,3,1)*POWER(2,13)+MID(MT32,2,1)*POWER(2,14)+MID(MT32,1,1)*POWER(2,15)-(MID(MT33,16,1)*POWER(2,0)+MID(MT33,15,1)*POWER(2,1)+MID(MT33,14,1)*POWER(2,2)+MID(MT33,13,1)*POWER(2,3)+MID(MT33,12,1)*POWER(2,4)+MID(MT33,11,1)*POWER(2,5)+MID(MT33,10,1)*POWER(2,6)+MID(MT33,9,1)*POWER(2,7)+MID(MT33,8,1)*POWER(2,8)+MID(MT33,7,1)*POWER(2,9)+MID(MT33,6,1)*POWER(2,10)+MID(MT33,5,1)*POWER(2,11)+MID(MT33,4,1)*POWER(2,12)+MID(MT33,3,1)*POWER(2,13)+MID(MT33,2,1)*POWER(2,14)+MID(MT33,1,1)*POWER(2,15))</f>
        <v>6142</v>
      </c>
    </row>
    <row r="33" spans="1:360" s="39" customFormat="1" ht="18.600000000000001" thickBot="1" x14ac:dyDescent="0.4">
      <c r="A33" s="36"/>
      <c r="B33" s="37"/>
      <c r="C33" s="51" t="s">
        <v>6</v>
      </c>
      <c r="D33" s="51" t="s">
        <v>156</v>
      </c>
      <c r="E33" s="51" t="s">
        <v>29</v>
      </c>
      <c r="F33" s="51">
        <v>55</v>
      </c>
      <c r="G33" s="51">
        <v>28</v>
      </c>
      <c r="H33" s="51" t="str">
        <f t="shared" si="278"/>
        <v>11111101110000100101010100101000</v>
      </c>
      <c r="I33" s="51">
        <f t="shared" si="279"/>
        <v>16</v>
      </c>
      <c r="J33" s="51"/>
      <c r="K33" s="51"/>
      <c r="L33" s="38" t="str">
        <f>CONCATENATE(MID(H33,4,5),MID(H33,25,3),MID(H33,12,5),MID(H33,1,3),MID(H33,20,5),MID(H33,9,3),MID(H33,28,5),MID(H33,17,3))</f>
        <v>11101001000101111010111001000010</v>
      </c>
      <c r="M33" s="34" t="str">
        <f t="shared" si="38"/>
        <v>11101</v>
      </c>
      <c r="N33" s="26" t="str">
        <f t="shared" si="39"/>
        <v>00010</v>
      </c>
      <c r="O33" s="26" t="str">
        <f t="shared" si="40"/>
        <v>10101</v>
      </c>
      <c r="P33" s="26" t="str">
        <f t="shared" si="41"/>
        <v>01000</v>
      </c>
      <c r="Q33" s="88"/>
      <c r="R33" s="88"/>
      <c r="S33" s="88"/>
      <c r="T33" s="88"/>
      <c r="U33" s="39" t="str">
        <f t="shared" si="42"/>
        <v>1110</v>
      </c>
      <c r="V33" s="39" t="str">
        <f t="shared" si="43"/>
        <v>1001</v>
      </c>
      <c r="W33" s="39" t="str">
        <f t="shared" si="44"/>
        <v>0001</v>
      </c>
      <c r="X33" s="39" t="str">
        <f t="shared" si="45"/>
        <v>0111</v>
      </c>
      <c r="Y33" s="39" t="str">
        <f t="shared" si="46"/>
        <v>1010</v>
      </c>
      <c r="Z33" s="39" t="str">
        <f t="shared" si="47"/>
        <v>1110</v>
      </c>
      <c r="AA33" s="39" t="str">
        <f t="shared" si="48"/>
        <v>0100</v>
      </c>
      <c r="AB33" s="39" t="str">
        <f t="shared" si="49"/>
        <v>0010</v>
      </c>
      <c r="AC33" s="88"/>
      <c r="AD33" s="88"/>
      <c r="AE33" s="88"/>
      <c r="AF33" s="88"/>
      <c r="AG33" s="88"/>
      <c r="AH33" s="88"/>
      <c r="AI33" s="88"/>
      <c r="AJ33" s="88"/>
      <c r="AK33" s="38" t="str">
        <f t="shared" si="3"/>
        <v>1110100100010111</v>
      </c>
      <c r="AL33" s="38" t="str">
        <f t="shared" si="4"/>
        <v>1010111001000010</v>
      </c>
      <c r="AM33" s="88"/>
      <c r="AN33" s="88"/>
      <c r="AO33" s="37" t="str">
        <f>CONCATENATE(MID($L33,1,1)*MID($K32,1,1),MID($L33,2,1)*MID($K32,2,1),MID($L33,3,1)*MID($K32,3,1),MID($L33,4,1)*MID($K32,4,1),MID($L33,5,1)*MID($K32,5,1),MID($L33,6,1)*MID($K32,6,1),MID($L33,7,1)*MID($K32,7,1),MID($L33,8,1)*MID($K32,8,1),MID($L33,9,1)*MID($K32,1,1),MID($L33,10,1)*MID($K32,2,1),MID($L33,11,1)*MID($K32,3,1),MID($L33,12,1)*MID($K32,4,1),MID($L33,13,1)*MID($K32,5,1),MID($L33,14,1)*MID($K32,6,1),MID($L33,15,1)*MID($K32,7,1),MID($L33,16,1)*MID($K32,8,1),MID($L33,17,1)*MID($K32,1,1),MID($L33,18,1)*MID($K32,2,1),MID($L33,19,1)*MID($K32,3,1),MID($L33,20,1)*MID($K32,4,1),MID($L33,21,1)*MID($K32,5,1),MID($L33,22,1)*MID($K32,6,1),MID($L33,23,1)*MID($K32,7,1),MID($L33,24,1)*MID($K32,8,1),MID($L33,25,1)*MID($K32,1,1),MID($L33,26,1)*MID($K32,2,1),MID($L33,27,1)*MID($K32,3,1),MID($L33,28,1)*MID($K32,4,1),MID($L33,29,1)*MID($K32,5,1),MID($L33,30,1)*MID($K32,6,1),MID($L33,31,1)*MID($K32,7,1),MID($L33,32,1)*MID($K32,8,1))</f>
        <v>01100001000000110010001001000010</v>
      </c>
      <c r="AP33" s="38" t="str">
        <f t="shared" si="50"/>
        <v>01100001</v>
      </c>
      <c r="AQ33" s="38" t="str">
        <f t="shared" si="51"/>
        <v>00000011</v>
      </c>
      <c r="AR33" s="38" t="str">
        <f t="shared" si="52"/>
        <v>00100010</v>
      </c>
      <c r="AS33" s="38" t="str">
        <f t="shared" si="53"/>
        <v>01000010</v>
      </c>
      <c r="AT33" s="88"/>
      <c r="AU33" s="88"/>
      <c r="AV33" s="88"/>
      <c r="AW33" s="88"/>
      <c r="AX33" s="39" t="str">
        <f t="shared" si="54"/>
        <v>1110</v>
      </c>
      <c r="AY33" s="39" t="str">
        <f t="shared" si="55"/>
        <v>1001</v>
      </c>
      <c r="AZ33" s="39" t="str">
        <f t="shared" si="56"/>
        <v>0001</v>
      </c>
      <c r="BA33" s="39" t="str">
        <f t="shared" si="57"/>
        <v>0111</v>
      </c>
      <c r="BB33" s="39" t="str">
        <f t="shared" si="58"/>
        <v>1010</v>
      </c>
      <c r="BC33" s="39" t="str">
        <f t="shared" si="59"/>
        <v>1110</v>
      </c>
      <c r="BD33" s="39" t="str">
        <f t="shared" si="60"/>
        <v>0100</v>
      </c>
      <c r="BE33" s="39" t="str">
        <f t="shared" si="61"/>
        <v>0010</v>
      </c>
      <c r="BF33" s="88"/>
      <c r="BG33" s="88"/>
      <c r="BH33" s="88"/>
      <c r="BI33" s="88"/>
      <c r="BJ33" s="88"/>
      <c r="BK33" s="88"/>
      <c r="BL33" s="88"/>
      <c r="BM33" s="88"/>
      <c r="BN33" s="38" t="str">
        <f t="shared" si="6"/>
        <v>0110000100000011</v>
      </c>
      <c r="BO33" s="38" t="str">
        <f t="shared" si="7"/>
        <v>0010001001000010</v>
      </c>
      <c r="BP33" s="88"/>
      <c r="BQ33" s="88"/>
      <c r="BR33" s="37" t="str">
        <f>L33</f>
        <v>11101001000101111010111001000010</v>
      </c>
      <c r="BS33" s="38" t="str">
        <f t="shared" si="62"/>
        <v>11101001</v>
      </c>
      <c r="BT33" s="38" t="str">
        <f t="shared" si="63"/>
        <v>00010111</v>
      </c>
      <c r="BU33" s="38" t="str">
        <f t="shared" si="64"/>
        <v>10101110</v>
      </c>
      <c r="BV33" s="38" t="str">
        <f t="shared" si="65"/>
        <v>01000010</v>
      </c>
      <c r="BW33" s="88"/>
      <c r="BX33" s="88"/>
      <c r="BY33" s="88"/>
      <c r="BZ33" s="88"/>
      <c r="CA33" s="39" t="str">
        <f t="shared" si="66"/>
        <v>1110</v>
      </c>
      <c r="CB33" s="39" t="str">
        <f t="shared" si="67"/>
        <v>1001</v>
      </c>
      <c r="CC33" s="39" t="str">
        <f t="shared" si="68"/>
        <v>0001</v>
      </c>
      <c r="CD33" s="39" t="str">
        <f t="shared" si="69"/>
        <v>0111</v>
      </c>
      <c r="CE33" s="39" t="str">
        <f t="shared" si="70"/>
        <v>1010</v>
      </c>
      <c r="CF33" s="39" t="str">
        <f t="shared" si="71"/>
        <v>1110</v>
      </c>
      <c r="CG33" s="39" t="str">
        <f t="shared" si="72"/>
        <v>0100</v>
      </c>
      <c r="CH33" s="39" t="str">
        <f t="shared" si="73"/>
        <v>0010</v>
      </c>
      <c r="CI33" s="88"/>
      <c r="CJ33" s="88"/>
      <c r="CK33" s="88"/>
      <c r="CL33" s="88"/>
      <c r="CM33" s="88"/>
      <c r="CN33" s="88"/>
      <c r="CO33" s="88"/>
      <c r="CP33" s="88"/>
      <c r="CQ33" s="38" t="str">
        <f t="shared" si="9"/>
        <v>1110100100010111</v>
      </c>
      <c r="CR33" s="38" t="str">
        <f t="shared" si="10"/>
        <v>1010111001000010</v>
      </c>
      <c r="CS33" s="88"/>
      <c r="CT33" s="88"/>
      <c r="CU33" s="37" t="str">
        <f>AO33</f>
        <v>01100001000000110010001001000010</v>
      </c>
      <c r="CV33" s="38" t="str">
        <f t="shared" si="74"/>
        <v>01100001</v>
      </c>
      <c r="CW33" s="38" t="str">
        <f t="shared" si="75"/>
        <v>00000011</v>
      </c>
      <c r="CX33" s="38" t="str">
        <f t="shared" si="76"/>
        <v>00100010</v>
      </c>
      <c r="CY33" s="38" t="str">
        <f t="shared" si="77"/>
        <v>01000010</v>
      </c>
      <c r="CZ33" s="88"/>
      <c r="DA33" s="88"/>
      <c r="DB33" s="88"/>
      <c r="DC33" s="88"/>
      <c r="DD33" s="39" t="str">
        <f t="shared" si="78"/>
        <v>1110</v>
      </c>
      <c r="DE33" s="39" t="str">
        <f t="shared" si="79"/>
        <v>1001</v>
      </c>
      <c r="DF33" s="39" t="str">
        <f t="shared" si="80"/>
        <v>0001</v>
      </c>
      <c r="DG33" s="39" t="str">
        <f t="shared" si="81"/>
        <v>0111</v>
      </c>
      <c r="DH33" s="39" t="str">
        <f t="shared" si="82"/>
        <v>1010</v>
      </c>
      <c r="DI33" s="39" t="str">
        <f t="shared" si="83"/>
        <v>1110</v>
      </c>
      <c r="DJ33" s="39" t="str">
        <f t="shared" si="84"/>
        <v>0100</v>
      </c>
      <c r="DK33" s="39" t="str">
        <f t="shared" si="85"/>
        <v>0010</v>
      </c>
      <c r="DL33" s="88"/>
      <c r="DM33" s="88"/>
      <c r="DN33" s="88"/>
      <c r="DO33" s="88"/>
      <c r="DP33" s="88"/>
      <c r="DQ33" s="88"/>
      <c r="DR33" s="88"/>
      <c r="DS33" s="88"/>
      <c r="DT33" s="38" t="str">
        <f t="shared" si="12"/>
        <v>0110000100000011</v>
      </c>
      <c r="DU33" s="38" t="str">
        <f t="shared" si="13"/>
        <v>0010001001000010</v>
      </c>
      <c r="DV33" s="88"/>
      <c r="DW33" s="88"/>
      <c r="DX33" s="37" t="str">
        <f>CONCATENATE(MID($H33,1,1)*MID($K32,1,1),MID($H33,2,1)*MID($K32,2,1),MID($H33,3,1)*MID($K32,3,1),MID($H33,4,1)*MID($K32,4,1),MID($H33,5,1)*MID($K32,5,1),MID($H33,6,1)*MID($K32,6,1),MID($H33,7,1)*MID($K32,7,1),MID($H33,8,1)*MID($K32,8,1),MID($H33,9,1)*MID($K32,1,1),MID($H33,10,1)*MID($K32,2,1),MID($H33,11,1)*MID($K32,3,1),MID($H33,12,1)*MID($K32,4,1),MID($H33,13,1)*MID($K32,5,1),MID($H33,14,1)*MID($K32,6,1),MID($H33,15,1)*MID($K32,7,1),MID($H33,16,1)*MID($K32,8,1),MID($H33,17,1)*MID($K32,1,1),MID($H33,18,1)*MID($K32,2,1),MID($H33,19,1)*MID($K32,3,1),MID($H33,20,1)*MID($K32,4,1),MID($H33,21,1)*MID($K32,5,1),MID($H33,22,1)*MID($K32,6,1),MID($H33,23,1)*MID($K32,7,1),MID($H33,24,1)*MID($K32,8,1),MID($H33,25,1)*MID($K32,1,1),MID($H33,26,1)*MID($K32,2,1),MID($H33,27,1)*MID($K32,3,1),MID($H33,28,1)*MID($K32,4,1),MID($H33,29,1)*MID($K32,5,1),MID($H33,30,1)*MID($K32,6,1),MID($H33,31,1)*MID($K32,7,1),MID($H33,32,1)*MID($K32,8,1))</f>
        <v>01100001010000100100000100100000</v>
      </c>
      <c r="DY33" s="38" t="str">
        <f>CONCATENATE(MID(DX33,4,5),MID(DX33,25,3),MID(DX33,12,5),MID(DX33,1,3),MID(DX33,20,5),MID(DX33,9,3),MID(DX33,28,5),MID(DX33,17,3))</f>
        <v>00001001000100110000101000000010</v>
      </c>
      <c r="DZ33" s="38" t="str">
        <f t="shared" si="178"/>
        <v>00001001</v>
      </c>
      <c r="EA33" s="38" t="str">
        <f t="shared" si="86"/>
        <v>00010011</v>
      </c>
      <c r="EB33" s="38" t="str">
        <f t="shared" si="87"/>
        <v>00001010</v>
      </c>
      <c r="EC33" s="38" t="str">
        <f t="shared" si="88"/>
        <v>00000010</v>
      </c>
      <c r="ED33" s="88"/>
      <c r="EE33" s="88"/>
      <c r="EF33" s="88"/>
      <c r="EG33" s="88"/>
      <c r="EH33" s="39" t="str">
        <f t="shared" si="89"/>
        <v>1110</v>
      </c>
      <c r="EI33" s="39" t="str">
        <f t="shared" si="90"/>
        <v>1001</v>
      </c>
      <c r="EJ33" s="39" t="str">
        <f t="shared" si="91"/>
        <v>0001</v>
      </c>
      <c r="EK33" s="39" t="str">
        <f t="shared" si="92"/>
        <v>0111</v>
      </c>
      <c r="EL33" s="39" t="str">
        <f t="shared" si="93"/>
        <v>1010</v>
      </c>
      <c r="EM33" s="39" t="str">
        <f t="shared" si="94"/>
        <v>1110</v>
      </c>
      <c r="EN33" s="39" t="str">
        <f t="shared" si="95"/>
        <v>0100</v>
      </c>
      <c r="EO33" s="39" t="str">
        <f t="shared" si="96"/>
        <v>0010</v>
      </c>
      <c r="EP33" s="88"/>
      <c r="EQ33" s="88"/>
      <c r="ER33" s="88"/>
      <c r="ES33" s="88"/>
      <c r="ET33" s="88"/>
      <c r="EU33" s="88"/>
      <c r="EV33" s="88"/>
      <c r="EW33" s="88"/>
      <c r="EX33" s="38" t="str">
        <f t="shared" si="15"/>
        <v>0000100100010011</v>
      </c>
      <c r="EY33" s="38" t="str">
        <f t="shared" si="16"/>
        <v>0000101000000010</v>
      </c>
      <c r="EZ33" s="88"/>
      <c r="FA33" s="88"/>
      <c r="FB33" s="37" t="str">
        <f>CONCATENATE(MID(DY33,1,1)*MID($K32,1,1),MID(DY33,2,1)*MID($K32,2,1),MID(DY33,3,1)*MID($K32,3,1),MID(DY33,4,1)*MID($K32,4,1),MID(DY33,5,1)*MID($K32,5,1),MID(DY33,6,1)*MID($K32,6,1),MID(DY33,7,1)*MID($K32,7,1),MID(DY33,8,1)*MID($K32,8,1),MID(DY33,9,1)*MID($K32,1,1),MID(DY33,10,1)*MID($K32,2,1),MID(DY33,11,1)*MID($K32,3,1),MID(DY33,12,1)*MID($K32,4,1),MID(DY33,13,1)*MID($K32,5,1),MID(DY33,14,1)*MID($K32,6,1),MID(DY33,15,1)*MID($K32,7,1),MID(DY33,16,1)*MID($K32,8,1),MID(DY33,17,1)*MID($K32,1,1),MID(DY33,18,1)*MID($K32,2,1),MID(DY33,19,1)*MID($K32,3,1),MID(DY33,20,1)*MID($K32,4,1),MID(DY33,21,1)*MID($K32,5,1),MID(DY33,22,1)*MID($K32,6,1),MID(DY33,23,1)*MID($K32,7,1),MID(DY33,24,1)*MID($K32,8,1),MID(DY33,25,1)*MID($K32,1,1),MID(DY33,26,1)*MID($K32,2,1),MID(DY33,27,1)*MID($K32,3,1),MID(DY33,28,1)*MID($K32,4,1),MID(DY33,29,1)*MID($K32,5,1),MID(DY33,30,1)*MID($K32,6,1),MID(DY33,31,1)*MID($K32,7,1),MID(DY33,32,1)*MID($K32,8,1))</f>
        <v>00000001000000110000001000000010</v>
      </c>
      <c r="FC33" s="38" t="str">
        <f t="shared" si="180"/>
        <v>00000001</v>
      </c>
      <c r="FD33" s="38" t="str">
        <f t="shared" si="97"/>
        <v>00000011</v>
      </c>
      <c r="FE33" s="38" t="str">
        <f t="shared" si="98"/>
        <v>00000010</v>
      </c>
      <c r="FF33" s="38" t="str">
        <f t="shared" si="99"/>
        <v>00000010</v>
      </c>
      <c r="FG33" s="88"/>
      <c r="FH33" s="88"/>
      <c r="FI33" s="88"/>
      <c r="FJ33" s="88"/>
      <c r="FK33" s="39" t="str">
        <f t="shared" si="100"/>
        <v>1110</v>
      </c>
      <c r="FL33" s="39" t="str">
        <f t="shared" si="101"/>
        <v>1001</v>
      </c>
      <c r="FM33" s="39" t="str">
        <f t="shared" si="102"/>
        <v>0001</v>
      </c>
      <c r="FN33" s="39" t="str">
        <f t="shared" si="103"/>
        <v>0111</v>
      </c>
      <c r="FO33" s="39" t="str">
        <f t="shared" si="104"/>
        <v>1010</v>
      </c>
      <c r="FP33" s="39" t="str">
        <f t="shared" si="105"/>
        <v>1110</v>
      </c>
      <c r="FQ33" s="39" t="str">
        <f t="shared" si="106"/>
        <v>0100</v>
      </c>
      <c r="FR33" s="39" t="str">
        <f t="shared" si="107"/>
        <v>0010</v>
      </c>
      <c r="FS33" s="88"/>
      <c r="FT33" s="88"/>
      <c r="FU33" s="88"/>
      <c r="FV33" s="88"/>
      <c r="FW33" s="88"/>
      <c r="FX33" s="88"/>
      <c r="FY33" s="88"/>
      <c r="FZ33" s="88"/>
      <c r="GA33" s="38" t="str">
        <f t="shared" si="18"/>
        <v>0000000100000011</v>
      </c>
      <c r="GB33" s="38" t="str">
        <f t="shared" si="19"/>
        <v>0000001000000010</v>
      </c>
      <c r="GC33" s="88"/>
      <c r="GD33" s="88"/>
      <c r="GE33" s="39" t="str">
        <f>DY33</f>
        <v>00001001000100110000101000000010</v>
      </c>
      <c r="GF33" s="38" t="str">
        <f t="shared" si="182"/>
        <v>00001001</v>
      </c>
      <c r="GG33" s="38" t="str">
        <f t="shared" si="108"/>
        <v>00010011</v>
      </c>
      <c r="GH33" s="38" t="str">
        <f t="shared" si="109"/>
        <v>00001010</v>
      </c>
      <c r="GI33" s="38" t="str">
        <f t="shared" si="110"/>
        <v>00000010</v>
      </c>
      <c r="GJ33" s="88"/>
      <c r="GK33" s="88"/>
      <c r="GL33" s="88"/>
      <c r="GM33" s="88"/>
      <c r="GN33" s="39" t="str">
        <f t="shared" si="111"/>
        <v>1110</v>
      </c>
      <c r="GO33" s="39" t="str">
        <f t="shared" si="112"/>
        <v>1001</v>
      </c>
      <c r="GP33" s="39" t="str">
        <f t="shared" si="113"/>
        <v>0001</v>
      </c>
      <c r="GQ33" s="39" t="str">
        <f t="shared" si="114"/>
        <v>0111</v>
      </c>
      <c r="GR33" s="39" t="str">
        <f t="shared" si="115"/>
        <v>1010</v>
      </c>
      <c r="GS33" s="39" t="str">
        <f t="shared" si="116"/>
        <v>1110</v>
      </c>
      <c r="GT33" s="39" t="str">
        <f t="shared" si="117"/>
        <v>0100</v>
      </c>
      <c r="GU33" s="39" t="str">
        <f t="shared" si="118"/>
        <v>0010</v>
      </c>
      <c r="GV33" s="88"/>
      <c r="GW33" s="88"/>
      <c r="GX33" s="88"/>
      <c r="GY33" s="88"/>
      <c r="GZ33" s="88"/>
      <c r="HA33" s="88"/>
      <c r="HB33" s="88"/>
      <c r="HC33" s="88"/>
      <c r="HD33" s="38" t="str">
        <f t="shared" si="21"/>
        <v>0000100100010011</v>
      </c>
      <c r="HE33" s="38" t="str">
        <f t="shared" si="22"/>
        <v>0000101000000010</v>
      </c>
      <c r="HF33" s="88"/>
      <c r="HG33" s="88"/>
      <c r="HH33" s="39" t="str">
        <f>FB33</f>
        <v>00000001000000110000001000000010</v>
      </c>
      <c r="HI33" s="38" t="str">
        <f t="shared" si="184"/>
        <v>00000001</v>
      </c>
      <c r="HJ33" s="38" t="str">
        <f t="shared" si="119"/>
        <v>00000011</v>
      </c>
      <c r="HK33" s="38" t="str">
        <f t="shared" si="120"/>
        <v>00000010</v>
      </c>
      <c r="HL33" s="38" t="str">
        <f t="shared" si="121"/>
        <v>00000010</v>
      </c>
      <c r="HM33" s="88"/>
      <c r="HN33" s="88"/>
      <c r="HO33" s="88"/>
      <c r="HP33" s="88"/>
      <c r="HQ33" s="39" t="str">
        <f t="shared" si="122"/>
        <v>1110</v>
      </c>
      <c r="HR33" s="39" t="str">
        <f t="shared" si="123"/>
        <v>1001</v>
      </c>
      <c r="HS33" s="39" t="str">
        <f t="shared" si="124"/>
        <v>0001</v>
      </c>
      <c r="HT33" s="39" t="str">
        <f t="shared" si="125"/>
        <v>0111</v>
      </c>
      <c r="HU33" s="39" t="str">
        <f t="shared" si="126"/>
        <v>1010</v>
      </c>
      <c r="HV33" s="39" t="str">
        <f t="shared" si="127"/>
        <v>1110</v>
      </c>
      <c r="HW33" s="39" t="str">
        <f t="shared" si="128"/>
        <v>0100</v>
      </c>
      <c r="HX33" s="39" t="str">
        <f t="shared" si="129"/>
        <v>0010</v>
      </c>
      <c r="HY33" s="88"/>
      <c r="HZ33" s="88"/>
      <c r="IA33" s="88"/>
      <c r="IB33" s="88"/>
      <c r="IC33" s="88"/>
      <c r="ID33" s="88"/>
      <c r="IE33" s="88"/>
      <c r="IF33" s="88"/>
      <c r="IG33" s="38" t="str">
        <f t="shared" si="24"/>
        <v>0000000100000011</v>
      </c>
      <c r="IH33" s="38" t="str">
        <f t="shared" si="25"/>
        <v>0000001000000010</v>
      </c>
      <c r="II33" s="88"/>
      <c r="IJ33" s="88"/>
      <c r="IK33" s="38" t="str">
        <f>L33</f>
        <v>11101001000101111010111001000010</v>
      </c>
      <c r="IL33" s="38" t="str">
        <f t="shared" si="186"/>
        <v>11101001</v>
      </c>
      <c r="IM33" s="38" t="str">
        <f t="shared" si="130"/>
        <v>00010111</v>
      </c>
      <c r="IN33" s="38" t="str">
        <f t="shared" si="131"/>
        <v>10101110</v>
      </c>
      <c r="IO33" s="38" t="str">
        <f t="shared" si="132"/>
        <v>01000010</v>
      </c>
      <c r="IP33" s="88"/>
      <c r="IQ33" s="88"/>
      <c r="IR33" s="88"/>
      <c r="IS33" s="88"/>
      <c r="IT33" s="39" t="str">
        <f t="shared" si="133"/>
        <v>1110</v>
      </c>
      <c r="IU33" s="39" t="str">
        <f t="shared" si="134"/>
        <v>1001</v>
      </c>
      <c r="IV33" s="39" t="str">
        <f t="shared" si="135"/>
        <v>0001</v>
      </c>
      <c r="IW33" s="39" t="str">
        <f t="shared" si="136"/>
        <v>0111</v>
      </c>
      <c r="IX33" s="39" t="str">
        <f t="shared" si="137"/>
        <v>1010</v>
      </c>
      <c r="IY33" s="39" t="str">
        <f t="shared" si="138"/>
        <v>1110</v>
      </c>
      <c r="IZ33" s="39" t="str">
        <f t="shared" si="139"/>
        <v>0100</v>
      </c>
      <c r="JA33" s="39" t="str">
        <f t="shared" si="140"/>
        <v>0010</v>
      </c>
      <c r="JB33" s="88"/>
      <c r="JC33" s="88"/>
      <c r="JD33" s="88"/>
      <c r="JE33" s="88"/>
      <c r="JF33" s="88"/>
      <c r="JG33" s="88"/>
      <c r="JH33" s="88"/>
      <c r="JI33" s="88"/>
      <c r="JJ33" s="38" t="str">
        <f t="shared" si="27"/>
        <v>1110100100010111</v>
      </c>
      <c r="JK33" s="38" t="str">
        <f t="shared" si="28"/>
        <v>1010111001000010</v>
      </c>
      <c r="JL33" s="88"/>
      <c r="JM33" s="88"/>
      <c r="JN33" s="37" t="str">
        <f>L33</f>
        <v>11101001000101111010111001000010</v>
      </c>
      <c r="JO33" s="38" t="str">
        <f t="shared" si="188"/>
        <v>11101001</v>
      </c>
      <c r="JP33" s="38" t="str">
        <f t="shared" si="141"/>
        <v>00010111</v>
      </c>
      <c r="JQ33" s="38" t="str">
        <f t="shared" si="142"/>
        <v>10101110</v>
      </c>
      <c r="JR33" s="38" t="str">
        <f t="shared" si="143"/>
        <v>01000010</v>
      </c>
      <c r="JS33" s="88"/>
      <c r="JT33" s="88"/>
      <c r="JU33" s="88"/>
      <c r="JV33" s="88"/>
      <c r="JW33" s="39" t="str">
        <f t="shared" si="144"/>
        <v>1110</v>
      </c>
      <c r="JX33" s="39" t="str">
        <f t="shared" si="145"/>
        <v>1001</v>
      </c>
      <c r="JY33" s="39" t="str">
        <f t="shared" si="146"/>
        <v>0001</v>
      </c>
      <c r="JZ33" s="39" t="str">
        <f t="shared" si="147"/>
        <v>0111</v>
      </c>
      <c r="KA33" s="39" t="str">
        <f t="shared" si="148"/>
        <v>1010</v>
      </c>
      <c r="KB33" s="39" t="str">
        <f t="shared" si="149"/>
        <v>1110</v>
      </c>
      <c r="KC33" s="39" t="str">
        <f t="shared" si="150"/>
        <v>0100</v>
      </c>
      <c r="KD33" s="39" t="str">
        <f t="shared" si="151"/>
        <v>0010</v>
      </c>
      <c r="KE33" s="88"/>
      <c r="KF33" s="88"/>
      <c r="KG33" s="88"/>
      <c r="KH33" s="88"/>
      <c r="KI33" s="88"/>
      <c r="KJ33" s="88"/>
      <c r="KK33" s="88"/>
      <c r="KL33" s="88"/>
      <c r="KM33" s="38" t="str">
        <f t="shared" si="30"/>
        <v>1110100100010111</v>
      </c>
      <c r="KN33" s="38" t="str">
        <f t="shared" si="31"/>
        <v>1010111001000010</v>
      </c>
      <c r="KO33" s="88"/>
      <c r="KP33" s="88"/>
      <c r="KQ33" s="39" t="str">
        <f>AO33</f>
        <v>01100001000000110010001001000010</v>
      </c>
      <c r="KR33" s="38" t="str">
        <f t="shared" si="190"/>
        <v>01100001</v>
      </c>
      <c r="KS33" s="38" t="str">
        <f t="shared" si="152"/>
        <v>00000011</v>
      </c>
      <c r="KT33" s="38" t="str">
        <f t="shared" si="153"/>
        <v>00100010</v>
      </c>
      <c r="KU33" s="38" t="str">
        <f t="shared" si="154"/>
        <v>01000010</v>
      </c>
      <c r="KV33" s="88"/>
      <c r="KW33" s="88"/>
      <c r="KX33" s="88"/>
      <c r="KY33" s="88"/>
      <c r="KZ33" s="39" t="str">
        <f t="shared" si="155"/>
        <v>1110</v>
      </c>
      <c r="LA33" s="39" t="str">
        <f t="shared" si="156"/>
        <v>1001</v>
      </c>
      <c r="LB33" s="39" t="str">
        <f t="shared" si="157"/>
        <v>0001</v>
      </c>
      <c r="LC33" s="39" t="str">
        <f t="shared" si="158"/>
        <v>0111</v>
      </c>
      <c r="LD33" s="39" t="str">
        <f t="shared" si="159"/>
        <v>1010</v>
      </c>
      <c r="LE33" s="39" t="str">
        <f t="shared" si="160"/>
        <v>1110</v>
      </c>
      <c r="LF33" s="39" t="str">
        <f t="shared" si="161"/>
        <v>0100</v>
      </c>
      <c r="LG33" s="39" t="str">
        <f t="shared" si="162"/>
        <v>0010</v>
      </c>
      <c r="LH33" s="88"/>
      <c r="LI33" s="88"/>
      <c r="LJ33" s="88"/>
      <c r="LK33" s="88"/>
      <c r="LL33" s="88"/>
      <c r="LM33" s="88"/>
      <c r="LN33" s="88"/>
      <c r="LO33" s="88"/>
      <c r="LP33" s="38" t="str">
        <f t="shared" si="33"/>
        <v>0110000100000011</v>
      </c>
      <c r="LQ33" s="38" t="str">
        <f t="shared" si="34"/>
        <v>0010001001000010</v>
      </c>
      <c r="LR33" s="88"/>
      <c r="LS33" s="88"/>
      <c r="LT33" s="39" t="str">
        <f>GE33</f>
        <v>00001001000100110000101000000010</v>
      </c>
      <c r="LU33" s="38" t="str">
        <f t="shared" si="192"/>
        <v>00001001</v>
      </c>
      <c r="LV33" s="38" t="str">
        <f t="shared" si="163"/>
        <v>00010011</v>
      </c>
      <c r="LW33" s="38" t="str">
        <f t="shared" si="164"/>
        <v>00001010</v>
      </c>
      <c r="LX33" s="38" t="str">
        <f t="shared" si="165"/>
        <v>00000010</v>
      </c>
      <c r="LY33" s="88"/>
      <c r="LZ33" s="88"/>
      <c r="MA33" s="88"/>
      <c r="MB33" s="88"/>
      <c r="MC33" s="39" t="str">
        <f t="shared" si="166"/>
        <v>1110</v>
      </c>
      <c r="MD33" s="39" t="str">
        <f t="shared" si="167"/>
        <v>1001</v>
      </c>
      <c r="ME33" s="39" t="str">
        <f t="shared" si="168"/>
        <v>0001</v>
      </c>
      <c r="MF33" s="39" t="str">
        <f t="shared" si="169"/>
        <v>0111</v>
      </c>
      <c r="MG33" s="39" t="str">
        <f t="shared" si="170"/>
        <v>1010</v>
      </c>
      <c r="MH33" s="39" t="str">
        <f t="shared" si="171"/>
        <v>1110</v>
      </c>
      <c r="MI33" s="39" t="str">
        <f t="shared" si="172"/>
        <v>0100</v>
      </c>
      <c r="MJ33" s="39" t="str">
        <f t="shared" si="173"/>
        <v>0010</v>
      </c>
      <c r="MK33" s="88"/>
      <c r="ML33" s="88"/>
      <c r="MM33" s="88"/>
      <c r="MN33" s="88"/>
      <c r="MO33" s="88"/>
      <c r="MP33" s="88"/>
      <c r="MQ33" s="88"/>
      <c r="MR33" s="88"/>
      <c r="MS33" s="38" t="str">
        <f t="shared" si="36"/>
        <v>0000100100010011</v>
      </c>
      <c r="MT33" s="38" t="str">
        <f t="shared" si="37"/>
        <v>0000101000000010</v>
      </c>
      <c r="MU33" s="88"/>
      <c r="MV33" s="88"/>
    </row>
    <row r="34" spans="1:360" s="35" customFormat="1" ht="18.600000000000001" thickBot="1" x14ac:dyDescent="0.4">
      <c r="A34" s="32"/>
      <c r="B34" s="33"/>
      <c r="C34" s="50" t="s">
        <v>0</v>
      </c>
      <c r="D34" s="50">
        <v>65</v>
      </c>
      <c r="E34" s="50">
        <v>25</v>
      </c>
      <c r="F34" s="50" t="s">
        <v>35</v>
      </c>
      <c r="G34" s="50" t="s">
        <v>79</v>
      </c>
      <c r="H34" s="50" t="str">
        <f t="shared" si="278"/>
        <v>01100101001001011101011001111110</v>
      </c>
      <c r="I34" s="50">
        <f t="shared" si="279"/>
        <v>18</v>
      </c>
      <c r="J34" s="50">
        <v>63</v>
      </c>
      <c r="K34" s="50" t="str">
        <f>HEX2BIN(J34,8)</f>
        <v>01100011</v>
      </c>
      <c r="L34" s="34" t="str">
        <f>CONCATENATE(MID(H34,17,16),MID(H34,1,16))</f>
        <v>11010110011111100110010100100101</v>
      </c>
      <c r="M34" s="34" t="str">
        <f t="shared" si="38"/>
        <v>11010</v>
      </c>
      <c r="N34" s="26" t="str">
        <f t="shared" si="39"/>
        <v>01111</v>
      </c>
      <c r="O34" s="26" t="str">
        <f t="shared" si="40"/>
        <v>01100</v>
      </c>
      <c r="P34" s="26" t="str">
        <f t="shared" si="41"/>
        <v>00100</v>
      </c>
      <c r="Q34" s="87">
        <f>BIN2DEC(M34)-BIN2DEC(M35)</f>
        <v>7</v>
      </c>
      <c r="R34" s="87">
        <f>BIN2DEC(N34)-BIN2DEC(N35)</f>
        <v>-13</v>
      </c>
      <c r="S34" s="87">
        <f>BIN2DEC(O34)-BIN2DEC(O35)</f>
        <v>-18</v>
      </c>
      <c r="T34" s="87">
        <f>BIN2DEC(P34)-BIN2DEC(P35)</f>
        <v>-5</v>
      </c>
      <c r="U34" s="35" t="str">
        <f t="shared" si="42"/>
        <v>1101</v>
      </c>
      <c r="V34" s="35" t="str">
        <f t="shared" si="43"/>
        <v>0110</v>
      </c>
      <c r="W34" s="35" t="str">
        <f t="shared" si="44"/>
        <v>0111</v>
      </c>
      <c r="X34" s="35" t="str">
        <f t="shared" si="45"/>
        <v>1110</v>
      </c>
      <c r="Y34" s="35" t="str">
        <f t="shared" si="46"/>
        <v>0110</v>
      </c>
      <c r="Z34" s="35" t="str">
        <f t="shared" si="47"/>
        <v>0101</v>
      </c>
      <c r="AA34" s="35" t="str">
        <f t="shared" si="48"/>
        <v>0010</v>
      </c>
      <c r="AB34" s="35" t="str">
        <f t="shared" si="49"/>
        <v>0101</v>
      </c>
      <c r="AC34" s="87">
        <f>BIN2DEC(U34)-BIN2DEC(U35)</f>
        <v>4</v>
      </c>
      <c r="AD34" s="87">
        <f t="shared" ref="AD34:AI34" si="364">BIN2DEC(V34)-BIN2DEC(V35)</f>
        <v>-7</v>
      </c>
      <c r="AE34" s="87">
        <f t="shared" si="364"/>
        <v>-7</v>
      </c>
      <c r="AF34" s="87">
        <f t="shared" si="364"/>
        <v>12</v>
      </c>
      <c r="AG34" s="87">
        <f t="shared" si="364"/>
        <v>-9</v>
      </c>
      <c r="AH34" s="87">
        <f t="shared" si="364"/>
        <v>4</v>
      </c>
      <c r="AI34" s="87">
        <f t="shared" si="364"/>
        <v>-2</v>
      </c>
      <c r="AJ34" s="87">
        <f>BIN2DEC(AB34)-BIN2DEC(AB35)</f>
        <v>-10</v>
      </c>
      <c r="AK34" s="34" t="str">
        <f t="shared" si="3"/>
        <v>1101011001111110</v>
      </c>
      <c r="AL34" s="34" t="str">
        <f t="shared" si="4"/>
        <v>0110010100100101</v>
      </c>
      <c r="AM34" s="87">
        <f>MID(AK34,16,1)*POWER(2,0)+MID(AK34,15,1)*POWER(2,1)+MID(AK34,14,1)*POWER(2,2)+MID(AK34,13,1)*POWER(2,3)+MID(AK34,12,1)*POWER(2,4)+MID(AK34,11,1)*POWER(2,5)+MID(AK34,10,1)*POWER(2,6)+MID(AK34,9,1)*POWER(2,7)+MID(AK34,8,1)*POWER(2,8)+MID(AK34,7,1)*POWER(2,9)+MID(AK34,6,1)*POWER(2,10)+MID(AK34,5,1)*POWER(2,11)+MID(AK34,4,1)*POWER(2,12)+MID(AK34,3,1)*POWER(2,13)+MID(AK34,2,1)*POWER(2,14)+MID(AK34,1,1)*POWER(2,15)-(MID(AK35,16,1)*POWER(2,0)+MID(AK35,15,1)*POWER(2,1)+MID(AK35,14,1)*POWER(2,2)+MID(AK35,13,1)*POWER(2,3)+MID(AK35,12,1)*POWER(2,4)+MID(AK35,11,1)*POWER(2,5)+MID(AK35,10,1)*POWER(2,6)+MID(AK35,9,1)*POWER(2,7)+MID(AK35,8,1)*POWER(2,8)+MID(AK35,7,1)*POWER(2,9)+MID(AK35,6,1)*POWER(2,10)+MID(AK35,5,1)*POWER(2,11)+MID(AK35,4,1)*POWER(2,12)+MID(AK35,3,1)*POWER(2,13)+MID(AK35,2,1)*POWER(2,14)+MID(AK35,1,1)*POWER(2,15))</f>
        <v>14492</v>
      </c>
      <c r="AN34" s="87">
        <f>MID(AL34,16,1)*POWER(2,0)+MID(AL34,15,1)*POWER(2,1)+MID(AL34,14,1)*POWER(2,2)+MID(AL34,13,1)*POWER(2,3)+MID(AL34,12,1)*POWER(2,4)+MID(AL34,11,1)*POWER(2,5)+MID(AL34,10,1)*POWER(2,6)+MID(AL34,9,1)*POWER(2,7)+MID(AL34,8,1)*POWER(2,8)+MID(AL34,7,1)*POWER(2,9)+MID(AL34,6,1)*POWER(2,10)+MID(AL34,5,1)*POWER(2,11)+MID(AL34,4,1)*POWER(2,12)+MID(AL34,3,1)*POWER(2,13)+MID(AL34,2,1)*POWER(2,14)+MID(AL34,1,1)*POWER(2,15)-(MID(AL35,16,1)*POWER(2,0)+MID(AL35,15,1)*POWER(2,1)+MID(AL35,14,1)*POWER(2,2)+MID(AL35,13,1)*POWER(2,3)+MID(AL35,12,1)*POWER(2,4)+MID(AL35,11,1)*POWER(2,5)+MID(AL35,10,1)*POWER(2,6)+MID(AL35,9,1)*POWER(2,7)+MID(AL35,8,1)*POWER(2,8)+MID(AL35,7,1)*POWER(2,9)+MID(AL35,6,1)*POWER(2,10)+MID(AL35,5,1)*POWER(2,11)+MID(AL35,4,1)*POWER(2,12)+MID(AL35,3,1)*POWER(2,13)+MID(AL35,2,1)*POWER(2,14)+MID(AL35,1,1)*POWER(2,15))</f>
        <v>-35882</v>
      </c>
      <c r="AO34" s="33" t="str">
        <f>L34</f>
        <v>11010110011111100110010100100101</v>
      </c>
      <c r="AP34" s="34" t="str">
        <f t="shared" si="50"/>
        <v>11010110</v>
      </c>
      <c r="AQ34" s="34" t="str">
        <f t="shared" si="51"/>
        <v>01111110</v>
      </c>
      <c r="AR34" s="34" t="str">
        <f t="shared" si="52"/>
        <v>01100101</v>
      </c>
      <c r="AS34" s="34" t="str">
        <f t="shared" si="53"/>
        <v>00100101</v>
      </c>
      <c r="AT34" s="87">
        <f>BIN2DEC(AP34)-BIN2DEC(AP35)</f>
        <v>213</v>
      </c>
      <c r="AU34" s="87">
        <f>BIN2DEC(AQ34)-BIN2DEC(AQ35)</f>
        <v>28</v>
      </c>
      <c r="AV34" s="87">
        <f>BIN2DEC(AR34)-BIN2DEC(AR35)</f>
        <v>4</v>
      </c>
      <c r="AW34" s="87">
        <f>BIN2DEC(AS34)-BIN2DEC(AS35)</f>
        <v>-30</v>
      </c>
      <c r="AX34" s="35" t="str">
        <f t="shared" si="54"/>
        <v>1101</v>
      </c>
      <c r="AY34" s="35" t="str">
        <f t="shared" si="55"/>
        <v>0110</v>
      </c>
      <c r="AZ34" s="35" t="str">
        <f t="shared" si="56"/>
        <v>0111</v>
      </c>
      <c r="BA34" s="35" t="str">
        <f t="shared" si="57"/>
        <v>1110</v>
      </c>
      <c r="BB34" s="35" t="str">
        <f t="shared" si="58"/>
        <v>0110</v>
      </c>
      <c r="BC34" s="35" t="str">
        <f t="shared" si="59"/>
        <v>0101</v>
      </c>
      <c r="BD34" s="35" t="str">
        <f t="shared" si="60"/>
        <v>0010</v>
      </c>
      <c r="BE34" s="35" t="str">
        <f t="shared" si="61"/>
        <v>0101</v>
      </c>
      <c r="BF34" s="87">
        <f>BIN2DEC(AX34)-BIN2DEC(AX35)</f>
        <v>4</v>
      </c>
      <c r="BG34" s="87">
        <f t="shared" ref="BG34:BL34" si="365">BIN2DEC(AY34)-BIN2DEC(AY35)</f>
        <v>-7</v>
      </c>
      <c r="BH34" s="87">
        <f t="shared" si="365"/>
        <v>-7</v>
      </c>
      <c r="BI34" s="87">
        <f t="shared" si="365"/>
        <v>12</v>
      </c>
      <c r="BJ34" s="87">
        <f t="shared" si="365"/>
        <v>-9</v>
      </c>
      <c r="BK34" s="87">
        <f t="shared" si="365"/>
        <v>4</v>
      </c>
      <c r="BL34" s="87">
        <f t="shared" si="365"/>
        <v>-2</v>
      </c>
      <c r="BM34" s="87">
        <f>BIN2DEC(BE34)-BIN2DEC(BE35)</f>
        <v>-10</v>
      </c>
      <c r="BN34" s="34" t="str">
        <f t="shared" si="6"/>
        <v>1101011001111110</v>
      </c>
      <c r="BO34" s="34" t="str">
        <f t="shared" si="7"/>
        <v>0110010100100101</v>
      </c>
      <c r="BP34" s="87">
        <f>MID(BN34,16,1)*POWER(2,0)+MID(BN34,15,1)*POWER(2,1)+MID(BN34,14,1)*POWER(2,2)+MID(BN34,13,1)*POWER(2,3)+MID(BN34,12,1)*POWER(2,4)+MID(BN34,11,1)*POWER(2,5)+MID(BN34,10,1)*POWER(2,6)+MID(BN34,9,1)*POWER(2,7)+MID(BN34,8,1)*POWER(2,8)+MID(BN34,7,1)*POWER(2,9)+MID(BN34,6,1)*POWER(2,10)+MID(BN34,5,1)*POWER(2,11)+MID(BN34,4,1)*POWER(2,12)+MID(BN34,3,1)*POWER(2,13)+MID(BN34,2,1)*POWER(2,14)+MID(BN34,1,1)*POWER(2,15)-(MID(BN35,16,1)*POWER(2,0)+MID(BN35,15,1)*POWER(2,1)+MID(BN35,14,1)*POWER(2,2)+MID(BN35,13,1)*POWER(2,3)+MID(BN35,12,1)*POWER(2,4)+MID(BN35,11,1)*POWER(2,5)+MID(BN35,10,1)*POWER(2,6)+MID(BN35,9,1)*POWER(2,7)+MID(BN35,8,1)*POWER(2,8)+MID(BN35,7,1)*POWER(2,9)+MID(BN35,6,1)*POWER(2,10)+MID(BN35,5,1)*POWER(2,11)+MID(BN35,4,1)*POWER(2,12)+MID(BN35,3,1)*POWER(2,13)+MID(BN35,2,1)*POWER(2,14)+MID(BN35,1,1)*POWER(2,15))</f>
        <v>54556</v>
      </c>
      <c r="BQ34" s="87">
        <f>MID(BO34,16,1)*POWER(2,0)+MID(BO34,15,1)*POWER(2,1)+MID(BO34,14,1)*POWER(2,2)+MID(BO34,13,1)*POWER(2,3)+MID(BO34,12,1)*POWER(2,4)+MID(BO34,11,1)*POWER(2,5)+MID(BO34,10,1)*POWER(2,6)+MID(BO34,9,1)*POWER(2,7)+MID(BO34,8,1)*POWER(2,8)+MID(BO34,7,1)*POWER(2,9)+MID(BO34,6,1)*POWER(2,10)+MID(BO34,5,1)*POWER(2,11)+MID(BO34,4,1)*POWER(2,12)+MID(BO34,3,1)*POWER(2,13)+MID(BO34,2,1)*POWER(2,14)+MID(BO34,1,1)*POWER(2,15)-(MID(BO35,16,1)*POWER(2,0)+MID(BO35,15,1)*POWER(2,1)+MID(BO35,14,1)*POWER(2,2)+MID(BO35,13,1)*POWER(2,3)+MID(BO35,12,1)*POWER(2,4)+MID(BO35,11,1)*POWER(2,5)+MID(BO35,10,1)*POWER(2,6)+MID(BO35,9,1)*POWER(2,7)+MID(BO35,8,1)*POWER(2,8)+MID(BO35,7,1)*POWER(2,9)+MID(BO35,6,1)*POWER(2,10)+MID(BO35,5,1)*POWER(2,11)+MID(BO35,4,1)*POWER(2,12)+MID(BO35,3,1)*POWER(2,13)+MID(BO35,2,1)*POWER(2,14)+MID(BO35,1,1)*POWER(2,15))</f>
        <v>994</v>
      </c>
      <c r="BR34" s="33" t="str">
        <f>CONCATENATE(MID($L34,1,1)*MID($K24,1,1),MID($L34,2,1)*MID($K24,2,1),MID($L34,3,1)*MID($K24,3,1),MID($L34,4,1)*MID($K24,4,1),MID($L34,5,1)*MID($K24,5,1),MID($L34,6,1)*MID($K24,6,1),MID($L34,7,1)*MID($K24,7,1),MID($L34,8,1)*MID($K24,8,1),MID($L34,9,1)*MID($K24,1,1),MID($L34,10,1)*MID($K24,2,1),MID($L34,11,1)*MID($K24,3,1),MID($L34,12,1)*MID($K24,4,1),MID($L34,13,1)*MID($K24,5,1),MID($L34,14,1)*MID($K24,6,1),MID($L34,15,1)*MID($K24,7,1),MID($L34,16,1)*MID($K24,8,1),MID($L34,17,1)*MID($K24,1,1),MID($L34,18,1)*MID($K24,2,1),MID($L34,19,1)*MID($K24,3,1),MID($L34,20,1)*MID($K24,4,1),MID($L34,21,1)*MID($K24,5,1),MID($L34,22,1)*MID($K24,6,1),MID($L34,23,1)*MID($K24,7,1),MID($L34,24,1)*MID($K24,8,1),MID($L34,25,1)*MID($K24,1,1),MID($L34,26,1)*MID($K24,2,1),MID($L34,27,1)*MID($K24,3,1),MID($L34,28,1)*MID($K24,4,1),MID($L34,29,1)*MID($K24,5,1),MID($L34,30,1)*MID($K24,6,1),MID($L34,31,1)*MID($K24,7,1),MID($L34,32,1)*MID($K24,8,1))</f>
        <v>01000010011000100110000100100001</v>
      </c>
      <c r="BS34" s="34" t="str">
        <f t="shared" si="62"/>
        <v>01000010</v>
      </c>
      <c r="BT34" s="34" t="str">
        <f t="shared" si="63"/>
        <v>01100010</v>
      </c>
      <c r="BU34" s="34" t="str">
        <f t="shared" si="64"/>
        <v>01100001</v>
      </c>
      <c r="BV34" s="34" t="str">
        <f t="shared" si="65"/>
        <v>00100001</v>
      </c>
      <c r="BW34" s="87">
        <f>BIN2DEC(BS34)-BIN2DEC(BS35)</f>
        <v>-91</v>
      </c>
      <c r="BX34" s="87">
        <f>BIN2DEC(BT34)-BIN2DEC(BT35)</f>
        <v>-128</v>
      </c>
      <c r="BY34" s="87">
        <f>BIN2DEC(BU34)-BIN2DEC(BU35)</f>
        <v>-144</v>
      </c>
      <c r="BZ34" s="87">
        <f>BIN2DEC(BV34)-BIN2DEC(BV35)</f>
        <v>-46</v>
      </c>
      <c r="CA34" s="35" t="str">
        <f t="shared" si="66"/>
        <v>1101</v>
      </c>
      <c r="CB34" s="35" t="str">
        <f t="shared" si="67"/>
        <v>0110</v>
      </c>
      <c r="CC34" s="35" t="str">
        <f t="shared" si="68"/>
        <v>0111</v>
      </c>
      <c r="CD34" s="35" t="str">
        <f t="shared" si="69"/>
        <v>1110</v>
      </c>
      <c r="CE34" s="35" t="str">
        <f t="shared" si="70"/>
        <v>0110</v>
      </c>
      <c r="CF34" s="35" t="str">
        <f t="shared" si="71"/>
        <v>0101</v>
      </c>
      <c r="CG34" s="35" t="str">
        <f t="shared" si="72"/>
        <v>0010</v>
      </c>
      <c r="CH34" s="35" t="str">
        <f t="shared" si="73"/>
        <v>0101</v>
      </c>
      <c r="CI34" s="87">
        <f>BIN2DEC(CA34)-BIN2DEC(CA35)</f>
        <v>4</v>
      </c>
      <c r="CJ34" s="87">
        <f t="shared" ref="CJ34:CO34" si="366">BIN2DEC(CB34)-BIN2DEC(CB35)</f>
        <v>-7</v>
      </c>
      <c r="CK34" s="87">
        <f t="shared" si="366"/>
        <v>-7</v>
      </c>
      <c r="CL34" s="87">
        <f t="shared" si="366"/>
        <v>12</v>
      </c>
      <c r="CM34" s="87">
        <f t="shared" si="366"/>
        <v>-9</v>
      </c>
      <c r="CN34" s="87">
        <f t="shared" si="366"/>
        <v>4</v>
      </c>
      <c r="CO34" s="87">
        <f t="shared" si="366"/>
        <v>-2</v>
      </c>
      <c r="CP34" s="87">
        <f>BIN2DEC(CH34)-BIN2DEC(CH35)</f>
        <v>-10</v>
      </c>
      <c r="CQ34" s="34" t="str">
        <f t="shared" si="9"/>
        <v>0100001001100010</v>
      </c>
      <c r="CR34" s="34" t="str">
        <f t="shared" si="10"/>
        <v>0110000100100001</v>
      </c>
      <c r="CS34" s="87">
        <f>MID(CQ34,16,1)*POWER(2,0)+MID(CQ34,15,1)*POWER(2,1)+MID(CQ34,14,1)*POWER(2,2)+MID(CQ34,13,1)*POWER(2,3)+MID(CQ34,12,1)*POWER(2,4)+MID(CQ34,11,1)*POWER(2,5)+MID(CQ34,10,1)*POWER(2,6)+MID(CQ34,9,1)*POWER(2,7)+MID(CQ34,8,1)*POWER(2,8)+MID(CQ34,7,1)*POWER(2,9)+MID(CQ34,6,1)*POWER(2,10)+MID(CQ34,5,1)*POWER(2,11)+MID(CQ34,4,1)*POWER(2,12)+MID(CQ34,3,1)*POWER(2,13)+MID(CQ34,2,1)*POWER(2,14)+MID(CQ34,1,1)*POWER(2,15)-(MID(CQ35,16,1)*POWER(2,0)+MID(CQ35,15,1)*POWER(2,1)+MID(CQ35,14,1)*POWER(2,2)+MID(CQ35,13,1)*POWER(2,3)+MID(CQ35,12,1)*POWER(2,4)+MID(CQ35,11,1)*POWER(2,5)+MID(CQ35,10,1)*POWER(2,6)+MID(CQ35,9,1)*POWER(2,7)+MID(CQ35,8,1)*POWER(2,8)+MID(CQ35,7,1)*POWER(2,9)+MID(CQ35,6,1)*POWER(2,10)+MID(CQ35,5,1)*POWER(2,11)+MID(CQ35,4,1)*POWER(2,12)+MID(CQ35,3,1)*POWER(2,13)+MID(CQ35,2,1)*POWER(2,14)+MID(CQ35,1,1)*POWER(2,15))</f>
        <v>-23424</v>
      </c>
      <c r="CT34" s="87">
        <f>MID(CR34,16,1)*POWER(2,0)+MID(CR34,15,1)*POWER(2,1)+MID(CR34,14,1)*POWER(2,2)+MID(CR34,13,1)*POWER(2,3)+MID(CR34,12,1)*POWER(2,4)+MID(CR34,11,1)*POWER(2,5)+MID(CR34,10,1)*POWER(2,6)+MID(CR34,9,1)*POWER(2,7)+MID(CR34,8,1)*POWER(2,8)+MID(CR34,7,1)*POWER(2,9)+MID(CR34,6,1)*POWER(2,10)+MID(CR34,5,1)*POWER(2,11)+MID(CR34,4,1)*POWER(2,12)+MID(CR34,3,1)*POWER(2,13)+MID(CR34,2,1)*POWER(2,14)+MID(CR34,1,1)*POWER(2,15)-(MID(CR35,16,1)*POWER(2,0)+MID(CR35,15,1)*POWER(2,1)+MID(CR35,14,1)*POWER(2,2)+MID(CR35,13,1)*POWER(2,3)+MID(CR35,12,1)*POWER(2,4)+MID(CR35,11,1)*POWER(2,5)+MID(CR35,10,1)*POWER(2,6)+MID(CR35,9,1)*POWER(2,7)+MID(CR35,8,1)*POWER(2,8)+MID(CR35,7,1)*POWER(2,9)+MID(CR35,6,1)*POWER(2,10)+MID(CR35,5,1)*POWER(2,11)+MID(CR35,4,1)*POWER(2,12)+MID(CR35,3,1)*POWER(2,13)+MID(CR35,2,1)*POWER(2,14)+MID(CR35,1,1)*POWER(2,15))</f>
        <v>-36910</v>
      </c>
      <c r="CU34" s="33" t="str">
        <f>BR34</f>
        <v>01000010011000100110000100100001</v>
      </c>
      <c r="CV34" s="34" t="str">
        <f t="shared" si="74"/>
        <v>01000010</v>
      </c>
      <c r="CW34" s="34" t="str">
        <f t="shared" si="75"/>
        <v>01100010</v>
      </c>
      <c r="CX34" s="34" t="str">
        <f t="shared" si="76"/>
        <v>01100001</v>
      </c>
      <c r="CY34" s="34" t="str">
        <f t="shared" si="77"/>
        <v>00100001</v>
      </c>
      <c r="CZ34" s="87">
        <f>BIN2DEC(CV34)-BIN2DEC(CV35)</f>
        <v>65</v>
      </c>
      <c r="DA34" s="87">
        <f>BIN2DEC(CW34)-BIN2DEC(CW35)</f>
        <v>0</v>
      </c>
      <c r="DB34" s="87">
        <f>BIN2DEC(CX34)-BIN2DEC(CX35)</f>
        <v>0</v>
      </c>
      <c r="DC34" s="87">
        <f>BIN2DEC(CY34)-BIN2DEC(CY35)</f>
        <v>-34</v>
      </c>
      <c r="DD34" s="35" t="str">
        <f t="shared" si="78"/>
        <v>1101</v>
      </c>
      <c r="DE34" s="35" t="str">
        <f t="shared" si="79"/>
        <v>0110</v>
      </c>
      <c r="DF34" s="35" t="str">
        <f t="shared" si="80"/>
        <v>0111</v>
      </c>
      <c r="DG34" s="35" t="str">
        <f t="shared" si="81"/>
        <v>1110</v>
      </c>
      <c r="DH34" s="35" t="str">
        <f t="shared" si="82"/>
        <v>0110</v>
      </c>
      <c r="DI34" s="35" t="str">
        <f t="shared" si="83"/>
        <v>0101</v>
      </c>
      <c r="DJ34" s="35" t="str">
        <f t="shared" si="84"/>
        <v>0010</v>
      </c>
      <c r="DK34" s="35" t="str">
        <f t="shared" si="85"/>
        <v>0101</v>
      </c>
      <c r="DL34" s="87">
        <f>BIN2DEC(DD34)-BIN2DEC(DD35)</f>
        <v>4</v>
      </c>
      <c r="DM34" s="87">
        <f t="shared" ref="DM34:DR34" si="367">BIN2DEC(DE34)-BIN2DEC(DE35)</f>
        <v>-7</v>
      </c>
      <c r="DN34" s="87">
        <f t="shared" si="367"/>
        <v>-7</v>
      </c>
      <c r="DO34" s="87">
        <f t="shared" si="367"/>
        <v>12</v>
      </c>
      <c r="DP34" s="87">
        <f t="shared" si="367"/>
        <v>-9</v>
      </c>
      <c r="DQ34" s="87">
        <f t="shared" si="367"/>
        <v>4</v>
      </c>
      <c r="DR34" s="87">
        <f t="shared" si="367"/>
        <v>-2</v>
      </c>
      <c r="DS34" s="87">
        <f>BIN2DEC(DK34)-BIN2DEC(DK35)</f>
        <v>-10</v>
      </c>
      <c r="DT34" s="34" t="str">
        <f t="shared" si="12"/>
        <v>0100001001100010</v>
      </c>
      <c r="DU34" s="34" t="str">
        <f t="shared" si="13"/>
        <v>0110000100100001</v>
      </c>
      <c r="DV34" s="87">
        <f>MID(DT34,16,1)*POWER(2,0)+MID(DT34,15,1)*POWER(2,1)+MID(DT34,14,1)*POWER(2,2)+MID(DT34,13,1)*POWER(2,3)+MID(DT34,12,1)*POWER(2,4)+MID(DT34,11,1)*POWER(2,5)+MID(DT34,10,1)*POWER(2,6)+MID(DT34,9,1)*POWER(2,7)+MID(DT34,8,1)*POWER(2,8)+MID(DT34,7,1)*POWER(2,9)+MID(DT34,6,1)*POWER(2,10)+MID(DT34,5,1)*POWER(2,11)+MID(DT34,4,1)*POWER(2,12)+MID(DT34,3,1)*POWER(2,13)+MID(DT34,2,1)*POWER(2,14)+MID(DT34,1,1)*POWER(2,15)-(MID(DT35,16,1)*POWER(2,0)+MID(DT35,15,1)*POWER(2,1)+MID(DT35,14,1)*POWER(2,2)+MID(DT35,13,1)*POWER(2,3)+MID(DT35,12,1)*POWER(2,4)+MID(DT35,11,1)*POWER(2,5)+MID(DT35,10,1)*POWER(2,6)+MID(DT35,9,1)*POWER(2,7)+MID(DT35,8,1)*POWER(2,8)+MID(DT35,7,1)*POWER(2,9)+MID(DT35,6,1)*POWER(2,10)+MID(DT35,5,1)*POWER(2,11)+MID(DT35,4,1)*POWER(2,12)+MID(DT35,3,1)*POWER(2,13)+MID(DT35,2,1)*POWER(2,14)+MID(DT35,1,1)*POWER(2,15))</f>
        <v>16640</v>
      </c>
      <c r="DW34" s="87">
        <f>MID(DU34,16,1)*POWER(2,0)+MID(DU34,15,1)*POWER(2,1)+MID(DU34,14,1)*POWER(2,2)+MID(DU34,13,1)*POWER(2,3)+MID(DU34,12,1)*POWER(2,4)+MID(DU34,11,1)*POWER(2,5)+MID(DU34,10,1)*POWER(2,6)+MID(DU34,9,1)*POWER(2,7)+MID(DU34,8,1)*POWER(2,8)+MID(DU34,7,1)*POWER(2,9)+MID(DU34,6,1)*POWER(2,10)+MID(DU34,5,1)*POWER(2,11)+MID(DU34,4,1)*POWER(2,12)+MID(DU34,3,1)*POWER(2,13)+MID(DU34,2,1)*POWER(2,14)+MID(DU34,1,1)*POWER(2,15)-(MID(DU35,16,1)*POWER(2,0)+MID(DU35,15,1)*POWER(2,1)+MID(DU35,14,1)*POWER(2,2)+MID(DU35,13,1)*POWER(2,3)+MID(DU35,12,1)*POWER(2,4)+MID(DU35,11,1)*POWER(2,5)+MID(DU35,10,1)*POWER(2,6)+MID(DU35,9,1)*POWER(2,7)+MID(DU35,8,1)*POWER(2,8)+MID(DU35,7,1)*POWER(2,9)+MID(DU35,6,1)*POWER(2,10)+MID(DU35,5,1)*POWER(2,11)+MID(DU35,4,1)*POWER(2,12)+MID(DU35,3,1)*POWER(2,13)+MID(DU35,2,1)*POWER(2,14)+MID(DU35,1,1)*POWER(2,15))</f>
        <v>-34</v>
      </c>
      <c r="DX34" s="33" t="str">
        <f>CONCATENATE(MID($H34,1,1)*MID($K34,1,1),MID($H34,2,1)*MID($K34,2,1),MID($H34,3,1)*MID($K34,3,1),MID($H34,4,1)*MID($K34,4,1),MID($H34,5,1)*MID($K34,5,1),MID($H34,6,1)*MID($K34,6,1),MID($H34,7,1)*MID($K34,7,1),MID($H34,8,1)*MID($K34,8,1),MID($H34,9,1)*MID($K34,1,1),MID($H34,10,1)*MID($K34,2,1),MID($H34,11,1)*MID($K34,3,1),MID($H34,12,1)*MID($K34,4,1),MID($H34,13,1)*MID($K34,5,1),MID($H34,14,1)*MID($K34,6,1),MID($H34,15,1)*MID($K34,7,1),MID($H34,16,1)*MID($K34,8,1),MID($H34,17,1)*MID($K34,1,1),MID($H34,18,1)*MID($K34,2,1),MID($H34,19,1)*MID($K34,3,1),MID($H34,20,1)*MID($K34,4,1),MID($H34,21,1)*MID($K34,5,1),MID($H34,22,1)*MID($K34,6,1),MID($H34,23,1)*MID($K34,7,1),MID($H34,24,1)*MID($K34,8,1),MID($H34,25,1)*MID($K34,1,1),MID($H34,26,1)*MID($K34,2,1),MID($H34,27,1)*MID($K34,3,1),MID($H34,28,1)*MID($K34,4,1),MID($H34,29,1)*MID($K34,5,1),MID($H34,30,1)*MID($K34,6,1),MID($H34,31,1)*MID($K34,7,1),MID($H34,32,1)*MID($K34,8,1))</f>
        <v>01100001001000010100001001100010</v>
      </c>
      <c r="DY34" s="34" t="str">
        <f>L34</f>
        <v>11010110011111100110010100100101</v>
      </c>
      <c r="DZ34" s="34" t="str">
        <f t="shared" si="178"/>
        <v>11010110</v>
      </c>
      <c r="EA34" s="34" t="str">
        <f t="shared" si="86"/>
        <v>01111110</v>
      </c>
      <c r="EB34" s="34" t="str">
        <f t="shared" si="87"/>
        <v>01100101</v>
      </c>
      <c r="EC34" s="34" t="str">
        <f t="shared" si="88"/>
        <v>00100101</v>
      </c>
      <c r="ED34" s="87">
        <f>BIN2DEC(DZ34)-BIN2DEC(DZ35)</f>
        <v>189</v>
      </c>
      <c r="EE34" s="87">
        <f>BIN2DEC(EA34)-BIN2DEC(EA35)</f>
        <v>124</v>
      </c>
      <c r="EF34" s="87">
        <f>BIN2DEC(EB34)-BIN2DEC(EB35)</f>
        <v>84</v>
      </c>
      <c r="EG34" s="87">
        <f>BIN2DEC(EC34)-BIN2DEC(EC35)</f>
        <v>26</v>
      </c>
      <c r="EH34" s="35" t="str">
        <f t="shared" si="89"/>
        <v>1101</v>
      </c>
      <c r="EI34" s="35" t="str">
        <f t="shared" si="90"/>
        <v>0110</v>
      </c>
      <c r="EJ34" s="35" t="str">
        <f t="shared" si="91"/>
        <v>0111</v>
      </c>
      <c r="EK34" s="35" t="str">
        <f t="shared" si="92"/>
        <v>1110</v>
      </c>
      <c r="EL34" s="35" t="str">
        <f t="shared" si="93"/>
        <v>0110</v>
      </c>
      <c r="EM34" s="35" t="str">
        <f t="shared" si="94"/>
        <v>0101</v>
      </c>
      <c r="EN34" s="35" t="str">
        <f t="shared" si="95"/>
        <v>0010</v>
      </c>
      <c r="EO34" s="35" t="str">
        <f t="shared" si="96"/>
        <v>0101</v>
      </c>
      <c r="EP34" s="87">
        <f>BIN2DEC(EH34)-BIN2DEC(EH35)</f>
        <v>4</v>
      </c>
      <c r="EQ34" s="87">
        <f t="shared" ref="EQ34:EV34" si="368">BIN2DEC(EI34)-BIN2DEC(EI35)</f>
        <v>-7</v>
      </c>
      <c r="ER34" s="87">
        <f t="shared" si="368"/>
        <v>-7</v>
      </c>
      <c r="ES34" s="87">
        <f t="shared" si="368"/>
        <v>12</v>
      </c>
      <c r="ET34" s="87">
        <f t="shared" si="368"/>
        <v>-9</v>
      </c>
      <c r="EU34" s="87">
        <f t="shared" si="368"/>
        <v>4</v>
      </c>
      <c r="EV34" s="87">
        <f t="shared" si="368"/>
        <v>-2</v>
      </c>
      <c r="EW34" s="87">
        <f>BIN2DEC(EO34)-BIN2DEC(EO35)</f>
        <v>-10</v>
      </c>
      <c r="EX34" s="34" t="str">
        <f t="shared" si="15"/>
        <v>1101011001111110</v>
      </c>
      <c r="EY34" s="34" t="str">
        <f t="shared" si="16"/>
        <v>0110010100100101</v>
      </c>
      <c r="EZ34" s="87">
        <f>MID(EX34,16,1)*POWER(2,0)+MID(EX34,15,1)*POWER(2,1)+MID(EX34,14,1)*POWER(2,2)+MID(EX34,13,1)*POWER(2,3)+MID(EX34,12,1)*POWER(2,4)+MID(EX34,11,1)*POWER(2,5)+MID(EX34,10,1)*POWER(2,6)+MID(EX34,9,1)*POWER(2,7)+MID(EX34,8,1)*POWER(2,8)+MID(EX34,7,1)*POWER(2,9)+MID(EX34,6,1)*POWER(2,10)+MID(EX34,5,1)*POWER(2,11)+MID(EX34,4,1)*POWER(2,12)+MID(EX34,3,1)*POWER(2,13)+MID(EX34,2,1)*POWER(2,14)+MID(EX34,1,1)*POWER(2,15)-(MID(EX35,16,1)*POWER(2,0)+MID(EX35,15,1)*POWER(2,1)+MID(EX35,14,1)*POWER(2,2)+MID(EX35,13,1)*POWER(2,3)+MID(EX35,12,1)*POWER(2,4)+MID(EX35,11,1)*POWER(2,5)+MID(EX35,10,1)*POWER(2,6)+MID(EX35,9,1)*POWER(2,7)+MID(EX35,8,1)*POWER(2,8)+MID(EX35,7,1)*POWER(2,9)+MID(EX35,6,1)*POWER(2,10)+MID(EX35,5,1)*POWER(2,11)+MID(EX35,4,1)*POWER(2,12)+MID(EX35,3,1)*POWER(2,13)+MID(EX35,2,1)*POWER(2,14)+MID(EX35,1,1)*POWER(2,15))</f>
        <v>48508</v>
      </c>
      <c r="FA34" s="87">
        <f>MID(EY34,16,1)*POWER(2,0)+MID(EY34,15,1)*POWER(2,1)+MID(EY34,14,1)*POWER(2,2)+MID(EY34,13,1)*POWER(2,3)+MID(EY34,12,1)*POWER(2,4)+MID(EY34,11,1)*POWER(2,5)+MID(EY34,10,1)*POWER(2,6)+MID(EY34,9,1)*POWER(2,7)+MID(EY34,8,1)*POWER(2,8)+MID(EY34,7,1)*POWER(2,9)+MID(EY34,6,1)*POWER(2,10)+MID(EY34,5,1)*POWER(2,11)+MID(EY34,4,1)*POWER(2,12)+MID(EY34,3,1)*POWER(2,13)+MID(EY34,2,1)*POWER(2,14)+MID(EY34,1,1)*POWER(2,15)-(MID(EY35,16,1)*POWER(2,0)+MID(EY35,15,1)*POWER(2,1)+MID(EY35,14,1)*POWER(2,2)+MID(EY35,13,1)*POWER(2,3)+MID(EY35,12,1)*POWER(2,4)+MID(EY35,11,1)*POWER(2,5)+MID(EY35,10,1)*POWER(2,6)+MID(EY35,9,1)*POWER(2,7)+MID(EY35,8,1)*POWER(2,8)+MID(EY35,7,1)*POWER(2,9)+MID(EY35,6,1)*POWER(2,10)+MID(EY35,5,1)*POWER(2,11)+MID(EY35,4,1)*POWER(2,12)+MID(EY35,3,1)*POWER(2,13)+MID(EY35,2,1)*POWER(2,14)+MID(EY35,1,1)*POWER(2,15))</f>
        <v>21530</v>
      </c>
      <c r="FB34" s="33" t="str">
        <f>L34</f>
        <v>11010110011111100110010100100101</v>
      </c>
      <c r="FC34" s="34" t="str">
        <f t="shared" si="180"/>
        <v>11010110</v>
      </c>
      <c r="FD34" s="34" t="str">
        <f t="shared" si="97"/>
        <v>01111110</v>
      </c>
      <c r="FE34" s="34" t="str">
        <f t="shared" si="98"/>
        <v>01100101</v>
      </c>
      <c r="FF34" s="34" t="str">
        <f t="shared" si="99"/>
        <v>00100101</v>
      </c>
      <c r="FG34" s="87">
        <f>BIN2DEC(FC34)-BIN2DEC(FC35)</f>
        <v>213</v>
      </c>
      <c r="FH34" s="87">
        <f>BIN2DEC(FD34)-BIN2DEC(FD35)</f>
        <v>124</v>
      </c>
      <c r="FI34" s="87">
        <f>BIN2DEC(FE34)-BIN2DEC(FE35)</f>
        <v>100</v>
      </c>
      <c r="FJ34" s="87">
        <f>BIN2DEC(FF34)-BIN2DEC(FF35)</f>
        <v>34</v>
      </c>
      <c r="FK34" s="35" t="str">
        <f t="shared" si="100"/>
        <v>1101</v>
      </c>
      <c r="FL34" s="35" t="str">
        <f t="shared" si="101"/>
        <v>0110</v>
      </c>
      <c r="FM34" s="35" t="str">
        <f t="shared" si="102"/>
        <v>0111</v>
      </c>
      <c r="FN34" s="35" t="str">
        <f t="shared" si="103"/>
        <v>1110</v>
      </c>
      <c r="FO34" s="35" t="str">
        <f t="shared" si="104"/>
        <v>0110</v>
      </c>
      <c r="FP34" s="35" t="str">
        <f t="shared" si="105"/>
        <v>0101</v>
      </c>
      <c r="FQ34" s="35" t="str">
        <f t="shared" si="106"/>
        <v>0010</v>
      </c>
      <c r="FR34" s="35" t="str">
        <f t="shared" si="107"/>
        <v>0101</v>
      </c>
      <c r="FS34" s="87">
        <f>BIN2DEC(FK34)-BIN2DEC(FK35)</f>
        <v>4</v>
      </c>
      <c r="FT34" s="87">
        <f t="shared" ref="FT34:FY34" si="369">BIN2DEC(FL34)-BIN2DEC(FL35)</f>
        <v>-7</v>
      </c>
      <c r="FU34" s="87">
        <f t="shared" si="369"/>
        <v>-7</v>
      </c>
      <c r="FV34" s="87">
        <f t="shared" si="369"/>
        <v>12</v>
      </c>
      <c r="FW34" s="87">
        <f t="shared" si="369"/>
        <v>-9</v>
      </c>
      <c r="FX34" s="87">
        <f t="shared" si="369"/>
        <v>4</v>
      </c>
      <c r="FY34" s="87">
        <f t="shared" si="369"/>
        <v>-2</v>
      </c>
      <c r="FZ34" s="87">
        <f>BIN2DEC(FR34)-BIN2DEC(FR35)</f>
        <v>-10</v>
      </c>
      <c r="GA34" s="34" t="str">
        <f t="shared" si="18"/>
        <v>1101011001111110</v>
      </c>
      <c r="GB34" s="34" t="str">
        <f t="shared" si="19"/>
        <v>0110010100100101</v>
      </c>
      <c r="GC34" s="87">
        <f>MID(GA34,16,1)*POWER(2,0)+MID(GA34,15,1)*POWER(2,1)+MID(GA34,14,1)*POWER(2,2)+MID(GA34,13,1)*POWER(2,3)+MID(GA34,12,1)*POWER(2,4)+MID(GA34,11,1)*POWER(2,5)+MID(GA34,10,1)*POWER(2,6)+MID(GA34,9,1)*POWER(2,7)+MID(GA34,8,1)*POWER(2,8)+MID(GA34,7,1)*POWER(2,9)+MID(GA34,6,1)*POWER(2,10)+MID(GA34,5,1)*POWER(2,11)+MID(GA34,4,1)*POWER(2,12)+MID(GA34,3,1)*POWER(2,13)+MID(GA34,2,1)*POWER(2,14)+MID(GA34,1,1)*POWER(2,15)-(MID(GA35,16,1)*POWER(2,0)+MID(GA35,15,1)*POWER(2,1)+MID(GA35,14,1)*POWER(2,2)+MID(GA35,13,1)*POWER(2,3)+MID(GA35,12,1)*POWER(2,4)+MID(GA35,11,1)*POWER(2,5)+MID(GA35,10,1)*POWER(2,6)+MID(GA35,9,1)*POWER(2,7)+MID(GA35,8,1)*POWER(2,8)+MID(GA35,7,1)*POWER(2,9)+MID(GA35,6,1)*POWER(2,10)+MID(GA35,5,1)*POWER(2,11)+MID(GA35,4,1)*POWER(2,12)+MID(GA35,3,1)*POWER(2,13)+MID(GA35,2,1)*POWER(2,14)+MID(GA35,1,1)*POWER(2,15))</f>
        <v>54652</v>
      </c>
      <c r="GD34" s="87">
        <f>MID(GB34,16,1)*POWER(2,0)+MID(GB34,15,1)*POWER(2,1)+MID(GB34,14,1)*POWER(2,2)+MID(GB34,13,1)*POWER(2,3)+MID(GB34,12,1)*POWER(2,4)+MID(GB34,11,1)*POWER(2,5)+MID(GB34,10,1)*POWER(2,6)+MID(GB34,9,1)*POWER(2,7)+MID(GB34,8,1)*POWER(2,8)+MID(GB34,7,1)*POWER(2,9)+MID(GB34,6,1)*POWER(2,10)+MID(GB34,5,1)*POWER(2,11)+MID(GB34,4,1)*POWER(2,12)+MID(GB34,3,1)*POWER(2,13)+MID(GB34,2,1)*POWER(2,14)+MID(GB34,1,1)*POWER(2,15)-(MID(GB35,16,1)*POWER(2,0)+MID(GB35,15,1)*POWER(2,1)+MID(GB35,14,1)*POWER(2,2)+MID(GB35,13,1)*POWER(2,3)+MID(GB35,12,1)*POWER(2,4)+MID(GB35,11,1)*POWER(2,5)+MID(GB35,10,1)*POWER(2,6)+MID(GB35,9,1)*POWER(2,7)+MID(GB35,8,1)*POWER(2,8)+MID(GB35,7,1)*POWER(2,9)+MID(GB35,6,1)*POWER(2,10)+MID(GB35,5,1)*POWER(2,11)+MID(GB35,4,1)*POWER(2,12)+MID(GB35,3,1)*POWER(2,13)+MID(GB35,2,1)*POWER(2,14)+MID(GB35,1,1)*POWER(2,15))</f>
        <v>25634</v>
      </c>
      <c r="GE34" s="35" t="str">
        <f>CU34</f>
        <v>01000010011000100110000100100001</v>
      </c>
      <c r="GF34" s="34" t="str">
        <f t="shared" si="182"/>
        <v>01000010</v>
      </c>
      <c r="GG34" s="34" t="str">
        <f t="shared" si="108"/>
        <v>01100010</v>
      </c>
      <c r="GH34" s="34" t="str">
        <f t="shared" si="109"/>
        <v>01100001</v>
      </c>
      <c r="GI34" s="34" t="str">
        <f t="shared" si="110"/>
        <v>00100001</v>
      </c>
      <c r="GJ34" s="87">
        <f>BIN2DEC(GF34)-BIN2DEC(GF35)</f>
        <v>41</v>
      </c>
      <c r="GK34" s="87">
        <f>BIN2DEC(GG34)-BIN2DEC(GG35)</f>
        <v>96</v>
      </c>
      <c r="GL34" s="87">
        <f>BIN2DEC(GH34)-BIN2DEC(GH35)</f>
        <v>80</v>
      </c>
      <c r="GM34" s="87">
        <f>BIN2DEC(GI34)-BIN2DEC(GI35)</f>
        <v>22</v>
      </c>
      <c r="GN34" s="35" t="str">
        <f t="shared" si="111"/>
        <v>1101</v>
      </c>
      <c r="GO34" s="35" t="str">
        <f t="shared" si="112"/>
        <v>0110</v>
      </c>
      <c r="GP34" s="35" t="str">
        <f t="shared" si="113"/>
        <v>0111</v>
      </c>
      <c r="GQ34" s="35" t="str">
        <f t="shared" si="114"/>
        <v>1110</v>
      </c>
      <c r="GR34" s="35" t="str">
        <f t="shared" si="115"/>
        <v>0110</v>
      </c>
      <c r="GS34" s="35" t="str">
        <f t="shared" si="116"/>
        <v>0101</v>
      </c>
      <c r="GT34" s="35" t="str">
        <f t="shared" si="117"/>
        <v>0010</v>
      </c>
      <c r="GU34" s="35" t="str">
        <f t="shared" si="118"/>
        <v>0101</v>
      </c>
      <c r="GV34" s="87">
        <f>BIN2DEC(GN34)-BIN2DEC(GN35)</f>
        <v>4</v>
      </c>
      <c r="GW34" s="87">
        <f t="shared" ref="GW34:HB34" si="370">BIN2DEC(GO34)-BIN2DEC(GO35)</f>
        <v>-7</v>
      </c>
      <c r="GX34" s="87">
        <f t="shared" si="370"/>
        <v>-7</v>
      </c>
      <c r="GY34" s="87">
        <f t="shared" si="370"/>
        <v>12</v>
      </c>
      <c r="GZ34" s="87">
        <f t="shared" si="370"/>
        <v>-9</v>
      </c>
      <c r="HA34" s="87">
        <f t="shared" si="370"/>
        <v>4</v>
      </c>
      <c r="HB34" s="87">
        <f t="shared" si="370"/>
        <v>-2</v>
      </c>
      <c r="HC34" s="87">
        <f>BIN2DEC(GU34)-BIN2DEC(GU35)</f>
        <v>-10</v>
      </c>
      <c r="HD34" s="34" t="str">
        <f t="shared" si="21"/>
        <v>0100001001100010</v>
      </c>
      <c r="HE34" s="34" t="str">
        <f t="shared" si="22"/>
        <v>0110000100100001</v>
      </c>
      <c r="HF34" s="87">
        <f>MID(HD34,16,1)*POWER(2,0)+MID(HD34,15,1)*POWER(2,1)+MID(HD34,14,1)*POWER(2,2)+MID(HD34,13,1)*POWER(2,3)+MID(HD34,12,1)*POWER(2,4)+MID(HD34,11,1)*POWER(2,5)+MID(HD34,10,1)*POWER(2,6)+MID(HD34,9,1)*POWER(2,7)+MID(HD34,8,1)*POWER(2,8)+MID(HD34,7,1)*POWER(2,9)+MID(HD34,6,1)*POWER(2,10)+MID(HD34,5,1)*POWER(2,11)+MID(HD34,4,1)*POWER(2,12)+MID(HD34,3,1)*POWER(2,13)+MID(HD34,2,1)*POWER(2,14)+MID(HD34,1,1)*POWER(2,15)-(MID(HD35,16,1)*POWER(2,0)+MID(HD35,15,1)*POWER(2,1)+MID(HD35,14,1)*POWER(2,2)+MID(HD35,13,1)*POWER(2,3)+MID(HD35,12,1)*POWER(2,4)+MID(HD35,11,1)*POWER(2,5)+MID(HD35,10,1)*POWER(2,6)+MID(HD35,9,1)*POWER(2,7)+MID(HD35,8,1)*POWER(2,8)+MID(HD35,7,1)*POWER(2,9)+MID(HD35,6,1)*POWER(2,10)+MID(HD35,5,1)*POWER(2,11)+MID(HD35,4,1)*POWER(2,12)+MID(HD35,3,1)*POWER(2,13)+MID(HD35,2,1)*POWER(2,14)+MID(HD35,1,1)*POWER(2,15))</f>
        <v>10592</v>
      </c>
      <c r="HG34" s="87">
        <f>MID(HE34,16,1)*POWER(2,0)+MID(HE34,15,1)*POWER(2,1)+MID(HE34,14,1)*POWER(2,2)+MID(HE34,13,1)*POWER(2,3)+MID(HE34,12,1)*POWER(2,4)+MID(HE34,11,1)*POWER(2,5)+MID(HE34,10,1)*POWER(2,6)+MID(HE34,9,1)*POWER(2,7)+MID(HE34,8,1)*POWER(2,8)+MID(HE34,7,1)*POWER(2,9)+MID(HE34,6,1)*POWER(2,10)+MID(HE34,5,1)*POWER(2,11)+MID(HE34,4,1)*POWER(2,12)+MID(HE34,3,1)*POWER(2,13)+MID(HE34,2,1)*POWER(2,14)+MID(HE34,1,1)*POWER(2,15)-(MID(HE35,16,1)*POWER(2,0)+MID(HE35,15,1)*POWER(2,1)+MID(HE35,14,1)*POWER(2,2)+MID(HE35,13,1)*POWER(2,3)+MID(HE35,12,1)*POWER(2,4)+MID(HE35,11,1)*POWER(2,5)+MID(HE35,10,1)*POWER(2,6)+MID(HE35,9,1)*POWER(2,7)+MID(HE35,8,1)*POWER(2,8)+MID(HE35,7,1)*POWER(2,9)+MID(HE35,6,1)*POWER(2,10)+MID(HE35,5,1)*POWER(2,11)+MID(HE35,4,1)*POWER(2,12)+MID(HE35,3,1)*POWER(2,13)+MID(HE35,2,1)*POWER(2,14)+MID(HE35,1,1)*POWER(2,15))</f>
        <v>20502</v>
      </c>
      <c r="HH34" s="34" t="str">
        <f>CONCATENATE(MID(DX34,17,16),MID(DX34,1,16))</f>
        <v>01000010011000100110000100100001</v>
      </c>
      <c r="HI34" s="34" t="str">
        <f t="shared" si="184"/>
        <v>01000010</v>
      </c>
      <c r="HJ34" s="34" t="str">
        <f t="shared" si="119"/>
        <v>01100010</v>
      </c>
      <c r="HK34" s="34" t="str">
        <f t="shared" si="120"/>
        <v>01100001</v>
      </c>
      <c r="HL34" s="34" t="str">
        <f t="shared" si="121"/>
        <v>00100001</v>
      </c>
      <c r="HM34" s="87">
        <f>BIN2DEC(HI34)-BIN2DEC(HI35)</f>
        <v>65</v>
      </c>
      <c r="HN34" s="87">
        <f>BIN2DEC(HJ34)-BIN2DEC(HJ35)</f>
        <v>96</v>
      </c>
      <c r="HO34" s="87">
        <f>BIN2DEC(HK34)-BIN2DEC(HK35)</f>
        <v>96</v>
      </c>
      <c r="HP34" s="87">
        <f>BIN2DEC(HL34)-BIN2DEC(HL35)</f>
        <v>30</v>
      </c>
      <c r="HQ34" s="35" t="str">
        <f t="shared" si="122"/>
        <v>1101</v>
      </c>
      <c r="HR34" s="35" t="str">
        <f t="shared" si="123"/>
        <v>0110</v>
      </c>
      <c r="HS34" s="35" t="str">
        <f t="shared" si="124"/>
        <v>0111</v>
      </c>
      <c r="HT34" s="35" t="str">
        <f t="shared" si="125"/>
        <v>1110</v>
      </c>
      <c r="HU34" s="35" t="str">
        <f t="shared" si="126"/>
        <v>0110</v>
      </c>
      <c r="HV34" s="35" t="str">
        <f t="shared" si="127"/>
        <v>0101</v>
      </c>
      <c r="HW34" s="35" t="str">
        <f t="shared" si="128"/>
        <v>0010</v>
      </c>
      <c r="HX34" s="35" t="str">
        <f t="shared" si="129"/>
        <v>0101</v>
      </c>
      <c r="HY34" s="87">
        <f>BIN2DEC(HQ34)-BIN2DEC(HQ35)</f>
        <v>4</v>
      </c>
      <c r="HZ34" s="87">
        <f t="shared" ref="HZ34:IE34" si="371">BIN2DEC(HR34)-BIN2DEC(HR35)</f>
        <v>-7</v>
      </c>
      <c r="IA34" s="87">
        <f t="shared" si="371"/>
        <v>-7</v>
      </c>
      <c r="IB34" s="87">
        <f t="shared" si="371"/>
        <v>12</v>
      </c>
      <c r="IC34" s="87">
        <f t="shared" si="371"/>
        <v>-9</v>
      </c>
      <c r="ID34" s="87">
        <f t="shared" si="371"/>
        <v>4</v>
      </c>
      <c r="IE34" s="87">
        <f t="shared" si="371"/>
        <v>-2</v>
      </c>
      <c r="IF34" s="87">
        <f>BIN2DEC(HX34)-BIN2DEC(HX35)</f>
        <v>-10</v>
      </c>
      <c r="IG34" s="34" t="str">
        <f t="shared" si="24"/>
        <v>0100001001100010</v>
      </c>
      <c r="IH34" s="34" t="str">
        <f t="shared" si="25"/>
        <v>0110000100100001</v>
      </c>
      <c r="II34" s="87">
        <f>MID(IG34,16,1)*POWER(2,0)+MID(IG34,15,1)*POWER(2,1)+MID(IG34,14,1)*POWER(2,2)+MID(IG34,13,1)*POWER(2,3)+MID(IG34,12,1)*POWER(2,4)+MID(IG34,11,1)*POWER(2,5)+MID(IG34,10,1)*POWER(2,6)+MID(IG34,9,1)*POWER(2,7)+MID(IG34,8,1)*POWER(2,8)+MID(IG34,7,1)*POWER(2,9)+MID(IG34,6,1)*POWER(2,10)+MID(IG34,5,1)*POWER(2,11)+MID(IG34,4,1)*POWER(2,12)+MID(IG34,3,1)*POWER(2,13)+MID(IG34,2,1)*POWER(2,14)+MID(IG34,1,1)*POWER(2,15)-(MID(IG35,16,1)*POWER(2,0)+MID(IG35,15,1)*POWER(2,1)+MID(IG35,14,1)*POWER(2,2)+MID(IG35,13,1)*POWER(2,3)+MID(IG35,12,1)*POWER(2,4)+MID(IG35,11,1)*POWER(2,5)+MID(IG35,10,1)*POWER(2,6)+MID(IG35,9,1)*POWER(2,7)+MID(IG35,8,1)*POWER(2,8)+MID(IG35,7,1)*POWER(2,9)+MID(IG35,6,1)*POWER(2,10)+MID(IG35,5,1)*POWER(2,11)+MID(IG35,4,1)*POWER(2,12)+MID(IG35,3,1)*POWER(2,13)+MID(IG35,2,1)*POWER(2,14)+MID(IG35,1,1)*POWER(2,15))</f>
        <v>16736</v>
      </c>
      <c r="IJ34" s="87">
        <f>MID(IH34,16,1)*POWER(2,0)+MID(IH34,15,1)*POWER(2,1)+MID(IH34,14,1)*POWER(2,2)+MID(IH34,13,1)*POWER(2,3)+MID(IH34,12,1)*POWER(2,4)+MID(IH34,11,1)*POWER(2,5)+MID(IH34,10,1)*POWER(2,6)+MID(IH34,9,1)*POWER(2,7)+MID(IH34,8,1)*POWER(2,8)+MID(IH34,7,1)*POWER(2,9)+MID(IH34,6,1)*POWER(2,10)+MID(IH34,5,1)*POWER(2,11)+MID(IH34,4,1)*POWER(2,12)+MID(IH34,3,1)*POWER(2,13)+MID(IH34,2,1)*POWER(2,14)+MID(IH34,1,1)*POWER(2,15)-(MID(IH35,16,1)*POWER(2,0)+MID(IH35,15,1)*POWER(2,1)+MID(IH35,14,1)*POWER(2,2)+MID(IH35,13,1)*POWER(2,3)+MID(IH35,12,1)*POWER(2,4)+MID(IH35,11,1)*POWER(2,5)+MID(IH35,10,1)*POWER(2,6)+MID(IH35,9,1)*POWER(2,7)+MID(IH35,8,1)*POWER(2,8)+MID(IH35,7,1)*POWER(2,9)+MID(IH35,6,1)*POWER(2,10)+MID(IH35,5,1)*POWER(2,11)+MID(IH35,4,1)*POWER(2,12)+MID(IH35,3,1)*POWER(2,13)+MID(IH35,2,1)*POWER(2,14)+MID(IH35,1,1)*POWER(2,15))</f>
        <v>24606</v>
      </c>
      <c r="IK34" s="34" t="str">
        <f>HH34</f>
        <v>01000010011000100110000100100001</v>
      </c>
      <c r="IL34" s="34" t="str">
        <f t="shared" si="186"/>
        <v>01000010</v>
      </c>
      <c r="IM34" s="34" t="str">
        <f t="shared" si="130"/>
        <v>01100010</v>
      </c>
      <c r="IN34" s="34" t="str">
        <f t="shared" si="131"/>
        <v>01100001</v>
      </c>
      <c r="IO34" s="34" t="str">
        <f t="shared" si="132"/>
        <v>00100001</v>
      </c>
      <c r="IP34" s="87">
        <f>BIN2DEC(IL34)-BIN2DEC(IL35)</f>
        <v>-91</v>
      </c>
      <c r="IQ34" s="87">
        <f>BIN2DEC(IM34)-BIN2DEC(IM35)</f>
        <v>-128</v>
      </c>
      <c r="IR34" s="87">
        <f>BIN2DEC(IN34)-BIN2DEC(IN35)</f>
        <v>-144</v>
      </c>
      <c r="IS34" s="87">
        <f>BIN2DEC(IO34)-BIN2DEC(IO35)</f>
        <v>-46</v>
      </c>
      <c r="IT34" s="35" t="str">
        <f t="shared" si="133"/>
        <v>1101</v>
      </c>
      <c r="IU34" s="35" t="str">
        <f t="shared" si="134"/>
        <v>0110</v>
      </c>
      <c r="IV34" s="35" t="str">
        <f t="shared" si="135"/>
        <v>0111</v>
      </c>
      <c r="IW34" s="35" t="str">
        <f t="shared" si="136"/>
        <v>1110</v>
      </c>
      <c r="IX34" s="35" t="str">
        <f t="shared" si="137"/>
        <v>0110</v>
      </c>
      <c r="IY34" s="35" t="str">
        <f t="shared" si="138"/>
        <v>0101</v>
      </c>
      <c r="IZ34" s="35" t="str">
        <f t="shared" si="139"/>
        <v>0010</v>
      </c>
      <c r="JA34" s="35" t="str">
        <f t="shared" si="140"/>
        <v>0101</v>
      </c>
      <c r="JB34" s="87">
        <f t="shared" ref="JB34:JI34" si="372">BIN2DEC(IT34)-BIN2DEC(IT35)</f>
        <v>4</v>
      </c>
      <c r="JC34" s="87">
        <f t="shared" si="372"/>
        <v>-7</v>
      </c>
      <c r="JD34" s="87">
        <f t="shared" si="372"/>
        <v>-7</v>
      </c>
      <c r="JE34" s="87">
        <f t="shared" si="372"/>
        <v>12</v>
      </c>
      <c r="JF34" s="87">
        <f t="shared" si="372"/>
        <v>-9</v>
      </c>
      <c r="JG34" s="87">
        <f t="shared" si="372"/>
        <v>4</v>
      </c>
      <c r="JH34" s="87">
        <f t="shared" si="372"/>
        <v>-2</v>
      </c>
      <c r="JI34" s="87">
        <f t="shared" si="372"/>
        <v>-10</v>
      </c>
      <c r="JJ34" s="34" t="str">
        <f t="shared" si="27"/>
        <v>0100001001100010</v>
      </c>
      <c r="JK34" s="34" t="str">
        <f t="shared" si="28"/>
        <v>0110000100100001</v>
      </c>
      <c r="JL34" s="87">
        <f>MID(JJ34,16,1)*POWER(2,0)+MID(JJ34,15,1)*POWER(2,1)+MID(JJ34,14,1)*POWER(2,2)+MID(JJ34,13,1)*POWER(2,3)+MID(JJ34,12,1)*POWER(2,4)+MID(JJ34,11,1)*POWER(2,5)+MID(JJ34,10,1)*POWER(2,6)+MID(JJ34,9,1)*POWER(2,7)+MID(JJ34,8,1)*POWER(2,8)+MID(JJ34,7,1)*POWER(2,9)+MID(JJ34,6,1)*POWER(2,10)+MID(JJ34,5,1)*POWER(2,11)+MID(JJ34,4,1)*POWER(2,12)+MID(JJ34,3,1)*POWER(2,13)+MID(JJ34,2,1)*POWER(2,14)+MID(JJ34,1,1)*POWER(2,15)-(MID(JJ35,16,1)*POWER(2,0)+MID(JJ35,15,1)*POWER(2,1)+MID(JJ35,14,1)*POWER(2,2)+MID(JJ35,13,1)*POWER(2,3)+MID(JJ35,12,1)*POWER(2,4)+MID(JJ35,11,1)*POWER(2,5)+MID(JJ35,10,1)*POWER(2,6)+MID(JJ35,9,1)*POWER(2,7)+MID(JJ35,8,1)*POWER(2,8)+MID(JJ35,7,1)*POWER(2,9)+MID(JJ35,6,1)*POWER(2,10)+MID(JJ35,5,1)*POWER(2,11)+MID(JJ35,4,1)*POWER(2,12)+MID(JJ35,3,1)*POWER(2,13)+MID(JJ35,2,1)*POWER(2,14)+MID(JJ35,1,1)*POWER(2,15))</f>
        <v>-23424</v>
      </c>
      <c r="JM34" s="87">
        <f>MID(JK34,16,1)*POWER(2,0)+MID(JK34,15,1)*POWER(2,1)+MID(JK34,14,1)*POWER(2,2)+MID(JK34,13,1)*POWER(2,3)+MID(JK34,12,1)*POWER(2,4)+MID(JK34,11,1)*POWER(2,5)+MID(JK34,10,1)*POWER(2,6)+MID(JK34,9,1)*POWER(2,7)+MID(JK34,8,1)*POWER(2,8)+MID(JK34,7,1)*POWER(2,9)+MID(JK34,6,1)*POWER(2,10)+MID(JK34,5,1)*POWER(2,11)+MID(JK34,4,1)*POWER(2,12)+MID(JK34,3,1)*POWER(2,13)+MID(JK34,2,1)*POWER(2,14)+MID(JK34,1,1)*POWER(2,15)-(MID(JK35,16,1)*POWER(2,0)+MID(JK35,15,1)*POWER(2,1)+MID(JK35,14,1)*POWER(2,2)+MID(JK35,13,1)*POWER(2,3)+MID(JK35,12,1)*POWER(2,4)+MID(JK35,11,1)*POWER(2,5)+MID(JK35,10,1)*POWER(2,6)+MID(JK35,9,1)*POWER(2,7)+MID(JK35,8,1)*POWER(2,8)+MID(JK35,7,1)*POWER(2,9)+MID(JK35,6,1)*POWER(2,10)+MID(JK35,5,1)*POWER(2,11)+MID(JK35,4,1)*POWER(2,12)+MID(JK35,3,1)*POWER(2,13)+MID(JK35,2,1)*POWER(2,14)+MID(JK35,1,1)*POWER(2,15))</f>
        <v>-36910</v>
      </c>
      <c r="JN34" s="33" t="str">
        <f>CONCATENATE(MID(IK34,1,1)*MID($K34,1,1),MID(IK34,2,1)*MID($K34,2,1),MID(IK34,3,1)*MID($K34,3,1),MID(IK34,4,1)*MID($K34,4,1),MID(IK34,5,1)*MID($K34,5,1),MID(IK34,6,1)*MID($K34,6,1),MID(IK34,7,1)*MID($K34,7,1),MID(IK34,8,1)*MID($K34,8,1),MID(IK34,9,1)*MID($K34,1,1),MID(IK34,10,1)*MID($K34,2,1),MID(IK34,11,1)*MID($K34,3,1),MID(IK34,12,1)*MID($K34,4,1),MID(IK34,13,1)*MID($K34,5,1),MID(IK34,14,1)*MID($K34,6,1),MID(IK34,15,1)*MID($K34,7,1),MID(IK34,16,1)*MID($K34,8,1),MID(IK34,17,1)*MID($K34,1,1),MID(IK34,18,1)*MID($K34,2,1),MID(IK34,19,1)*MID($K34,3,1),MID(IK34,20,1)*MID($K34,4,1),MID(IK34,21,1)*MID($K34,5,1),MID(IK34,22,1)*MID($K34,6,1),MID(IK34,23,1)*MID($K34,7,1),MID(IK34,24,1)*MID($K34,8,1),MID(IK34,25,1)*MID($K34,1,1),MID(IK34,26,1)*MID($K34,2,1),MID(IK34,27,1)*MID($K34,3,1),MID(IK34,28,1)*MID($K34,4,1),MID(IK34,29,1)*MID($K34,5,1),MID(IK34,30,1)*MID($K34,6,1),MID(IK34,31,1)*MID($K34,7,1),MID(IK34,32,1)*MID($K34,8,1))</f>
        <v>01000010011000100110000100100001</v>
      </c>
      <c r="JO34" s="34" t="str">
        <f t="shared" si="188"/>
        <v>01000010</v>
      </c>
      <c r="JP34" s="34" t="str">
        <f t="shared" si="141"/>
        <v>01100010</v>
      </c>
      <c r="JQ34" s="34" t="str">
        <f t="shared" si="142"/>
        <v>01100001</v>
      </c>
      <c r="JR34" s="34" t="str">
        <f t="shared" si="143"/>
        <v>00100001</v>
      </c>
      <c r="JS34" s="87">
        <f>BIN2DEC(JO34)-BIN2DEC(JO35)</f>
        <v>-91</v>
      </c>
      <c r="JT34" s="87">
        <f>BIN2DEC(JP34)-BIN2DEC(JP35)</f>
        <v>-128</v>
      </c>
      <c r="JU34" s="87">
        <f>BIN2DEC(JQ34)-BIN2DEC(JQ35)</f>
        <v>-144</v>
      </c>
      <c r="JV34" s="87">
        <f>BIN2DEC(JR34)-BIN2DEC(JR35)</f>
        <v>-46</v>
      </c>
      <c r="JW34" s="35" t="str">
        <f t="shared" si="144"/>
        <v>1101</v>
      </c>
      <c r="JX34" s="35" t="str">
        <f t="shared" si="145"/>
        <v>0110</v>
      </c>
      <c r="JY34" s="35" t="str">
        <f t="shared" si="146"/>
        <v>0111</v>
      </c>
      <c r="JZ34" s="35" t="str">
        <f t="shared" si="147"/>
        <v>1110</v>
      </c>
      <c r="KA34" s="35" t="str">
        <f t="shared" si="148"/>
        <v>0110</v>
      </c>
      <c r="KB34" s="35" t="str">
        <f t="shared" si="149"/>
        <v>0101</v>
      </c>
      <c r="KC34" s="35" t="str">
        <f t="shared" si="150"/>
        <v>0010</v>
      </c>
      <c r="KD34" s="35" t="str">
        <f t="shared" si="151"/>
        <v>0101</v>
      </c>
      <c r="KE34" s="87">
        <f t="shared" ref="KE34:KL34" si="373">BIN2DEC(JW34)-BIN2DEC(JW35)</f>
        <v>4</v>
      </c>
      <c r="KF34" s="87">
        <f t="shared" si="373"/>
        <v>-7</v>
      </c>
      <c r="KG34" s="87">
        <f t="shared" si="373"/>
        <v>-7</v>
      </c>
      <c r="KH34" s="87">
        <f t="shared" si="373"/>
        <v>12</v>
      </c>
      <c r="KI34" s="87">
        <f t="shared" si="373"/>
        <v>-9</v>
      </c>
      <c r="KJ34" s="87">
        <f t="shared" si="373"/>
        <v>4</v>
      </c>
      <c r="KK34" s="87">
        <f t="shared" si="373"/>
        <v>-2</v>
      </c>
      <c r="KL34" s="87">
        <f t="shared" si="373"/>
        <v>-10</v>
      </c>
      <c r="KM34" s="34" t="str">
        <f t="shared" si="30"/>
        <v>0100001001100010</v>
      </c>
      <c r="KN34" s="34" t="str">
        <f t="shared" si="31"/>
        <v>0110000100100001</v>
      </c>
      <c r="KO34" s="87">
        <f>MID(KM34,16,1)*POWER(2,0)+MID(KM34,15,1)*POWER(2,1)+MID(KM34,14,1)*POWER(2,2)+MID(KM34,13,1)*POWER(2,3)+MID(KM34,12,1)*POWER(2,4)+MID(KM34,11,1)*POWER(2,5)+MID(KM34,10,1)*POWER(2,6)+MID(KM34,9,1)*POWER(2,7)+MID(KM34,8,1)*POWER(2,8)+MID(KM34,7,1)*POWER(2,9)+MID(KM34,6,1)*POWER(2,10)+MID(KM34,5,1)*POWER(2,11)+MID(KM34,4,1)*POWER(2,12)+MID(KM34,3,1)*POWER(2,13)+MID(KM34,2,1)*POWER(2,14)+MID(KM34,1,1)*POWER(2,15)-(MID(KM35,16,1)*POWER(2,0)+MID(KM35,15,1)*POWER(2,1)+MID(KM35,14,1)*POWER(2,2)+MID(KM35,13,1)*POWER(2,3)+MID(KM35,12,1)*POWER(2,4)+MID(KM35,11,1)*POWER(2,5)+MID(KM35,10,1)*POWER(2,6)+MID(KM35,9,1)*POWER(2,7)+MID(KM35,8,1)*POWER(2,8)+MID(KM35,7,1)*POWER(2,9)+MID(KM35,6,1)*POWER(2,10)+MID(KM35,5,1)*POWER(2,11)+MID(KM35,4,1)*POWER(2,12)+MID(KM35,3,1)*POWER(2,13)+MID(KM35,2,1)*POWER(2,14)+MID(KM35,1,1)*POWER(2,15))</f>
        <v>-23424</v>
      </c>
      <c r="KP34" s="87">
        <f>MID(KN34,16,1)*POWER(2,0)+MID(KN34,15,1)*POWER(2,1)+MID(KN34,14,1)*POWER(2,2)+MID(KN34,13,1)*POWER(2,3)+MID(KN34,12,1)*POWER(2,4)+MID(KN34,11,1)*POWER(2,5)+MID(KN34,10,1)*POWER(2,6)+MID(KN34,9,1)*POWER(2,7)+MID(KN34,8,1)*POWER(2,8)+MID(KN34,7,1)*POWER(2,9)+MID(KN34,6,1)*POWER(2,10)+MID(KN34,5,1)*POWER(2,11)+MID(KN34,4,1)*POWER(2,12)+MID(KN34,3,1)*POWER(2,13)+MID(KN34,2,1)*POWER(2,14)+MID(KN34,1,1)*POWER(2,15)-(MID(KN35,16,1)*POWER(2,0)+MID(KN35,15,1)*POWER(2,1)+MID(KN35,14,1)*POWER(2,2)+MID(KN35,13,1)*POWER(2,3)+MID(KN35,12,1)*POWER(2,4)+MID(KN35,11,1)*POWER(2,5)+MID(KN35,10,1)*POWER(2,6)+MID(KN35,9,1)*POWER(2,7)+MID(KN35,8,1)*POWER(2,8)+MID(KN35,7,1)*POWER(2,9)+MID(KN35,6,1)*POWER(2,10)+MID(KN35,5,1)*POWER(2,11)+MID(KN35,4,1)*POWER(2,12)+MID(KN35,3,1)*POWER(2,13)+MID(KN35,2,1)*POWER(2,14)+MID(KN35,1,1)*POWER(2,15))</f>
        <v>-36910</v>
      </c>
      <c r="KQ34" s="35" t="str">
        <f>IK34</f>
        <v>01000010011000100110000100100001</v>
      </c>
      <c r="KR34" s="34" t="str">
        <f t="shared" si="190"/>
        <v>01000010</v>
      </c>
      <c r="KS34" s="34" t="str">
        <f t="shared" si="152"/>
        <v>01100010</v>
      </c>
      <c r="KT34" s="34" t="str">
        <f t="shared" si="153"/>
        <v>01100001</v>
      </c>
      <c r="KU34" s="34" t="str">
        <f t="shared" si="154"/>
        <v>00100001</v>
      </c>
      <c r="KV34" s="87">
        <f>BIN2DEC(KR34)-BIN2DEC(KR35)</f>
        <v>65</v>
      </c>
      <c r="KW34" s="87">
        <f>BIN2DEC(KS34)-BIN2DEC(KS35)</f>
        <v>0</v>
      </c>
      <c r="KX34" s="87">
        <f>BIN2DEC(KT34)-BIN2DEC(KT35)</f>
        <v>0</v>
      </c>
      <c r="KY34" s="87">
        <f>BIN2DEC(KU34)-BIN2DEC(KU35)</f>
        <v>-34</v>
      </c>
      <c r="KZ34" s="35" t="str">
        <f t="shared" si="155"/>
        <v>1101</v>
      </c>
      <c r="LA34" s="35" t="str">
        <f t="shared" si="156"/>
        <v>0110</v>
      </c>
      <c r="LB34" s="35" t="str">
        <f t="shared" si="157"/>
        <v>0111</v>
      </c>
      <c r="LC34" s="35" t="str">
        <f t="shared" si="158"/>
        <v>1110</v>
      </c>
      <c r="LD34" s="35" t="str">
        <f t="shared" si="159"/>
        <v>0110</v>
      </c>
      <c r="LE34" s="35" t="str">
        <f t="shared" si="160"/>
        <v>0101</v>
      </c>
      <c r="LF34" s="35" t="str">
        <f t="shared" si="161"/>
        <v>0010</v>
      </c>
      <c r="LG34" s="35" t="str">
        <f t="shared" si="162"/>
        <v>0101</v>
      </c>
      <c r="LH34" s="87">
        <f t="shared" ref="LH34:LO34" si="374">BIN2DEC(KZ34)-BIN2DEC(KZ35)</f>
        <v>4</v>
      </c>
      <c r="LI34" s="87">
        <f t="shared" si="374"/>
        <v>-7</v>
      </c>
      <c r="LJ34" s="87">
        <f t="shared" si="374"/>
        <v>-7</v>
      </c>
      <c r="LK34" s="87">
        <f t="shared" si="374"/>
        <v>12</v>
      </c>
      <c r="LL34" s="87">
        <f t="shared" si="374"/>
        <v>-9</v>
      </c>
      <c r="LM34" s="87">
        <f t="shared" si="374"/>
        <v>4</v>
      </c>
      <c r="LN34" s="87">
        <f t="shared" si="374"/>
        <v>-2</v>
      </c>
      <c r="LO34" s="87">
        <f t="shared" si="374"/>
        <v>-10</v>
      </c>
      <c r="LP34" s="34" t="str">
        <f t="shared" si="33"/>
        <v>0100001001100010</v>
      </c>
      <c r="LQ34" s="34" t="str">
        <f t="shared" si="34"/>
        <v>0110000100100001</v>
      </c>
      <c r="LR34" s="87">
        <f>MID(LP34,16,1)*POWER(2,0)+MID(LP34,15,1)*POWER(2,1)+MID(LP34,14,1)*POWER(2,2)+MID(LP34,13,1)*POWER(2,3)+MID(LP34,12,1)*POWER(2,4)+MID(LP34,11,1)*POWER(2,5)+MID(LP34,10,1)*POWER(2,6)+MID(LP34,9,1)*POWER(2,7)+MID(LP34,8,1)*POWER(2,8)+MID(LP34,7,1)*POWER(2,9)+MID(LP34,6,1)*POWER(2,10)+MID(LP34,5,1)*POWER(2,11)+MID(LP34,4,1)*POWER(2,12)+MID(LP34,3,1)*POWER(2,13)+MID(LP34,2,1)*POWER(2,14)+MID(LP34,1,1)*POWER(2,15)-(MID(LP35,16,1)*POWER(2,0)+MID(LP35,15,1)*POWER(2,1)+MID(LP35,14,1)*POWER(2,2)+MID(LP35,13,1)*POWER(2,3)+MID(LP35,12,1)*POWER(2,4)+MID(LP35,11,1)*POWER(2,5)+MID(LP35,10,1)*POWER(2,6)+MID(LP35,9,1)*POWER(2,7)+MID(LP35,8,1)*POWER(2,8)+MID(LP35,7,1)*POWER(2,9)+MID(LP35,6,1)*POWER(2,10)+MID(LP35,5,1)*POWER(2,11)+MID(LP35,4,1)*POWER(2,12)+MID(LP35,3,1)*POWER(2,13)+MID(LP35,2,1)*POWER(2,14)+MID(LP35,1,1)*POWER(2,15))</f>
        <v>16640</v>
      </c>
      <c r="LS34" s="87">
        <f>MID(LQ34,16,1)*POWER(2,0)+MID(LQ34,15,1)*POWER(2,1)+MID(LQ34,14,1)*POWER(2,2)+MID(LQ34,13,1)*POWER(2,3)+MID(LQ34,12,1)*POWER(2,4)+MID(LQ34,11,1)*POWER(2,5)+MID(LQ34,10,1)*POWER(2,6)+MID(LQ34,9,1)*POWER(2,7)+MID(LQ34,8,1)*POWER(2,8)+MID(LQ34,7,1)*POWER(2,9)+MID(LQ34,6,1)*POWER(2,10)+MID(LQ34,5,1)*POWER(2,11)+MID(LQ34,4,1)*POWER(2,12)+MID(LQ34,3,1)*POWER(2,13)+MID(LQ34,2,1)*POWER(2,14)+MID(LQ34,1,1)*POWER(2,15)-(MID(LQ35,16,1)*POWER(2,0)+MID(LQ35,15,1)*POWER(2,1)+MID(LQ35,14,1)*POWER(2,2)+MID(LQ35,13,1)*POWER(2,3)+MID(LQ35,12,1)*POWER(2,4)+MID(LQ35,11,1)*POWER(2,5)+MID(LQ35,10,1)*POWER(2,6)+MID(LQ35,9,1)*POWER(2,7)+MID(LQ35,8,1)*POWER(2,8)+MID(LQ35,7,1)*POWER(2,9)+MID(LQ35,6,1)*POWER(2,10)+MID(LQ35,5,1)*POWER(2,11)+MID(LQ35,4,1)*POWER(2,12)+MID(LQ35,3,1)*POWER(2,13)+MID(LQ35,2,1)*POWER(2,14)+MID(LQ35,1,1)*POWER(2,15))</f>
        <v>-34</v>
      </c>
      <c r="LT34" s="34" t="str">
        <f>JN34</f>
        <v>01000010011000100110000100100001</v>
      </c>
      <c r="LU34" s="34" t="str">
        <f t="shared" si="192"/>
        <v>01000010</v>
      </c>
      <c r="LV34" s="34" t="str">
        <f t="shared" si="163"/>
        <v>01100010</v>
      </c>
      <c r="LW34" s="34" t="str">
        <f t="shared" si="164"/>
        <v>01100001</v>
      </c>
      <c r="LX34" s="34" t="str">
        <f t="shared" si="165"/>
        <v>00100001</v>
      </c>
      <c r="LY34" s="87">
        <f>BIN2DEC(LU34)-BIN2DEC(LU35)</f>
        <v>41</v>
      </c>
      <c r="LZ34" s="87">
        <f>BIN2DEC(LV34)-BIN2DEC(LV35)</f>
        <v>96</v>
      </c>
      <c r="MA34" s="87">
        <f>BIN2DEC(LW34)-BIN2DEC(LW35)</f>
        <v>80</v>
      </c>
      <c r="MB34" s="87">
        <f>BIN2DEC(LX34)-BIN2DEC(LX35)</f>
        <v>22</v>
      </c>
      <c r="MC34" s="35" t="str">
        <f t="shared" si="166"/>
        <v>1101</v>
      </c>
      <c r="MD34" s="35" t="str">
        <f t="shared" si="167"/>
        <v>0110</v>
      </c>
      <c r="ME34" s="35" t="str">
        <f t="shared" si="168"/>
        <v>0111</v>
      </c>
      <c r="MF34" s="35" t="str">
        <f t="shared" si="169"/>
        <v>1110</v>
      </c>
      <c r="MG34" s="35" t="str">
        <f t="shared" si="170"/>
        <v>0110</v>
      </c>
      <c r="MH34" s="35" t="str">
        <f t="shared" si="171"/>
        <v>0101</v>
      </c>
      <c r="MI34" s="35" t="str">
        <f t="shared" si="172"/>
        <v>0010</v>
      </c>
      <c r="MJ34" s="35" t="str">
        <f t="shared" si="173"/>
        <v>0101</v>
      </c>
      <c r="MK34" s="87">
        <f t="shared" ref="MK34:MR34" si="375">BIN2DEC(MC34)-BIN2DEC(MC35)</f>
        <v>4</v>
      </c>
      <c r="ML34" s="87">
        <f t="shared" si="375"/>
        <v>-7</v>
      </c>
      <c r="MM34" s="87">
        <f t="shared" si="375"/>
        <v>-7</v>
      </c>
      <c r="MN34" s="87">
        <f t="shared" si="375"/>
        <v>12</v>
      </c>
      <c r="MO34" s="87">
        <f t="shared" si="375"/>
        <v>-9</v>
      </c>
      <c r="MP34" s="87">
        <f t="shared" si="375"/>
        <v>4</v>
      </c>
      <c r="MQ34" s="87">
        <f t="shared" si="375"/>
        <v>-2</v>
      </c>
      <c r="MR34" s="87">
        <f t="shared" si="375"/>
        <v>-10</v>
      </c>
      <c r="MS34" s="34" t="str">
        <f t="shared" si="36"/>
        <v>0100001001100010</v>
      </c>
      <c r="MT34" s="34" t="str">
        <f t="shared" si="37"/>
        <v>0110000100100001</v>
      </c>
      <c r="MU34" s="87">
        <f>MID(MS34,16,1)*POWER(2,0)+MID(MS34,15,1)*POWER(2,1)+MID(MS34,14,1)*POWER(2,2)+MID(MS34,13,1)*POWER(2,3)+MID(MS34,12,1)*POWER(2,4)+MID(MS34,11,1)*POWER(2,5)+MID(MS34,10,1)*POWER(2,6)+MID(MS34,9,1)*POWER(2,7)+MID(MS34,8,1)*POWER(2,8)+MID(MS34,7,1)*POWER(2,9)+MID(MS34,6,1)*POWER(2,10)+MID(MS34,5,1)*POWER(2,11)+MID(MS34,4,1)*POWER(2,12)+MID(MS34,3,1)*POWER(2,13)+MID(MS34,2,1)*POWER(2,14)+MID(MS34,1,1)*POWER(2,15)-(MID(MS35,16,1)*POWER(2,0)+MID(MS35,15,1)*POWER(2,1)+MID(MS35,14,1)*POWER(2,2)+MID(MS35,13,1)*POWER(2,3)+MID(MS35,12,1)*POWER(2,4)+MID(MS35,11,1)*POWER(2,5)+MID(MS35,10,1)*POWER(2,6)+MID(MS35,9,1)*POWER(2,7)+MID(MS35,8,1)*POWER(2,8)+MID(MS35,7,1)*POWER(2,9)+MID(MS35,6,1)*POWER(2,10)+MID(MS35,5,1)*POWER(2,11)+MID(MS35,4,1)*POWER(2,12)+MID(MS35,3,1)*POWER(2,13)+MID(MS35,2,1)*POWER(2,14)+MID(MS35,1,1)*POWER(2,15))</f>
        <v>10592</v>
      </c>
      <c r="MV34" s="87">
        <f>MID(MT34,16,1)*POWER(2,0)+MID(MT34,15,1)*POWER(2,1)+MID(MT34,14,1)*POWER(2,2)+MID(MT34,13,1)*POWER(2,3)+MID(MT34,12,1)*POWER(2,4)+MID(MT34,11,1)*POWER(2,5)+MID(MT34,10,1)*POWER(2,6)+MID(MT34,9,1)*POWER(2,7)+MID(MT34,8,1)*POWER(2,8)+MID(MT34,7,1)*POWER(2,9)+MID(MT34,6,1)*POWER(2,10)+MID(MT34,5,1)*POWER(2,11)+MID(MT34,4,1)*POWER(2,12)+MID(MT34,3,1)*POWER(2,13)+MID(MT34,2,1)*POWER(2,14)+MID(MT34,1,1)*POWER(2,15)-(MID(MT35,16,1)*POWER(2,0)+MID(MT35,15,1)*POWER(2,1)+MID(MT35,14,1)*POWER(2,2)+MID(MT35,13,1)*POWER(2,3)+MID(MT35,12,1)*POWER(2,4)+MID(MT35,11,1)*POWER(2,5)+MID(MT35,10,1)*POWER(2,6)+MID(MT35,9,1)*POWER(2,7)+MID(MT35,8,1)*POWER(2,8)+MID(MT35,7,1)*POWER(2,9)+MID(MT35,6,1)*POWER(2,10)+MID(MT35,5,1)*POWER(2,11)+MID(MT35,4,1)*POWER(2,12)+MID(MT35,3,1)*POWER(2,13)+MID(MT35,2,1)*POWER(2,14)+MID(MT35,1,1)*POWER(2,15))</f>
        <v>20502</v>
      </c>
    </row>
    <row r="35" spans="1:360" s="39" customFormat="1" ht="18.600000000000001" thickBot="1" x14ac:dyDescent="0.4">
      <c r="A35" s="36"/>
      <c r="B35" s="37"/>
      <c r="C35" s="51" t="s">
        <v>6</v>
      </c>
      <c r="D35" s="51">
        <v>53</v>
      </c>
      <c r="E35" s="51" t="s">
        <v>84</v>
      </c>
      <c r="F35" s="51" t="s">
        <v>68</v>
      </c>
      <c r="G35" s="51" t="s">
        <v>149</v>
      </c>
      <c r="H35" s="51" t="str">
        <f t="shared" si="278"/>
        <v>01010011001111001111111010101001</v>
      </c>
      <c r="I35" s="51">
        <f t="shared" si="279"/>
        <v>19</v>
      </c>
      <c r="J35" s="51"/>
      <c r="K35" s="51"/>
      <c r="L35" s="38" t="str">
        <f>CONCATENATE(MID(H35,4,5),MID(H35,25,3),MID(H35,12,5),MID(H35,1,3),MID(H35,20,5),MID(H35,9,3),MID(H35,28,5),MID(H35,17,3))</f>
        <v>10011101111000101111000101001111</v>
      </c>
      <c r="M35" s="34" t="str">
        <f t="shared" si="38"/>
        <v>10011</v>
      </c>
      <c r="N35" s="26" t="str">
        <f t="shared" si="39"/>
        <v>11100</v>
      </c>
      <c r="O35" s="26" t="str">
        <f t="shared" si="40"/>
        <v>11110</v>
      </c>
      <c r="P35" s="26" t="str">
        <f t="shared" si="41"/>
        <v>01001</v>
      </c>
      <c r="Q35" s="88"/>
      <c r="R35" s="88"/>
      <c r="S35" s="88"/>
      <c r="T35" s="88"/>
      <c r="U35" s="39" t="str">
        <f t="shared" si="42"/>
        <v>1001</v>
      </c>
      <c r="V35" s="39" t="str">
        <f t="shared" si="43"/>
        <v>1101</v>
      </c>
      <c r="W35" s="39" t="str">
        <f t="shared" si="44"/>
        <v>1110</v>
      </c>
      <c r="X35" s="39" t="str">
        <f t="shared" si="45"/>
        <v>0010</v>
      </c>
      <c r="Y35" s="39" t="str">
        <f t="shared" si="46"/>
        <v>1111</v>
      </c>
      <c r="Z35" s="39" t="str">
        <f t="shared" si="47"/>
        <v>0001</v>
      </c>
      <c r="AA35" s="39" t="str">
        <f t="shared" si="48"/>
        <v>0100</v>
      </c>
      <c r="AB35" s="39" t="str">
        <f t="shared" si="49"/>
        <v>1111</v>
      </c>
      <c r="AC35" s="88"/>
      <c r="AD35" s="88"/>
      <c r="AE35" s="88"/>
      <c r="AF35" s="88"/>
      <c r="AG35" s="88"/>
      <c r="AH35" s="88"/>
      <c r="AI35" s="88"/>
      <c r="AJ35" s="88"/>
      <c r="AK35" s="38" t="str">
        <f t="shared" si="3"/>
        <v>1001110111100010</v>
      </c>
      <c r="AL35" s="38" t="str">
        <f t="shared" si="4"/>
        <v>1111000101001111</v>
      </c>
      <c r="AM35" s="88"/>
      <c r="AN35" s="88"/>
      <c r="AO35" s="37" t="str">
        <f>CONCATENATE(MID($L35,1,1)*MID($K34,1,1),MID($L35,2,1)*MID($K34,2,1),MID($L35,3,1)*MID($K34,3,1),MID($L35,4,1)*MID($K34,4,1),MID($L35,5,1)*MID($K34,5,1),MID($L35,6,1)*MID($K34,6,1),MID($L35,7,1)*MID($K34,7,1),MID($L35,8,1)*MID($K34,8,1),MID($L35,9,1)*MID($K34,1,1),MID($L35,10,1)*MID($K34,2,1),MID($L35,11,1)*MID($K34,3,1),MID($L35,12,1)*MID($K34,4,1),MID($L35,13,1)*MID($K34,5,1),MID($L35,14,1)*MID($K34,6,1),MID($L35,15,1)*MID($K34,7,1),MID($L35,16,1)*MID($K34,8,1),MID($L35,17,1)*MID($K34,1,1),MID($L35,18,1)*MID($K34,2,1),MID($L35,19,1)*MID($K34,3,1),MID($L35,20,1)*MID($K34,4,1),MID($L35,21,1)*MID($K34,5,1),MID($L35,22,1)*MID($K34,6,1),MID($L35,23,1)*MID($K34,7,1),MID($L35,24,1)*MID($K34,8,1),MID($L35,25,1)*MID($K34,1,1),MID($L35,26,1)*MID($K34,2,1),MID($L35,27,1)*MID($K34,3,1),MID($L35,28,1)*MID($K34,4,1),MID($L35,29,1)*MID($K34,5,1),MID($L35,30,1)*MID($K34,6,1),MID($L35,31,1)*MID($K34,7,1),MID($L35,32,1)*MID($K34,8,1))</f>
        <v>00000001011000100110000101000011</v>
      </c>
      <c r="AP35" s="38" t="str">
        <f t="shared" si="50"/>
        <v>00000001</v>
      </c>
      <c r="AQ35" s="38" t="str">
        <f t="shared" si="51"/>
        <v>01100010</v>
      </c>
      <c r="AR35" s="38" t="str">
        <f t="shared" si="52"/>
        <v>01100001</v>
      </c>
      <c r="AS35" s="38" t="str">
        <f t="shared" si="53"/>
        <v>01000011</v>
      </c>
      <c r="AT35" s="88"/>
      <c r="AU35" s="88"/>
      <c r="AV35" s="88"/>
      <c r="AW35" s="88"/>
      <c r="AX35" s="39" t="str">
        <f t="shared" si="54"/>
        <v>1001</v>
      </c>
      <c r="AY35" s="39" t="str">
        <f t="shared" si="55"/>
        <v>1101</v>
      </c>
      <c r="AZ35" s="39" t="str">
        <f t="shared" si="56"/>
        <v>1110</v>
      </c>
      <c r="BA35" s="39" t="str">
        <f t="shared" si="57"/>
        <v>0010</v>
      </c>
      <c r="BB35" s="39" t="str">
        <f t="shared" si="58"/>
        <v>1111</v>
      </c>
      <c r="BC35" s="39" t="str">
        <f t="shared" si="59"/>
        <v>0001</v>
      </c>
      <c r="BD35" s="39" t="str">
        <f t="shared" si="60"/>
        <v>0100</v>
      </c>
      <c r="BE35" s="39" t="str">
        <f t="shared" si="61"/>
        <v>1111</v>
      </c>
      <c r="BF35" s="88"/>
      <c r="BG35" s="88"/>
      <c r="BH35" s="88"/>
      <c r="BI35" s="88"/>
      <c r="BJ35" s="88"/>
      <c r="BK35" s="88"/>
      <c r="BL35" s="88"/>
      <c r="BM35" s="88"/>
      <c r="BN35" s="38" t="str">
        <f t="shared" si="6"/>
        <v>0000000101100010</v>
      </c>
      <c r="BO35" s="38" t="str">
        <f t="shared" si="7"/>
        <v>0110000101000011</v>
      </c>
      <c r="BP35" s="88"/>
      <c r="BQ35" s="88"/>
      <c r="BR35" s="37" t="str">
        <f>L35</f>
        <v>10011101111000101111000101001111</v>
      </c>
      <c r="BS35" s="38" t="str">
        <f t="shared" si="62"/>
        <v>10011101</v>
      </c>
      <c r="BT35" s="38" t="str">
        <f t="shared" si="63"/>
        <v>11100010</v>
      </c>
      <c r="BU35" s="38" t="str">
        <f t="shared" si="64"/>
        <v>11110001</v>
      </c>
      <c r="BV35" s="38" t="str">
        <f t="shared" si="65"/>
        <v>01001111</v>
      </c>
      <c r="BW35" s="88"/>
      <c r="BX35" s="88"/>
      <c r="BY35" s="88"/>
      <c r="BZ35" s="88"/>
      <c r="CA35" s="39" t="str">
        <f t="shared" si="66"/>
        <v>1001</v>
      </c>
      <c r="CB35" s="39" t="str">
        <f t="shared" si="67"/>
        <v>1101</v>
      </c>
      <c r="CC35" s="39" t="str">
        <f t="shared" si="68"/>
        <v>1110</v>
      </c>
      <c r="CD35" s="39" t="str">
        <f t="shared" si="69"/>
        <v>0010</v>
      </c>
      <c r="CE35" s="39" t="str">
        <f t="shared" si="70"/>
        <v>1111</v>
      </c>
      <c r="CF35" s="39" t="str">
        <f t="shared" si="71"/>
        <v>0001</v>
      </c>
      <c r="CG35" s="39" t="str">
        <f t="shared" si="72"/>
        <v>0100</v>
      </c>
      <c r="CH35" s="39" t="str">
        <f t="shared" si="73"/>
        <v>1111</v>
      </c>
      <c r="CI35" s="88"/>
      <c r="CJ35" s="88"/>
      <c r="CK35" s="88"/>
      <c r="CL35" s="88"/>
      <c r="CM35" s="88"/>
      <c r="CN35" s="88"/>
      <c r="CO35" s="88"/>
      <c r="CP35" s="88"/>
      <c r="CQ35" s="38" t="str">
        <f t="shared" si="9"/>
        <v>1001110111100010</v>
      </c>
      <c r="CR35" s="38" t="str">
        <f t="shared" si="10"/>
        <v>1111000101001111</v>
      </c>
      <c r="CS35" s="88"/>
      <c r="CT35" s="88"/>
      <c r="CU35" s="37" t="str">
        <f>AO35</f>
        <v>00000001011000100110000101000011</v>
      </c>
      <c r="CV35" s="38" t="str">
        <f t="shared" si="74"/>
        <v>00000001</v>
      </c>
      <c r="CW35" s="38" t="str">
        <f t="shared" si="75"/>
        <v>01100010</v>
      </c>
      <c r="CX35" s="38" t="str">
        <f t="shared" si="76"/>
        <v>01100001</v>
      </c>
      <c r="CY35" s="38" t="str">
        <f t="shared" si="77"/>
        <v>01000011</v>
      </c>
      <c r="CZ35" s="88"/>
      <c r="DA35" s="88"/>
      <c r="DB35" s="88"/>
      <c r="DC35" s="88"/>
      <c r="DD35" s="39" t="str">
        <f t="shared" si="78"/>
        <v>1001</v>
      </c>
      <c r="DE35" s="39" t="str">
        <f t="shared" si="79"/>
        <v>1101</v>
      </c>
      <c r="DF35" s="39" t="str">
        <f t="shared" si="80"/>
        <v>1110</v>
      </c>
      <c r="DG35" s="39" t="str">
        <f t="shared" si="81"/>
        <v>0010</v>
      </c>
      <c r="DH35" s="39" t="str">
        <f t="shared" si="82"/>
        <v>1111</v>
      </c>
      <c r="DI35" s="39" t="str">
        <f t="shared" si="83"/>
        <v>0001</v>
      </c>
      <c r="DJ35" s="39" t="str">
        <f t="shared" si="84"/>
        <v>0100</v>
      </c>
      <c r="DK35" s="39" t="str">
        <f t="shared" si="85"/>
        <v>1111</v>
      </c>
      <c r="DL35" s="88"/>
      <c r="DM35" s="88"/>
      <c r="DN35" s="88"/>
      <c r="DO35" s="88"/>
      <c r="DP35" s="88"/>
      <c r="DQ35" s="88"/>
      <c r="DR35" s="88"/>
      <c r="DS35" s="88"/>
      <c r="DT35" s="38" t="str">
        <f t="shared" si="12"/>
        <v>0000000101100010</v>
      </c>
      <c r="DU35" s="38" t="str">
        <f t="shared" si="13"/>
        <v>0110000101000011</v>
      </c>
      <c r="DV35" s="88"/>
      <c r="DW35" s="88"/>
      <c r="DX35" s="37" t="str">
        <f>CONCATENATE(MID($H35,1,1)*MID($K34,1,1),MID($H35,2,1)*MID($K34,2,1),MID($H35,3,1)*MID($K34,3,1),MID($H35,4,1)*MID($K34,4,1),MID($H35,5,1)*MID($K34,5,1),MID($H35,6,1)*MID($K34,6,1),MID($H35,7,1)*MID($K34,7,1),MID($H35,8,1)*MID($K34,8,1),MID($H35,9,1)*MID($K34,1,1),MID($H35,10,1)*MID($K34,2,1),MID($H35,11,1)*MID($K34,3,1),MID($H35,12,1)*MID($K34,4,1),MID($H35,13,1)*MID($K34,5,1),MID($H35,14,1)*MID($K34,6,1),MID($H35,15,1)*MID($K34,7,1),MID($H35,16,1)*MID($K34,8,1),MID($H35,17,1)*MID($K34,1,1),MID($H35,18,1)*MID($K34,2,1),MID($H35,19,1)*MID($K34,3,1),MID($H35,20,1)*MID($K34,4,1),MID($H35,21,1)*MID($K34,5,1),MID($H35,22,1)*MID($K34,6,1),MID($H35,23,1)*MID($K34,7,1),MID($H35,24,1)*MID($K34,8,1),MID($H35,25,1)*MID($K34,1,1),MID($H35,26,1)*MID($K34,2,1),MID($H35,27,1)*MID($K34,3,1),MID($H35,28,1)*MID($K34,4,1),MID($H35,29,1)*MID($K34,5,1),MID($H35,30,1)*MID($K34,6,1),MID($H35,31,1)*MID($K34,7,1),MID($H35,32,1)*MID($K34,8,1))</f>
        <v>01000011001000000110001000100001</v>
      </c>
      <c r="DY35" s="38" t="str">
        <f>CONCATENATE(MID(DX35,4,5),MID(DX35,25,3),MID(DX35,12,5),MID(DX35,1,3),MID(DX35,20,5),MID(DX35,9,3),MID(DX35,28,5),MID(DX35,17,3))</f>
        <v>00011001000000100001000100001011</v>
      </c>
      <c r="DZ35" s="38" t="str">
        <f t="shared" si="178"/>
        <v>00011001</v>
      </c>
      <c r="EA35" s="38" t="str">
        <f t="shared" si="86"/>
        <v>00000010</v>
      </c>
      <c r="EB35" s="38" t="str">
        <f t="shared" si="87"/>
        <v>00010001</v>
      </c>
      <c r="EC35" s="38" t="str">
        <f t="shared" si="88"/>
        <v>00001011</v>
      </c>
      <c r="ED35" s="88"/>
      <c r="EE35" s="88"/>
      <c r="EF35" s="88"/>
      <c r="EG35" s="88"/>
      <c r="EH35" s="39" t="str">
        <f t="shared" si="89"/>
        <v>1001</v>
      </c>
      <c r="EI35" s="39" t="str">
        <f t="shared" si="90"/>
        <v>1101</v>
      </c>
      <c r="EJ35" s="39" t="str">
        <f t="shared" si="91"/>
        <v>1110</v>
      </c>
      <c r="EK35" s="39" t="str">
        <f t="shared" si="92"/>
        <v>0010</v>
      </c>
      <c r="EL35" s="39" t="str">
        <f t="shared" si="93"/>
        <v>1111</v>
      </c>
      <c r="EM35" s="39" t="str">
        <f t="shared" si="94"/>
        <v>0001</v>
      </c>
      <c r="EN35" s="39" t="str">
        <f t="shared" si="95"/>
        <v>0100</v>
      </c>
      <c r="EO35" s="39" t="str">
        <f t="shared" si="96"/>
        <v>1111</v>
      </c>
      <c r="EP35" s="88"/>
      <c r="EQ35" s="88"/>
      <c r="ER35" s="88"/>
      <c r="ES35" s="88"/>
      <c r="ET35" s="88"/>
      <c r="EU35" s="88"/>
      <c r="EV35" s="88"/>
      <c r="EW35" s="88"/>
      <c r="EX35" s="38" t="str">
        <f t="shared" si="15"/>
        <v>0001100100000010</v>
      </c>
      <c r="EY35" s="38" t="str">
        <f t="shared" si="16"/>
        <v>0001000100001011</v>
      </c>
      <c r="EZ35" s="88"/>
      <c r="FA35" s="88"/>
      <c r="FB35" s="37" t="str">
        <f>CONCATENATE(MID(DY35,1,1)*MID($K34,1,1),MID(DY35,2,1)*MID($K34,2,1),MID(DY35,3,1)*MID($K34,3,1),MID(DY35,4,1)*MID($K34,4,1),MID(DY35,5,1)*MID($K34,5,1),MID(DY35,6,1)*MID($K34,6,1),MID(DY35,7,1)*MID($K34,7,1),MID(DY35,8,1)*MID($K34,8,1),MID(DY35,9,1)*MID($K34,1,1),MID(DY35,10,1)*MID($K34,2,1),MID(DY35,11,1)*MID($K34,3,1),MID(DY35,12,1)*MID($K34,4,1),MID(DY35,13,1)*MID($K34,5,1),MID(DY35,14,1)*MID($K34,6,1),MID(DY35,15,1)*MID($K34,7,1),MID(DY35,16,1)*MID($K34,8,1),MID(DY35,17,1)*MID($K34,1,1),MID(DY35,18,1)*MID($K34,2,1),MID(DY35,19,1)*MID($K34,3,1),MID(DY35,20,1)*MID($K34,4,1),MID(DY35,21,1)*MID($K34,5,1),MID(DY35,22,1)*MID($K34,6,1),MID(DY35,23,1)*MID($K34,7,1),MID(DY35,24,1)*MID($K34,8,1),MID(DY35,25,1)*MID($K34,1,1),MID(DY35,26,1)*MID($K34,2,1),MID(DY35,27,1)*MID($K34,3,1),MID(DY35,28,1)*MID($K34,4,1),MID(DY35,29,1)*MID($K34,5,1),MID(DY35,30,1)*MID($K34,6,1),MID(DY35,31,1)*MID($K34,7,1),MID(DY35,32,1)*MID($K34,8,1))</f>
        <v>00000001000000100000000100000011</v>
      </c>
      <c r="FC35" s="38" t="str">
        <f t="shared" si="180"/>
        <v>00000001</v>
      </c>
      <c r="FD35" s="38" t="str">
        <f t="shared" si="97"/>
        <v>00000010</v>
      </c>
      <c r="FE35" s="38" t="str">
        <f t="shared" si="98"/>
        <v>00000001</v>
      </c>
      <c r="FF35" s="38" t="str">
        <f t="shared" si="99"/>
        <v>00000011</v>
      </c>
      <c r="FG35" s="88"/>
      <c r="FH35" s="88"/>
      <c r="FI35" s="88"/>
      <c r="FJ35" s="88"/>
      <c r="FK35" s="39" t="str">
        <f t="shared" si="100"/>
        <v>1001</v>
      </c>
      <c r="FL35" s="39" t="str">
        <f t="shared" si="101"/>
        <v>1101</v>
      </c>
      <c r="FM35" s="39" t="str">
        <f t="shared" si="102"/>
        <v>1110</v>
      </c>
      <c r="FN35" s="39" t="str">
        <f t="shared" si="103"/>
        <v>0010</v>
      </c>
      <c r="FO35" s="39" t="str">
        <f t="shared" si="104"/>
        <v>1111</v>
      </c>
      <c r="FP35" s="39" t="str">
        <f t="shared" si="105"/>
        <v>0001</v>
      </c>
      <c r="FQ35" s="39" t="str">
        <f t="shared" si="106"/>
        <v>0100</v>
      </c>
      <c r="FR35" s="39" t="str">
        <f t="shared" si="107"/>
        <v>1111</v>
      </c>
      <c r="FS35" s="88"/>
      <c r="FT35" s="88"/>
      <c r="FU35" s="88"/>
      <c r="FV35" s="88"/>
      <c r="FW35" s="88"/>
      <c r="FX35" s="88"/>
      <c r="FY35" s="88"/>
      <c r="FZ35" s="88"/>
      <c r="GA35" s="38" t="str">
        <f t="shared" si="18"/>
        <v>0000000100000010</v>
      </c>
      <c r="GB35" s="38" t="str">
        <f t="shared" si="19"/>
        <v>0000000100000011</v>
      </c>
      <c r="GC35" s="88"/>
      <c r="GD35" s="88"/>
      <c r="GE35" s="39" t="str">
        <f>DY35</f>
        <v>00011001000000100001000100001011</v>
      </c>
      <c r="GF35" s="38" t="str">
        <f t="shared" si="182"/>
        <v>00011001</v>
      </c>
      <c r="GG35" s="38" t="str">
        <f t="shared" si="108"/>
        <v>00000010</v>
      </c>
      <c r="GH35" s="38" t="str">
        <f t="shared" si="109"/>
        <v>00010001</v>
      </c>
      <c r="GI35" s="38" t="str">
        <f t="shared" si="110"/>
        <v>00001011</v>
      </c>
      <c r="GJ35" s="88"/>
      <c r="GK35" s="88"/>
      <c r="GL35" s="88"/>
      <c r="GM35" s="88"/>
      <c r="GN35" s="39" t="str">
        <f t="shared" si="111"/>
        <v>1001</v>
      </c>
      <c r="GO35" s="39" t="str">
        <f t="shared" si="112"/>
        <v>1101</v>
      </c>
      <c r="GP35" s="39" t="str">
        <f t="shared" si="113"/>
        <v>1110</v>
      </c>
      <c r="GQ35" s="39" t="str">
        <f t="shared" si="114"/>
        <v>0010</v>
      </c>
      <c r="GR35" s="39" t="str">
        <f t="shared" si="115"/>
        <v>1111</v>
      </c>
      <c r="GS35" s="39" t="str">
        <f t="shared" si="116"/>
        <v>0001</v>
      </c>
      <c r="GT35" s="39" t="str">
        <f t="shared" si="117"/>
        <v>0100</v>
      </c>
      <c r="GU35" s="39" t="str">
        <f t="shared" si="118"/>
        <v>1111</v>
      </c>
      <c r="GV35" s="88"/>
      <c r="GW35" s="88"/>
      <c r="GX35" s="88"/>
      <c r="GY35" s="88"/>
      <c r="GZ35" s="88"/>
      <c r="HA35" s="88"/>
      <c r="HB35" s="88"/>
      <c r="HC35" s="88"/>
      <c r="HD35" s="38" t="str">
        <f t="shared" si="21"/>
        <v>0001100100000010</v>
      </c>
      <c r="HE35" s="38" t="str">
        <f t="shared" si="22"/>
        <v>0001000100001011</v>
      </c>
      <c r="HF35" s="88"/>
      <c r="HG35" s="88"/>
      <c r="HH35" s="39" t="str">
        <f>FB35</f>
        <v>00000001000000100000000100000011</v>
      </c>
      <c r="HI35" s="38" t="str">
        <f t="shared" si="184"/>
        <v>00000001</v>
      </c>
      <c r="HJ35" s="38" t="str">
        <f t="shared" si="119"/>
        <v>00000010</v>
      </c>
      <c r="HK35" s="38" t="str">
        <f t="shared" si="120"/>
        <v>00000001</v>
      </c>
      <c r="HL35" s="38" t="str">
        <f t="shared" si="121"/>
        <v>00000011</v>
      </c>
      <c r="HM35" s="88"/>
      <c r="HN35" s="88"/>
      <c r="HO35" s="88"/>
      <c r="HP35" s="88"/>
      <c r="HQ35" s="39" t="str">
        <f t="shared" si="122"/>
        <v>1001</v>
      </c>
      <c r="HR35" s="39" t="str">
        <f t="shared" si="123"/>
        <v>1101</v>
      </c>
      <c r="HS35" s="39" t="str">
        <f t="shared" si="124"/>
        <v>1110</v>
      </c>
      <c r="HT35" s="39" t="str">
        <f t="shared" si="125"/>
        <v>0010</v>
      </c>
      <c r="HU35" s="39" t="str">
        <f t="shared" si="126"/>
        <v>1111</v>
      </c>
      <c r="HV35" s="39" t="str">
        <f t="shared" si="127"/>
        <v>0001</v>
      </c>
      <c r="HW35" s="39" t="str">
        <f t="shared" si="128"/>
        <v>0100</v>
      </c>
      <c r="HX35" s="39" t="str">
        <f t="shared" si="129"/>
        <v>1111</v>
      </c>
      <c r="HY35" s="88"/>
      <c r="HZ35" s="88"/>
      <c r="IA35" s="88"/>
      <c r="IB35" s="88"/>
      <c r="IC35" s="88"/>
      <c r="ID35" s="88"/>
      <c r="IE35" s="88"/>
      <c r="IF35" s="88"/>
      <c r="IG35" s="38" t="str">
        <f t="shared" si="24"/>
        <v>0000000100000010</v>
      </c>
      <c r="IH35" s="38" t="str">
        <f t="shared" si="25"/>
        <v>0000000100000011</v>
      </c>
      <c r="II35" s="88"/>
      <c r="IJ35" s="88"/>
      <c r="IK35" s="38" t="str">
        <f>L35</f>
        <v>10011101111000101111000101001111</v>
      </c>
      <c r="IL35" s="38" t="str">
        <f t="shared" si="186"/>
        <v>10011101</v>
      </c>
      <c r="IM35" s="38" t="str">
        <f t="shared" si="130"/>
        <v>11100010</v>
      </c>
      <c r="IN35" s="38" t="str">
        <f t="shared" si="131"/>
        <v>11110001</v>
      </c>
      <c r="IO35" s="38" t="str">
        <f t="shared" si="132"/>
        <v>01001111</v>
      </c>
      <c r="IP35" s="88"/>
      <c r="IQ35" s="88"/>
      <c r="IR35" s="88"/>
      <c r="IS35" s="88"/>
      <c r="IT35" s="39" t="str">
        <f t="shared" si="133"/>
        <v>1001</v>
      </c>
      <c r="IU35" s="39" t="str">
        <f t="shared" si="134"/>
        <v>1101</v>
      </c>
      <c r="IV35" s="39" t="str">
        <f t="shared" si="135"/>
        <v>1110</v>
      </c>
      <c r="IW35" s="39" t="str">
        <f t="shared" si="136"/>
        <v>0010</v>
      </c>
      <c r="IX35" s="39" t="str">
        <f t="shared" si="137"/>
        <v>1111</v>
      </c>
      <c r="IY35" s="39" t="str">
        <f t="shared" si="138"/>
        <v>0001</v>
      </c>
      <c r="IZ35" s="39" t="str">
        <f t="shared" si="139"/>
        <v>0100</v>
      </c>
      <c r="JA35" s="39" t="str">
        <f t="shared" si="140"/>
        <v>1111</v>
      </c>
      <c r="JB35" s="88"/>
      <c r="JC35" s="88"/>
      <c r="JD35" s="88"/>
      <c r="JE35" s="88"/>
      <c r="JF35" s="88"/>
      <c r="JG35" s="88"/>
      <c r="JH35" s="88"/>
      <c r="JI35" s="88"/>
      <c r="JJ35" s="38" t="str">
        <f t="shared" si="27"/>
        <v>1001110111100010</v>
      </c>
      <c r="JK35" s="38" t="str">
        <f t="shared" si="28"/>
        <v>1111000101001111</v>
      </c>
      <c r="JL35" s="88"/>
      <c r="JM35" s="88"/>
      <c r="JN35" s="37" t="str">
        <f>L35</f>
        <v>10011101111000101111000101001111</v>
      </c>
      <c r="JO35" s="38" t="str">
        <f t="shared" si="188"/>
        <v>10011101</v>
      </c>
      <c r="JP35" s="38" t="str">
        <f t="shared" si="141"/>
        <v>11100010</v>
      </c>
      <c r="JQ35" s="38" t="str">
        <f t="shared" si="142"/>
        <v>11110001</v>
      </c>
      <c r="JR35" s="38" t="str">
        <f t="shared" si="143"/>
        <v>01001111</v>
      </c>
      <c r="JS35" s="88"/>
      <c r="JT35" s="88"/>
      <c r="JU35" s="88"/>
      <c r="JV35" s="88"/>
      <c r="JW35" s="39" t="str">
        <f t="shared" si="144"/>
        <v>1001</v>
      </c>
      <c r="JX35" s="39" t="str">
        <f t="shared" si="145"/>
        <v>1101</v>
      </c>
      <c r="JY35" s="39" t="str">
        <f t="shared" si="146"/>
        <v>1110</v>
      </c>
      <c r="JZ35" s="39" t="str">
        <f t="shared" si="147"/>
        <v>0010</v>
      </c>
      <c r="KA35" s="39" t="str">
        <f t="shared" si="148"/>
        <v>1111</v>
      </c>
      <c r="KB35" s="39" t="str">
        <f t="shared" si="149"/>
        <v>0001</v>
      </c>
      <c r="KC35" s="39" t="str">
        <f t="shared" si="150"/>
        <v>0100</v>
      </c>
      <c r="KD35" s="39" t="str">
        <f t="shared" si="151"/>
        <v>1111</v>
      </c>
      <c r="KE35" s="88"/>
      <c r="KF35" s="88"/>
      <c r="KG35" s="88"/>
      <c r="KH35" s="88"/>
      <c r="KI35" s="88"/>
      <c r="KJ35" s="88"/>
      <c r="KK35" s="88"/>
      <c r="KL35" s="88"/>
      <c r="KM35" s="38" t="str">
        <f t="shared" si="30"/>
        <v>1001110111100010</v>
      </c>
      <c r="KN35" s="38" t="str">
        <f t="shared" si="31"/>
        <v>1111000101001111</v>
      </c>
      <c r="KO35" s="88"/>
      <c r="KP35" s="88"/>
      <c r="KQ35" s="39" t="str">
        <f>AO35</f>
        <v>00000001011000100110000101000011</v>
      </c>
      <c r="KR35" s="38" t="str">
        <f t="shared" si="190"/>
        <v>00000001</v>
      </c>
      <c r="KS35" s="38" t="str">
        <f t="shared" si="152"/>
        <v>01100010</v>
      </c>
      <c r="KT35" s="38" t="str">
        <f t="shared" si="153"/>
        <v>01100001</v>
      </c>
      <c r="KU35" s="38" t="str">
        <f t="shared" si="154"/>
        <v>01000011</v>
      </c>
      <c r="KV35" s="88"/>
      <c r="KW35" s="88"/>
      <c r="KX35" s="88"/>
      <c r="KY35" s="88"/>
      <c r="KZ35" s="39" t="str">
        <f t="shared" si="155"/>
        <v>1001</v>
      </c>
      <c r="LA35" s="39" t="str">
        <f t="shared" si="156"/>
        <v>1101</v>
      </c>
      <c r="LB35" s="39" t="str">
        <f t="shared" si="157"/>
        <v>1110</v>
      </c>
      <c r="LC35" s="39" t="str">
        <f t="shared" si="158"/>
        <v>0010</v>
      </c>
      <c r="LD35" s="39" t="str">
        <f t="shared" si="159"/>
        <v>1111</v>
      </c>
      <c r="LE35" s="39" t="str">
        <f t="shared" si="160"/>
        <v>0001</v>
      </c>
      <c r="LF35" s="39" t="str">
        <f t="shared" si="161"/>
        <v>0100</v>
      </c>
      <c r="LG35" s="39" t="str">
        <f t="shared" si="162"/>
        <v>1111</v>
      </c>
      <c r="LH35" s="88"/>
      <c r="LI35" s="88"/>
      <c r="LJ35" s="88"/>
      <c r="LK35" s="88"/>
      <c r="LL35" s="88"/>
      <c r="LM35" s="88"/>
      <c r="LN35" s="88"/>
      <c r="LO35" s="88"/>
      <c r="LP35" s="38" t="str">
        <f t="shared" si="33"/>
        <v>0000000101100010</v>
      </c>
      <c r="LQ35" s="38" t="str">
        <f t="shared" si="34"/>
        <v>0110000101000011</v>
      </c>
      <c r="LR35" s="88"/>
      <c r="LS35" s="88"/>
      <c r="LT35" s="39" t="str">
        <f>GE35</f>
        <v>00011001000000100001000100001011</v>
      </c>
      <c r="LU35" s="38" t="str">
        <f t="shared" si="192"/>
        <v>00011001</v>
      </c>
      <c r="LV35" s="38" t="str">
        <f t="shared" si="163"/>
        <v>00000010</v>
      </c>
      <c r="LW35" s="38" t="str">
        <f t="shared" si="164"/>
        <v>00010001</v>
      </c>
      <c r="LX35" s="38" t="str">
        <f t="shared" si="165"/>
        <v>00001011</v>
      </c>
      <c r="LY35" s="88"/>
      <c r="LZ35" s="88"/>
      <c r="MA35" s="88"/>
      <c r="MB35" s="88"/>
      <c r="MC35" s="39" t="str">
        <f t="shared" si="166"/>
        <v>1001</v>
      </c>
      <c r="MD35" s="39" t="str">
        <f t="shared" si="167"/>
        <v>1101</v>
      </c>
      <c r="ME35" s="39" t="str">
        <f t="shared" si="168"/>
        <v>1110</v>
      </c>
      <c r="MF35" s="39" t="str">
        <f t="shared" si="169"/>
        <v>0010</v>
      </c>
      <c r="MG35" s="39" t="str">
        <f t="shared" si="170"/>
        <v>1111</v>
      </c>
      <c r="MH35" s="39" t="str">
        <f t="shared" si="171"/>
        <v>0001</v>
      </c>
      <c r="MI35" s="39" t="str">
        <f t="shared" si="172"/>
        <v>0100</v>
      </c>
      <c r="MJ35" s="39" t="str">
        <f t="shared" si="173"/>
        <v>1111</v>
      </c>
      <c r="MK35" s="88"/>
      <c r="ML35" s="88"/>
      <c r="MM35" s="88"/>
      <c r="MN35" s="88"/>
      <c r="MO35" s="88"/>
      <c r="MP35" s="88"/>
      <c r="MQ35" s="88"/>
      <c r="MR35" s="88"/>
      <c r="MS35" s="38" t="str">
        <f t="shared" si="36"/>
        <v>0001100100000010</v>
      </c>
      <c r="MT35" s="38" t="str">
        <f t="shared" si="37"/>
        <v>0001000100001011</v>
      </c>
      <c r="MU35" s="88"/>
      <c r="MV35" s="88"/>
    </row>
    <row r="36" spans="1:360" s="27" customFormat="1" ht="18.600000000000001" thickBot="1" x14ac:dyDescent="0.4">
      <c r="A36" s="24"/>
      <c r="B36" s="25"/>
      <c r="C36" s="20" t="s">
        <v>0</v>
      </c>
      <c r="D36" s="20" t="s">
        <v>10</v>
      </c>
      <c r="E36" s="20" t="s">
        <v>11</v>
      </c>
      <c r="F36" s="20" t="s">
        <v>12</v>
      </c>
      <c r="G36" s="20" t="s">
        <v>13</v>
      </c>
      <c r="H36" s="20" t="str">
        <f t="shared" si="278"/>
        <v>10011100101110001010001110011110</v>
      </c>
      <c r="I36" s="20">
        <f t="shared" si="279"/>
        <v>17</v>
      </c>
      <c r="J36" s="20">
        <v>65</v>
      </c>
      <c r="K36" s="20" t="str">
        <f>HEX2BIN(J36,8)</f>
        <v>01100101</v>
      </c>
      <c r="L36" s="43" t="str">
        <f>CONCATENATE(MID(H36,17,16),MID(H36,1,16))</f>
        <v>10100011100111101001110010111000</v>
      </c>
      <c r="M36" s="26" t="str">
        <f t="shared" si="38"/>
        <v>10100</v>
      </c>
      <c r="N36" s="26" t="str">
        <f t="shared" si="39"/>
        <v>10011</v>
      </c>
      <c r="O36" s="26" t="str">
        <f t="shared" si="40"/>
        <v>10011</v>
      </c>
      <c r="P36" s="26" t="str">
        <f t="shared" si="41"/>
        <v>10111</v>
      </c>
      <c r="Q36" s="77">
        <f>BIN2DEC(M36)-BIN2DEC(M37)</f>
        <v>7</v>
      </c>
      <c r="R36" s="77">
        <f>BIN2DEC(N36)-BIN2DEC(N37)</f>
        <v>19</v>
      </c>
      <c r="S36" s="77">
        <f>BIN2DEC(O36)-BIN2DEC(O37)</f>
        <v>13</v>
      </c>
      <c r="T36" s="77">
        <f>BIN2DEC(P36)-BIN2DEC(P37)</f>
        <v>-6</v>
      </c>
      <c r="U36" s="27" t="str">
        <f t="shared" si="42"/>
        <v>1010</v>
      </c>
      <c r="V36" s="27" t="str">
        <f t="shared" si="43"/>
        <v>0011</v>
      </c>
      <c r="W36" s="27" t="str">
        <f t="shared" si="44"/>
        <v>1001</v>
      </c>
      <c r="X36" s="27" t="str">
        <f t="shared" si="45"/>
        <v>1110</v>
      </c>
      <c r="Y36" s="27" t="str">
        <f t="shared" si="46"/>
        <v>1001</v>
      </c>
      <c r="Z36" s="27" t="str">
        <f t="shared" si="47"/>
        <v>1100</v>
      </c>
      <c r="AA36" s="27" t="str">
        <f t="shared" si="48"/>
        <v>1011</v>
      </c>
      <c r="AB36" s="27" t="str">
        <f t="shared" si="49"/>
        <v>1000</v>
      </c>
      <c r="AC36" s="77">
        <f>BIN2DEC(U36)-BIN2DEC(U37)</f>
        <v>4</v>
      </c>
      <c r="AD36" s="77">
        <f t="shared" ref="AD36:AI36" si="376">BIN2DEC(V36)-BIN2DEC(V37)</f>
        <v>-11</v>
      </c>
      <c r="AE36" s="77">
        <f t="shared" si="376"/>
        <v>9</v>
      </c>
      <c r="AF36" s="77">
        <f t="shared" si="376"/>
        <v>10</v>
      </c>
      <c r="AG36" s="77">
        <f t="shared" si="376"/>
        <v>6</v>
      </c>
      <c r="AH36" s="77">
        <f t="shared" si="376"/>
        <v>12</v>
      </c>
      <c r="AI36" s="77">
        <f t="shared" si="376"/>
        <v>-3</v>
      </c>
      <c r="AJ36" s="77">
        <f>BIN2DEC(AB36)-BIN2DEC(AB37)</f>
        <v>-1</v>
      </c>
      <c r="AK36" s="26" t="str">
        <f t="shared" si="3"/>
        <v>1010001110011110</v>
      </c>
      <c r="AL36" s="26" t="str">
        <f t="shared" si="4"/>
        <v>1001110010111000</v>
      </c>
      <c r="AM36" s="77">
        <f>MID(AK36,16,1)*POWER(2,0)+MID(AK36,15,1)*POWER(2,1)+MID(AK36,14,1)*POWER(2,2)+MID(AK36,13,1)*POWER(2,3)+MID(AK36,12,1)*POWER(2,4)+MID(AK36,11,1)*POWER(2,5)+MID(AK36,10,1)*POWER(2,6)+MID(AK36,9,1)*POWER(2,7)+MID(AK36,8,1)*POWER(2,8)+MID(AK36,7,1)*POWER(2,9)+MID(AK36,6,1)*POWER(2,10)+MID(AK36,5,1)*POWER(2,11)+MID(AK36,4,1)*POWER(2,12)+MID(AK36,3,1)*POWER(2,13)+MID(AK36,2,1)*POWER(2,14)+MID(AK36,1,1)*POWER(2,15)-(MID(AK37,16,1)*POWER(2,0)+MID(AK37,15,1)*POWER(2,1)+MID(AK37,14,1)*POWER(2,2)+MID(AK37,13,1)*POWER(2,3)+MID(AK37,12,1)*POWER(2,4)+MID(AK37,11,1)*POWER(2,5)+MID(AK37,10,1)*POWER(2,6)+MID(AK37,9,1)*POWER(2,7)+MID(AK37,8,1)*POWER(2,8)+MID(AK37,7,1)*POWER(2,9)+MID(AK37,6,1)*POWER(2,10)+MID(AK37,5,1)*POWER(2,11)+MID(AK37,4,1)*POWER(2,12)+MID(AK37,3,1)*POWER(2,13)+MID(AK37,2,1)*POWER(2,14)+MID(AK37,1,1)*POWER(2,15))</f>
        <v>13722</v>
      </c>
      <c r="AN36" s="77">
        <f>MID(AL36,16,1)*POWER(2,0)+MID(AL36,15,1)*POWER(2,1)+MID(AL36,14,1)*POWER(2,2)+MID(AL36,13,1)*POWER(2,3)+MID(AL36,12,1)*POWER(2,4)+MID(AL36,11,1)*POWER(2,5)+MID(AL36,10,1)*POWER(2,6)+MID(AL36,9,1)*POWER(2,7)+MID(AL36,8,1)*POWER(2,8)+MID(AL36,7,1)*POWER(2,9)+MID(AL36,6,1)*POWER(2,10)+MID(AL36,5,1)*POWER(2,11)+MID(AL36,4,1)*POWER(2,12)+MID(AL36,3,1)*POWER(2,13)+MID(AL36,2,1)*POWER(2,14)+MID(AL36,1,1)*POWER(2,15)-(MID(AL37,16,1)*POWER(2,0)+MID(AL37,15,1)*POWER(2,1)+MID(AL37,14,1)*POWER(2,2)+MID(AL37,13,1)*POWER(2,3)+MID(AL37,12,1)*POWER(2,4)+MID(AL37,11,1)*POWER(2,5)+MID(AL37,10,1)*POWER(2,6)+MID(AL37,9,1)*POWER(2,7)+MID(AL37,8,1)*POWER(2,8)+MID(AL37,7,1)*POWER(2,9)+MID(AL37,6,1)*POWER(2,10)+MID(AL37,5,1)*POWER(2,11)+MID(AL37,4,1)*POWER(2,12)+MID(AL37,3,1)*POWER(2,13)+MID(AL37,2,1)*POWER(2,14)+MID(AL37,1,1)*POWER(2,15))</f>
        <v>27599</v>
      </c>
      <c r="AO36" s="45" t="str">
        <f>L36</f>
        <v>10100011100111101001110010111000</v>
      </c>
      <c r="AP36" s="26" t="str">
        <f t="shared" si="50"/>
        <v>10100011</v>
      </c>
      <c r="AQ36" s="26" t="str">
        <f t="shared" si="51"/>
        <v>10011110</v>
      </c>
      <c r="AR36" s="26" t="str">
        <f t="shared" si="52"/>
        <v>10011100</v>
      </c>
      <c r="AS36" s="26" t="str">
        <f t="shared" si="53"/>
        <v>10111000</v>
      </c>
      <c r="AT36" s="77">
        <f>BIN2DEC(AP36)-BIN2DEC(AP37)</f>
        <v>63</v>
      </c>
      <c r="AU36" s="77">
        <f>BIN2DEC(AQ36)-BIN2DEC(AQ37)</f>
        <v>154</v>
      </c>
      <c r="AV36" s="77">
        <f>BIN2DEC(AR36)-BIN2DEC(AR37)</f>
        <v>124</v>
      </c>
      <c r="AW36" s="77">
        <f>BIN2DEC(AS36)-BIN2DEC(AS37)</f>
        <v>87</v>
      </c>
      <c r="AX36" s="27" t="str">
        <f t="shared" si="54"/>
        <v>1010</v>
      </c>
      <c r="AY36" s="27" t="str">
        <f t="shared" si="55"/>
        <v>0011</v>
      </c>
      <c r="AZ36" s="27" t="str">
        <f t="shared" si="56"/>
        <v>1001</v>
      </c>
      <c r="BA36" s="27" t="str">
        <f t="shared" si="57"/>
        <v>1110</v>
      </c>
      <c r="BB36" s="27" t="str">
        <f t="shared" si="58"/>
        <v>1001</v>
      </c>
      <c r="BC36" s="27" t="str">
        <f t="shared" si="59"/>
        <v>1100</v>
      </c>
      <c r="BD36" s="27" t="str">
        <f t="shared" si="60"/>
        <v>1011</v>
      </c>
      <c r="BE36" s="27" t="str">
        <f t="shared" si="61"/>
        <v>1000</v>
      </c>
      <c r="BF36" s="77">
        <f>BIN2DEC(AX36)-BIN2DEC(AX37)</f>
        <v>4</v>
      </c>
      <c r="BG36" s="77">
        <f t="shared" ref="BG36:BL36" si="377">BIN2DEC(AY36)-BIN2DEC(AY37)</f>
        <v>-11</v>
      </c>
      <c r="BH36" s="77">
        <f t="shared" si="377"/>
        <v>9</v>
      </c>
      <c r="BI36" s="77">
        <f t="shared" si="377"/>
        <v>10</v>
      </c>
      <c r="BJ36" s="77">
        <f t="shared" si="377"/>
        <v>6</v>
      </c>
      <c r="BK36" s="77">
        <f t="shared" si="377"/>
        <v>12</v>
      </c>
      <c r="BL36" s="77">
        <f t="shared" si="377"/>
        <v>-3</v>
      </c>
      <c r="BM36" s="77">
        <f>BIN2DEC(BE36)-BIN2DEC(BE37)</f>
        <v>-1</v>
      </c>
      <c r="BN36" s="26" t="str">
        <f t="shared" si="6"/>
        <v>1010001110011110</v>
      </c>
      <c r="BO36" s="26" t="str">
        <f t="shared" si="7"/>
        <v>1001110010111000</v>
      </c>
      <c r="BP36" s="77">
        <f>MID(BN36,16,1)*POWER(2,0)+MID(BN36,15,1)*POWER(2,1)+MID(BN36,14,1)*POWER(2,2)+MID(BN36,13,1)*POWER(2,3)+MID(BN36,12,1)*POWER(2,4)+MID(BN36,11,1)*POWER(2,5)+MID(BN36,10,1)*POWER(2,6)+MID(BN36,9,1)*POWER(2,7)+MID(BN36,8,1)*POWER(2,8)+MID(BN36,7,1)*POWER(2,9)+MID(BN36,6,1)*POWER(2,10)+MID(BN36,5,1)*POWER(2,11)+MID(BN36,4,1)*POWER(2,12)+MID(BN36,3,1)*POWER(2,13)+MID(BN36,2,1)*POWER(2,14)+MID(BN36,1,1)*POWER(2,15)-(MID(BN37,16,1)*POWER(2,0)+MID(BN37,15,1)*POWER(2,1)+MID(BN37,14,1)*POWER(2,2)+MID(BN37,13,1)*POWER(2,3)+MID(BN37,12,1)*POWER(2,4)+MID(BN37,11,1)*POWER(2,5)+MID(BN37,10,1)*POWER(2,6)+MID(BN37,9,1)*POWER(2,7)+MID(BN37,8,1)*POWER(2,8)+MID(BN37,7,1)*POWER(2,9)+MID(BN37,6,1)*POWER(2,10)+MID(BN37,5,1)*POWER(2,11)+MID(BN37,4,1)*POWER(2,12)+MID(BN37,3,1)*POWER(2,13)+MID(BN37,2,1)*POWER(2,14)+MID(BN37,1,1)*POWER(2,15))</f>
        <v>16282</v>
      </c>
      <c r="BQ36" s="77">
        <f>MID(BO36,16,1)*POWER(2,0)+MID(BO36,15,1)*POWER(2,1)+MID(BO36,14,1)*POWER(2,2)+MID(BO36,13,1)*POWER(2,3)+MID(BO36,12,1)*POWER(2,4)+MID(BO36,11,1)*POWER(2,5)+MID(BO36,10,1)*POWER(2,6)+MID(BO36,9,1)*POWER(2,7)+MID(BO36,8,1)*POWER(2,8)+MID(BO36,7,1)*POWER(2,9)+MID(BO36,6,1)*POWER(2,10)+MID(BO36,5,1)*POWER(2,11)+MID(BO36,4,1)*POWER(2,12)+MID(BO36,3,1)*POWER(2,13)+MID(BO36,2,1)*POWER(2,14)+MID(BO36,1,1)*POWER(2,15)-(MID(BO37,16,1)*POWER(2,0)+MID(BO37,15,1)*POWER(2,1)+MID(BO37,14,1)*POWER(2,2)+MID(BO37,13,1)*POWER(2,3)+MID(BO37,12,1)*POWER(2,4)+MID(BO37,11,1)*POWER(2,5)+MID(BO37,10,1)*POWER(2,6)+MID(BO37,9,1)*POWER(2,7)+MID(BO37,8,1)*POWER(2,8)+MID(BO37,7,1)*POWER(2,9)+MID(BO37,6,1)*POWER(2,10)+MID(BO37,5,1)*POWER(2,11)+MID(BO37,4,1)*POWER(2,12)+MID(BO37,3,1)*POWER(2,13)+MID(BO37,2,1)*POWER(2,14)+MID(BO37,1,1)*POWER(2,15))</f>
        <v>31831</v>
      </c>
      <c r="BR36" s="45" t="str">
        <f>CONCATENATE(MID($L36,1,1)*MID($K26,1,1),MID($L36,2,1)*MID($K26,2,1),MID($L36,3,1)*MID($K26,3,1),MID($L36,4,1)*MID($K26,4,1),MID($L36,5,1)*MID($K26,5,1),MID($L36,6,1)*MID($K26,6,1),MID($L36,7,1)*MID($K26,7,1),MID($L36,8,1)*MID($K26,8,1),MID($L36,9,1)*MID($K26,1,1),MID($L36,10,1)*MID($K26,2,1),MID($L36,11,1)*MID($K26,3,1),MID($L36,12,1)*MID($K26,4,1),MID($L36,13,1)*MID($K26,5,1),MID($L36,14,1)*MID($K26,6,1),MID($L36,15,1)*MID($K26,7,1),MID($L36,16,1)*MID($K26,8,1),MID($L36,17,1)*MID($K26,1,1),MID($L36,18,1)*MID($K26,2,1),MID($L36,19,1)*MID($K26,3,1),MID($L36,20,1)*MID($K26,4,1),MID($L36,21,1)*MID($K26,5,1),MID($L36,22,1)*MID($K26,6,1),MID($L36,23,1)*MID($K26,7,1),MID($L36,24,1)*MID($K26,8,1),MID($L36,25,1)*MID($K26,1,1),MID($L36,26,1)*MID($K26,2,1),MID($L36,27,1)*MID($K26,3,1),MID($L36,28,1)*MID($K26,4,1),MID($L36,29,1)*MID($K26,5,1),MID($L36,30,1)*MID($K26,6,1),MID($L36,31,1)*MID($K26,7,1),MID($L36,32,1)*MID($K26,8,1))</f>
        <v>00100011000000100000000000100000</v>
      </c>
      <c r="BS36" s="26" t="str">
        <f t="shared" si="62"/>
        <v>00100011</v>
      </c>
      <c r="BT36" s="26" t="str">
        <f t="shared" si="63"/>
        <v>00000010</v>
      </c>
      <c r="BU36" s="26" t="str">
        <f t="shared" si="64"/>
        <v>00000000</v>
      </c>
      <c r="BV36" s="26" t="str">
        <f t="shared" si="65"/>
        <v>00100000</v>
      </c>
      <c r="BW36" s="77">
        <f>BIN2DEC(BS36)-BIN2DEC(BS37)</f>
        <v>-75</v>
      </c>
      <c r="BX36" s="77">
        <f>BIN2DEC(BT36)-BIN2DEC(BT37)</f>
        <v>-2</v>
      </c>
      <c r="BY36" s="77">
        <f>BIN2DEC(BU36)-BIN2DEC(BU37)</f>
        <v>-48</v>
      </c>
      <c r="BZ36" s="77">
        <f>BIN2DEC(BV36)-BIN2DEC(BV37)</f>
        <v>-201</v>
      </c>
      <c r="CA36" s="27" t="str">
        <f t="shared" si="66"/>
        <v>1010</v>
      </c>
      <c r="CB36" s="27" t="str">
        <f t="shared" si="67"/>
        <v>0011</v>
      </c>
      <c r="CC36" s="27" t="str">
        <f t="shared" si="68"/>
        <v>1001</v>
      </c>
      <c r="CD36" s="27" t="str">
        <f t="shared" si="69"/>
        <v>1110</v>
      </c>
      <c r="CE36" s="27" t="str">
        <f t="shared" si="70"/>
        <v>1001</v>
      </c>
      <c r="CF36" s="27" t="str">
        <f t="shared" si="71"/>
        <v>1100</v>
      </c>
      <c r="CG36" s="27" t="str">
        <f t="shared" si="72"/>
        <v>1011</v>
      </c>
      <c r="CH36" s="27" t="str">
        <f t="shared" si="73"/>
        <v>1000</v>
      </c>
      <c r="CI36" s="77">
        <f>BIN2DEC(CA36)-BIN2DEC(CA37)</f>
        <v>4</v>
      </c>
      <c r="CJ36" s="77">
        <f t="shared" ref="CJ36:CO36" si="378">BIN2DEC(CB36)-BIN2DEC(CB37)</f>
        <v>-11</v>
      </c>
      <c r="CK36" s="77">
        <f t="shared" si="378"/>
        <v>9</v>
      </c>
      <c r="CL36" s="77">
        <f t="shared" si="378"/>
        <v>10</v>
      </c>
      <c r="CM36" s="77">
        <f t="shared" si="378"/>
        <v>6</v>
      </c>
      <c r="CN36" s="77">
        <f t="shared" si="378"/>
        <v>12</v>
      </c>
      <c r="CO36" s="77">
        <f t="shared" si="378"/>
        <v>-3</v>
      </c>
      <c r="CP36" s="77">
        <f>BIN2DEC(CH36)-BIN2DEC(CH37)</f>
        <v>-1</v>
      </c>
      <c r="CQ36" s="26" t="str">
        <f t="shared" si="9"/>
        <v>0010001100000010</v>
      </c>
      <c r="CR36" s="26" t="str">
        <f t="shared" si="10"/>
        <v>0000000000100000</v>
      </c>
      <c r="CS36" s="77">
        <f>MID(CQ36,16,1)*POWER(2,0)+MID(CQ36,15,1)*POWER(2,1)+MID(CQ36,14,1)*POWER(2,2)+MID(CQ36,13,1)*POWER(2,3)+MID(CQ36,12,1)*POWER(2,4)+MID(CQ36,11,1)*POWER(2,5)+MID(CQ36,10,1)*POWER(2,6)+MID(CQ36,9,1)*POWER(2,7)+MID(CQ36,8,1)*POWER(2,8)+MID(CQ36,7,1)*POWER(2,9)+MID(CQ36,6,1)*POWER(2,10)+MID(CQ36,5,1)*POWER(2,11)+MID(CQ36,4,1)*POWER(2,12)+MID(CQ36,3,1)*POWER(2,13)+MID(CQ36,2,1)*POWER(2,14)+MID(CQ36,1,1)*POWER(2,15)-(MID(CQ37,16,1)*POWER(2,0)+MID(CQ37,15,1)*POWER(2,1)+MID(CQ37,14,1)*POWER(2,2)+MID(CQ37,13,1)*POWER(2,3)+MID(CQ37,12,1)*POWER(2,4)+MID(CQ37,11,1)*POWER(2,5)+MID(CQ37,10,1)*POWER(2,6)+MID(CQ37,9,1)*POWER(2,7)+MID(CQ37,8,1)*POWER(2,8)+MID(CQ37,7,1)*POWER(2,9)+MID(CQ37,6,1)*POWER(2,10)+MID(CQ37,5,1)*POWER(2,11)+MID(CQ37,4,1)*POWER(2,12)+MID(CQ37,3,1)*POWER(2,13)+MID(CQ37,2,1)*POWER(2,14)+MID(CQ37,1,1)*POWER(2,15))</f>
        <v>-19202</v>
      </c>
      <c r="CT36" s="77">
        <f>MID(CR36,16,1)*POWER(2,0)+MID(CR36,15,1)*POWER(2,1)+MID(CR36,14,1)*POWER(2,2)+MID(CR36,13,1)*POWER(2,3)+MID(CR36,12,1)*POWER(2,4)+MID(CR36,11,1)*POWER(2,5)+MID(CR36,10,1)*POWER(2,6)+MID(CR36,9,1)*POWER(2,7)+MID(CR36,8,1)*POWER(2,8)+MID(CR36,7,1)*POWER(2,9)+MID(CR36,6,1)*POWER(2,10)+MID(CR36,5,1)*POWER(2,11)+MID(CR36,4,1)*POWER(2,12)+MID(CR36,3,1)*POWER(2,13)+MID(CR36,2,1)*POWER(2,14)+MID(CR36,1,1)*POWER(2,15)-(MID(CR37,16,1)*POWER(2,0)+MID(CR37,15,1)*POWER(2,1)+MID(CR37,14,1)*POWER(2,2)+MID(CR37,13,1)*POWER(2,3)+MID(CR37,12,1)*POWER(2,4)+MID(CR37,11,1)*POWER(2,5)+MID(CR37,10,1)*POWER(2,6)+MID(CR37,9,1)*POWER(2,7)+MID(CR37,8,1)*POWER(2,8)+MID(CR37,7,1)*POWER(2,9)+MID(CR37,6,1)*POWER(2,10)+MID(CR37,5,1)*POWER(2,11)+MID(CR37,4,1)*POWER(2,12)+MID(CR37,3,1)*POWER(2,13)+MID(CR37,2,1)*POWER(2,14)+MID(CR37,1,1)*POWER(2,15))</f>
        <v>-12489</v>
      </c>
      <c r="CU36" s="45" t="str">
        <f>BR36</f>
        <v>00100011000000100000000000100000</v>
      </c>
      <c r="CV36" s="26" t="str">
        <f t="shared" si="74"/>
        <v>00100011</v>
      </c>
      <c r="CW36" s="26" t="str">
        <f t="shared" si="75"/>
        <v>00000010</v>
      </c>
      <c r="CX36" s="26" t="str">
        <f t="shared" si="76"/>
        <v>00000000</v>
      </c>
      <c r="CY36" s="26" t="str">
        <f t="shared" si="77"/>
        <v>00100000</v>
      </c>
      <c r="CZ36" s="77">
        <f>BIN2DEC(CV36)-BIN2DEC(CV37)</f>
        <v>-65</v>
      </c>
      <c r="DA36" s="77">
        <f>BIN2DEC(CW36)-BIN2DEC(CW37)</f>
        <v>-2</v>
      </c>
      <c r="DB36" s="77">
        <f>BIN2DEC(CX36)-BIN2DEC(CX37)</f>
        <v>-32</v>
      </c>
      <c r="DC36" s="77">
        <f>BIN2DEC(CY36)-BIN2DEC(CY37)</f>
        <v>-65</v>
      </c>
      <c r="DD36" s="27" t="str">
        <f t="shared" si="78"/>
        <v>1010</v>
      </c>
      <c r="DE36" s="27" t="str">
        <f t="shared" si="79"/>
        <v>0011</v>
      </c>
      <c r="DF36" s="27" t="str">
        <f t="shared" si="80"/>
        <v>1001</v>
      </c>
      <c r="DG36" s="27" t="str">
        <f t="shared" si="81"/>
        <v>1110</v>
      </c>
      <c r="DH36" s="27" t="str">
        <f t="shared" si="82"/>
        <v>1001</v>
      </c>
      <c r="DI36" s="27" t="str">
        <f t="shared" si="83"/>
        <v>1100</v>
      </c>
      <c r="DJ36" s="27" t="str">
        <f t="shared" si="84"/>
        <v>1011</v>
      </c>
      <c r="DK36" s="27" t="str">
        <f t="shared" si="85"/>
        <v>1000</v>
      </c>
      <c r="DL36" s="77">
        <f>BIN2DEC(DD36)-BIN2DEC(DD37)</f>
        <v>4</v>
      </c>
      <c r="DM36" s="77">
        <f t="shared" ref="DM36:DR36" si="379">BIN2DEC(DE36)-BIN2DEC(DE37)</f>
        <v>-11</v>
      </c>
      <c r="DN36" s="77">
        <f t="shared" si="379"/>
        <v>9</v>
      </c>
      <c r="DO36" s="77">
        <f t="shared" si="379"/>
        <v>10</v>
      </c>
      <c r="DP36" s="77">
        <f t="shared" si="379"/>
        <v>6</v>
      </c>
      <c r="DQ36" s="77">
        <f t="shared" si="379"/>
        <v>12</v>
      </c>
      <c r="DR36" s="77">
        <f t="shared" si="379"/>
        <v>-3</v>
      </c>
      <c r="DS36" s="77">
        <f>BIN2DEC(DK36)-BIN2DEC(DK37)</f>
        <v>-1</v>
      </c>
      <c r="DT36" s="26" t="str">
        <f t="shared" si="12"/>
        <v>0010001100000010</v>
      </c>
      <c r="DU36" s="26" t="str">
        <f t="shared" si="13"/>
        <v>0000000000100000</v>
      </c>
      <c r="DV36" s="77">
        <f>MID(DT36,16,1)*POWER(2,0)+MID(DT36,15,1)*POWER(2,1)+MID(DT36,14,1)*POWER(2,2)+MID(DT36,13,1)*POWER(2,3)+MID(DT36,12,1)*POWER(2,4)+MID(DT36,11,1)*POWER(2,5)+MID(DT36,10,1)*POWER(2,6)+MID(DT36,9,1)*POWER(2,7)+MID(DT36,8,1)*POWER(2,8)+MID(DT36,7,1)*POWER(2,9)+MID(DT36,6,1)*POWER(2,10)+MID(DT36,5,1)*POWER(2,11)+MID(DT36,4,1)*POWER(2,12)+MID(DT36,3,1)*POWER(2,13)+MID(DT36,2,1)*POWER(2,14)+MID(DT36,1,1)*POWER(2,15)-(MID(DT37,16,1)*POWER(2,0)+MID(DT37,15,1)*POWER(2,1)+MID(DT37,14,1)*POWER(2,2)+MID(DT37,13,1)*POWER(2,3)+MID(DT37,12,1)*POWER(2,4)+MID(DT37,11,1)*POWER(2,5)+MID(DT37,10,1)*POWER(2,6)+MID(DT37,9,1)*POWER(2,7)+MID(DT37,8,1)*POWER(2,8)+MID(DT37,7,1)*POWER(2,9)+MID(DT37,6,1)*POWER(2,10)+MID(DT37,5,1)*POWER(2,11)+MID(DT37,4,1)*POWER(2,12)+MID(DT37,3,1)*POWER(2,13)+MID(DT37,2,1)*POWER(2,14)+MID(DT37,1,1)*POWER(2,15))</f>
        <v>-16642</v>
      </c>
      <c r="DW36" s="77">
        <f>MID(DU36,16,1)*POWER(2,0)+MID(DU36,15,1)*POWER(2,1)+MID(DU36,14,1)*POWER(2,2)+MID(DU36,13,1)*POWER(2,3)+MID(DU36,12,1)*POWER(2,4)+MID(DU36,11,1)*POWER(2,5)+MID(DU36,10,1)*POWER(2,6)+MID(DU36,9,1)*POWER(2,7)+MID(DU36,8,1)*POWER(2,8)+MID(DU36,7,1)*POWER(2,9)+MID(DU36,6,1)*POWER(2,10)+MID(DU36,5,1)*POWER(2,11)+MID(DU36,4,1)*POWER(2,12)+MID(DU36,3,1)*POWER(2,13)+MID(DU36,2,1)*POWER(2,14)+MID(DU36,1,1)*POWER(2,15)-(MID(DU37,16,1)*POWER(2,0)+MID(DU37,15,1)*POWER(2,1)+MID(DU37,14,1)*POWER(2,2)+MID(DU37,13,1)*POWER(2,3)+MID(DU37,12,1)*POWER(2,4)+MID(DU37,11,1)*POWER(2,5)+MID(DU37,10,1)*POWER(2,6)+MID(DU37,9,1)*POWER(2,7)+MID(DU37,8,1)*POWER(2,8)+MID(DU37,7,1)*POWER(2,9)+MID(DU37,6,1)*POWER(2,10)+MID(DU37,5,1)*POWER(2,11)+MID(DU37,4,1)*POWER(2,12)+MID(DU37,3,1)*POWER(2,13)+MID(DU37,2,1)*POWER(2,14)+MID(DU37,1,1)*POWER(2,15))</f>
        <v>-8257</v>
      </c>
      <c r="DX36" s="22" t="str">
        <f>CONCATENATE(MID($H36,1,1)*MID($K36,1,1),MID($H36,2,1)*MID($K36,2,1),MID($H36,3,1)*MID($K36,3,1),MID($H36,4,1)*MID($K36,4,1),MID($H36,5,1)*MID($K36,5,1),MID($H36,6,1)*MID($K36,6,1),MID($H36,7,1)*MID($K36,7,1),MID($H36,8,1)*MID($K36,8,1),MID($H36,9,1)*MID($K36,1,1),MID($H36,10,1)*MID($K36,2,1),MID($H36,11,1)*MID($K36,3,1),MID($H36,12,1)*MID($K36,4,1),MID($H36,13,1)*MID($K36,5,1),MID($H36,14,1)*MID($K36,6,1),MID($H36,15,1)*MID($K36,7,1),MID($H36,16,1)*MID($K36,8,1),MID($H36,17,1)*MID($K36,1,1),MID($H36,18,1)*MID($K36,2,1),MID($H36,19,1)*MID($K36,3,1),MID($H36,20,1)*MID($K36,4,1),MID($H36,21,1)*MID($K36,5,1),MID($H36,22,1)*MID($K36,6,1),MID($H36,23,1)*MID($K36,7,1),MID($H36,24,1)*MID($K36,8,1),MID($H36,25,1)*MID($K36,1,1),MID($H36,26,1)*MID($K36,2,1),MID($H36,27,1)*MID($K36,3,1),MID($H36,28,1)*MID($K36,4,1),MID($H36,29,1)*MID($K36,5,1),MID($H36,30,1)*MID($K36,6,1),MID($H36,31,1)*MID($K36,7,1),MID($H36,32,1)*MID($K36,8,1))</f>
        <v>00000100001000000010000100000100</v>
      </c>
      <c r="DY36" s="43" t="str">
        <f>L36</f>
        <v>10100011100111101001110010111000</v>
      </c>
      <c r="DZ36" s="26" t="str">
        <f t="shared" si="178"/>
        <v>10100011</v>
      </c>
      <c r="EA36" s="26" t="str">
        <f t="shared" si="86"/>
        <v>10011110</v>
      </c>
      <c r="EB36" s="26" t="str">
        <f t="shared" si="87"/>
        <v>10011100</v>
      </c>
      <c r="EC36" s="26" t="str">
        <f t="shared" si="88"/>
        <v>10111000</v>
      </c>
      <c r="ED36" s="77">
        <f>BIN2DEC(DZ36)-BIN2DEC(DZ37)</f>
        <v>121</v>
      </c>
      <c r="EE36" s="77">
        <f>BIN2DEC(EA36)-BIN2DEC(EA37)</f>
        <v>158</v>
      </c>
      <c r="EF36" s="77">
        <f>BIN2DEC(EB36)-BIN2DEC(EB37)</f>
        <v>124</v>
      </c>
      <c r="EG36" s="77">
        <f>BIN2DEC(EC36)-BIN2DEC(EC37)</f>
        <v>143</v>
      </c>
      <c r="EH36" s="27" t="str">
        <f t="shared" si="89"/>
        <v>1010</v>
      </c>
      <c r="EI36" s="27" t="str">
        <f t="shared" si="90"/>
        <v>0011</v>
      </c>
      <c r="EJ36" s="27" t="str">
        <f t="shared" si="91"/>
        <v>1001</v>
      </c>
      <c r="EK36" s="27" t="str">
        <f t="shared" si="92"/>
        <v>1110</v>
      </c>
      <c r="EL36" s="27" t="str">
        <f t="shared" si="93"/>
        <v>1001</v>
      </c>
      <c r="EM36" s="27" t="str">
        <f t="shared" si="94"/>
        <v>1100</v>
      </c>
      <c r="EN36" s="27" t="str">
        <f t="shared" si="95"/>
        <v>1011</v>
      </c>
      <c r="EO36" s="27" t="str">
        <f t="shared" si="96"/>
        <v>1000</v>
      </c>
      <c r="EP36" s="77">
        <f>BIN2DEC(EH36)-BIN2DEC(EH37)</f>
        <v>4</v>
      </c>
      <c r="EQ36" s="77">
        <f t="shared" ref="EQ36:EV36" si="380">BIN2DEC(EI36)-BIN2DEC(EI37)</f>
        <v>-11</v>
      </c>
      <c r="ER36" s="77">
        <f t="shared" si="380"/>
        <v>9</v>
      </c>
      <c r="ES36" s="77">
        <f t="shared" si="380"/>
        <v>10</v>
      </c>
      <c r="ET36" s="77">
        <f t="shared" si="380"/>
        <v>6</v>
      </c>
      <c r="EU36" s="77">
        <f t="shared" si="380"/>
        <v>12</v>
      </c>
      <c r="EV36" s="77">
        <f t="shared" si="380"/>
        <v>-3</v>
      </c>
      <c r="EW36" s="77">
        <f>BIN2DEC(EO36)-BIN2DEC(EO37)</f>
        <v>-1</v>
      </c>
      <c r="EX36" s="26" t="str">
        <f t="shared" si="15"/>
        <v>1010001110011110</v>
      </c>
      <c r="EY36" s="26" t="str">
        <f t="shared" si="16"/>
        <v>1001110010111000</v>
      </c>
      <c r="EZ36" s="77">
        <f>MID(EX36,16,1)*POWER(2,0)+MID(EX36,15,1)*POWER(2,1)+MID(EX36,14,1)*POWER(2,2)+MID(EX36,13,1)*POWER(2,3)+MID(EX36,12,1)*POWER(2,4)+MID(EX36,11,1)*POWER(2,5)+MID(EX36,10,1)*POWER(2,6)+MID(EX36,9,1)*POWER(2,7)+MID(EX36,8,1)*POWER(2,8)+MID(EX36,7,1)*POWER(2,9)+MID(EX36,6,1)*POWER(2,10)+MID(EX36,5,1)*POWER(2,11)+MID(EX36,4,1)*POWER(2,12)+MID(EX36,3,1)*POWER(2,13)+MID(EX36,2,1)*POWER(2,14)+MID(EX36,1,1)*POWER(2,15)-(MID(EX37,16,1)*POWER(2,0)+MID(EX37,15,1)*POWER(2,1)+MID(EX37,14,1)*POWER(2,2)+MID(EX37,13,1)*POWER(2,3)+MID(EX37,12,1)*POWER(2,4)+MID(EX37,11,1)*POWER(2,5)+MID(EX37,10,1)*POWER(2,6)+MID(EX37,9,1)*POWER(2,7)+MID(EX37,8,1)*POWER(2,8)+MID(EX37,7,1)*POWER(2,9)+MID(EX37,6,1)*POWER(2,10)+MID(EX37,5,1)*POWER(2,11)+MID(EX37,4,1)*POWER(2,12)+MID(EX37,3,1)*POWER(2,13)+MID(EX37,2,1)*POWER(2,14)+MID(EX37,1,1)*POWER(2,15))</f>
        <v>31134</v>
      </c>
      <c r="FA36" s="77">
        <f>MID(EY36,16,1)*POWER(2,0)+MID(EY36,15,1)*POWER(2,1)+MID(EY36,14,1)*POWER(2,2)+MID(EY36,13,1)*POWER(2,3)+MID(EY36,12,1)*POWER(2,4)+MID(EY36,11,1)*POWER(2,5)+MID(EY36,10,1)*POWER(2,6)+MID(EY36,9,1)*POWER(2,7)+MID(EY36,8,1)*POWER(2,8)+MID(EY36,7,1)*POWER(2,9)+MID(EY36,6,1)*POWER(2,10)+MID(EY36,5,1)*POWER(2,11)+MID(EY36,4,1)*POWER(2,12)+MID(EY36,3,1)*POWER(2,13)+MID(EY36,2,1)*POWER(2,14)+MID(EY36,1,1)*POWER(2,15)-(MID(EY37,16,1)*POWER(2,0)+MID(EY37,15,1)*POWER(2,1)+MID(EY37,14,1)*POWER(2,2)+MID(EY37,13,1)*POWER(2,3)+MID(EY37,12,1)*POWER(2,4)+MID(EY37,11,1)*POWER(2,5)+MID(EY37,10,1)*POWER(2,6)+MID(EY37,9,1)*POWER(2,7)+MID(EY37,8,1)*POWER(2,8)+MID(EY37,7,1)*POWER(2,9)+MID(EY37,6,1)*POWER(2,10)+MID(EY37,5,1)*POWER(2,11)+MID(EY37,4,1)*POWER(2,12)+MID(EY37,3,1)*POWER(2,13)+MID(EY37,2,1)*POWER(2,14)+MID(EY37,1,1)*POWER(2,15))</f>
        <v>31887</v>
      </c>
      <c r="FB36" s="45" t="str">
        <f>L36</f>
        <v>10100011100111101001110010111000</v>
      </c>
      <c r="FC36" s="26" t="str">
        <f t="shared" si="180"/>
        <v>10100011</v>
      </c>
      <c r="FD36" s="26" t="str">
        <f t="shared" si="97"/>
        <v>10011110</v>
      </c>
      <c r="FE36" s="26" t="str">
        <f t="shared" si="98"/>
        <v>10011100</v>
      </c>
      <c r="FF36" s="26" t="str">
        <f t="shared" si="99"/>
        <v>10111000</v>
      </c>
      <c r="FG36" s="77">
        <f>BIN2DEC(FC36)-BIN2DEC(FC37)</f>
        <v>131</v>
      </c>
      <c r="FH36" s="77">
        <f>BIN2DEC(FD36)-BIN2DEC(FD37)</f>
        <v>158</v>
      </c>
      <c r="FI36" s="77">
        <f>BIN2DEC(FE36)-BIN2DEC(FE37)</f>
        <v>124</v>
      </c>
      <c r="FJ36" s="77">
        <f>BIN2DEC(FF36)-BIN2DEC(FF37)</f>
        <v>151</v>
      </c>
      <c r="FK36" s="27" t="str">
        <f t="shared" si="100"/>
        <v>1010</v>
      </c>
      <c r="FL36" s="27" t="str">
        <f t="shared" si="101"/>
        <v>0011</v>
      </c>
      <c r="FM36" s="27" t="str">
        <f t="shared" si="102"/>
        <v>1001</v>
      </c>
      <c r="FN36" s="27" t="str">
        <f t="shared" si="103"/>
        <v>1110</v>
      </c>
      <c r="FO36" s="27" t="str">
        <f t="shared" si="104"/>
        <v>1001</v>
      </c>
      <c r="FP36" s="27" t="str">
        <f t="shared" si="105"/>
        <v>1100</v>
      </c>
      <c r="FQ36" s="27" t="str">
        <f t="shared" si="106"/>
        <v>1011</v>
      </c>
      <c r="FR36" s="27" t="str">
        <f t="shared" si="107"/>
        <v>1000</v>
      </c>
      <c r="FS36" s="77">
        <f>BIN2DEC(FK36)-BIN2DEC(FK37)</f>
        <v>4</v>
      </c>
      <c r="FT36" s="77">
        <f t="shared" ref="FT36:FY36" si="381">BIN2DEC(FL36)-BIN2DEC(FL37)</f>
        <v>-11</v>
      </c>
      <c r="FU36" s="77">
        <f t="shared" si="381"/>
        <v>9</v>
      </c>
      <c r="FV36" s="77">
        <f t="shared" si="381"/>
        <v>10</v>
      </c>
      <c r="FW36" s="77">
        <f t="shared" si="381"/>
        <v>6</v>
      </c>
      <c r="FX36" s="77">
        <f t="shared" si="381"/>
        <v>12</v>
      </c>
      <c r="FY36" s="77">
        <f t="shared" si="381"/>
        <v>-3</v>
      </c>
      <c r="FZ36" s="77">
        <f>BIN2DEC(FR36)-BIN2DEC(FR37)</f>
        <v>-1</v>
      </c>
      <c r="GA36" s="26" t="str">
        <f t="shared" si="18"/>
        <v>1010001110011110</v>
      </c>
      <c r="GB36" s="26" t="str">
        <f t="shared" si="19"/>
        <v>1001110010111000</v>
      </c>
      <c r="GC36" s="77">
        <f>MID(GA36,16,1)*POWER(2,0)+MID(GA36,15,1)*POWER(2,1)+MID(GA36,14,1)*POWER(2,2)+MID(GA36,13,1)*POWER(2,3)+MID(GA36,12,1)*POWER(2,4)+MID(GA36,11,1)*POWER(2,5)+MID(GA36,10,1)*POWER(2,6)+MID(GA36,9,1)*POWER(2,7)+MID(GA36,8,1)*POWER(2,8)+MID(GA36,7,1)*POWER(2,9)+MID(GA36,6,1)*POWER(2,10)+MID(GA36,5,1)*POWER(2,11)+MID(GA36,4,1)*POWER(2,12)+MID(GA36,3,1)*POWER(2,13)+MID(GA36,2,1)*POWER(2,14)+MID(GA36,1,1)*POWER(2,15)-(MID(GA37,16,1)*POWER(2,0)+MID(GA37,15,1)*POWER(2,1)+MID(GA37,14,1)*POWER(2,2)+MID(GA37,13,1)*POWER(2,3)+MID(GA37,12,1)*POWER(2,4)+MID(GA37,11,1)*POWER(2,5)+MID(GA37,10,1)*POWER(2,6)+MID(GA37,9,1)*POWER(2,7)+MID(GA37,8,1)*POWER(2,8)+MID(GA37,7,1)*POWER(2,9)+MID(GA37,6,1)*POWER(2,10)+MID(GA37,5,1)*POWER(2,11)+MID(GA37,4,1)*POWER(2,12)+MID(GA37,3,1)*POWER(2,13)+MID(GA37,2,1)*POWER(2,14)+MID(GA37,1,1)*POWER(2,15))</f>
        <v>33694</v>
      </c>
      <c r="GD36" s="77">
        <f>MID(GB36,16,1)*POWER(2,0)+MID(GB36,15,1)*POWER(2,1)+MID(GB36,14,1)*POWER(2,2)+MID(GB36,13,1)*POWER(2,3)+MID(GB36,12,1)*POWER(2,4)+MID(GB36,11,1)*POWER(2,5)+MID(GB36,10,1)*POWER(2,6)+MID(GB36,9,1)*POWER(2,7)+MID(GB36,8,1)*POWER(2,8)+MID(GB36,7,1)*POWER(2,9)+MID(GB36,6,1)*POWER(2,10)+MID(GB36,5,1)*POWER(2,11)+MID(GB36,4,1)*POWER(2,12)+MID(GB36,3,1)*POWER(2,13)+MID(GB36,2,1)*POWER(2,14)+MID(GB36,1,1)*POWER(2,15)-(MID(GB37,16,1)*POWER(2,0)+MID(GB37,15,1)*POWER(2,1)+MID(GB37,14,1)*POWER(2,2)+MID(GB37,13,1)*POWER(2,3)+MID(GB37,12,1)*POWER(2,4)+MID(GB37,11,1)*POWER(2,5)+MID(GB37,10,1)*POWER(2,6)+MID(GB37,9,1)*POWER(2,7)+MID(GB37,8,1)*POWER(2,8)+MID(GB37,7,1)*POWER(2,9)+MID(GB37,6,1)*POWER(2,10)+MID(GB37,5,1)*POWER(2,11)+MID(GB37,4,1)*POWER(2,12)+MID(GB37,3,1)*POWER(2,13)+MID(GB37,2,1)*POWER(2,14)+MID(GB37,1,1)*POWER(2,15))</f>
        <v>31895</v>
      </c>
      <c r="GE36" s="47" t="str">
        <f>CU36</f>
        <v>00100011000000100000000000100000</v>
      </c>
      <c r="GF36" s="26" t="str">
        <f t="shared" si="182"/>
        <v>00100011</v>
      </c>
      <c r="GG36" s="26" t="str">
        <f t="shared" si="108"/>
        <v>00000010</v>
      </c>
      <c r="GH36" s="26" t="str">
        <f t="shared" si="109"/>
        <v>00000000</v>
      </c>
      <c r="GI36" s="26" t="str">
        <f t="shared" si="110"/>
        <v>00100000</v>
      </c>
      <c r="GJ36" s="77">
        <f>BIN2DEC(GF36)-BIN2DEC(GF37)</f>
        <v>-7</v>
      </c>
      <c r="GK36" s="77">
        <f>BIN2DEC(GG36)-BIN2DEC(GG37)</f>
        <v>2</v>
      </c>
      <c r="GL36" s="77">
        <f>BIN2DEC(GH36)-BIN2DEC(GH37)</f>
        <v>-32</v>
      </c>
      <c r="GM36" s="77">
        <f>BIN2DEC(GI36)-BIN2DEC(GI37)</f>
        <v>-9</v>
      </c>
      <c r="GN36" s="27" t="str">
        <f t="shared" si="111"/>
        <v>1010</v>
      </c>
      <c r="GO36" s="27" t="str">
        <f t="shared" si="112"/>
        <v>0011</v>
      </c>
      <c r="GP36" s="27" t="str">
        <f t="shared" si="113"/>
        <v>1001</v>
      </c>
      <c r="GQ36" s="27" t="str">
        <f t="shared" si="114"/>
        <v>1110</v>
      </c>
      <c r="GR36" s="27" t="str">
        <f t="shared" si="115"/>
        <v>1001</v>
      </c>
      <c r="GS36" s="27" t="str">
        <f t="shared" si="116"/>
        <v>1100</v>
      </c>
      <c r="GT36" s="27" t="str">
        <f t="shared" si="117"/>
        <v>1011</v>
      </c>
      <c r="GU36" s="27" t="str">
        <f t="shared" si="118"/>
        <v>1000</v>
      </c>
      <c r="GV36" s="77">
        <f>BIN2DEC(GN36)-BIN2DEC(GN37)</f>
        <v>4</v>
      </c>
      <c r="GW36" s="77">
        <f t="shared" ref="GW36:HB36" si="382">BIN2DEC(GO36)-BIN2DEC(GO37)</f>
        <v>-11</v>
      </c>
      <c r="GX36" s="77">
        <f t="shared" si="382"/>
        <v>9</v>
      </c>
      <c r="GY36" s="77">
        <f t="shared" si="382"/>
        <v>10</v>
      </c>
      <c r="GZ36" s="77">
        <f t="shared" si="382"/>
        <v>6</v>
      </c>
      <c r="HA36" s="77">
        <f t="shared" si="382"/>
        <v>12</v>
      </c>
      <c r="HB36" s="77">
        <f t="shared" si="382"/>
        <v>-3</v>
      </c>
      <c r="HC36" s="77">
        <f>BIN2DEC(GU36)-BIN2DEC(GU37)</f>
        <v>-1</v>
      </c>
      <c r="HD36" s="26" t="str">
        <f t="shared" si="21"/>
        <v>0010001100000010</v>
      </c>
      <c r="HE36" s="26" t="str">
        <f t="shared" si="22"/>
        <v>0000000000100000</v>
      </c>
      <c r="HF36" s="77">
        <f>MID(HD36,16,1)*POWER(2,0)+MID(HD36,15,1)*POWER(2,1)+MID(HD36,14,1)*POWER(2,2)+MID(HD36,13,1)*POWER(2,3)+MID(HD36,12,1)*POWER(2,4)+MID(HD36,11,1)*POWER(2,5)+MID(HD36,10,1)*POWER(2,6)+MID(HD36,9,1)*POWER(2,7)+MID(HD36,8,1)*POWER(2,8)+MID(HD36,7,1)*POWER(2,9)+MID(HD36,6,1)*POWER(2,10)+MID(HD36,5,1)*POWER(2,11)+MID(HD36,4,1)*POWER(2,12)+MID(HD36,3,1)*POWER(2,13)+MID(HD36,2,1)*POWER(2,14)+MID(HD36,1,1)*POWER(2,15)-(MID(HD37,16,1)*POWER(2,0)+MID(HD37,15,1)*POWER(2,1)+MID(HD37,14,1)*POWER(2,2)+MID(HD37,13,1)*POWER(2,3)+MID(HD37,12,1)*POWER(2,4)+MID(HD37,11,1)*POWER(2,5)+MID(HD37,10,1)*POWER(2,6)+MID(HD37,9,1)*POWER(2,7)+MID(HD37,8,1)*POWER(2,8)+MID(HD37,7,1)*POWER(2,9)+MID(HD37,6,1)*POWER(2,10)+MID(HD37,5,1)*POWER(2,11)+MID(HD37,4,1)*POWER(2,12)+MID(HD37,3,1)*POWER(2,13)+MID(HD37,2,1)*POWER(2,14)+MID(HD37,1,1)*POWER(2,15))</f>
        <v>-1790</v>
      </c>
      <c r="HG36" s="77">
        <f>MID(HE36,16,1)*POWER(2,0)+MID(HE36,15,1)*POWER(2,1)+MID(HE36,14,1)*POWER(2,2)+MID(HE36,13,1)*POWER(2,3)+MID(HE36,12,1)*POWER(2,4)+MID(HE36,11,1)*POWER(2,5)+MID(HE36,10,1)*POWER(2,6)+MID(HE36,9,1)*POWER(2,7)+MID(HE36,8,1)*POWER(2,8)+MID(HE36,7,1)*POWER(2,9)+MID(HE36,6,1)*POWER(2,10)+MID(HE36,5,1)*POWER(2,11)+MID(HE36,4,1)*POWER(2,12)+MID(HE36,3,1)*POWER(2,13)+MID(HE36,2,1)*POWER(2,14)+MID(HE36,1,1)*POWER(2,15)-(MID(HE37,16,1)*POWER(2,0)+MID(HE37,15,1)*POWER(2,1)+MID(HE37,14,1)*POWER(2,2)+MID(HE37,13,1)*POWER(2,3)+MID(HE37,12,1)*POWER(2,4)+MID(HE37,11,1)*POWER(2,5)+MID(HE37,10,1)*POWER(2,6)+MID(HE37,9,1)*POWER(2,7)+MID(HE37,8,1)*POWER(2,8)+MID(HE37,7,1)*POWER(2,9)+MID(HE37,6,1)*POWER(2,10)+MID(HE37,5,1)*POWER(2,11)+MID(HE37,4,1)*POWER(2,12)+MID(HE37,3,1)*POWER(2,13)+MID(HE37,2,1)*POWER(2,14)+MID(HE37,1,1)*POWER(2,15))</f>
        <v>-8201</v>
      </c>
      <c r="HH36" s="43" t="str">
        <f>CONCATENATE(MID(DX36,17,16),MID(DX36,1,16))</f>
        <v>00100001000001000000010000100000</v>
      </c>
      <c r="HI36" s="26" t="str">
        <f t="shared" si="184"/>
        <v>00100001</v>
      </c>
      <c r="HJ36" s="26" t="str">
        <f t="shared" si="119"/>
        <v>00000100</v>
      </c>
      <c r="HK36" s="26" t="str">
        <f t="shared" si="120"/>
        <v>00000100</v>
      </c>
      <c r="HL36" s="26" t="str">
        <f t="shared" si="121"/>
        <v>00100000</v>
      </c>
      <c r="HM36" s="77">
        <f>BIN2DEC(HI36)-BIN2DEC(HI37)</f>
        <v>1</v>
      </c>
      <c r="HN36" s="77">
        <f>BIN2DEC(HJ36)-BIN2DEC(HJ37)</f>
        <v>4</v>
      </c>
      <c r="HO36" s="77">
        <f>BIN2DEC(HK36)-BIN2DEC(HK37)</f>
        <v>-28</v>
      </c>
      <c r="HP36" s="77">
        <f>BIN2DEC(HL36)-BIN2DEC(HL37)</f>
        <v>-1</v>
      </c>
      <c r="HQ36" s="27" t="str">
        <f t="shared" si="122"/>
        <v>1010</v>
      </c>
      <c r="HR36" s="27" t="str">
        <f t="shared" si="123"/>
        <v>0011</v>
      </c>
      <c r="HS36" s="27" t="str">
        <f t="shared" si="124"/>
        <v>1001</v>
      </c>
      <c r="HT36" s="27" t="str">
        <f t="shared" si="125"/>
        <v>1110</v>
      </c>
      <c r="HU36" s="27" t="str">
        <f t="shared" si="126"/>
        <v>1001</v>
      </c>
      <c r="HV36" s="27" t="str">
        <f t="shared" si="127"/>
        <v>1100</v>
      </c>
      <c r="HW36" s="27" t="str">
        <f t="shared" si="128"/>
        <v>1011</v>
      </c>
      <c r="HX36" s="27" t="str">
        <f t="shared" si="129"/>
        <v>1000</v>
      </c>
      <c r="HY36" s="77">
        <f>BIN2DEC(HQ36)-BIN2DEC(HQ37)</f>
        <v>4</v>
      </c>
      <c r="HZ36" s="77">
        <f t="shared" ref="HZ36:IE36" si="383">BIN2DEC(HR36)-BIN2DEC(HR37)</f>
        <v>-11</v>
      </c>
      <c r="IA36" s="77">
        <f t="shared" si="383"/>
        <v>9</v>
      </c>
      <c r="IB36" s="77">
        <f t="shared" si="383"/>
        <v>10</v>
      </c>
      <c r="IC36" s="77">
        <f t="shared" si="383"/>
        <v>6</v>
      </c>
      <c r="ID36" s="77">
        <f t="shared" si="383"/>
        <v>12</v>
      </c>
      <c r="IE36" s="77">
        <f t="shared" si="383"/>
        <v>-3</v>
      </c>
      <c r="IF36" s="77">
        <f>BIN2DEC(HX36)-BIN2DEC(HX37)</f>
        <v>-1</v>
      </c>
      <c r="IG36" s="26" t="str">
        <f t="shared" si="24"/>
        <v>0010000100000100</v>
      </c>
      <c r="IH36" s="26" t="str">
        <f t="shared" si="25"/>
        <v>0000010000100000</v>
      </c>
      <c r="II36" s="77">
        <f>MID(IG36,16,1)*POWER(2,0)+MID(IG36,15,1)*POWER(2,1)+MID(IG36,14,1)*POWER(2,2)+MID(IG36,13,1)*POWER(2,3)+MID(IG36,12,1)*POWER(2,4)+MID(IG36,11,1)*POWER(2,5)+MID(IG36,10,1)*POWER(2,6)+MID(IG36,9,1)*POWER(2,7)+MID(IG36,8,1)*POWER(2,8)+MID(IG36,7,1)*POWER(2,9)+MID(IG36,6,1)*POWER(2,10)+MID(IG36,5,1)*POWER(2,11)+MID(IG36,4,1)*POWER(2,12)+MID(IG36,3,1)*POWER(2,13)+MID(IG36,2,1)*POWER(2,14)+MID(IG36,1,1)*POWER(2,15)-(MID(IG37,16,1)*POWER(2,0)+MID(IG37,15,1)*POWER(2,1)+MID(IG37,14,1)*POWER(2,2)+MID(IG37,13,1)*POWER(2,3)+MID(IG37,12,1)*POWER(2,4)+MID(IG37,11,1)*POWER(2,5)+MID(IG37,10,1)*POWER(2,6)+MID(IG37,9,1)*POWER(2,7)+MID(IG37,8,1)*POWER(2,8)+MID(IG37,7,1)*POWER(2,9)+MID(IG37,6,1)*POWER(2,10)+MID(IG37,5,1)*POWER(2,11)+MID(IG37,4,1)*POWER(2,12)+MID(IG37,3,1)*POWER(2,13)+MID(IG37,2,1)*POWER(2,14)+MID(IG37,1,1)*POWER(2,15))</f>
        <v>260</v>
      </c>
      <c r="IJ36" s="77">
        <f>MID(IH36,16,1)*POWER(2,0)+MID(IH36,15,1)*POWER(2,1)+MID(IH36,14,1)*POWER(2,2)+MID(IH36,13,1)*POWER(2,3)+MID(IH36,12,1)*POWER(2,4)+MID(IH36,11,1)*POWER(2,5)+MID(IH36,10,1)*POWER(2,6)+MID(IH36,9,1)*POWER(2,7)+MID(IH36,8,1)*POWER(2,8)+MID(IH36,7,1)*POWER(2,9)+MID(IH36,6,1)*POWER(2,10)+MID(IH36,5,1)*POWER(2,11)+MID(IH36,4,1)*POWER(2,12)+MID(IH36,3,1)*POWER(2,13)+MID(IH36,2,1)*POWER(2,14)+MID(IH36,1,1)*POWER(2,15)-(MID(IH37,16,1)*POWER(2,0)+MID(IH37,15,1)*POWER(2,1)+MID(IH37,14,1)*POWER(2,2)+MID(IH37,13,1)*POWER(2,3)+MID(IH37,12,1)*POWER(2,4)+MID(IH37,11,1)*POWER(2,5)+MID(IH37,10,1)*POWER(2,6)+MID(IH37,9,1)*POWER(2,7)+MID(IH37,8,1)*POWER(2,8)+MID(IH37,7,1)*POWER(2,9)+MID(IH37,6,1)*POWER(2,10)+MID(IH37,5,1)*POWER(2,11)+MID(IH37,4,1)*POWER(2,12)+MID(IH37,3,1)*POWER(2,13)+MID(IH37,2,1)*POWER(2,14)+MID(IH37,1,1)*POWER(2,15))</f>
        <v>-7169</v>
      </c>
      <c r="IK36" s="43" t="str">
        <f>HH36</f>
        <v>00100001000001000000010000100000</v>
      </c>
      <c r="IL36" s="26" t="str">
        <f t="shared" si="186"/>
        <v>00100001</v>
      </c>
      <c r="IM36" s="26" t="str">
        <f t="shared" si="130"/>
        <v>00000100</v>
      </c>
      <c r="IN36" s="26" t="str">
        <f t="shared" si="131"/>
        <v>00000100</v>
      </c>
      <c r="IO36" s="26" t="str">
        <f t="shared" si="132"/>
        <v>00100000</v>
      </c>
      <c r="IP36" s="77">
        <f>BIN2DEC(IL36)-BIN2DEC(IL37)</f>
        <v>-77</v>
      </c>
      <c r="IQ36" s="77">
        <f>BIN2DEC(IM36)-BIN2DEC(IM37)</f>
        <v>0</v>
      </c>
      <c r="IR36" s="77">
        <f>BIN2DEC(IN36)-BIN2DEC(IN37)</f>
        <v>-44</v>
      </c>
      <c r="IS36" s="77">
        <f>BIN2DEC(IO36)-BIN2DEC(IO37)</f>
        <v>-201</v>
      </c>
      <c r="IT36" s="27" t="str">
        <f t="shared" si="133"/>
        <v>1010</v>
      </c>
      <c r="IU36" s="27" t="str">
        <f t="shared" si="134"/>
        <v>0011</v>
      </c>
      <c r="IV36" s="27" t="str">
        <f t="shared" si="135"/>
        <v>1001</v>
      </c>
      <c r="IW36" s="27" t="str">
        <f t="shared" si="136"/>
        <v>1110</v>
      </c>
      <c r="IX36" s="27" t="str">
        <f t="shared" si="137"/>
        <v>1001</v>
      </c>
      <c r="IY36" s="27" t="str">
        <f t="shared" si="138"/>
        <v>1100</v>
      </c>
      <c r="IZ36" s="27" t="str">
        <f t="shared" si="139"/>
        <v>1011</v>
      </c>
      <c r="JA36" s="27" t="str">
        <f t="shared" si="140"/>
        <v>1000</v>
      </c>
      <c r="JB36" s="77">
        <f t="shared" ref="JB36:JI36" si="384">BIN2DEC(IT36)-BIN2DEC(IT37)</f>
        <v>4</v>
      </c>
      <c r="JC36" s="77">
        <f t="shared" si="384"/>
        <v>-11</v>
      </c>
      <c r="JD36" s="77">
        <f t="shared" si="384"/>
        <v>9</v>
      </c>
      <c r="JE36" s="77">
        <f t="shared" si="384"/>
        <v>10</v>
      </c>
      <c r="JF36" s="77">
        <f t="shared" si="384"/>
        <v>6</v>
      </c>
      <c r="JG36" s="77">
        <f t="shared" si="384"/>
        <v>12</v>
      </c>
      <c r="JH36" s="77">
        <f t="shared" si="384"/>
        <v>-3</v>
      </c>
      <c r="JI36" s="77">
        <f t="shared" si="384"/>
        <v>-1</v>
      </c>
      <c r="JJ36" s="26" t="str">
        <f t="shared" si="27"/>
        <v>0010000100000100</v>
      </c>
      <c r="JK36" s="26" t="str">
        <f t="shared" si="28"/>
        <v>0000010000100000</v>
      </c>
      <c r="JL36" s="77">
        <f>MID(JJ36,16,1)*POWER(2,0)+MID(JJ36,15,1)*POWER(2,1)+MID(JJ36,14,1)*POWER(2,2)+MID(JJ36,13,1)*POWER(2,3)+MID(JJ36,12,1)*POWER(2,4)+MID(JJ36,11,1)*POWER(2,5)+MID(JJ36,10,1)*POWER(2,6)+MID(JJ36,9,1)*POWER(2,7)+MID(JJ36,8,1)*POWER(2,8)+MID(JJ36,7,1)*POWER(2,9)+MID(JJ36,6,1)*POWER(2,10)+MID(JJ36,5,1)*POWER(2,11)+MID(JJ36,4,1)*POWER(2,12)+MID(JJ36,3,1)*POWER(2,13)+MID(JJ36,2,1)*POWER(2,14)+MID(JJ36,1,1)*POWER(2,15)-(MID(JJ37,16,1)*POWER(2,0)+MID(JJ37,15,1)*POWER(2,1)+MID(JJ37,14,1)*POWER(2,2)+MID(JJ37,13,1)*POWER(2,3)+MID(JJ37,12,1)*POWER(2,4)+MID(JJ37,11,1)*POWER(2,5)+MID(JJ37,10,1)*POWER(2,6)+MID(JJ37,9,1)*POWER(2,7)+MID(JJ37,8,1)*POWER(2,8)+MID(JJ37,7,1)*POWER(2,9)+MID(JJ37,6,1)*POWER(2,10)+MID(JJ37,5,1)*POWER(2,11)+MID(JJ37,4,1)*POWER(2,12)+MID(JJ37,3,1)*POWER(2,13)+MID(JJ37,2,1)*POWER(2,14)+MID(JJ37,1,1)*POWER(2,15))</f>
        <v>-19712</v>
      </c>
      <c r="JM36" s="77">
        <f>MID(JK36,16,1)*POWER(2,0)+MID(JK36,15,1)*POWER(2,1)+MID(JK36,14,1)*POWER(2,2)+MID(JK36,13,1)*POWER(2,3)+MID(JK36,12,1)*POWER(2,4)+MID(JK36,11,1)*POWER(2,5)+MID(JK36,10,1)*POWER(2,6)+MID(JK36,9,1)*POWER(2,7)+MID(JK36,8,1)*POWER(2,8)+MID(JK36,7,1)*POWER(2,9)+MID(JK36,6,1)*POWER(2,10)+MID(JK36,5,1)*POWER(2,11)+MID(JK36,4,1)*POWER(2,12)+MID(JK36,3,1)*POWER(2,13)+MID(JK36,2,1)*POWER(2,14)+MID(JK36,1,1)*POWER(2,15)-(MID(JK37,16,1)*POWER(2,0)+MID(JK37,15,1)*POWER(2,1)+MID(JK37,14,1)*POWER(2,2)+MID(JK37,13,1)*POWER(2,3)+MID(JK37,12,1)*POWER(2,4)+MID(JK37,11,1)*POWER(2,5)+MID(JK37,10,1)*POWER(2,6)+MID(JK37,9,1)*POWER(2,7)+MID(JK37,8,1)*POWER(2,8)+MID(JK37,7,1)*POWER(2,9)+MID(JK37,6,1)*POWER(2,10)+MID(JK37,5,1)*POWER(2,11)+MID(JK37,4,1)*POWER(2,12)+MID(JK37,3,1)*POWER(2,13)+MID(JK37,2,1)*POWER(2,14)+MID(JK37,1,1)*POWER(2,15))</f>
        <v>-11465</v>
      </c>
      <c r="JN36" s="45" t="str">
        <f>CONCATENATE(MID(IK36,1,1)*MID($K36,1,1),MID(IK36,2,1)*MID($K36,2,1),MID(IK36,3,1)*MID($K36,3,1),MID(IK36,4,1)*MID($K36,4,1),MID(IK36,5,1)*MID($K36,5,1),MID(IK36,6,1)*MID($K36,6,1),MID(IK36,7,1)*MID($K36,7,1),MID(IK36,8,1)*MID($K36,8,1),MID(IK36,9,1)*MID($K36,1,1),MID(IK36,10,1)*MID($K36,2,1),MID(IK36,11,1)*MID($K36,3,1),MID(IK36,12,1)*MID($K36,4,1),MID(IK36,13,1)*MID($K36,5,1),MID(IK36,14,1)*MID($K36,6,1),MID(IK36,15,1)*MID($K36,7,1),MID(IK36,16,1)*MID($K36,8,1),MID(IK36,17,1)*MID($K36,1,1),MID(IK36,18,1)*MID($K36,2,1),MID(IK36,19,1)*MID($K36,3,1),MID(IK36,20,1)*MID($K36,4,1),MID(IK36,21,1)*MID($K36,5,1),MID(IK36,22,1)*MID($K36,6,1),MID(IK36,23,1)*MID($K36,7,1),MID(IK36,24,1)*MID($K36,8,1),MID(IK36,25,1)*MID($K36,1,1),MID(IK36,26,1)*MID($K36,2,1),MID(IK36,27,1)*MID($K36,3,1),MID(IK36,28,1)*MID($K36,4,1),MID(IK36,29,1)*MID($K36,5,1),MID(IK36,30,1)*MID($K36,6,1),MID(IK36,31,1)*MID($K36,7,1),MID(IK36,32,1)*MID($K36,8,1))</f>
        <v>00100001000001000000010000100000</v>
      </c>
      <c r="JO36" s="26" t="str">
        <f t="shared" si="188"/>
        <v>00100001</v>
      </c>
      <c r="JP36" s="26" t="str">
        <f t="shared" si="141"/>
        <v>00000100</v>
      </c>
      <c r="JQ36" s="26" t="str">
        <f t="shared" si="142"/>
        <v>00000100</v>
      </c>
      <c r="JR36" s="26" t="str">
        <f t="shared" si="143"/>
        <v>00100000</v>
      </c>
      <c r="JS36" s="77">
        <f>BIN2DEC(JO36)-BIN2DEC(JO37)</f>
        <v>-77</v>
      </c>
      <c r="JT36" s="77">
        <f>BIN2DEC(JP36)-BIN2DEC(JP37)</f>
        <v>0</v>
      </c>
      <c r="JU36" s="77">
        <f>BIN2DEC(JQ36)-BIN2DEC(JQ37)</f>
        <v>-44</v>
      </c>
      <c r="JV36" s="77">
        <f>BIN2DEC(JR36)-BIN2DEC(JR37)</f>
        <v>-201</v>
      </c>
      <c r="JW36" s="27" t="str">
        <f t="shared" si="144"/>
        <v>1010</v>
      </c>
      <c r="JX36" s="27" t="str">
        <f t="shared" si="145"/>
        <v>0011</v>
      </c>
      <c r="JY36" s="27" t="str">
        <f t="shared" si="146"/>
        <v>1001</v>
      </c>
      <c r="JZ36" s="27" t="str">
        <f t="shared" si="147"/>
        <v>1110</v>
      </c>
      <c r="KA36" s="27" t="str">
        <f t="shared" si="148"/>
        <v>1001</v>
      </c>
      <c r="KB36" s="27" t="str">
        <f t="shared" si="149"/>
        <v>1100</v>
      </c>
      <c r="KC36" s="27" t="str">
        <f t="shared" si="150"/>
        <v>1011</v>
      </c>
      <c r="KD36" s="27" t="str">
        <f t="shared" si="151"/>
        <v>1000</v>
      </c>
      <c r="KE36" s="77">
        <f t="shared" ref="KE36:KL36" si="385">BIN2DEC(JW36)-BIN2DEC(JW37)</f>
        <v>4</v>
      </c>
      <c r="KF36" s="77">
        <f t="shared" si="385"/>
        <v>-11</v>
      </c>
      <c r="KG36" s="77">
        <f t="shared" si="385"/>
        <v>9</v>
      </c>
      <c r="KH36" s="77">
        <f t="shared" si="385"/>
        <v>10</v>
      </c>
      <c r="KI36" s="77">
        <f t="shared" si="385"/>
        <v>6</v>
      </c>
      <c r="KJ36" s="77">
        <f t="shared" si="385"/>
        <v>12</v>
      </c>
      <c r="KK36" s="77">
        <f t="shared" si="385"/>
        <v>-3</v>
      </c>
      <c r="KL36" s="77">
        <f t="shared" si="385"/>
        <v>-1</v>
      </c>
      <c r="KM36" s="26" t="str">
        <f t="shared" si="30"/>
        <v>0010000100000100</v>
      </c>
      <c r="KN36" s="26" t="str">
        <f t="shared" si="31"/>
        <v>0000010000100000</v>
      </c>
      <c r="KO36" s="77">
        <f>MID(KM36,16,1)*POWER(2,0)+MID(KM36,15,1)*POWER(2,1)+MID(KM36,14,1)*POWER(2,2)+MID(KM36,13,1)*POWER(2,3)+MID(KM36,12,1)*POWER(2,4)+MID(KM36,11,1)*POWER(2,5)+MID(KM36,10,1)*POWER(2,6)+MID(KM36,9,1)*POWER(2,7)+MID(KM36,8,1)*POWER(2,8)+MID(KM36,7,1)*POWER(2,9)+MID(KM36,6,1)*POWER(2,10)+MID(KM36,5,1)*POWER(2,11)+MID(KM36,4,1)*POWER(2,12)+MID(KM36,3,1)*POWER(2,13)+MID(KM36,2,1)*POWER(2,14)+MID(KM36,1,1)*POWER(2,15)-(MID(KM37,16,1)*POWER(2,0)+MID(KM37,15,1)*POWER(2,1)+MID(KM37,14,1)*POWER(2,2)+MID(KM37,13,1)*POWER(2,3)+MID(KM37,12,1)*POWER(2,4)+MID(KM37,11,1)*POWER(2,5)+MID(KM37,10,1)*POWER(2,6)+MID(KM37,9,1)*POWER(2,7)+MID(KM37,8,1)*POWER(2,8)+MID(KM37,7,1)*POWER(2,9)+MID(KM37,6,1)*POWER(2,10)+MID(KM37,5,1)*POWER(2,11)+MID(KM37,4,1)*POWER(2,12)+MID(KM37,3,1)*POWER(2,13)+MID(KM37,2,1)*POWER(2,14)+MID(KM37,1,1)*POWER(2,15))</f>
        <v>-19712</v>
      </c>
      <c r="KP36" s="77">
        <f>MID(KN36,16,1)*POWER(2,0)+MID(KN36,15,1)*POWER(2,1)+MID(KN36,14,1)*POWER(2,2)+MID(KN36,13,1)*POWER(2,3)+MID(KN36,12,1)*POWER(2,4)+MID(KN36,11,1)*POWER(2,5)+MID(KN36,10,1)*POWER(2,6)+MID(KN36,9,1)*POWER(2,7)+MID(KN36,8,1)*POWER(2,8)+MID(KN36,7,1)*POWER(2,9)+MID(KN36,6,1)*POWER(2,10)+MID(KN36,5,1)*POWER(2,11)+MID(KN36,4,1)*POWER(2,12)+MID(KN36,3,1)*POWER(2,13)+MID(KN36,2,1)*POWER(2,14)+MID(KN36,1,1)*POWER(2,15)-(MID(KN37,16,1)*POWER(2,0)+MID(KN37,15,1)*POWER(2,1)+MID(KN37,14,1)*POWER(2,2)+MID(KN37,13,1)*POWER(2,3)+MID(KN37,12,1)*POWER(2,4)+MID(KN37,11,1)*POWER(2,5)+MID(KN37,10,1)*POWER(2,6)+MID(KN37,9,1)*POWER(2,7)+MID(KN37,8,1)*POWER(2,8)+MID(KN37,7,1)*POWER(2,9)+MID(KN37,6,1)*POWER(2,10)+MID(KN37,5,1)*POWER(2,11)+MID(KN37,4,1)*POWER(2,12)+MID(KN37,3,1)*POWER(2,13)+MID(KN37,2,1)*POWER(2,14)+MID(KN37,1,1)*POWER(2,15))</f>
        <v>-11465</v>
      </c>
      <c r="KQ36" s="47" t="str">
        <f>IK36</f>
        <v>00100001000001000000010000100000</v>
      </c>
      <c r="KR36" s="26" t="str">
        <f t="shared" si="190"/>
        <v>00100001</v>
      </c>
      <c r="KS36" s="26" t="str">
        <f t="shared" si="152"/>
        <v>00000100</v>
      </c>
      <c r="KT36" s="26" t="str">
        <f t="shared" si="153"/>
        <v>00000100</v>
      </c>
      <c r="KU36" s="26" t="str">
        <f t="shared" si="154"/>
        <v>00100000</v>
      </c>
      <c r="KV36" s="77">
        <f>BIN2DEC(KR36)-BIN2DEC(KR37)</f>
        <v>-67</v>
      </c>
      <c r="KW36" s="77">
        <f>BIN2DEC(KS36)-BIN2DEC(KS37)</f>
        <v>0</v>
      </c>
      <c r="KX36" s="77">
        <f>BIN2DEC(KT36)-BIN2DEC(KT37)</f>
        <v>-28</v>
      </c>
      <c r="KY36" s="77">
        <f>BIN2DEC(KU36)-BIN2DEC(KU37)</f>
        <v>-65</v>
      </c>
      <c r="KZ36" s="27" t="str">
        <f t="shared" si="155"/>
        <v>1010</v>
      </c>
      <c r="LA36" s="27" t="str">
        <f t="shared" si="156"/>
        <v>0011</v>
      </c>
      <c r="LB36" s="27" t="str">
        <f t="shared" si="157"/>
        <v>1001</v>
      </c>
      <c r="LC36" s="27" t="str">
        <f t="shared" si="158"/>
        <v>1110</v>
      </c>
      <c r="LD36" s="27" t="str">
        <f t="shared" si="159"/>
        <v>1001</v>
      </c>
      <c r="LE36" s="27" t="str">
        <f t="shared" si="160"/>
        <v>1100</v>
      </c>
      <c r="LF36" s="27" t="str">
        <f t="shared" si="161"/>
        <v>1011</v>
      </c>
      <c r="LG36" s="27" t="str">
        <f t="shared" si="162"/>
        <v>1000</v>
      </c>
      <c r="LH36" s="77">
        <f t="shared" ref="LH36:LO36" si="386">BIN2DEC(KZ36)-BIN2DEC(KZ37)</f>
        <v>4</v>
      </c>
      <c r="LI36" s="77">
        <f t="shared" si="386"/>
        <v>-11</v>
      </c>
      <c r="LJ36" s="77">
        <f t="shared" si="386"/>
        <v>9</v>
      </c>
      <c r="LK36" s="77">
        <f t="shared" si="386"/>
        <v>10</v>
      </c>
      <c r="LL36" s="77">
        <f t="shared" si="386"/>
        <v>6</v>
      </c>
      <c r="LM36" s="77">
        <f t="shared" si="386"/>
        <v>12</v>
      </c>
      <c r="LN36" s="77">
        <f t="shared" si="386"/>
        <v>-3</v>
      </c>
      <c r="LO36" s="77">
        <f t="shared" si="386"/>
        <v>-1</v>
      </c>
      <c r="LP36" s="26" t="str">
        <f t="shared" si="33"/>
        <v>0010000100000100</v>
      </c>
      <c r="LQ36" s="26" t="str">
        <f t="shared" si="34"/>
        <v>0000010000100000</v>
      </c>
      <c r="LR36" s="77">
        <f>MID(LP36,16,1)*POWER(2,0)+MID(LP36,15,1)*POWER(2,1)+MID(LP36,14,1)*POWER(2,2)+MID(LP36,13,1)*POWER(2,3)+MID(LP36,12,1)*POWER(2,4)+MID(LP36,11,1)*POWER(2,5)+MID(LP36,10,1)*POWER(2,6)+MID(LP36,9,1)*POWER(2,7)+MID(LP36,8,1)*POWER(2,8)+MID(LP36,7,1)*POWER(2,9)+MID(LP36,6,1)*POWER(2,10)+MID(LP36,5,1)*POWER(2,11)+MID(LP36,4,1)*POWER(2,12)+MID(LP36,3,1)*POWER(2,13)+MID(LP36,2,1)*POWER(2,14)+MID(LP36,1,1)*POWER(2,15)-(MID(LP37,16,1)*POWER(2,0)+MID(LP37,15,1)*POWER(2,1)+MID(LP37,14,1)*POWER(2,2)+MID(LP37,13,1)*POWER(2,3)+MID(LP37,12,1)*POWER(2,4)+MID(LP37,11,1)*POWER(2,5)+MID(LP37,10,1)*POWER(2,6)+MID(LP37,9,1)*POWER(2,7)+MID(LP37,8,1)*POWER(2,8)+MID(LP37,7,1)*POWER(2,9)+MID(LP37,6,1)*POWER(2,10)+MID(LP37,5,1)*POWER(2,11)+MID(LP37,4,1)*POWER(2,12)+MID(LP37,3,1)*POWER(2,13)+MID(LP37,2,1)*POWER(2,14)+MID(LP37,1,1)*POWER(2,15))</f>
        <v>-17152</v>
      </c>
      <c r="LS36" s="77">
        <f>MID(LQ36,16,1)*POWER(2,0)+MID(LQ36,15,1)*POWER(2,1)+MID(LQ36,14,1)*POWER(2,2)+MID(LQ36,13,1)*POWER(2,3)+MID(LQ36,12,1)*POWER(2,4)+MID(LQ36,11,1)*POWER(2,5)+MID(LQ36,10,1)*POWER(2,6)+MID(LQ36,9,1)*POWER(2,7)+MID(LQ36,8,1)*POWER(2,8)+MID(LQ36,7,1)*POWER(2,9)+MID(LQ36,6,1)*POWER(2,10)+MID(LQ36,5,1)*POWER(2,11)+MID(LQ36,4,1)*POWER(2,12)+MID(LQ36,3,1)*POWER(2,13)+MID(LQ36,2,1)*POWER(2,14)+MID(LQ36,1,1)*POWER(2,15)-(MID(LQ37,16,1)*POWER(2,0)+MID(LQ37,15,1)*POWER(2,1)+MID(LQ37,14,1)*POWER(2,2)+MID(LQ37,13,1)*POWER(2,3)+MID(LQ37,12,1)*POWER(2,4)+MID(LQ37,11,1)*POWER(2,5)+MID(LQ37,10,1)*POWER(2,6)+MID(LQ37,9,1)*POWER(2,7)+MID(LQ37,8,1)*POWER(2,8)+MID(LQ37,7,1)*POWER(2,9)+MID(LQ37,6,1)*POWER(2,10)+MID(LQ37,5,1)*POWER(2,11)+MID(LQ37,4,1)*POWER(2,12)+MID(LQ37,3,1)*POWER(2,13)+MID(LQ37,2,1)*POWER(2,14)+MID(LQ37,1,1)*POWER(2,15))</f>
        <v>-7233</v>
      </c>
      <c r="LT36" s="43" t="str">
        <f>JN36</f>
        <v>00100001000001000000010000100000</v>
      </c>
      <c r="LU36" s="26" t="str">
        <f t="shared" si="192"/>
        <v>00100001</v>
      </c>
      <c r="LV36" s="26" t="str">
        <f t="shared" si="163"/>
        <v>00000100</v>
      </c>
      <c r="LW36" s="26" t="str">
        <f t="shared" si="164"/>
        <v>00000100</v>
      </c>
      <c r="LX36" s="26" t="str">
        <f t="shared" si="165"/>
        <v>00100000</v>
      </c>
      <c r="LY36" s="77">
        <f>BIN2DEC(LU36)-BIN2DEC(LU37)</f>
        <v>-9</v>
      </c>
      <c r="LZ36" s="77">
        <f>BIN2DEC(LV36)-BIN2DEC(LV37)</f>
        <v>4</v>
      </c>
      <c r="MA36" s="77">
        <f>BIN2DEC(LW36)-BIN2DEC(LW37)</f>
        <v>-28</v>
      </c>
      <c r="MB36" s="77">
        <f>BIN2DEC(LX36)-BIN2DEC(LX37)</f>
        <v>-9</v>
      </c>
      <c r="MC36" s="27" t="str">
        <f t="shared" si="166"/>
        <v>1010</v>
      </c>
      <c r="MD36" s="27" t="str">
        <f t="shared" si="167"/>
        <v>0011</v>
      </c>
      <c r="ME36" s="27" t="str">
        <f t="shared" si="168"/>
        <v>1001</v>
      </c>
      <c r="MF36" s="27" t="str">
        <f t="shared" si="169"/>
        <v>1110</v>
      </c>
      <c r="MG36" s="27" t="str">
        <f t="shared" si="170"/>
        <v>1001</v>
      </c>
      <c r="MH36" s="27" t="str">
        <f t="shared" si="171"/>
        <v>1100</v>
      </c>
      <c r="MI36" s="27" t="str">
        <f t="shared" si="172"/>
        <v>1011</v>
      </c>
      <c r="MJ36" s="27" t="str">
        <f t="shared" si="173"/>
        <v>1000</v>
      </c>
      <c r="MK36" s="77">
        <f t="shared" ref="MK36:MR36" si="387">BIN2DEC(MC36)-BIN2DEC(MC37)</f>
        <v>4</v>
      </c>
      <c r="ML36" s="77">
        <f t="shared" si="387"/>
        <v>-11</v>
      </c>
      <c r="MM36" s="77">
        <f t="shared" si="387"/>
        <v>9</v>
      </c>
      <c r="MN36" s="77">
        <f t="shared" si="387"/>
        <v>10</v>
      </c>
      <c r="MO36" s="77">
        <f t="shared" si="387"/>
        <v>6</v>
      </c>
      <c r="MP36" s="77">
        <f t="shared" si="387"/>
        <v>12</v>
      </c>
      <c r="MQ36" s="77">
        <f t="shared" si="387"/>
        <v>-3</v>
      </c>
      <c r="MR36" s="77">
        <f t="shared" si="387"/>
        <v>-1</v>
      </c>
      <c r="MS36" s="26" t="str">
        <f t="shared" si="36"/>
        <v>0010000100000100</v>
      </c>
      <c r="MT36" s="26" t="str">
        <f t="shared" si="37"/>
        <v>0000010000100000</v>
      </c>
      <c r="MU36" s="77">
        <f>MID(MS36,16,1)*POWER(2,0)+MID(MS36,15,1)*POWER(2,1)+MID(MS36,14,1)*POWER(2,2)+MID(MS36,13,1)*POWER(2,3)+MID(MS36,12,1)*POWER(2,4)+MID(MS36,11,1)*POWER(2,5)+MID(MS36,10,1)*POWER(2,6)+MID(MS36,9,1)*POWER(2,7)+MID(MS36,8,1)*POWER(2,8)+MID(MS36,7,1)*POWER(2,9)+MID(MS36,6,1)*POWER(2,10)+MID(MS36,5,1)*POWER(2,11)+MID(MS36,4,1)*POWER(2,12)+MID(MS36,3,1)*POWER(2,13)+MID(MS36,2,1)*POWER(2,14)+MID(MS36,1,1)*POWER(2,15)-(MID(MS37,16,1)*POWER(2,0)+MID(MS37,15,1)*POWER(2,1)+MID(MS37,14,1)*POWER(2,2)+MID(MS37,13,1)*POWER(2,3)+MID(MS37,12,1)*POWER(2,4)+MID(MS37,11,1)*POWER(2,5)+MID(MS37,10,1)*POWER(2,6)+MID(MS37,9,1)*POWER(2,7)+MID(MS37,8,1)*POWER(2,8)+MID(MS37,7,1)*POWER(2,9)+MID(MS37,6,1)*POWER(2,10)+MID(MS37,5,1)*POWER(2,11)+MID(MS37,4,1)*POWER(2,12)+MID(MS37,3,1)*POWER(2,13)+MID(MS37,2,1)*POWER(2,14)+MID(MS37,1,1)*POWER(2,15))</f>
        <v>-2300</v>
      </c>
      <c r="MV36" s="77">
        <f>MID(MT36,16,1)*POWER(2,0)+MID(MT36,15,1)*POWER(2,1)+MID(MT36,14,1)*POWER(2,2)+MID(MT36,13,1)*POWER(2,3)+MID(MT36,12,1)*POWER(2,4)+MID(MT36,11,1)*POWER(2,5)+MID(MT36,10,1)*POWER(2,6)+MID(MT36,9,1)*POWER(2,7)+MID(MT36,8,1)*POWER(2,8)+MID(MT36,7,1)*POWER(2,9)+MID(MT36,6,1)*POWER(2,10)+MID(MT36,5,1)*POWER(2,11)+MID(MT36,4,1)*POWER(2,12)+MID(MT36,3,1)*POWER(2,13)+MID(MT36,2,1)*POWER(2,14)+MID(MT36,1,1)*POWER(2,15)-(MID(MT37,16,1)*POWER(2,0)+MID(MT37,15,1)*POWER(2,1)+MID(MT37,14,1)*POWER(2,2)+MID(MT37,13,1)*POWER(2,3)+MID(MT37,12,1)*POWER(2,4)+MID(MT37,11,1)*POWER(2,5)+MID(MT37,10,1)*POWER(2,6)+MID(MT37,9,1)*POWER(2,7)+MID(MT37,8,1)*POWER(2,8)+MID(MT37,7,1)*POWER(2,9)+MID(MT37,6,1)*POWER(2,10)+MID(MT37,5,1)*POWER(2,11)+MID(MT37,4,1)*POWER(2,12)+MID(MT37,3,1)*POWER(2,13)+MID(MT37,2,1)*POWER(2,14)+MID(MT37,1,1)*POWER(2,15))</f>
        <v>-7177</v>
      </c>
    </row>
    <row r="37" spans="1:360" s="31" customFormat="1" ht="18.600000000000001" thickBot="1" x14ac:dyDescent="0.4">
      <c r="A37" s="28"/>
      <c r="B37" s="29"/>
      <c r="C37" s="21" t="s">
        <v>6</v>
      </c>
      <c r="D37" s="21" t="s">
        <v>15</v>
      </c>
      <c r="E37" s="21">
        <v>0</v>
      </c>
      <c r="F37" s="21">
        <v>26</v>
      </c>
      <c r="G37" s="21" t="s">
        <v>14</v>
      </c>
      <c r="H37" s="21" t="str">
        <f t="shared" si="278"/>
        <v>10001101000000000010011011011101</v>
      </c>
      <c r="I37" s="21">
        <f t="shared" si="279"/>
        <v>13</v>
      </c>
      <c r="J37" s="21"/>
      <c r="K37" s="21"/>
      <c r="L37" s="44" t="str">
        <f>CONCATENATE(MID(H37,4,5),MID(H37,25,3),MID(H37,12,5),MID(H37,1,3),MID(H37,20,5),MID(H37,9,3),MID(H37,28,5),MID(H37,17,3))</f>
        <v>01101110000001000011000011101001</v>
      </c>
      <c r="M37" s="26" t="str">
        <f t="shared" si="38"/>
        <v>01101</v>
      </c>
      <c r="N37" s="26" t="str">
        <f t="shared" si="39"/>
        <v>00000</v>
      </c>
      <c r="O37" s="26" t="str">
        <f t="shared" si="40"/>
        <v>00110</v>
      </c>
      <c r="P37" s="26" t="str">
        <f t="shared" si="41"/>
        <v>11101</v>
      </c>
      <c r="Q37" s="78"/>
      <c r="R37" s="78"/>
      <c r="S37" s="78"/>
      <c r="T37" s="78"/>
      <c r="U37" s="31" t="str">
        <f t="shared" si="42"/>
        <v>0110</v>
      </c>
      <c r="V37" s="31" t="str">
        <f t="shared" si="43"/>
        <v>1110</v>
      </c>
      <c r="W37" s="31" t="str">
        <f t="shared" si="44"/>
        <v>0000</v>
      </c>
      <c r="X37" s="31" t="str">
        <f t="shared" si="45"/>
        <v>0100</v>
      </c>
      <c r="Y37" s="31" t="str">
        <f t="shared" si="46"/>
        <v>0011</v>
      </c>
      <c r="Z37" s="31" t="str">
        <f t="shared" si="47"/>
        <v>0000</v>
      </c>
      <c r="AA37" s="31" t="str">
        <f t="shared" si="48"/>
        <v>1110</v>
      </c>
      <c r="AB37" s="31" t="str">
        <f t="shared" si="49"/>
        <v>1001</v>
      </c>
      <c r="AC37" s="78"/>
      <c r="AD37" s="78"/>
      <c r="AE37" s="78"/>
      <c r="AF37" s="78"/>
      <c r="AG37" s="78"/>
      <c r="AH37" s="78"/>
      <c r="AI37" s="78"/>
      <c r="AJ37" s="78"/>
      <c r="AK37" s="30" t="str">
        <f t="shared" si="3"/>
        <v>0110111000000100</v>
      </c>
      <c r="AL37" s="30" t="str">
        <f t="shared" si="4"/>
        <v>0011000011101001</v>
      </c>
      <c r="AM37" s="78"/>
      <c r="AN37" s="78"/>
      <c r="AO37" s="46" t="str">
        <f>CONCATENATE(MID($L37,1,1)*MID($K36,1,1),MID($L37,2,1)*MID($K36,2,1),MID($L37,3,1)*MID($K36,3,1),MID($L37,4,1)*MID($K36,4,1),MID($L37,5,1)*MID($K36,5,1),MID($L37,6,1)*MID($K36,6,1),MID($L37,7,1)*MID($K36,7,1),MID($L37,8,1)*MID($K36,8,1),MID($L37,9,1)*MID($K36,1,1),MID($L37,10,1)*MID($K36,2,1),MID($L37,11,1)*MID($K36,3,1),MID($L37,12,1)*MID($K36,4,1),MID($L37,13,1)*MID($K36,5,1),MID($L37,14,1)*MID($K36,6,1),MID($L37,15,1)*MID($K36,7,1),MID($L37,16,1)*MID($K36,8,1),MID($L37,17,1)*MID($K36,1,1),MID($L37,18,1)*MID($K36,2,1),MID($L37,19,1)*MID($K36,3,1),MID($L37,20,1)*MID($K36,4,1),MID($L37,21,1)*MID($K36,5,1),MID($L37,22,1)*MID($K36,6,1),MID($L37,23,1)*MID($K36,7,1),MID($L37,24,1)*MID($K36,8,1),MID($L37,25,1)*MID($K36,1,1),MID($L37,26,1)*MID($K36,2,1),MID($L37,27,1)*MID($K36,3,1),MID($L37,28,1)*MID($K36,4,1),MID($L37,29,1)*MID($K36,5,1),MID($L37,30,1)*MID($K36,6,1),MID($L37,31,1)*MID($K36,7,1),MID($L37,32,1)*MID($K36,8,1))</f>
        <v>01100100000001000010000001100001</v>
      </c>
      <c r="AP37" s="30" t="str">
        <f t="shared" si="50"/>
        <v>01100100</v>
      </c>
      <c r="AQ37" s="30" t="str">
        <f t="shared" si="51"/>
        <v>00000100</v>
      </c>
      <c r="AR37" s="30" t="str">
        <f t="shared" si="52"/>
        <v>00100000</v>
      </c>
      <c r="AS37" s="30" t="str">
        <f t="shared" si="53"/>
        <v>01100001</v>
      </c>
      <c r="AT37" s="78"/>
      <c r="AU37" s="78"/>
      <c r="AV37" s="78"/>
      <c r="AW37" s="78"/>
      <c r="AX37" s="31" t="str">
        <f t="shared" si="54"/>
        <v>0110</v>
      </c>
      <c r="AY37" s="31" t="str">
        <f t="shared" si="55"/>
        <v>1110</v>
      </c>
      <c r="AZ37" s="31" t="str">
        <f t="shared" si="56"/>
        <v>0000</v>
      </c>
      <c r="BA37" s="31" t="str">
        <f t="shared" si="57"/>
        <v>0100</v>
      </c>
      <c r="BB37" s="31" t="str">
        <f t="shared" si="58"/>
        <v>0011</v>
      </c>
      <c r="BC37" s="31" t="str">
        <f t="shared" si="59"/>
        <v>0000</v>
      </c>
      <c r="BD37" s="31" t="str">
        <f t="shared" si="60"/>
        <v>1110</v>
      </c>
      <c r="BE37" s="31" t="str">
        <f t="shared" si="61"/>
        <v>1001</v>
      </c>
      <c r="BF37" s="78"/>
      <c r="BG37" s="78"/>
      <c r="BH37" s="78"/>
      <c r="BI37" s="78"/>
      <c r="BJ37" s="78"/>
      <c r="BK37" s="78"/>
      <c r="BL37" s="78"/>
      <c r="BM37" s="78"/>
      <c r="BN37" s="30" t="str">
        <f t="shared" si="6"/>
        <v>0110010000000100</v>
      </c>
      <c r="BO37" s="30" t="str">
        <f t="shared" si="7"/>
        <v>0010000001100001</v>
      </c>
      <c r="BP37" s="78"/>
      <c r="BQ37" s="78"/>
      <c r="BR37" s="46" t="str">
        <f>L37</f>
        <v>01101110000001000011000011101001</v>
      </c>
      <c r="BS37" s="30" t="str">
        <f t="shared" si="62"/>
        <v>01101110</v>
      </c>
      <c r="BT37" s="30" t="str">
        <f t="shared" si="63"/>
        <v>00000100</v>
      </c>
      <c r="BU37" s="30" t="str">
        <f t="shared" si="64"/>
        <v>00110000</v>
      </c>
      <c r="BV37" s="30" t="str">
        <f t="shared" si="65"/>
        <v>11101001</v>
      </c>
      <c r="BW37" s="78"/>
      <c r="BX37" s="78"/>
      <c r="BY37" s="78"/>
      <c r="BZ37" s="78"/>
      <c r="CA37" s="31" t="str">
        <f t="shared" si="66"/>
        <v>0110</v>
      </c>
      <c r="CB37" s="31" t="str">
        <f t="shared" si="67"/>
        <v>1110</v>
      </c>
      <c r="CC37" s="31" t="str">
        <f t="shared" si="68"/>
        <v>0000</v>
      </c>
      <c r="CD37" s="31" t="str">
        <f t="shared" si="69"/>
        <v>0100</v>
      </c>
      <c r="CE37" s="31" t="str">
        <f t="shared" si="70"/>
        <v>0011</v>
      </c>
      <c r="CF37" s="31" t="str">
        <f t="shared" si="71"/>
        <v>0000</v>
      </c>
      <c r="CG37" s="31" t="str">
        <f t="shared" si="72"/>
        <v>1110</v>
      </c>
      <c r="CH37" s="31" t="str">
        <f t="shared" si="73"/>
        <v>1001</v>
      </c>
      <c r="CI37" s="78"/>
      <c r="CJ37" s="78"/>
      <c r="CK37" s="78"/>
      <c r="CL37" s="78"/>
      <c r="CM37" s="78"/>
      <c r="CN37" s="78"/>
      <c r="CO37" s="78"/>
      <c r="CP37" s="78"/>
      <c r="CQ37" s="30" t="str">
        <f t="shared" si="9"/>
        <v>0110111000000100</v>
      </c>
      <c r="CR37" s="30" t="str">
        <f t="shared" si="10"/>
        <v>0011000011101001</v>
      </c>
      <c r="CS37" s="78"/>
      <c r="CT37" s="78"/>
      <c r="CU37" s="46" t="str">
        <f>AO37</f>
        <v>01100100000001000010000001100001</v>
      </c>
      <c r="CV37" s="30" t="str">
        <f t="shared" si="74"/>
        <v>01100100</v>
      </c>
      <c r="CW37" s="30" t="str">
        <f t="shared" si="75"/>
        <v>00000100</v>
      </c>
      <c r="CX37" s="30" t="str">
        <f t="shared" si="76"/>
        <v>00100000</v>
      </c>
      <c r="CY37" s="30" t="str">
        <f t="shared" si="77"/>
        <v>01100001</v>
      </c>
      <c r="CZ37" s="78"/>
      <c r="DA37" s="78"/>
      <c r="DB37" s="78"/>
      <c r="DC37" s="78"/>
      <c r="DD37" s="31" t="str">
        <f t="shared" si="78"/>
        <v>0110</v>
      </c>
      <c r="DE37" s="31" t="str">
        <f t="shared" si="79"/>
        <v>1110</v>
      </c>
      <c r="DF37" s="31" t="str">
        <f t="shared" si="80"/>
        <v>0000</v>
      </c>
      <c r="DG37" s="31" t="str">
        <f t="shared" si="81"/>
        <v>0100</v>
      </c>
      <c r="DH37" s="31" t="str">
        <f t="shared" si="82"/>
        <v>0011</v>
      </c>
      <c r="DI37" s="31" t="str">
        <f t="shared" si="83"/>
        <v>0000</v>
      </c>
      <c r="DJ37" s="31" t="str">
        <f t="shared" si="84"/>
        <v>1110</v>
      </c>
      <c r="DK37" s="31" t="str">
        <f t="shared" si="85"/>
        <v>1001</v>
      </c>
      <c r="DL37" s="78"/>
      <c r="DM37" s="78"/>
      <c r="DN37" s="78"/>
      <c r="DO37" s="78"/>
      <c r="DP37" s="78"/>
      <c r="DQ37" s="78"/>
      <c r="DR37" s="78"/>
      <c r="DS37" s="78"/>
      <c r="DT37" s="30" t="str">
        <f t="shared" si="12"/>
        <v>0110010000000100</v>
      </c>
      <c r="DU37" s="30" t="str">
        <f t="shared" si="13"/>
        <v>0010000001100001</v>
      </c>
      <c r="DV37" s="78"/>
      <c r="DW37" s="78"/>
      <c r="DX37" s="23" t="str">
        <f>CONCATENATE(MID($H37,1,1)*MID($K36,1,1),MID($H37,2,1)*MID($K36,2,1),MID($H37,3,1)*MID($K36,3,1),MID($H37,4,1)*MID($K36,4,1),MID($H37,5,1)*MID($K36,5,1),MID($H37,6,1)*MID($K36,6,1),MID($H37,7,1)*MID($K36,7,1),MID($H37,8,1)*MID($K36,8,1),MID($H37,9,1)*MID($K36,1,1),MID($H37,10,1)*MID($K36,2,1),MID($H37,11,1)*MID($K36,3,1),MID($H37,12,1)*MID($K36,4,1),MID($H37,13,1)*MID($K36,5,1),MID($H37,14,1)*MID($K36,6,1),MID($H37,15,1)*MID($K36,7,1),MID($H37,16,1)*MID($K36,8,1),MID($H37,17,1)*MID($K36,1,1),MID($H37,18,1)*MID($K36,2,1),MID($H37,19,1)*MID($K36,3,1),MID($H37,20,1)*MID($K36,4,1),MID($H37,21,1)*MID($K36,5,1),MID($H37,22,1)*MID($K36,6,1),MID($H37,23,1)*MID($K36,7,1),MID($H37,24,1)*MID($K36,8,1),MID($H37,25,1)*MID($K36,1,1),MID($H37,26,1)*MID($K36,2,1),MID($H37,27,1)*MID($K36,3,1),MID($H37,28,1)*MID($K36,4,1),MID($H37,29,1)*MID($K36,5,1),MID($H37,30,1)*MID($K36,6,1),MID($H37,31,1)*MID($K36,7,1),MID($H37,32,1)*MID($K36,8,1))</f>
        <v>00000101000000000010010001000101</v>
      </c>
      <c r="DY37" s="44" t="str">
        <f>CONCATENATE(MID(DX37,4,5),MID(DX37,25,3),MID(DX37,12,5),MID(DX37,1,3),MID(DX37,20,5),MID(DX37,9,3),MID(DX37,28,5),MID(DX37,17,3))</f>
        <v>00101010000000000010000000101001</v>
      </c>
      <c r="DZ37" s="30" t="str">
        <f t="shared" si="178"/>
        <v>00101010</v>
      </c>
      <c r="EA37" s="30" t="str">
        <f t="shared" si="86"/>
        <v>00000000</v>
      </c>
      <c r="EB37" s="30" t="str">
        <f t="shared" si="87"/>
        <v>00100000</v>
      </c>
      <c r="EC37" s="30" t="str">
        <f t="shared" si="88"/>
        <v>00101001</v>
      </c>
      <c r="ED37" s="78"/>
      <c r="EE37" s="78"/>
      <c r="EF37" s="78"/>
      <c r="EG37" s="78"/>
      <c r="EH37" s="31" t="str">
        <f t="shared" si="89"/>
        <v>0110</v>
      </c>
      <c r="EI37" s="31" t="str">
        <f t="shared" si="90"/>
        <v>1110</v>
      </c>
      <c r="EJ37" s="31" t="str">
        <f t="shared" si="91"/>
        <v>0000</v>
      </c>
      <c r="EK37" s="31" t="str">
        <f t="shared" si="92"/>
        <v>0100</v>
      </c>
      <c r="EL37" s="31" t="str">
        <f t="shared" si="93"/>
        <v>0011</v>
      </c>
      <c r="EM37" s="31" t="str">
        <f t="shared" si="94"/>
        <v>0000</v>
      </c>
      <c r="EN37" s="31" t="str">
        <f t="shared" si="95"/>
        <v>1110</v>
      </c>
      <c r="EO37" s="31" t="str">
        <f t="shared" si="96"/>
        <v>1001</v>
      </c>
      <c r="EP37" s="78"/>
      <c r="EQ37" s="78"/>
      <c r="ER37" s="78"/>
      <c r="ES37" s="78"/>
      <c r="ET37" s="78"/>
      <c r="EU37" s="78"/>
      <c r="EV37" s="78"/>
      <c r="EW37" s="78"/>
      <c r="EX37" s="30" t="str">
        <f t="shared" si="15"/>
        <v>0010101000000000</v>
      </c>
      <c r="EY37" s="30" t="str">
        <f t="shared" si="16"/>
        <v>0010000000101001</v>
      </c>
      <c r="EZ37" s="78"/>
      <c r="FA37" s="78"/>
      <c r="FB37" s="46" t="str">
        <f>CONCATENATE(MID(DY37,1,1)*MID($K36,1,1),MID(DY37,2,1)*MID($K36,2,1),MID(DY37,3,1)*MID($K36,3,1),MID(DY37,4,1)*MID($K36,4,1),MID(DY37,5,1)*MID($K36,5,1),MID(DY37,6,1)*MID($K36,6,1),MID(DY37,7,1)*MID($K36,7,1),MID(DY37,8,1)*MID($K36,8,1),MID(DY37,9,1)*MID($K36,1,1),MID(DY37,10,1)*MID($K36,2,1),MID(DY37,11,1)*MID($K36,3,1),MID(DY37,12,1)*MID($K36,4,1),MID(DY37,13,1)*MID($K36,5,1),MID(DY37,14,1)*MID($K36,6,1),MID(DY37,15,1)*MID($K36,7,1),MID(DY37,16,1)*MID($K36,8,1),MID(DY37,17,1)*MID($K36,1,1),MID(DY37,18,1)*MID($K36,2,1),MID(DY37,19,1)*MID($K36,3,1),MID(DY37,20,1)*MID($K36,4,1),MID(DY37,21,1)*MID($K36,5,1),MID(DY37,22,1)*MID($K36,6,1),MID(DY37,23,1)*MID($K36,7,1),MID(DY37,24,1)*MID($K36,8,1),MID(DY37,25,1)*MID($K36,1,1),MID(DY37,26,1)*MID($K36,2,1),MID(DY37,27,1)*MID($K36,3,1),MID(DY37,28,1)*MID($K36,4,1),MID(DY37,29,1)*MID($K36,5,1),MID(DY37,30,1)*MID($K36,6,1),MID(DY37,31,1)*MID($K36,7,1),MID(DY37,32,1)*MID($K36,8,1))</f>
        <v>00100000000000000010000000100001</v>
      </c>
      <c r="FC37" s="30" t="str">
        <f t="shared" si="180"/>
        <v>00100000</v>
      </c>
      <c r="FD37" s="30" t="str">
        <f t="shared" si="97"/>
        <v>00000000</v>
      </c>
      <c r="FE37" s="30" t="str">
        <f t="shared" si="98"/>
        <v>00100000</v>
      </c>
      <c r="FF37" s="30" t="str">
        <f t="shared" si="99"/>
        <v>00100001</v>
      </c>
      <c r="FG37" s="78"/>
      <c r="FH37" s="78"/>
      <c r="FI37" s="78"/>
      <c r="FJ37" s="78"/>
      <c r="FK37" s="31" t="str">
        <f t="shared" si="100"/>
        <v>0110</v>
      </c>
      <c r="FL37" s="31" t="str">
        <f t="shared" si="101"/>
        <v>1110</v>
      </c>
      <c r="FM37" s="31" t="str">
        <f t="shared" si="102"/>
        <v>0000</v>
      </c>
      <c r="FN37" s="31" t="str">
        <f t="shared" si="103"/>
        <v>0100</v>
      </c>
      <c r="FO37" s="31" t="str">
        <f t="shared" si="104"/>
        <v>0011</v>
      </c>
      <c r="FP37" s="31" t="str">
        <f t="shared" si="105"/>
        <v>0000</v>
      </c>
      <c r="FQ37" s="31" t="str">
        <f t="shared" si="106"/>
        <v>1110</v>
      </c>
      <c r="FR37" s="31" t="str">
        <f t="shared" si="107"/>
        <v>1001</v>
      </c>
      <c r="FS37" s="78"/>
      <c r="FT37" s="78"/>
      <c r="FU37" s="78"/>
      <c r="FV37" s="78"/>
      <c r="FW37" s="78"/>
      <c r="FX37" s="78"/>
      <c r="FY37" s="78"/>
      <c r="FZ37" s="78"/>
      <c r="GA37" s="30" t="str">
        <f t="shared" si="18"/>
        <v>0010000000000000</v>
      </c>
      <c r="GB37" s="30" t="str">
        <f t="shared" si="19"/>
        <v>0010000000100001</v>
      </c>
      <c r="GC37" s="78"/>
      <c r="GD37" s="78"/>
      <c r="GE37" s="48" t="str">
        <f>DY37</f>
        <v>00101010000000000010000000101001</v>
      </c>
      <c r="GF37" s="30" t="str">
        <f t="shared" si="182"/>
        <v>00101010</v>
      </c>
      <c r="GG37" s="30" t="str">
        <f t="shared" si="108"/>
        <v>00000000</v>
      </c>
      <c r="GH37" s="30" t="str">
        <f t="shared" si="109"/>
        <v>00100000</v>
      </c>
      <c r="GI37" s="30" t="str">
        <f t="shared" si="110"/>
        <v>00101001</v>
      </c>
      <c r="GJ37" s="78"/>
      <c r="GK37" s="78"/>
      <c r="GL37" s="78"/>
      <c r="GM37" s="78"/>
      <c r="GN37" s="31" t="str">
        <f t="shared" si="111"/>
        <v>0110</v>
      </c>
      <c r="GO37" s="31" t="str">
        <f t="shared" si="112"/>
        <v>1110</v>
      </c>
      <c r="GP37" s="31" t="str">
        <f t="shared" si="113"/>
        <v>0000</v>
      </c>
      <c r="GQ37" s="31" t="str">
        <f t="shared" si="114"/>
        <v>0100</v>
      </c>
      <c r="GR37" s="31" t="str">
        <f t="shared" si="115"/>
        <v>0011</v>
      </c>
      <c r="GS37" s="31" t="str">
        <f t="shared" si="116"/>
        <v>0000</v>
      </c>
      <c r="GT37" s="31" t="str">
        <f t="shared" si="117"/>
        <v>1110</v>
      </c>
      <c r="GU37" s="31" t="str">
        <f t="shared" si="118"/>
        <v>1001</v>
      </c>
      <c r="GV37" s="78"/>
      <c r="GW37" s="78"/>
      <c r="GX37" s="78"/>
      <c r="GY37" s="78"/>
      <c r="GZ37" s="78"/>
      <c r="HA37" s="78"/>
      <c r="HB37" s="78"/>
      <c r="HC37" s="78"/>
      <c r="HD37" s="30" t="str">
        <f t="shared" si="21"/>
        <v>0010101000000000</v>
      </c>
      <c r="HE37" s="30" t="str">
        <f t="shared" si="22"/>
        <v>0010000000101001</v>
      </c>
      <c r="HF37" s="78"/>
      <c r="HG37" s="78"/>
      <c r="HH37" s="48" t="str">
        <f>FB37</f>
        <v>00100000000000000010000000100001</v>
      </c>
      <c r="HI37" s="30" t="str">
        <f t="shared" si="184"/>
        <v>00100000</v>
      </c>
      <c r="HJ37" s="30" t="str">
        <f t="shared" si="119"/>
        <v>00000000</v>
      </c>
      <c r="HK37" s="30" t="str">
        <f t="shared" si="120"/>
        <v>00100000</v>
      </c>
      <c r="HL37" s="30" t="str">
        <f t="shared" si="121"/>
        <v>00100001</v>
      </c>
      <c r="HM37" s="78"/>
      <c r="HN37" s="78"/>
      <c r="HO37" s="78"/>
      <c r="HP37" s="78"/>
      <c r="HQ37" s="31" t="str">
        <f t="shared" si="122"/>
        <v>0110</v>
      </c>
      <c r="HR37" s="31" t="str">
        <f t="shared" si="123"/>
        <v>1110</v>
      </c>
      <c r="HS37" s="31" t="str">
        <f t="shared" si="124"/>
        <v>0000</v>
      </c>
      <c r="HT37" s="31" t="str">
        <f t="shared" si="125"/>
        <v>0100</v>
      </c>
      <c r="HU37" s="31" t="str">
        <f t="shared" si="126"/>
        <v>0011</v>
      </c>
      <c r="HV37" s="31" t="str">
        <f t="shared" si="127"/>
        <v>0000</v>
      </c>
      <c r="HW37" s="31" t="str">
        <f t="shared" si="128"/>
        <v>1110</v>
      </c>
      <c r="HX37" s="31" t="str">
        <f t="shared" si="129"/>
        <v>1001</v>
      </c>
      <c r="HY37" s="78"/>
      <c r="HZ37" s="78"/>
      <c r="IA37" s="78"/>
      <c r="IB37" s="78"/>
      <c r="IC37" s="78"/>
      <c r="ID37" s="78"/>
      <c r="IE37" s="78"/>
      <c r="IF37" s="78"/>
      <c r="IG37" s="30" t="str">
        <f t="shared" si="24"/>
        <v>0010000000000000</v>
      </c>
      <c r="IH37" s="30" t="str">
        <f t="shared" si="25"/>
        <v>0010000000100001</v>
      </c>
      <c r="II37" s="78"/>
      <c r="IJ37" s="78"/>
      <c r="IK37" s="44" t="str">
        <f>L37</f>
        <v>01101110000001000011000011101001</v>
      </c>
      <c r="IL37" s="30" t="str">
        <f t="shared" si="186"/>
        <v>01101110</v>
      </c>
      <c r="IM37" s="30" t="str">
        <f t="shared" si="130"/>
        <v>00000100</v>
      </c>
      <c r="IN37" s="30" t="str">
        <f t="shared" si="131"/>
        <v>00110000</v>
      </c>
      <c r="IO37" s="30" t="str">
        <f t="shared" si="132"/>
        <v>11101001</v>
      </c>
      <c r="IP37" s="78"/>
      <c r="IQ37" s="78"/>
      <c r="IR37" s="78"/>
      <c r="IS37" s="78"/>
      <c r="IT37" s="31" t="str">
        <f t="shared" si="133"/>
        <v>0110</v>
      </c>
      <c r="IU37" s="31" t="str">
        <f t="shared" si="134"/>
        <v>1110</v>
      </c>
      <c r="IV37" s="31" t="str">
        <f t="shared" si="135"/>
        <v>0000</v>
      </c>
      <c r="IW37" s="31" t="str">
        <f t="shared" si="136"/>
        <v>0100</v>
      </c>
      <c r="IX37" s="31" t="str">
        <f t="shared" si="137"/>
        <v>0011</v>
      </c>
      <c r="IY37" s="31" t="str">
        <f t="shared" si="138"/>
        <v>0000</v>
      </c>
      <c r="IZ37" s="31" t="str">
        <f t="shared" si="139"/>
        <v>1110</v>
      </c>
      <c r="JA37" s="31" t="str">
        <f t="shared" si="140"/>
        <v>1001</v>
      </c>
      <c r="JB37" s="78"/>
      <c r="JC37" s="78"/>
      <c r="JD37" s="78"/>
      <c r="JE37" s="78"/>
      <c r="JF37" s="78"/>
      <c r="JG37" s="78"/>
      <c r="JH37" s="78"/>
      <c r="JI37" s="78"/>
      <c r="JJ37" s="30" t="str">
        <f t="shared" si="27"/>
        <v>0110111000000100</v>
      </c>
      <c r="JK37" s="30" t="str">
        <f t="shared" si="28"/>
        <v>0011000011101001</v>
      </c>
      <c r="JL37" s="78"/>
      <c r="JM37" s="78"/>
      <c r="JN37" s="46" t="str">
        <f>L37</f>
        <v>01101110000001000011000011101001</v>
      </c>
      <c r="JO37" s="30" t="str">
        <f t="shared" si="188"/>
        <v>01101110</v>
      </c>
      <c r="JP37" s="30" t="str">
        <f t="shared" si="141"/>
        <v>00000100</v>
      </c>
      <c r="JQ37" s="30" t="str">
        <f t="shared" si="142"/>
        <v>00110000</v>
      </c>
      <c r="JR37" s="30" t="str">
        <f t="shared" si="143"/>
        <v>11101001</v>
      </c>
      <c r="JS37" s="78"/>
      <c r="JT37" s="78"/>
      <c r="JU37" s="78"/>
      <c r="JV37" s="78"/>
      <c r="JW37" s="31" t="str">
        <f t="shared" si="144"/>
        <v>0110</v>
      </c>
      <c r="JX37" s="31" t="str">
        <f t="shared" si="145"/>
        <v>1110</v>
      </c>
      <c r="JY37" s="31" t="str">
        <f t="shared" si="146"/>
        <v>0000</v>
      </c>
      <c r="JZ37" s="31" t="str">
        <f t="shared" si="147"/>
        <v>0100</v>
      </c>
      <c r="KA37" s="31" t="str">
        <f t="shared" si="148"/>
        <v>0011</v>
      </c>
      <c r="KB37" s="31" t="str">
        <f t="shared" si="149"/>
        <v>0000</v>
      </c>
      <c r="KC37" s="31" t="str">
        <f t="shared" si="150"/>
        <v>1110</v>
      </c>
      <c r="KD37" s="31" t="str">
        <f t="shared" si="151"/>
        <v>1001</v>
      </c>
      <c r="KE37" s="78"/>
      <c r="KF37" s="78"/>
      <c r="KG37" s="78"/>
      <c r="KH37" s="78"/>
      <c r="KI37" s="78"/>
      <c r="KJ37" s="78"/>
      <c r="KK37" s="78"/>
      <c r="KL37" s="78"/>
      <c r="KM37" s="30" t="str">
        <f t="shared" si="30"/>
        <v>0110111000000100</v>
      </c>
      <c r="KN37" s="30" t="str">
        <f t="shared" si="31"/>
        <v>0011000011101001</v>
      </c>
      <c r="KO37" s="78"/>
      <c r="KP37" s="78"/>
      <c r="KQ37" s="48" t="str">
        <f>AO37</f>
        <v>01100100000001000010000001100001</v>
      </c>
      <c r="KR37" s="30" t="str">
        <f t="shared" si="190"/>
        <v>01100100</v>
      </c>
      <c r="KS37" s="30" t="str">
        <f t="shared" si="152"/>
        <v>00000100</v>
      </c>
      <c r="KT37" s="30" t="str">
        <f t="shared" si="153"/>
        <v>00100000</v>
      </c>
      <c r="KU37" s="30" t="str">
        <f t="shared" si="154"/>
        <v>01100001</v>
      </c>
      <c r="KV37" s="78"/>
      <c r="KW37" s="78"/>
      <c r="KX37" s="78"/>
      <c r="KY37" s="78"/>
      <c r="KZ37" s="31" t="str">
        <f t="shared" si="155"/>
        <v>0110</v>
      </c>
      <c r="LA37" s="31" t="str">
        <f t="shared" si="156"/>
        <v>1110</v>
      </c>
      <c r="LB37" s="31" t="str">
        <f t="shared" si="157"/>
        <v>0000</v>
      </c>
      <c r="LC37" s="31" t="str">
        <f t="shared" si="158"/>
        <v>0100</v>
      </c>
      <c r="LD37" s="31" t="str">
        <f t="shared" si="159"/>
        <v>0011</v>
      </c>
      <c r="LE37" s="31" t="str">
        <f t="shared" si="160"/>
        <v>0000</v>
      </c>
      <c r="LF37" s="31" t="str">
        <f t="shared" si="161"/>
        <v>1110</v>
      </c>
      <c r="LG37" s="31" t="str">
        <f t="shared" si="162"/>
        <v>1001</v>
      </c>
      <c r="LH37" s="78"/>
      <c r="LI37" s="78"/>
      <c r="LJ37" s="78"/>
      <c r="LK37" s="78"/>
      <c r="LL37" s="78"/>
      <c r="LM37" s="78"/>
      <c r="LN37" s="78"/>
      <c r="LO37" s="78"/>
      <c r="LP37" s="30" t="str">
        <f t="shared" si="33"/>
        <v>0110010000000100</v>
      </c>
      <c r="LQ37" s="30" t="str">
        <f t="shared" si="34"/>
        <v>0010000001100001</v>
      </c>
      <c r="LR37" s="78"/>
      <c r="LS37" s="78"/>
      <c r="LT37" s="48" t="str">
        <f>GE37</f>
        <v>00101010000000000010000000101001</v>
      </c>
      <c r="LU37" s="30" t="str">
        <f t="shared" si="192"/>
        <v>00101010</v>
      </c>
      <c r="LV37" s="30" t="str">
        <f t="shared" si="163"/>
        <v>00000000</v>
      </c>
      <c r="LW37" s="30" t="str">
        <f t="shared" si="164"/>
        <v>00100000</v>
      </c>
      <c r="LX37" s="30" t="str">
        <f t="shared" si="165"/>
        <v>00101001</v>
      </c>
      <c r="LY37" s="78"/>
      <c r="LZ37" s="78"/>
      <c r="MA37" s="78"/>
      <c r="MB37" s="78"/>
      <c r="MC37" s="31" t="str">
        <f t="shared" si="166"/>
        <v>0110</v>
      </c>
      <c r="MD37" s="31" t="str">
        <f t="shared" si="167"/>
        <v>1110</v>
      </c>
      <c r="ME37" s="31" t="str">
        <f t="shared" si="168"/>
        <v>0000</v>
      </c>
      <c r="MF37" s="31" t="str">
        <f t="shared" si="169"/>
        <v>0100</v>
      </c>
      <c r="MG37" s="31" t="str">
        <f t="shared" si="170"/>
        <v>0011</v>
      </c>
      <c r="MH37" s="31" t="str">
        <f t="shared" si="171"/>
        <v>0000</v>
      </c>
      <c r="MI37" s="31" t="str">
        <f t="shared" si="172"/>
        <v>1110</v>
      </c>
      <c r="MJ37" s="31" t="str">
        <f t="shared" si="173"/>
        <v>1001</v>
      </c>
      <c r="MK37" s="78"/>
      <c r="ML37" s="78"/>
      <c r="MM37" s="78"/>
      <c r="MN37" s="78"/>
      <c r="MO37" s="78"/>
      <c r="MP37" s="78"/>
      <c r="MQ37" s="78"/>
      <c r="MR37" s="78"/>
      <c r="MS37" s="30" t="str">
        <f t="shared" si="36"/>
        <v>0010101000000000</v>
      </c>
      <c r="MT37" s="30" t="str">
        <f t="shared" si="37"/>
        <v>0010000000101001</v>
      </c>
      <c r="MU37" s="78"/>
      <c r="MV37" s="78"/>
    </row>
    <row r="38" spans="1:360" s="58" customFormat="1" ht="18.600000000000001" thickBot="1" x14ac:dyDescent="0.4">
      <c r="A38" s="54"/>
      <c r="B38" s="55"/>
      <c r="C38" s="56" t="s">
        <v>0</v>
      </c>
      <c r="D38" s="56">
        <v>46</v>
      </c>
      <c r="E38" s="56">
        <v>76</v>
      </c>
      <c r="F38" s="56">
        <v>28</v>
      </c>
      <c r="G38" s="56" t="s">
        <v>10</v>
      </c>
      <c r="H38" s="56" t="str">
        <f t="shared" si="278"/>
        <v>01000110011101100010100010011100</v>
      </c>
      <c r="I38" s="56">
        <f t="shared" si="279"/>
        <v>14</v>
      </c>
      <c r="J38" s="56" t="s">
        <v>47</v>
      </c>
      <c r="K38" s="56" t="str">
        <f>HEX2BIN(J38,8)</f>
        <v>11111111</v>
      </c>
      <c r="L38" s="57" t="str">
        <f>CONCATENATE(MID(H38,17,16),MID(H38,1,16))</f>
        <v>00101000100111000100011001110110</v>
      </c>
      <c r="M38" s="57" t="str">
        <f t="shared" si="38"/>
        <v>00101</v>
      </c>
      <c r="N38" s="26" t="str">
        <f t="shared" si="39"/>
        <v>10011</v>
      </c>
      <c r="O38" s="26" t="str">
        <f t="shared" si="40"/>
        <v>01000</v>
      </c>
      <c r="P38" s="26" t="str">
        <f t="shared" si="41"/>
        <v>01110</v>
      </c>
      <c r="Q38" s="100">
        <f>BIN2DEC(M38)-BIN2DEC(M39)</f>
        <v>0</v>
      </c>
      <c r="R38" s="100">
        <f>BIN2DEC(N38)-BIN2DEC(N39)</f>
        <v>0</v>
      </c>
      <c r="S38" s="100">
        <f>BIN2DEC(O38)-BIN2DEC(O39)</f>
        <v>0</v>
      </c>
      <c r="T38" s="100">
        <f>BIN2DEC(P38)-BIN2DEC(P39)</f>
        <v>0</v>
      </c>
      <c r="U38" s="58" t="str">
        <f t="shared" si="42"/>
        <v>0010</v>
      </c>
      <c r="V38" s="58" t="str">
        <f t="shared" si="43"/>
        <v>1000</v>
      </c>
      <c r="W38" s="58" t="str">
        <f t="shared" si="44"/>
        <v>1001</v>
      </c>
      <c r="X38" s="58" t="str">
        <f t="shared" si="45"/>
        <v>1100</v>
      </c>
      <c r="Y38" s="58" t="str">
        <f t="shared" si="46"/>
        <v>0100</v>
      </c>
      <c r="Z38" s="58" t="str">
        <f t="shared" si="47"/>
        <v>0110</v>
      </c>
      <c r="AA38" s="58" t="str">
        <f t="shared" si="48"/>
        <v>0111</v>
      </c>
      <c r="AB38" s="58" t="str">
        <f t="shared" si="49"/>
        <v>0110</v>
      </c>
      <c r="AC38" s="100">
        <f>BIN2DEC(U38)-BIN2DEC(U39)</f>
        <v>0</v>
      </c>
      <c r="AD38" s="100">
        <f t="shared" ref="AD38:AI38" si="388">BIN2DEC(V38)-BIN2DEC(V39)</f>
        <v>-1</v>
      </c>
      <c r="AE38" s="100">
        <f t="shared" si="388"/>
        <v>0</v>
      </c>
      <c r="AF38" s="100">
        <f t="shared" si="388"/>
        <v>-1</v>
      </c>
      <c r="AG38" s="100">
        <f t="shared" si="388"/>
        <v>0</v>
      </c>
      <c r="AH38" s="100">
        <f t="shared" si="388"/>
        <v>4</v>
      </c>
      <c r="AI38" s="100">
        <f t="shared" si="388"/>
        <v>0</v>
      </c>
      <c r="AJ38" s="100">
        <f>BIN2DEC(AB38)-BIN2DEC(AB39)</f>
        <v>-1</v>
      </c>
      <c r="AK38" s="57" t="str">
        <f t="shared" si="3"/>
        <v>0010100010011100</v>
      </c>
      <c r="AL38" s="57" t="str">
        <f t="shared" si="4"/>
        <v>0100011001110110</v>
      </c>
      <c r="AM38" s="100">
        <f>MID(AK38,16,1)*POWER(2,0)+MID(AK38,15,1)*POWER(2,1)+MID(AK38,14,1)*POWER(2,2)+MID(AK38,13,1)*POWER(2,3)+MID(AK38,12,1)*POWER(2,4)+MID(AK38,11,1)*POWER(2,5)+MID(AK38,10,1)*POWER(2,6)+MID(AK38,9,1)*POWER(2,7)+MID(AK38,8,1)*POWER(2,8)+MID(AK38,7,1)*POWER(2,9)+MID(AK38,6,1)*POWER(2,10)+MID(AK38,5,1)*POWER(2,11)+MID(AK38,4,1)*POWER(2,12)+MID(AK38,3,1)*POWER(2,13)+MID(AK38,2,1)*POWER(2,14)+MID(AK38,1,1)*POWER(2,15)-(MID(AK39,16,1)*POWER(2,0)+MID(AK39,15,1)*POWER(2,1)+MID(AK39,14,1)*POWER(2,2)+MID(AK39,13,1)*POWER(2,3)+MID(AK39,12,1)*POWER(2,4)+MID(AK39,11,1)*POWER(2,5)+MID(AK39,10,1)*POWER(2,6)+MID(AK39,9,1)*POWER(2,7)+MID(AK39,8,1)*POWER(2,8)+MID(AK39,7,1)*POWER(2,9)+MID(AK39,6,1)*POWER(2,10)+MID(AK39,5,1)*POWER(2,11)+MID(AK39,4,1)*POWER(2,12)+MID(AK39,3,1)*POWER(2,13)+MID(AK39,2,1)*POWER(2,14)+MID(AK39,1,1)*POWER(2,15))</f>
        <v>-257</v>
      </c>
      <c r="AN38" s="100">
        <f>MID(AL38,16,1)*POWER(2,0)+MID(AL38,15,1)*POWER(2,1)+MID(AL38,14,1)*POWER(2,2)+MID(AL38,13,1)*POWER(2,3)+MID(AL38,12,1)*POWER(2,4)+MID(AL38,11,1)*POWER(2,5)+MID(AL38,10,1)*POWER(2,6)+MID(AL38,9,1)*POWER(2,7)+MID(AL38,8,1)*POWER(2,8)+MID(AL38,7,1)*POWER(2,9)+MID(AL38,6,1)*POWER(2,10)+MID(AL38,5,1)*POWER(2,11)+MID(AL38,4,1)*POWER(2,12)+MID(AL38,3,1)*POWER(2,13)+MID(AL38,2,1)*POWER(2,14)+MID(AL38,1,1)*POWER(2,15)-(MID(AL39,16,1)*POWER(2,0)+MID(AL39,15,1)*POWER(2,1)+MID(AL39,14,1)*POWER(2,2)+MID(AL39,13,1)*POWER(2,3)+MID(AL39,12,1)*POWER(2,4)+MID(AL39,11,1)*POWER(2,5)+MID(AL39,10,1)*POWER(2,6)+MID(AL39,9,1)*POWER(2,7)+MID(AL39,8,1)*POWER(2,8)+MID(AL39,7,1)*POWER(2,9)+MID(AL39,6,1)*POWER(2,10)+MID(AL39,5,1)*POWER(2,11)+MID(AL39,4,1)*POWER(2,12)+MID(AL39,3,1)*POWER(2,13)+MID(AL39,2,1)*POWER(2,14)+MID(AL39,1,1)*POWER(2,15))</f>
        <v>1023</v>
      </c>
      <c r="AO38" s="55" t="str">
        <f>L38</f>
        <v>00101000100111000100011001110110</v>
      </c>
      <c r="AP38" s="57" t="str">
        <f t="shared" si="50"/>
        <v>00101000</v>
      </c>
      <c r="AQ38" s="57" t="str">
        <f t="shared" si="51"/>
        <v>10011100</v>
      </c>
      <c r="AR38" s="57" t="str">
        <f t="shared" si="52"/>
        <v>01000110</v>
      </c>
      <c r="AS38" s="57" t="str">
        <f t="shared" si="53"/>
        <v>01110110</v>
      </c>
      <c r="AT38" s="100">
        <f>BIN2DEC(AP38)-BIN2DEC(AP39)</f>
        <v>-1</v>
      </c>
      <c r="AU38" s="100">
        <f>BIN2DEC(AQ38)-BIN2DEC(AQ39)</f>
        <v>-1</v>
      </c>
      <c r="AV38" s="100">
        <f>BIN2DEC(AR38)-BIN2DEC(AR39)</f>
        <v>4</v>
      </c>
      <c r="AW38" s="100">
        <f>BIN2DEC(AS38)-BIN2DEC(AS39)</f>
        <v>-1</v>
      </c>
      <c r="AX38" s="58" t="str">
        <f t="shared" si="54"/>
        <v>0010</v>
      </c>
      <c r="AY38" s="58" t="str">
        <f t="shared" si="55"/>
        <v>1000</v>
      </c>
      <c r="AZ38" s="58" t="str">
        <f t="shared" si="56"/>
        <v>1001</v>
      </c>
      <c r="BA38" s="58" t="str">
        <f t="shared" si="57"/>
        <v>1100</v>
      </c>
      <c r="BB38" s="58" t="str">
        <f t="shared" si="58"/>
        <v>0100</v>
      </c>
      <c r="BC38" s="58" t="str">
        <f t="shared" si="59"/>
        <v>0110</v>
      </c>
      <c r="BD38" s="58" t="str">
        <f t="shared" si="60"/>
        <v>0111</v>
      </c>
      <c r="BE38" s="58" t="str">
        <f t="shared" si="61"/>
        <v>0110</v>
      </c>
      <c r="BF38" s="100">
        <f>BIN2DEC(AX38)-BIN2DEC(AX39)</f>
        <v>0</v>
      </c>
      <c r="BG38" s="100">
        <f t="shared" ref="BG38:BL38" si="389">BIN2DEC(AY38)-BIN2DEC(AY39)</f>
        <v>-1</v>
      </c>
      <c r="BH38" s="100">
        <f t="shared" si="389"/>
        <v>0</v>
      </c>
      <c r="BI38" s="100">
        <f t="shared" si="389"/>
        <v>-1</v>
      </c>
      <c r="BJ38" s="100">
        <f t="shared" si="389"/>
        <v>0</v>
      </c>
      <c r="BK38" s="100">
        <f t="shared" si="389"/>
        <v>4</v>
      </c>
      <c r="BL38" s="100">
        <f t="shared" si="389"/>
        <v>0</v>
      </c>
      <c r="BM38" s="100">
        <f>BIN2DEC(BE38)-BIN2DEC(BE39)</f>
        <v>-1</v>
      </c>
      <c r="BN38" s="57" t="str">
        <f t="shared" si="6"/>
        <v>0010100010011100</v>
      </c>
      <c r="BO38" s="57" t="str">
        <f t="shared" si="7"/>
        <v>0100011001110110</v>
      </c>
      <c r="BP38" s="100">
        <f>MID(BN38,16,1)*POWER(2,0)+MID(BN38,15,1)*POWER(2,1)+MID(BN38,14,1)*POWER(2,2)+MID(BN38,13,1)*POWER(2,3)+MID(BN38,12,1)*POWER(2,4)+MID(BN38,11,1)*POWER(2,5)+MID(BN38,10,1)*POWER(2,6)+MID(BN38,9,1)*POWER(2,7)+MID(BN38,8,1)*POWER(2,8)+MID(BN38,7,1)*POWER(2,9)+MID(BN38,6,1)*POWER(2,10)+MID(BN38,5,1)*POWER(2,11)+MID(BN38,4,1)*POWER(2,12)+MID(BN38,3,1)*POWER(2,13)+MID(BN38,2,1)*POWER(2,14)+MID(BN38,1,1)*POWER(2,15)-(MID(BN39,16,1)*POWER(2,0)+MID(BN39,15,1)*POWER(2,1)+MID(BN39,14,1)*POWER(2,2)+MID(BN39,13,1)*POWER(2,3)+MID(BN39,12,1)*POWER(2,4)+MID(BN39,11,1)*POWER(2,5)+MID(BN39,10,1)*POWER(2,6)+MID(BN39,9,1)*POWER(2,7)+MID(BN39,8,1)*POWER(2,8)+MID(BN39,7,1)*POWER(2,9)+MID(BN39,6,1)*POWER(2,10)+MID(BN39,5,1)*POWER(2,11)+MID(BN39,4,1)*POWER(2,12)+MID(BN39,3,1)*POWER(2,13)+MID(BN39,2,1)*POWER(2,14)+MID(BN39,1,1)*POWER(2,15))</f>
        <v>-257</v>
      </c>
      <c r="BQ38" s="100">
        <f>MID(BO38,16,1)*POWER(2,0)+MID(BO38,15,1)*POWER(2,1)+MID(BO38,14,1)*POWER(2,2)+MID(BO38,13,1)*POWER(2,3)+MID(BO38,12,1)*POWER(2,4)+MID(BO38,11,1)*POWER(2,5)+MID(BO38,10,1)*POWER(2,6)+MID(BO38,9,1)*POWER(2,7)+MID(BO38,8,1)*POWER(2,8)+MID(BO38,7,1)*POWER(2,9)+MID(BO38,6,1)*POWER(2,10)+MID(BO38,5,1)*POWER(2,11)+MID(BO38,4,1)*POWER(2,12)+MID(BO38,3,1)*POWER(2,13)+MID(BO38,2,1)*POWER(2,14)+MID(BO38,1,1)*POWER(2,15)-(MID(BO39,16,1)*POWER(2,0)+MID(BO39,15,1)*POWER(2,1)+MID(BO39,14,1)*POWER(2,2)+MID(BO39,13,1)*POWER(2,3)+MID(BO39,12,1)*POWER(2,4)+MID(BO39,11,1)*POWER(2,5)+MID(BO39,10,1)*POWER(2,6)+MID(BO39,9,1)*POWER(2,7)+MID(BO39,8,1)*POWER(2,8)+MID(BO39,7,1)*POWER(2,9)+MID(BO39,6,1)*POWER(2,10)+MID(BO39,5,1)*POWER(2,11)+MID(BO39,4,1)*POWER(2,12)+MID(BO39,3,1)*POWER(2,13)+MID(BO39,2,1)*POWER(2,14)+MID(BO39,1,1)*POWER(2,15))</f>
        <v>1023</v>
      </c>
      <c r="BR38" s="55" t="str">
        <f>CONCATENATE(MID($L38,1,1)*MID($K28,1,1),MID($L38,2,1)*MID($K28,2,1),MID($L38,3,1)*MID($K28,3,1),MID($L38,4,1)*MID($K28,4,1),MID($L38,5,1)*MID($K28,5,1),MID($L38,6,1)*MID($K28,6,1),MID($L38,7,1)*MID($K28,7,1),MID($L38,8,1)*MID($K28,8,1),MID($L38,9,1)*MID($K28,1,1),MID($L38,10,1)*MID($K28,2,1),MID($L38,11,1)*MID($K28,3,1),MID($L38,12,1)*MID($K28,4,1),MID($L38,13,1)*MID($K28,5,1),MID($L38,14,1)*MID($K28,6,1),MID($L38,15,1)*MID($K28,7,1),MID($L38,16,1)*MID($K28,8,1),MID($L38,17,1)*MID($K28,1,1),MID($L38,18,1)*MID($K28,2,1),MID($L38,19,1)*MID($K28,3,1),MID($L38,20,1)*MID($K28,4,1),MID($L38,21,1)*MID($K28,5,1),MID($L38,22,1)*MID($K28,6,1),MID($L38,23,1)*MID($K28,7,1),MID($L38,24,1)*MID($K28,8,1),MID($L38,25,1)*MID($K28,1,1),MID($L38,26,1)*MID($K28,2,1),MID($L38,27,1)*MID($K28,3,1),MID($L38,28,1)*MID($K28,4,1),MID($L38,29,1)*MID($K28,5,1),MID($L38,30,1)*MID($K28,6,1),MID($L38,31,1)*MID($K28,7,1),MID($L38,32,1)*MID($K28,8,1))</f>
        <v>00100000000000000100001001100010</v>
      </c>
      <c r="BS38" s="57" t="str">
        <f t="shared" si="62"/>
        <v>00100000</v>
      </c>
      <c r="BT38" s="57" t="str">
        <f t="shared" si="63"/>
        <v>00000000</v>
      </c>
      <c r="BU38" s="57" t="str">
        <f t="shared" si="64"/>
        <v>01000010</v>
      </c>
      <c r="BV38" s="57" t="str">
        <f t="shared" si="65"/>
        <v>01100010</v>
      </c>
      <c r="BW38" s="100">
        <f>BIN2DEC(BS38)-BIN2DEC(BS39)</f>
        <v>-9</v>
      </c>
      <c r="BX38" s="100">
        <f>BIN2DEC(BT38)-BIN2DEC(BT39)</f>
        <v>-157</v>
      </c>
      <c r="BY38" s="100">
        <f>BIN2DEC(BU38)-BIN2DEC(BU39)</f>
        <v>0</v>
      </c>
      <c r="BZ38" s="100">
        <f>BIN2DEC(BV38)-BIN2DEC(BV39)</f>
        <v>-21</v>
      </c>
      <c r="CA38" s="58" t="str">
        <f t="shared" si="66"/>
        <v>0010</v>
      </c>
      <c r="CB38" s="58" t="str">
        <f t="shared" si="67"/>
        <v>1000</v>
      </c>
      <c r="CC38" s="58" t="str">
        <f t="shared" si="68"/>
        <v>1001</v>
      </c>
      <c r="CD38" s="58" t="str">
        <f t="shared" si="69"/>
        <v>1100</v>
      </c>
      <c r="CE38" s="58" t="str">
        <f t="shared" si="70"/>
        <v>0100</v>
      </c>
      <c r="CF38" s="58" t="str">
        <f t="shared" si="71"/>
        <v>0110</v>
      </c>
      <c r="CG38" s="58" t="str">
        <f t="shared" si="72"/>
        <v>0111</v>
      </c>
      <c r="CH38" s="58" t="str">
        <f t="shared" si="73"/>
        <v>0110</v>
      </c>
      <c r="CI38" s="100">
        <f>BIN2DEC(CA38)-BIN2DEC(CA39)</f>
        <v>0</v>
      </c>
      <c r="CJ38" s="100">
        <f t="shared" ref="CJ38:CO38" si="390">BIN2DEC(CB38)-BIN2DEC(CB39)</f>
        <v>-1</v>
      </c>
      <c r="CK38" s="100">
        <f t="shared" si="390"/>
        <v>0</v>
      </c>
      <c r="CL38" s="100">
        <f t="shared" si="390"/>
        <v>-1</v>
      </c>
      <c r="CM38" s="100">
        <f t="shared" si="390"/>
        <v>0</v>
      </c>
      <c r="CN38" s="100">
        <f t="shared" si="390"/>
        <v>4</v>
      </c>
      <c r="CO38" s="100">
        <f t="shared" si="390"/>
        <v>0</v>
      </c>
      <c r="CP38" s="100">
        <f>BIN2DEC(CH38)-BIN2DEC(CH39)</f>
        <v>-1</v>
      </c>
      <c r="CQ38" s="57" t="str">
        <f t="shared" si="9"/>
        <v>0010000000000000</v>
      </c>
      <c r="CR38" s="57" t="str">
        <f t="shared" si="10"/>
        <v>0100001001100010</v>
      </c>
      <c r="CS38" s="100">
        <f>MID(CQ38,16,1)*POWER(2,0)+MID(CQ38,15,1)*POWER(2,1)+MID(CQ38,14,1)*POWER(2,2)+MID(CQ38,13,1)*POWER(2,3)+MID(CQ38,12,1)*POWER(2,4)+MID(CQ38,11,1)*POWER(2,5)+MID(CQ38,10,1)*POWER(2,6)+MID(CQ38,9,1)*POWER(2,7)+MID(CQ38,8,1)*POWER(2,8)+MID(CQ38,7,1)*POWER(2,9)+MID(CQ38,6,1)*POWER(2,10)+MID(CQ38,5,1)*POWER(2,11)+MID(CQ38,4,1)*POWER(2,12)+MID(CQ38,3,1)*POWER(2,13)+MID(CQ38,2,1)*POWER(2,14)+MID(CQ38,1,1)*POWER(2,15)-(MID(CQ39,16,1)*POWER(2,0)+MID(CQ39,15,1)*POWER(2,1)+MID(CQ39,14,1)*POWER(2,2)+MID(CQ39,13,1)*POWER(2,3)+MID(CQ39,12,1)*POWER(2,4)+MID(CQ39,11,1)*POWER(2,5)+MID(CQ39,10,1)*POWER(2,6)+MID(CQ39,9,1)*POWER(2,7)+MID(CQ39,8,1)*POWER(2,8)+MID(CQ39,7,1)*POWER(2,9)+MID(CQ39,6,1)*POWER(2,10)+MID(CQ39,5,1)*POWER(2,11)+MID(CQ39,4,1)*POWER(2,12)+MID(CQ39,3,1)*POWER(2,13)+MID(CQ39,2,1)*POWER(2,14)+MID(CQ39,1,1)*POWER(2,15))</f>
        <v>-2461</v>
      </c>
      <c r="CT38" s="100">
        <f>MID(CR38,16,1)*POWER(2,0)+MID(CR38,15,1)*POWER(2,1)+MID(CR38,14,1)*POWER(2,2)+MID(CR38,13,1)*POWER(2,3)+MID(CR38,12,1)*POWER(2,4)+MID(CR38,11,1)*POWER(2,5)+MID(CR38,10,1)*POWER(2,6)+MID(CR38,9,1)*POWER(2,7)+MID(CR38,8,1)*POWER(2,8)+MID(CR38,7,1)*POWER(2,9)+MID(CR38,6,1)*POWER(2,10)+MID(CR38,5,1)*POWER(2,11)+MID(CR38,4,1)*POWER(2,12)+MID(CR38,3,1)*POWER(2,13)+MID(CR38,2,1)*POWER(2,14)+MID(CR38,1,1)*POWER(2,15)-(MID(CR39,16,1)*POWER(2,0)+MID(CR39,15,1)*POWER(2,1)+MID(CR39,14,1)*POWER(2,2)+MID(CR39,13,1)*POWER(2,3)+MID(CR39,12,1)*POWER(2,4)+MID(CR39,11,1)*POWER(2,5)+MID(CR39,10,1)*POWER(2,6)+MID(CR39,9,1)*POWER(2,7)+MID(CR39,8,1)*POWER(2,8)+MID(CR39,7,1)*POWER(2,9)+MID(CR39,6,1)*POWER(2,10)+MID(CR39,5,1)*POWER(2,11)+MID(CR39,4,1)*POWER(2,12)+MID(CR39,3,1)*POWER(2,13)+MID(CR39,2,1)*POWER(2,14)+MID(CR39,1,1)*POWER(2,15))</f>
        <v>-21</v>
      </c>
      <c r="CU38" s="55" t="str">
        <f>BR38</f>
        <v>00100000000000000100001001100010</v>
      </c>
      <c r="CV38" s="57" t="str">
        <f t="shared" si="74"/>
        <v>00100000</v>
      </c>
      <c r="CW38" s="57" t="str">
        <f t="shared" si="75"/>
        <v>00000000</v>
      </c>
      <c r="CX38" s="57" t="str">
        <f t="shared" si="76"/>
        <v>01000010</v>
      </c>
      <c r="CY38" s="57" t="str">
        <f t="shared" si="77"/>
        <v>01100010</v>
      </c>
      <c r="CZ38" s="100">
        <f>BIN2DEC(CV38)-BIN2DEC(CV39)</f>
        <v>-9</v>
      </c>
      <c r="DA38" s="100">
        <f>BIN2DEC(CW38)-BIN2DEC(CW39)</f>
        <v>-157</v>
      </c>
      <c r="DB38" s="100">
        <f>BIN2DEC(CX38)-BIN2DEC(CX39)</f>
        <v>0</v>
      </c>
      <c r="DC38" s="100">
        <f>BIN2DEC(CY38)-BIN2DEC(CY39)</f>
        <v>-21</v>
      </c>
      <c r="DD38" s="58" t="str">
        <f t="shared" si="78"/>
        <v>0010</v>
      </c>
      <c r="DE38" s="58" t="str">
        <f t="shared" si="79"/>
        <v>1000</v>
      </c>
      <c r="DF38" s="58" t="str">
        <f t="shared" si="80"/>
        <v>1001</v>
      </c>
      <c r="DG38" s="58" t="str">
        <f t="shared" si="81"/>
        <v>1100</v>
      </c>
      <c r="DH38" s="58" t="str">
        <f t="shared" si="82"/>
        <v>0100</v>
      </c>
      <c r="DI38" s="58" t="str">
        <f t="shared" si="83"/>
        <v>0110</v>
      </c>
      <c r="DJ38" s="58" t="str">
        <f t="shared" si="84"/>
        <v>0111</v>
      </c>
      <c r="DK38" s="58" t="str">
        <f t="shared" si="85"/>
        <v>0110</v>
      </c>
      <c r="DL38" s="100">
        <f>BIN2DEC(DD38)-BIN2DEC(DD39)</f>
        <v>0</v>
      </c>
      <c r="DM38" s="100">
        <f t="shared" ref="DM38:DR38" si="391">BIN2DEC(DE38)-BIN2DEC(DE39)</f>
        <v>-1</v>
      </c>
      <c r="DN38" s="100">
        <f t="shared" si="391"/>
        <v>0</v>
      </c>
      <c r="DO38" s="100">
        <f t="shared" si="391"/>
        <v>-1</v>
      </c>
      <c r="DP38" s="100">
        <f t="shared" si="391"/>
        <v>0</v>
      </c>
      <c r="DQ38" s="100">
        <f t="shared" si="391"/>
        <v>4</v>
      </c>
      <c r="DR38" s="100">
        <f t="shared" si="391"/>
        <v>0</v>
      </c>
      <c r="DS38" s="100">
        <f>BIN2DEC(DK38)-BIN2DEC(DK39)</f>
        <v>-1</v>
      </c>
      <c r="DT38" s="57" t="str">
        <f t="shared" si="12"/>
        <v>0010000000000000</v>
      </c>
      <c r="DU38" s="57" t="str">
        <f t="shared" si="13"/>
        <v>0100001001100010</v>
      </c>
      <c r="DV38" s="100">
        <f>MID(DT38,16,1)*POWER(2,0)+MID(DT38,15,1)*POWER(2,1)+MID(DT38,14,1)*POWER(2,2)+MID(DT38,13,1)*POWER(2,3)+MID(DT38,12,1)*POWER(2,4)+MID(DT38,11,1)*POWER(2,5)+MID(DT38,10,1)*POWER(2,6)+MID(DT38,9,1)*POWER(2,7)+MID(DT38,8,1)*POWER(2,8)+MID(DT38,7,1)*POWER(2,9)+MID(DT38,6,1)*POWER(2,10)+MID(DT38,5,1)*POWER(2,11)+MID(DT38,4,1)*POWER(2,12)+MID(DT38,3,1)*POWER(2,13)+MID(DT38,2,1)*POWER(2,14)+MID(DT38,1,1)*POWER(2,15)-(MID(DT39,16,1)*POWER(2,0)+MID(DT39,15,1)*POWER(2,1)+MID(DT39,14,1)*POWER(2,2)+MID(DT39,13,1)*POWER(2,3)+MID(DT39,12,1)*POWER(2,4)+MID(DT39,11,1)*POWER(2,5)+MID(DT39,10,1)*POWER(2,6)+MID(DT39,9,1)*POWER(2,7)+MID(DT39,8,1)*POWER(2,8)+MID(DT39,7,1)*POWER(2,9)+MID(DT39,6,1)*POWER(2,10)+MID(DT39,5,1)*POWER(2,11)+MID(DT39,4,1)*POWER(2,12)+MID(DT39,3,1)*POWER(2,13)+MID(DT39,2,1)*POWER(2,14)+MID(DT39,1,1)*POWER(2,15))</f>
        <v>-2461</v>
      </c>
      <c r="DW38" s="100">
        <f>MID(DU38,16,1)*POWER(2,0)+MID(DU38,15,1)*POWER(2,1)+MID(DU38,14,1)*POWER(2,2)+MID(DU38,13,1)*POWER(2,3)+MID(DU38,12,1)*POWER(2,4)+MID(DU38,11,1)*POWER(2,5)+MID(DU38,10,1)*POWER(2,6)+MID(DU38,9,1)*POWER(2,7)+MID(DU38,8,1)*POWER(2,8)+MID(DU38,7,1)*POWER(2,9)+MID(DU38,6,1)*POWER(2,10)+MID(DU38,5,1)*POWER(2,11)+MID(DU38,4,1)*POWER(2,12)+MID(DU38,3,1)*POWER(2,13)+MID(DU38,2,1)*POWER(2,14)+MID(DU38,1,1)*POWER(2,15)-(MID(DU39,16,1)*POWER(2,0)+MID(DU39,15,1)*POWER(2,1)+MID(DU39,14,1)*POWER(2,2)+MID(DU39,13,1)*POWER(2,3)+MID(DU39,12,1)*POWER(2,4)+MID(DU39,11,1)*POWER(2,5)+MID(DU39,10,1)*POWER(2,6)+MID(DU39,9,1)*POWER(2,7)+MID(DU39,8,1)*POWER(2,8)+MID(DU39,7,1)*POWER(2,9)+MID(DU39,6,1)*POWER(2,10)+MID(DU39,5,1)*POWER(2,11)+MID(DU39,4,1)*POWER(2,12)+MID(DU39,3,1)*POWER(2,13)+MID(DU39,2,1)*POWER(2,14)+MID(DU39,1,1)*POWER(2,15))</f>
        <v>-21</v>
      </c>
      <c r="DX38" s="55" t="str">
        <f>CONCATENATE(MID($H38,1,1)*MID($K38,1,1),MID($H38,2,1)*MID($K38,2,1),MID($H38,3,1)*MID($K38,3,1),MID($H38,4,1)*MID($K38,4,1),MID($H38,5,1)*MID($K38,5,1),MID($H38,6,1)*MID($K38,6,1),MID($H38,7,1)*MID($K38,7,1),MID($H38,8,1)*MID($K38,8,1),MID($H38,9,1)*MID($K38,1,1),MID($H38,10,1)*MID($K38,2,1),MID($H38,11,1)*MID($K38,3,1),MID($H38,12,1)*MID($K38,4,1),MID($H38,13,1)*MID($K38,5,1),MID($H38,14,1)*MID($K38,6,1),MID($H38,15,1)*MID($K38,7,1),MID($H38,16,1)*MID($K38,8,1),MID($H38,17,1)*MID($K38,1,1),MID($H38,18,1)*MID($K38,2,1),MID($H38,19,1)*MID($K38,3,1),MID($H38,20,1)*MID($K38,4,1),MID($H38,21,1)*MID($K38,5,1),MID($H38,22,1)*MID($K38,6,1),MID($H38,23,1)*MID($K38,7,1),MID($H38,24,1)*MID($K38,8,1),MID($H38,25,1)*MID($K38,1,1),MID($H38,26,1)*MID($K38,2,1),MID($H38,27,1)*MID($K38,3,1),MID($H38,28,1)*MID($K38,4,1),MID($H38,29,1)*MID($K38,5,1),MID($H38,30,1)*MID($K38,6,1),MID($H38,31,1)*MID($K38,7,1),MID($H38,32,1)*MID($K38,8,1))</f>
        <v>01000110011101100010100010011100</v>
      </c>
      <c r="DY38" s="57" t="str">
        <f>L38</f>
        <v>00101000100111000100011001110110</v>
      </c>
      <c r="DZ38" s="57" t="str">
        <f t="shared" si="178"/>
        <v>00101000</v>
      </c>
      <c r="EA38" s="57" t="str">
        <f t="shared" si="86"/>
        <v>10011100</v>
      </c>
      <c r="EB38" s="57" t="str">
        <f t="shared" si="87"/>
        <v>01000110</v>
      </c>
      <c r="EC38" s="57" t="str">
        <f t="shared" si="88"/>
        <v>01110110</v>
      </c>
      <c r="ED38" s="100">
        <f>BIN2DEC(DZ38)-BIN2DEC(DZ39)</f>
        <v>-1</v>
      </c>
      <c r="EE38" s="100">
        <f>BIN2DEC(EA38)-BIN2DEC(EA39)</f>
        <v>-1</v>
      </c>
      <c r="EF38" s="100">
        <f>BIN2DEC(EB38)-BIN2DEC(EB39)</f>
        <v>4</v>
      </c>
      <c r="EG38" s="100">
        <f>BIN2DEC(EC38)-BIN2DEC(EC39)</f>
        <v>-1</v>
      </c>
      <c r="EH38" s="58" t="str">
        <f t="shared" si="89"/>
        <v>0010</v>
      </c>
      <c r="EI38" s="58" t="str">
        <f t="shared" si="90"/>
        <v>1000</v>
      </c>
      <c r="EJ38" s="58" t="str">
        <f t="shared" si="91"/>
        <v>1001</v>
      </c>
      <c r="EK38" s="58" t="str">
        <f t="shared" si="92"/>
        <v>1100</v>
      </c>
      <c r="EL38" s="58" t="str">
        <f t="shared" si="93"/>
        <v>0100</v>
      </c>
      <c r="EM38" s="58" t="str">
        <f t="shared" si="94"/>
        <v>0110</v>
      </c>
      <c r="EN38" s="58" t="str">
        <f t="shared" si="95"/>
        <v>0111</v>
      </c>
      <c r="EO38" s="58" t="str">
        <f t="shared" si="96"/>
        <v>0110</v>
      </c>
      <c r="EP38" s="100">
        <f>BIN2DEC(EH38)-BIN2DEC(EH39)</f>
        <v>0</v>
      </c>
      <c r="EQ38" s="100">
        <f t="shared" ref="EQ38:EV38" si="392">BIN2DEC(EI38)-BIN2DEC(EI39)</f>
        <v>-1</v>
      </c>
      <c r="ER38" s="100">
        <f t="shared" si="392"/>
        <v>0</v>
      </c>
      <c r="ES38" s="100">
        <f t="shared" si="392"/>
        <v>-1</v>
      </c>
      <c r="ET38" s="100">
        <f t="shared" si="392"/>
        <v>0</v>
      </c>
      <c r="EU38" s="100">
        <f t="shared" si="392"/>
        <v>4</v>
      </c>
      <c r="EV38" s="100">
        <f t="shared" si="392"/>
        <v>0</v>
      </c>
      <c r="EW38" s="100">
        <f>BIN2DEC(EO38)-BIN2DEC(EO39)</f>
        <v>-1</v>
      </c>
      <c r="EX38" s="57" t="str">
        <f t="shared" si="15"/>
        <v>0010100010011100</v>
      </c>
      <c r="EY38" s="57" t="str">
        <f t="shared" si="16"/>
        <v>0100011001110110</v>
      </c>
      <c r="EZ38" s="100">
        <f>MID(EX38,16,1)*POWER(2,0)+MID(EX38,15,1)*POWER(2,1)+MID(EX38,14,1)*POWER(2,2)+MID(EX38,13,1)*POWER(2,3)+MID(EX38,12,1)*POWER(2,4)+MID(EX38,11,1)*POWER(2,5)+MID(EX38,10,1)*POWER(2,6)+MID(EX38,9,1)*POWER(2,7)+MID(EX38,8,1)*POWER(2,8)+MID(EX38,7,1)*POWER(2,9)+MID(EX38,6,1)*POWER(2,10)+MID(EX38,5,1)*POWER(2,11)+MID(EX38,4,1)*POWER(2,12)+MID(EX38,3,1)*POWER(2,13)+MID(EX38,2,1)*POWER(2,14)+MID(EX38,1,1)*POWER(2,15)-(MID(EX39,16,1)*POWER(2,0)+MID(EX39,15,1)*POWER(2,1)+MID(EX39,14,1)*POWER(2,2)+MID(EX39,13,1)*POWER(2,3)+MID(EX39,12,1)*POWER(2,4)+MID(EX39,11,1)*POWER(2,5)+MID(EX39,10,1)*POWER(2,6)+MID(EX39,9,1)*POWER(2,7)+MID(EX39,8,1)*POWER(2,8)+MID(EX39,7,1)*POWER(2,9)+MID(EX39,6,1)*POWER(2,10)+MID(EX39,5,1)*POWER(2,11)+MID(EX39,4,1)*POWER(2,12)+MID(EX39,3,1)*POWER(2,13)+MID(EX39,2,1)*POWER(2,14)+MID(EX39,1,1)*POWER(2,15))</f>
        <v>-257</v>
      </c>
      <c r="FA38" s="100">
        <f>MID(EY38,16,1)*POWER(2,0)+MID(EY38,15,1)*POWER(2,1)+MID(EY38,14,1)*POWER(2,2)+MID(EY38,13,1)*POWER(2,3)+MID(EY38,12,1)*POWER(2,4)+MID(EY38,11,1)*POWER(2,5)+MID(EY38,10,1)*POWER(2,6)+MID(EY38,9,1)*POWER(2,7)+MID(EY38,8,1)*POWER(2,8)+MID(EY38,7,1)*POWER(2,9)+MID(EY38,6,1)*POWER(2,10)+MID(EY38,5,1)*POWER(2,11)+MID(EY38,4,1)*POWER(2,12)+MID(EY38,3,1)*POWER(2,13)+MID(EY38,2,1)*POWER(2,14)+MID(EY38,1,1)*POWER(2,15)-(MID(EY39,16,1)*POWER(2,0)+MID(EY39,15,1)*POWER(2,1)+MID(EY39,14,1)*POWER(2,2)+MID(EY39,13,1)*POWER(2,3)+MID(EY39,12,1)*POWER(2,4)+MID(EY39,11,1)*POWER(2,5)+MID(EY39,10,1)*POWER(2,6)+MID(EY39,9,1)*POWER(2,7)+MID(EY39,8,1)*POWER(2,8)+MID(EY39,7,1)*POWER(2,9)+MID(EY39,6,1)*POWER(2,10)+MID(EY39,5,1)*POWER(2,11)+MID(EY39,4,1)*POWER(2,12)+MID(EY39,3,1)*POWER(2,13)+MID(EY39,2,1)*POWER(2,14)+MID(EY39,1,1)*POWER(2,15))</f>
        <v>1023</v>
      </c>
      <c r="FB38" s="55" t="str">
        <f>L38</f>
        <v>00101000100111000100011001110110</v>
      </c>
      <c r="FC38" s="57" t="str">
        <f t="shared" si="180"/>
        <v>00101000</v>
      </c>
      <c r="FD38" s="57" t="str">
        <f t="shared" si="97"/>
        <v>10011100</v>
      </c>
      <c r="FE38" s="57" t="str">
        <f t="shared" si="98"/>
        <v>01000110</v>
      </c>
      <c r="FF38" s="57" t="str">
        <f t="shared" si="99"/>
        <v>01110110</v>
      </c>
      <c r="FG38" s="100">
        <f>BIN2DEC(FC38)-BIN2DEC(FC39)</f>
        <v>-1</v>
      </c>
      <c r="FH38" s="100">
        <f>BIN2DEC(FD38)-BIN2DEC(FD39)</f>
        <v>-1</v>
      </c>
      <c r="FI38" s="100">
        <f>BIN2DEC(FE38)-BIN2DEC(FE39)</f>
        <v>4</v>
      </c>
      <c r="FJ38" s="100">
        <f>BIN2DEC(FF38)-BIN2DEC(FF39)</f>
        <v>-1</v>
      </c>
      <c r="FK38" s="58" t="str">
        <f t="shared" si="100"/>
        <v>0010</v>
      </c>
      <c r="FL38" s="58" t="str">
        <f t="shared" si="101"/>
        <v>1000</v>
      </c>
      <c r="FM38" s="58" t="str">
        <f t="shared" si="102"/>
        <v>1001</v>
      </c>
      <c r="FN38" s="58" t="str">
        <f t="shared" si="103"/>
        <v>1100</v>
      </c>
      <c r="FO38" s="58" t="str">
        <f t="shared" si="104"/>
        <v>0100</v>
      </c>
      <c r="FP38" s="58" t="str">
        <f t="shared" si="105"/>
        <v>0110</v>
      </c>
      <c r="FQ38" s="58" t="str">
        <f t="shared" si="106"/>
        <v>0111</v>
      </c>
      <c r="FR38" s="58" t="str">
        <f t="shared" si="107"/>
        <v>0110</v>
      </c>
      <c r="FS38" s="100">
        <f>BIN2DEC(FK38)-BIN2DEC(FK39)</f>
        <v>0</v>
      </c>
      <c r="FT38" s="100">
        <f t="shared" ref="FT38:FY38" si="393">BIN2DEC(FL38)-BIN2DEC(FL39)</f>
        <v>-1</v>
      </c>
      <c r="FU38" s="100">
        <f t="shared" si="393"/>
        <v>0</v>
      </c>
      <c r="FV38" s="100">
        <f t="shared" si="393"/>
        <v>-1</v>
      </c>
      <c r="FW38" s="100">
        <f t="shared" si="393"/>
        <v>0</v>
      </c>
      <c r="FX38" s="100">
        <f t="shared" si="393"/>
        <v>4</v>
      </c>
      <c r="FY38" s="100">
        <f t="shared" si="393"/>
        <v>0</v>
      </c>
      <c r="FZ38" s="100">
        <f>BIN2DEC(FR38)-BIN2DEC(FR39)</f>
        <v>-1</v>
      </c>
      <c r="GA38" s="57" t="str">
        <f t="shared" si="18"/>
        <v>0010100010011100</v>
      </c>
      <c r="GB38" s="57" t="str">
        <f t="shared" si="19"/>
        <v>0100011001110110</v>
      </c>
      <c r="GC38" s="100">
        <f>MID(GA38,16,1)*POWER(2,0)+MID(GA38,15,1)*POWER(2,1)+MID(GA38,14,1)*POWER(2,2)+MID(GA38,13,1)*POWER(2,3)+MID(GA38,12,1)*POWER(2,4)+MID(GA38,11,1)*POWER(2,5)+MID(GA38,10,1)*POWER(2,6)+MID(GA38,9,1)*POWER(2,7)+MID(GA38,8,1)*POWER(2,8)+MID(GA38,7,1)*POWER(2,9)+MID(GA38,6,1)*POWER(2,10)+MID(GA38,5,1)*POWER(2,11)+MID(GA38,4,1)*POWER(2,12)+MID(GA38,3,1)*POWER(2,13)+MID(GA38,2,1)*POWER(2,14)+MID(GA38,1,1)*POWER(2,15)-(MID(GA39,16,1)*POWER(2,0)+MID(GA39,15,1)*POWER(2,1)+MID(GA39,14,1)*POWER(2,2)+MID(GA39,13,1)*POWER(2,3)+MID(GA39,12,1)*POWER(2,4)+MID(GA39,11,1)*POWER(2,5)+MID(GA39,10,1)*POWER(2,6)+MID(GA39,9,1)*POWER(2,7)+MID(GA39,8,1)*POWER(2,8)+MID(GA39,7,1)*POWER(2,9)+MID(GA39,6,1)*POWER(2,10)+MID(GA39,5,1)*POWER(2,11)+MID(GA39,4,1)*POWER(2,12)+MID(GA39,3,1)*POWER(2,13)+MID(GA39,2,1)*POWER(2,14)+MID(GA39,1,1)*POWER(2,15))</f>
        <v>-257</v>
      </c>
      <c r="GD38" s="100">
        <f>MID(GB38,16,1)*POWER(2,0)+MID(GB38,15,1)*POWER(2,1)+MID(GB38,14,1)*POWER(2,2)+MID(GB38,13,1)*POWER(2,3)+MID(GB38,12,1)*POWER(2,4)+MID(GB38,11,1)*POWER(2,5)+MID(GB38,10,1)*POWER(2,6)+MID(GB38,9,1)*POWER(2,7)+MID(GB38,8,1)*POWER(2,8)+MID(GB38,7,1)*POWER(2,9)+MID(GB38,6,1)*POWER(2,10)+MID(GB38,5,1)*POWER(2,11)+MID(GB38,4,1)*POWER(2,12)+MID(GB38,3,1)*POWER(2,13)+MID(GB38,2,1)*POWER(2,14)+MID(GB38,1,1)*POWER(2,15)-(MID(GB39,16,1)*POWER(2,0)+MID(GB39,15,1)*POWER(2,1)+MID(GB39,14,1)*POWER(2,2)+MID(GB39,13,1)*POWER(2,3)+MID(GB39,12,1)*POWER(2,4)+MID(GB39,11,1)*POWER(2,5)+MID(GB39,10,1)*POWER(2,6)+MID(GB39,9,1)*POWER(2,7)+MID(GB39,8,1)*POWER(2,8)+MID(GB39,7,1)*POWER(2,9)+MID(GB39,6,1)*POWER(2,10)+MID(GB39,5,1)*POWER(2,11)+MID(GB39,4,1)*POWER(2,12)+MID(GB39,3,1)*POWER(2,13)+MID(GB39,2,1)*POWER(2,14)+MID(GB39,1,1)*POWER(2,15))</f>
        <v>1023</v>
      </c>
      <c r="GE38" s="58" t="str">
        <f>CU38</f>
        <v>00100000000000000100001001100010</v>
      </c>
      <c r="GF38" s="57" t="str">
        <f t="shared" si="182"/>
        <v>00100000</v>
      </c>
      <c r="GG38" s="57" t="str">
        <f t="shared" si="108"/>
        <v>00000000</v>
      </c>
      <c r="GH38" s="57" t="str">
        <f t="shared" si="109"/>
        <v>01000010</v>
      </c>
      <c r="GI38" s="57" t="str">
        <f t="shared" si="110"/>
        <v>01100010</v>
      </c>
      <c r="GJ38" s="100">
        <f>BIN2DEC(GF38)-BIN2DEC(GF39)</f>
        <v>-9</v>
      </c>
      <c r="GK38" s="100">
        <f>BIN2DEC(GG38)-BIN2DEC(GG39)</f>
        <v>-157</v>
      </c>
      <c r="GL38" s="100">
        <f>BIN2DEC(GH38)-BIN2DEC(GH39)</f>
        <v>0</v>
      </c>
      <c r="GM38" s="100">
        <f>BIN2DEC(GI38)-BIN2DEC(GI39)</f>
        <v>-21</v>
      </c>
      <c r="GN38" s="58" t="str">
        <f t="shared" si="111"/>
        <v>0010</v>
      </c>
      <c r="GO38" s="58" t="str">
        <f t="shared" si="112"/>
        <v>1000</v>
      </c>
      <c r="GP38" s="58" t="str">
        <f t="shared" si="113"/>
        <v>1001</v>
      </c>
      <c r="GQ38" s="58" t="str">
        <f t="shared" si="114"/>
        <v>1100</v>
      </c>
      <c r="GR38" s="58" t="str">
        <f t="shared" si="115"/>
        <v>0100</v>
      </c>
      <c r="GS38" s="58" t="str">
        <f t="shared" si="116"/>
        <v>0110</v>
      </c>
      <c r="GT38" s="58" t="str">
        <f t="shared" si="117"/>
        <v>0111</v>
      </c>
      <c r="GU38" s="58" t="str">
        <f t="shared" si="118"/>
        <v>0110</v>
      </c>
      <c r="GV38" s="100">
        <f>BIN2DEC(GN38)-BIN2DEC(GN39)</f>
        <v>0</v>
      </c>
      <c r="GW38" s="100">
        <f t="shared" ref="GW38:HB38" si="394">BIN2DEC(GO38)-BIN2DEC(GO39)</f>
        <v>-1</v>
      </c>
      <c r="GX38" s="100">
        <f t="shared" si="394"/>
        <v>0</v>
      </c>
      <c r="GY38" s="100">
        <f t="shared" si="394"/>
        <v>-1</v>
      </c>
      <c r="GZ38" s="100">
        <f t="shared" si="394"/>
        <v>0</v>
      </c>
      <c r="HA38" s="100">
        <f t="shared" si="394"/>
        <v>4</v>
      </c>
      <c r="HB38" s="100">
        <f t="shared" si="394"/>
        <v>0</v>
      </c>
      <c r="HC38" s="100">
        <f>BIN2DEC(GU38)-BIN2DEC(GU39)</f>
        <v>-1</v>
      </c>
      <c r="HD38" s="57" t="str">
        <f t="shared" si="21"/>
        <v>0010000000000000</v>
      </c>
      <c r="HE38" s="57" t="str">
        <f t="shared" si="22"/>
        <v>0100001001100010</v>
      </c>
      <c r="HF38" s="100">
        <f>MID(HD38,16,1)*POWER(2,0)+MID(HD38,15,1)*POWER(2,1)+MID(HD38,14,1)*POWER(2,2)+MID(HD38,13,1)*POWER(2,3)+MID(HD38,12,1)*POWER(2,4)+MID(HD38,11,1)*POWER(2,5)+MID(HD38,10,1)*POWER(2,6)+MID(HD38,9,1)*POWER(2,7)+MID(HD38,8,1)*POWER(2,8)+MID(HD38,7,1)*POWER(2,9)+MID(HD38,6,1)*POWER(2,10)+MID(HD38,5,1)*POWER(2,11)+MID(HD38,4,1)*POWER(2,12)+MID(HD38,3,1)*POWER(2,13)+MID(HD38,2,1)*POWER(2,14)+MID(HD38,1,1)*POWER(2,15)-(MID(HD39,16,1)*POWER(2,0)+MID(HD39,15,1)*POWER(2,1)+MID(HD39,14,1)*POWER(2,2)+MID(HD39,13,1)*POWER(2,3)+MID(HD39,12,1)*POWER(2,4)+MID(HD39,11,1)*POWER(2,5)+MID(HD39,10,1)*POWER(2,6)+MID(HD39,9,1)*POWER(2,7)+MID(HD39,8,1)*POWER(2,8)+MID(HD39,7,1)*POWER(2,9)+MID(HD39,6,1)*POWER(2,10)+MID(HD39,5,1)*POWER(2,11)+MID(HD39,4,1)*POWER(2,12)+MID(HD39,3,1)*POWER(2,13)+MID(HD39,2,1)*POWER(2,14)+MID(HD39,1,1)*POWER(2,15))</f>
        <v>-2461</v>
      </c>
      <c r="HG38" s="100">
        <f>MID(HE38,16,1)*POWER(2,0)+MID(HE38,15,1)*POWER(2,1)+MID(HE38,14,1)*POWER(2,2)+MID(HE38,13,1)*POWER(2,3)+MID(HE38,12,1)*POWER(2,4)+MID(HE38,11,1)*POWER(2,5)+MID(HE38,10,1)*POWER(2,6)+MID(HE38,9,1)*POWER(2,7)+MID(HE38,8,1)*POWER(2,8)+MID(HE38,7,1)*POWER(2,9)+MID(HE38,6,1)*POWER(2,10)+MID(HE38,5,1)*POWER(2,11)+MID(HE38,4,1)*POWER(2,12)+MID(HE38,3,1)*POWER(2,13)+MID(HE38,2,1)*POWER(2,14)+MID(HE38,1,1)*POWER(2,15)-(MID(HE39,16,1)*POWER(2,0)+MID(HE39,15,1)*POWER(2,1)+MID(HE39,14,1)*POWER(2,2)+MID(HE39,13,1)*POWER(2,3)+MID(HE39,12,1)*POWER(2,4)+MID(HE39,11,1)*POWER(2,5)+MID(HE39,10,1)*POWER(2,6)+MID(HE39,9,1)*POWER(2,7)+MID(HE39,8,1)*POWER(2,8)+MID(HE39,7,1)*POWER(2,9)+MID(HE39,6,1)*POWER(2,10)+MID(HE39,5,1)*POWER(2,11)+MID(HE39,4,1)*POWER(2,12)+MID(HE39,3,1)*POWER(2,13)+MID(HE39,2,1)*POWER(2,14)+MID(HE39,1,1)*POWER(2,15))</f>
        <v>-21</v>
      </c>
      <c r="HH38" s="57" t="str">
        <f>CONCATENATE(MID(DX38,17,16),MID(DX38,1,16))</f>
        <v>00101000100111000100011001110110</v>
      </c>
      <c r="HI38" s="57" t="str">
        <f t="shared" si="184"/>
        <v>00101000</v>
      </c>
      <c r="HJ38" s="57" t="str">
        <f t="shared" si="119"/>
        <v>10011100</v>
      </c>
      <c r="HK38" s="57" t="str">
        <f t="shared" si="120"/>
        <v>01000110</v>
      </c>
      <c r="HL38" s="57" t="str">
        <f t="shared" si="121"/>
        <v>01110110</v>
      </c>
      <c r="HM38" s="100">
        <f>BIN2DEC(HI38)-BIN2DEC(HI39)</f>
        <v>-1</v>
      </c>
      <c r="HN38" s="100">
        <f>BIN2DEC(HJ38)-BIN2DEC(HJ39)</f>
        <v>-1</v>
      </c>
      <c r="HO38" s="100">
        <f>BIN2DEC(HK38)-BIN2DEC(HK39)</f>
        <v>4</v>
      </c>
      <c r="HP38" s="100">
        <f>BIN2DEC(HL38)-BIN2DEC(HL39)</f>
        <v>-1</v>
      </c>
      <c r="HQ38" s="58" t="str">
        <f t="shared" si="122"/>
        <v>0010</v>
      </c>
      <c r="HR38" s="58" t="str">
        <f t="shared" si="123"/>
        <v>1000</v>
      </c>
      <c r="HS38" s="58" t="str">
        <f t="shared" si="124"/>
        <v>1001</v>
      </c>
      <c r="HT38" s="58" t="str">
        <f t="shared" si="125"/>
        <v>1100</v>
      </c>
      <c r="HU38" s="58" t="str">
        <f t="shared" si="126"/>
        <v>0100</v>
      </c>
      <c r="HV38" s="58" t="str">
        <f t="shared" si="127"/>
        <v>0110</v>
      </c>
      <c r="HW38" s="58" t="str">
        <f t="shared" si="128"/>
        <v>0111</v>
      </c>
      <c r="HX38" s="58" t="str">
        <f t="shared" si="129"/>
        <v>0110</v>
      </c>
      <c r="HY38" s="100">
        <f>BIN2DEC(HQ38)-BIN2DEC(HQ39)</f>
        <v>0</v>
      </c>
      <c r="HZ38" s="100">
        <f t="shared" ref="HZ38:IE38" si="395">BIN2DEC(HR38)-BIN2DEC(HR39)</f>
        <v>-1</v>
      </c>
      <c r="IA38" s="100">
        <f t="shared" si="395"/>
        <v>0</v>
      </c>
      <c r="IB38" s="100">
        <f t="shared" si="395"/>
        <v>-1</v>
      </c>
      <c r="IC38" s="100">
        <f t="shared" si="395"/>
        <v>0</v>
      </c>
      <c r="ID38" s="100">
        <f t="shared" si="395"/>
        <v>4</v>
      </c>
      <c r="IE38" s="100">
        <f t="shared" si="395"/>
        <v>0</v>
      </c>
      <c r="IF38" s="100">
        <f>BIN2DEC(HX38)-BIN2DEC(HX39)</f>
        <v>-1</v>
      </c>
      <c r="IG38" s="57" t="str">
        <f t="shared" si="24"/>
        <v>0010100010011100</v>
      </c>
      <c r="IH38" s="57" t="str">
        <f t="shared" si="25"/>
        <v>0100011001110110</v>
      </c>
      <c r="II38" s="100">
        <f>MID(IG38,16,1)*POWER(2,0)+MID(IG38,15,1)*POWER(2,1)+MID(IG38,14,1)*POWER(2,2)+MID(IG38,13,1)*POWER(2,3)+MID(IG38,12,1)*POWER(2,4)+MID(IG38,11,1)*POWER(2,5)+MID(IG38,10,1)*POWER(2,6)+MID(IG38,9,1)*POWER(2,7)+MID(IG38,8,1)*POWER(2,8)+MID(IG38,7,1)*POWER(2,9)+MID(IG38,6,1)*POWER(2,10)+MID(IG38,5,1)*POWER(2,11)+MID(IG38,4,1)*POWER(2,12)+MID(IG38,3,1)*POWER(2,13)+MID(IG38,2,1)*POWER(2,14)+MID(IG38,1,1)*POWER(2,15)-(MID(IG39,16,1)*POWER(2,0)+MID(IG39,15,1)*POWER(2,1)+MID(IG39,14,1)*POWER(2,2)+MID(IG39,13,1)*POWER(2,3)+MID(IG39,12,1)*POWER(2,4)+MID(IG39,11,1)*POWER(2,5)+MID(IG39,10,1)*POWER(2,6)+MID(IG39,9,1)*POWER(2,7)+MID(IG39,8,1)*POWER(2,8)+MID(IG39,7,1)*POWER(2,9)+MID(IG39,6,1)*POWER(2,10)+MID(IG39,5,1)*POWER(2,11)+MID(IG39,4,1)*POWER(2,12)+MID(IG39,3,1)*POWER(2,13)+MID(IG39,2,1)*POWER(2,14)+MID(IG39,1,1)*POWER(2,15))</f>
        <v>-257</v>
      </c>
      <c r="IJ38" s="100">
        <f>MID(IH38,16,1)*POWER(2,0)+MID(IH38,15,1)*POWER(2,1)+MID(IH38,14,1)*POWER(2,2)+MID(IH38,13,1)*POWER(2,3)+MID(IH38,12,1)*POWER(2,4)+MID(IH38,11,1)*POWER(2,5)+MID(IH38,10,1)*POWER(2,6)+MID(IH38,9,1)*POWER(2,7)+MID(IH38,8,1)*POWER(2,8)+MID(IH38,7,1)*POWER(2,9)+MID(IH38,6,1)*POWER(2,10)+MID(IH38,5,1)*POWER(2,11)+MID(IH38,4,1)*POWER(2,12)+MID(IH38,3,1)*POWER(2,13)+MID(IH38,2,1)*POWER(2,14)+MID(IH38,1,1)*POWER(2,15)-(MID(IH39,16,1)*POWER(2,0)+MID(IH39,15,1)*POWER(2,1)+MID(IH39,14,1)*POWER(2,2)+MID(IH39,13,1)*POWER(2,3)+MID(IH39,12,1)*POWER(2,4)+MID(IH39,11,1)*POWER(2,5)+MID(IH39,10,1)*POWER(2,6)+MID(IH39,9,1)*POWER(2,7)+MID(IH39,8,1)*POWER(2,8)+MID(IH39,7,1)*POWER(2,9)+MID(IH39,6,1)*POWER(2,10)+MID(IH39,5,1)*POWER(2,11)+MID(IH39,4,1)*POWER(2,12)+MID(IH39,3,1)*POWER(2,13)+MID(IH39,2,1)*POWER(2,14)+MID(IH39,1,1)*POWER(2,15))</f>
        <v>1023</v>
      </c>
      <c r="IK38" s="57" t="str">
        <f>HH38</f>
        <v>00101000100111000100011001110110</v>
      </c>
      <c r="IL38" s="57" t="str">
        <f t="shared" si="186"/>
        <v>00101000</v>
      </c>
      <c r="IM38" s="57" t="str">
        <f t="shared" si="130"/>
        <v>10011100</v>
      </c>
      <c r="IN38" s="57" t="str">
        <f t="shared" si="131"/>
        <v>01000110</v>
      </c>
      <c r="IO38" s="57" t="str">
        <f t="shared" si="132"/>
        <v>01110110</v>
      </c>
      <c r="IP38" s="100">
        <f>BIN2DEC(IL38)-BIN2DEC(IL39)</f>
        <v>-1</v>
      </c>
      <c r="IQ38" s="100">
        <f>BIN2DEC(IM38)-BIN2DEC(IM39)</f>
        <v>-1</v>
      </c>
      <c r="IR38" s="100">
        <f>BIN2DEC(IN38)-BIN2DEC(IN39)</f>
        <v>4</v>
      </c>
      <c r="IS38" s="100">
        <f>BIN2DEC(IO38)-BIN2DEC(IO39)</f>
        <v>-1</v>
      </c>
      <c r="IT38" s="58" t="str">
        <f t="shared" si="133"/>
        <v>0010</v>
      </c>
      <c r="IU38" s="58" t="str">
        <f t="shared" si="134"/>
        <v>1000</v>
      </c>
      <c r="IV38" s="58" t="str">
        <f t="shared" si="135"/>
        <v>1001</v>
      </c>
      <c r="IW38" s="58" t="str">
        <f t="shared" si="136"/>
        <v>1100</v>
      </c>
      <c r="IX38" s="58" t="str">
        <f t="shared" si="137"/>
        <v>0100</v>
      </c>
      <c r="IY38" s="58" t="str">
        <f t="shared" si="138"/>
        <v>0110</v>
      </c>
      <c r="IZ38" s="58" t="str">
        <f t="shared" si="139"/>
        <v>0111</v>
      </c>
      <c r="JA38" s="58" t="str">
        <f t="shared" si="140"/>
        <v>0110</v>
      </c>
      <c r="JB38" s="100">
        <f t="shared" ref="JB38:JI38" si="396">BIN2DEC(IT38)-BIN2DEC(IT39)</f>
        <v>0</v>
      </c>
      <c r="JC38" s="100">
        <f t="shared" si="396"/>
        <v>-1</v>
      </c>
      <c r="JD38" s="100">
        <f t="shared" si="396"/>
        <v>0</v>
      </c>
      <c r="JE38" s="100">
        <f t="shared" si="396"/>
        <v>-1</v>
      </c>
      <c r="JF38" s="100">
        <f t="shared" si="396"/>
        <v>0</v>
      </c>
      <c r="JG38" s="100">
        <f t="shared" si="396"/>
        <v>4</v>
      </c>
      <c r="JH38" s="100">
        <f t="shared" si="396"/>
        <v>0</v>
      </c>
      <c r="JI38" s="100">
        <f t="shared" si="396"/>
        <v>-1</v>
      </c>
      <c r="JJ38" s="57" t="str">
        <f t="shared" si="27"/>
        <v>0010100010011100</v>
      </c>
      <c r="JK38" s="57" t="str">
        <f t="shared" si="28"/>
        <v>0100011001110110</v>
      </c>
      <c r="JL38" s="100">
        <f>MID(JJ38,16,1)*POWER(2,0)+MID(JJ38,15,1)*POWER(2,1)+MID(JJ38,14,1)*POWER(2,2)+MID(JJ38,13,1)*POWER(2,3)+MID(JJ38,12,1)*POWER(2,4)+MID(JJ38,11,1)*POWER(2,5)+MID(JJ38,10,1)*POWER(2,6)+MID(JJ38,9,1)*POWER(2,7)+MID(JJ38,8,1)*POWER(2,8)+MID(JJ38,7,1)*POWER(2,9)+MID(JJ38,6,1)*POWER(2,10)+MID(JJ38,5,1)*POWER(2,11)+MID(JJ38,4,1)*POWER(2,12)+MID(JJ38,3,1)*POWER(2,13)+MID(JJ38,2,1)*POWER(2,14)+MID(JJ38,1,1)*POWER(2,15)-(MID(JJ39,16,1)*POWER(2,0)+MID(JJ39,15,1)*POWER(2,1)+MID(JJ39,14,1)*POWER(2,2)+MID(JJ39,13,1)*POWER(2,3)+MID(JJ39,12,1)*POWER(2,4)+MID(JJ39,11,1)*POWER(2,5)+MID(JJ39,10,1)*POWER(2,6)+MID(JJ39,9,1)*POWER(2,7)+MID(JJ39,8,1)*POWER(2,8)+MID(JJ39,7,1)*POWER(2,9)+MID(JJ39,6,1)*POWER(2,10)+MID(JJ39,5,1)*POWER(2,11)+MID(JJ39,4,1)*POWER(2,12)+MID(JJ39,3,1)*POWER(2,13)+MID(JJ39,2,1)*POWER(2,14)+MID(JJ39,1,1)*POWER(2,15))</f>
        <v>-257</v>
      </c>
      <c r="JM38" s="100">
        <f>MID(JK38,16,1)*POWER(2,0)+MID(JK38,15,1)*POWER(2,1)+MID(JK38,14,1)*POWER(2,2)+MID(JK38,13,1)*POWER(2,3)+MID(JK38,12,1)*POWER(2,4)+MID(JK38,11,1)*POWER(2,5)+MID(JK38,10,1)*POWER(2,6)+MID(JK38,9,1)*POWER(2,7)+MID(JK38,8,1)*POWER(2,8)+MID(JK38,7,1)*POWER(2,9)+MID(JK38,6,1)*POWER(2,10)+MID(JK38,5,1)*POWER(2,11)+MID(JK38,4,1)*POWER(2,12)+MID(JK38,3,1)*POWER(2,13)+MID(JK38,2,1)*POWER(2,14)+MID(JK38,1,1)*POWER(2,15)-(MID(JK39,16,1)*POWER(2,0)+MID(JK39,15,1)*POWER(2,1)+MID(JK39,14,1)*POWER(2,2)+MID(JK39,13,1)*POWER(2,3)+MID(JK39,12,1)*POWER(2,4)+MID(JK39,11,1)*POWER(2,5)+MID(JK39,10,1)*POWER(2,6)+MID(JK39,9,1)*POWER(2,7)+MID(JK39,8,1)*POWER(2,8)+MID(JK39,7,1)*POWER(2,9)+MID(JK39,6,1)*POWER(2,10)+MID(JK39,5,1)*POWER(2,11)+MID(JK39,4,1)*POWER(2,12)+MID(JK39,3,1)*POWER(2,13)+MID(JK39,2,1)*POWER(2,14)+MID(JK39,1,1)*POWER(2,15))</f>
        <v>1023</v>
      </c>
      <c r="JN38" s="55" t="str">
        <f>CONCATENATE(MID(IK38,1,1)*MID($K38,1,1),MID(IK38,2,1)*MID($K38,2,1),MID(IK38,3,1)*MID($K38,3,1),MID(IK38,4,1)*MID($K38,4,1),MID(IK38,5,1)*MID($K38,5,1),MID(IK38,6,1)*MID($K38,6,1),MID(IK38,7,1)*MID($K38,7,1),MID(IK38,8,1)*MID($K38,8,1),MID(IK38,9,1)*MID($K38,1,1),MID(IK38,10,1)*MID($K38,2,1),MID(IK38,11,1)*MID($K38,3,1),MID(IK38,12,1)*MID($K38,4,1),MID(IK38,13,1)*MID($K38,5,1),MID(IK38,14,1)*MID($K38,6,1),MID(IK38,15,1)*MID($K38,7,1),MID(IK38,16,1)*MID($K38,8,1),MID(IK38,17,1)*MID($K38,1,1),MID(IK38,18,1)*MID($K38,2,1),MID(IK38,19,1)*MID($K38,3,1),MID(IK38,20,1)*MID($K38,4,1),MID(IK38,21,1)*MID($K38,5,1),MID(IK38,22,1)*MID($K38,6,1),MID(IK38,23,1)*MID($K38,7,1),MID(IK38,24,1)*MID($K38,8,1),MID(IK38,25,1)*MID($K38,1,1),MID(IK38,26,1)*MID($K38,2,1),MID(IK38,27,1)*MID($K38,3,1),MID(IK38,28,1)*MID($K38,4,1),MID(IK38,29,1)*MID($K38,5,1),MID(IK38,30,1)*MID($K38,6,1),MID(IK38,31,1)*MID($K38,7,1),MID(IK38,32,1)*MID($K38,8,1))</f>
        <v>00101000100111000100011001110110</v>
      </c>
      <c r="JO38" s="57" t="str">
        <f t="shared" si="188"/>
        <v>00101000</v>
      </c>
      <c r="JP38" s="57" t="str">
        <f t="shared" si="141"/>
        <v>10011100</v>
      </c>
      <c r="JQ38" s="57" t="str">
        <f t="shared" si="142"/>
        <v>01000110</v>
      </c>
      <c r="JR38" s="57" t="str">
        <f t="shared" si="143"/>
        <v>01110110</v>
      </c>
      <c r="JS38" s="100">
        <f>BIN2DEC(JO38)-BIN2DEC(JO39)</f>
        <v>-1</v>
      </c>
      <c r="JT38" s="100">
        <f>BIN2DEC(JP38)-BIN2DEC(JP39)</f>
        <v>-1</v>
      </c>
      <c r="JU38" s="100">
        <f>BIN2DEC(JQ38)-BIN2DEC(JQ39)</f>
        <v>4</v>
      </c>
      <c r="JV38" s="100">
        <f>BIN2DEC(JR38)-BIN2DEC(JR39)</f>
        <v>-1</v>
      </c>
      <c r="JW38" s="58" t="str">
        <f t="shared" si="144"/>
        <v>0010</v>
      </c>
      <c r="JX38" s="58" t="str">
        <f t="shared" si="145"/>
        <v>1000</v>
      </c>
      <c r="JY38" s="58" t="str">
        <f t="shared" si="146"/>
        <v>1001</v>
      </c>
      <c r="JZ38" s="58" t="str">
        <f t="shared" si="147"/>
        <v>1100</v>
      </c>
      <c r="KA38" s="58" t="str">
        <f t="shared" si="148"/>
        <v>0100</v>
      </c>
      <c r="KB38" s="58" t="str">
        <f t="shared" si="149"/>
        <v>0110</v>
      </c>
      <c r="KC38" s="58" t="str">
        <f t="shared" si="150"/>
        <v>0111</v>
      </c>
      <c r="KD38" s="58" t="str">
        <f t="shared" si="151"/>
        <v>0110</v>
      </c>
      <c r="KE38" s="100">
        <f t="shared" ref="KE38:KL38" si="397">BIN2DEC(JW38)-BIN2DEC(JW39)</f>
        <v>0</v>
      </c>
      <c r="KF38" s="100">
        <f t="shared" si="397"/>
        <v>-1</v>
      </c>
      <c r="KG38" s="100">
        <f t="shared" si="397"/>
        <v>0</v>
      </c>
      <c r="KH38" s="100">
        <f t="shared" si="397"/>
        <v>-1</v>
      </c>
      <c r="KI38" s="100">
        <f t="shared" si="397"/>
        <v>0</v>
      </c>
      <c r="KJ38" s="100">
        <f t="shared" si="397"/>
        <v>4</v>
      </c>
      <c r="KK38" s="100">
        <f t="shared" si="397"/>
        <v>0</v>
      </c>
      <c r="KL38" s="100">
        <f t="shared" si="397"/>
        <v>-1</v>
      </c>
      <c r="KM38" s="57" t="str">
        <f t="shared" si="30"/>
        <v>0010100010011100</v>
      </c>
      <c r="KN38" s="57" t="str">
        <f t="shared" si="31"/>
        <v>0100011001110110</v>
      </c>
      <c r="KO38" s="100">
        <f>MID(KM38,16,1)*POWER(2,0)+MID(KM38,15,1)*POWER(2,1)+MID(KM38,14,1)*POWER(2,2)+MID(KM38,13,1)*POWER(2,3)+MID(KM38,12,1)*POWER(2,4)+MID(KM38,11,1)*POWER(2,5)+MID(KM38,10,1)*POWER(2,6)+MID(KM38,9,1)*POWER(2,7)+MID(KM38,8,1)*POWER(2,8)+MID(KM38,7,1)*POWER(2,9)+MID(KM38,6,1)*POWER(2,10)+MID(KM38,5,1)*POWER(2,11)+MID(KM38,4,1)*POWER(2,12)+MID(KM38,3,1)*POWER(2,13)+MID(KM38,2,1)*POWER(2,14)+MID(KM38,1,1)*POWER(2,15)-(MID(KM39,16,1)*POWER(2,0)+MID(KM39,15,1)*POWER(2,1)+MID(KM39,14,1)*POWER(2,2)+MID(KM39,13,1)*POWER(2,3)+MID(KM39,12,1)*POWER(2,4)+MID(KM39,11,1)*POWER(2,5)+MID(KM39,10,1)*POWER(2,6)+MID(KM39,9,1)*POWER(2,7)+MID(KM39,8,1)*POWER(2,8)+MID(KM39,7,1)*POWER(2,9)+MID(KM39,6,1)*POWER(2,10)+MID(KM39,5,1)*POWER(2,11)+MID(KM39,4,1)*POWER(2,12)+MID(KM39,3,1)*POWER(2,13)+MID(KM39,2,1)*POWER(2,14)+MID(KM39,1,1)*POWER(2,15))</f>
        <v>-257</v>
      </c>
      <c r="KP38" s="100">
        <f>MID(KN38,16,1)*POWER(2,0)+MID(KN38,15,1)*POWER(2,1)+MID(KN38,14,1)*POWER(2,2)+MID(KN38,13,1)*POWER(2,3)+MID(KN38,12,1)*POWER(2,4)+MID(KN38,11,1)*POWER(2,5)+MID(KN38,10,1)*POWER(2,6)+MID(KN38,9,1)*POWER(2,7)+MID(KN38,8,1)*POWER(2,8)+MID(KN38,7,1)*POWER(2,9)+MID(KN38,6,1)*POWER(2,10)+MID(KN38,5,1)*POWER(2,11)+MID(KN38,4,1)*POWER(2,12)+MID(KN38,3,1)*POWER(2,13)+MID(KN38,2,1)*POWER(2,14)+MID(KN38,1,1)*POWER(2,15)-(MID(KN39,16,1)*POWER(2,0)+MID(KN39,15,1)*POWER(2,1)+MID(KN39,14,1)*POWER(2,2)+MID(KN39,13,1)*POWER(2,3)+MID(KN39,12,1)*POWER(2,4)+MID(KN39,11,1)*POWER(2,5)+MID(KN39,10,1)*POWER(2,6)+MID(KN39,9,1)*POWER(2,7)+MID(KN39,8,1)*POWER(2,8)+MID(KN39,7,1)*POWER(2,9)+MID(KN39,6,1)*POWER(2,10)+MID(KN39,5,1)*POWER(2,11)+MID(KN39,4,1)*POWER(2,12)+MID(KN39,3,1)*POWER(2,13)+MID(KN39,2,1)*POWER(2,14)+MID(KN39,1,1)*POWER(2,15))</f>
        <v>1023</v>
      </c>
      <c r="KQ38" s="58" t="str">
        <f>IK38</f>
        <v>00101000100111000100011001110110</v>
      </c>
      <c r="KR38" s="57" t="str">
        <f t="shared" si="190"/>
        <v>00101000</v>
      </c>
      <c r="KS38" s="57" t="str">
        <f t="shared" si="152"/>
        <v>10011100</v>
      </c>
      <c r="KT38" s="57" t="str">
        <f t="shared" si="153"/>
        <v>01000110</v>
      </c>
      <c r="KU38" s="57" t="str">
        <f t="shared" si="154"/>
        <v>01110110</v>
      </c>
      <c r="KV38" s="100">
        <f>BIN2DEC(KR38)-BIN2DEC(KR39)</f>
        <v>-1</v>
      </c>
      <c r="KW38" s="100">
        <f>BIN2DEC(KS38)-BIN2DEC(KS39)</f>
        <v>-1</v>
      </c>
      <c r="KX38" s="100">
        <f>BIN2DEC(KT38)-BIN2DEC(KT39)</f>
        <v>4</v>
      </c>
      <c r="KY38" s="100">
        <f>BIN2DEC(KU38)-BIN2DEC(KU39)</f>
        <v>-1</v>
      </c>
      <c r="KZ38" s="58" t="str">
        <f t="shared" si="155"/>
        <v>0010</v>
      </c>
      <c r="LA38" s="58" t="str">
        <f t="shared" si="156"/>
        <v>1000</v>
      </c>
      <c r="LB38" s="58" t="str">
        <f t="shared" si="157"/>
        <v>1001</v>
      </c>
      <c r="LC38" s="58" t="str">
        <f t="shared" si="158"/>
        <v>1100</v>
      </c>
      <c r="LD38" s="58" t="str">
        <f t="shared" si="159"/>
        <v>0100</v>
      </c>
      <c r="LE38" s="58" t="str">
        <f t="shared" si="160"/>
        <v>0110</v>
      </c>
      <c r="LF38" s="58" t="str">
        <f t="shared" si="161"/>
        <v>0111</v>
      </c>
      <c r="LG38" s="58" t="str">
        <f t="shared" si="162"/>
        <v>0110</v>
      </c>
      <c r="LH38" s="100">
        <f t="shared" ref="LH38:LO38" si="398">BIN2DEC(KZ38)-BIN2DEC(KZ39)</f>
        <v>0</v>
      </c>
      <c r="LI38" s="100">
        <f t="shared" si="398"/>
        <v>-1</v>
      </c>
      <c r="LJ38" s="100">
        <f t="shared" si="398"/>
        <v>0</v>
      </c>
      <c r="LK38" s="100">
        <f t="shared" si="398"/>
        <v>-1</v>
      </c>
      <c r="LL38" s="100">
        <f t="shared" si="398"/>
        <v>0</v>
      </c>
      <c r="LM38" s="100">
        <f t="shared" si="398"/>
        <v>4</v>
      </c>
      <c r="LN38" s="100">
        <f t="shared" si="398"/>
        <v>0</v>
      </c>
      <c r="LO38" s="100">
        <f t="shared" si="398"/>
        <v>-1</v>
      </c>
      <c r="LP38" s="57" t="str">
        <f t="shared" si="33"/>
        <v>0010100010011100</v>
      </c>
      <c r="LQ38" s="57" t="str">
        <f t="shared" si="34"/>
        <v>0100011001110110</v>
      </c>
      <c r="LR38" s="100">
        <f>MID(LP38,16,1)*POWER(2,0)+MID(LP38,15,1)*POWER(2,1)+MID(LP38,14,1)*POWER(2,2)+MID(LP38,13,1)*POWER(2,3)+MID(LP38,12,1)*POWER(2,4)+MID(LP38,11,1)*POWER(2,5)+MID(LP38,10,1)*POWER(2,6)+MID(LP38,9,1)*POWER(2,7)+MID(LP38,8,1)*POWER(2,8)+MID(LP38,7,1)*POWER(2,9)+MID(LP38,6,1)*POWER(2,10)+MID(LP38,5,1)*POWER(2,11)+MID(LP38,4,1)*POWER(2,12)+MID(LP38,3,1)*POWER(2,13)+MID(LP38,2,1)*POWER(2,14)+MID(LP38,1,1)*POWER(2,15)-(MID(LP39,16,1)*POWER(2,0)+MID(LP39,15,1)*POWER(2,1)+MID(LP39,14,1)*POWER(2,2)+MID(LP39,13,1)*POWER(2,3)+MID(LP39,12,1)*POWER(2,4)+MID(LP39,11,1)*POWER(2,5)+MID(LP39,10,1)*POWER(2,6)+MID(LP39,9,1)*POWER(2,7)+MID(LP39,8,1)*POWER(2,8)+MID(LP39,7,1)*POWER(2,9)+MID(LP39,6,1)*POWER(2,10)+MID(LP39,5,1)*POWER(2,11)+MID(LP39,4,1)*POWER(2,12)+MID(LP39,3,1)*POWER(2,13)+MID(LP39,2,1)*POWER(2,14)+MID(LP39,1,1)*POWER(2,15))</f>
        <v>-257</v>
      </c>
      <c r="LS38" s="100">
        <f>MID(LQ38,16,1)*POWER(2,0)+MID(LQ38,15,1)*POWER(2,1)+MID(LQ38,14,1)*POWER(2,2)+MID(LQ38,13,1)*POWER(2,3)+MID(LQ38,12,1)*POWER(2,4)+MID(LQ38,11,1)*POWER(2,5)+MID(LQ38,10,1)*POWER(2,6)+MID(LQ38,9,1)*POWER(2,7)+MID(LQ38,8,1)*POWER(2,8)+MID(LQ38,7,1)*POWER(2,9)+MID(LQ38,6,1)*POWER(2,10)+MID(LQ38,5,1)*POWER(2,11)+MID(LQ38,4,1)*POWER(2,12)+MID(LQ38,3,1)*POWER(2,13)+MID(LQ38,2,1)*POWER(2,14)+MID(LQ38,1,1)*POWER(2,15)-(MID(LQ39,16,1)*POWER(2,0)+MID(LQ39,15,1)*POWER(2,1)+MID(LQ39,14,1)*POWER(2,2)+MID(LQ39,13,1)*POWER(2,3)+MID(LQ39,12,1)*POWER(2,4)+MID(LQ39,11,1)*POWER(2,5)+MID(LQ39,10,1)*POWER(2,6)+MID(LQ39,9,1)*POWER(2,7)+MID(LQ39,8,1)*POWER(2,8)+MID(LQ39,7,1)*POWER(2,9)+MID(LQ39,6,1)*POWER(2,10)+MID(LQ39,5,1)*POWER(2,11)+MID(LQ39,4,1)*POWER(2,12)+MID(LQ39,3,1)*POWER(2,13)+MID(LQ39,2,1)*POWER(2,14)+MID(LQ39,1,1)*POWER(2,15))</f>
        <v>1023</v>
      </c>
      <c r="LT38" s="57" t="str">
        <f>JN38</f>
        <v>00101000100111000100011001110110</v>
      </c>
      <c r="LU38" s="57" t="str">
        <f t="shared" si="192"/>
        <v>00101000</v>
      </c>
      <c r="LV38" s="57" t="str">
        <f t="shared" si="163"/>
        <v>10011100</v>
      </c>
      <c r="LW38" s="57" t="str">
        <f t="shared" si="164"/>
        <v>01000110</v>
      </c>
      <c r="LX38" s="57" t="str">
        <f t="shared" si="165"/>
        <v>01110110</v>
      </c>
      <c r="LY38" s="100">
        <f>BIN2DEC(LU38)-BIN2DEC(LU39)</f>
        <v>-1</v>
      </c>
      <c r="LZ38" s="100">
        <f>BIN2DEC(LV38)-BIN2DEC(LV39)</f>
        <v>-1</v>
      </c>
      <c r="MA38" s="100">
        <f>BIN2DEC(LW38)-BIN2DEC(LW39)</f>
        <v>4</v>
      </c>
      <c r="MB38" s="100">
        <f>BIN2DEC(LX38)-BIN2DEC(LX39)</f>
        <v>-1</v>
      </c>
      <c r="MC38" s="58" t="str">
        <f t="shared" si="166"/>
        <v>0010</v>
      </c>
      <c r="MD38" s="58" t="str">
        <f t="shared" si="167"/>
        <v>1000</v>
      </c>
      <c r="ME38" s="58" t="str">
        <f t="shared" si="168"/>
        <v>1001</v>
      </c>
      <c r="MF38" s="58" t="str">
        <f t="shared" si="169"/>
        <v>1100</v>
      </c>
      <c r="MG38" s="58" t="str">
        <f t="shared" si="170"/>
        <v>0100</v>
      </c>
      <c r="MH38" s="58" t="str">
        <f t="shared" si="171"/>
        <v>0110</v>
      </c>
      <c r="MI38" s="58" t="str">
        <f t="shared" si="172"/>
        <v>0111</v>
      </c>
      <c r="MJ38" s="58" t="str">
        <f t="shared" si="173"/>
        <v>0110</v>
      </c>
      <c r="MK38" s="100">
        <f t="shared" ref="MK38:MR38" si="399">BIN2DEC(MC38)-BIN2DEC(MC39)</f>
        <v>0</v>
      </c>
      <c r="ML38" s="100">
        <f t="shared" si="399"/>
        <v>-1</v>
      </c>
      <c r="MM38" s="100">
        <f t="shared" si="399"/>
        <v>0</v>
      </c>
      <c r="MN38" s="100">
        <f t="shared" si="399"/>
        <v>-1</v>
      </c>
      <c r="MO38" s="100">
        <f t="shared" si="399"/>
        <v>0</v>
      </c>
      <c r="MP38" s="100">
        <f t="shared" si="399"/>
        <v>4</v>
      </c>
      <c r="MQ38" s="100">
        <f t="shared" si="399"/>
        <v>0</v>
      </c>
      <c r="MR38" s="100">
        <f t="shared" si="399"/>
        <v>-1</v>
      </c>
      <c r="MS38" s="57" t="str">
        <f t="shared" si="36"/>
        <v>0010100010011100</v>
      </c>
      <c r="MT38" s="57" t="str">
        <f t="shared" si="37"/>
        <v>0100011001110110</v>
      </c>
      <c r="MU38" s="100">
        <f>MID(MS38,16,1)*POWER(2,0)+MID(MS38,15,1)*POWER(2,1)+MID(MS38,14,1)*POWER(2,2)+MID(MS38,13,1)*POWER(2,3)+MID(MS38,12,1)*POWER(2,4)+MID(MS38,11,1)*POWER(2,5)+MID(MS38,10,1)*POWER(2,6)+MID(MS38,9,1)*POWER(2,7)+MID(MS38,8,1)*POWER(2,8)+MID(MS38,7,1)*POWER(2,9)+MID(MS38,6,1)*POWER(2,10)+MID(MS38,5,1)*POWER(2,11)+MID(MS38,4,1)*POWER(2,12)+MID(MS38,3,1)*POWER(2,13)+MID(MS38,2,1)*POWER(2,14)+MID(MS38,1,1)*POWER(2,15)-(MID(MS39,16,1)*POWER(2,0)+MID(MS39,15,1)*POWER(2,1)+MID(MS39,14,1)*POWER(2,2)+MID(MS39,13,1)*POWER(2,3)+MID(MS39,12,1)*POWER(2,4)+MID(MS39,11,1)*POWER(2,5)+MID(MS39,10,1)*POWER(2,6)+MID(MS39,9,1)*POWER(2,7)+MID(MS39,8,1)*POWER(2,8)+MID(MS39,7,1)*POWER(2,9)+MID(MS39,6,1)*POWER(2,10)+MID(MS39,5,1)*POWER(2,11)+MID(MS39,4,1)*POWER(2,12)+MID(MS39,3,1)*POWER(2,13)+MID(MS39,2,1)*POWER(2,14)+MID(MS39,1,1)*POWER(2,15))</f>
        <v>-257</v>
      </c>
      <c r="MV38" s="100">
        <f>MID(MT38,16,1)*POWER(2,0)+MID(MT38,15,1)*POWER(2,1)+MID(MT38,14,1)*POWER(2,2)+MID(MT38,13,1)*POWER(2,3)+MID(MT38,12,1)*POWER(2,4)+MID(MT38,11,1)*POWER(2,5)+MID(MT38,10,1)*POWER(2,6)+MID(MT38,9,1)*POWER(2,7)+MID(MT38,8,1)*POWER(2,8)+MID(MT38,7,1)*POWER(2,9)+MID(MT38,6,1)*POWER(2,10)+MID(MT38,5,1)*POWER(2,11)+MID(MT38,4,1)*POWER(2,12)+MID(MT38,3,1)*POWER(2,13)+MID(MT38,2,1)*POWER(2,14)+MID(MT38,1,1)*POWER(2,15)-(MID(MT39,16,1)*POWER(2,0)+MID(MT39,15,1)*POWER(2,1)+MID(MT39,14,1)*POWER(2,2)+MID(MT39,13,1)*POWER(2,3)+MID(MT39,12,1)*POWER(2,4)+MID(MT39,11,1)*POWER(2,5)+MID(MT39,10,1)*POWER(2,6)+MID(MT39,9,1)*POWER(2,7)+MID(MT39,8,1)*POWER(2,8)+MID(MT39,7,1)*POWER(2,9)+MID(MT39,6,1)*POWER(2,10)+MID(MT39,5,1)*POWER(2,11)+MID(MT39,4,1)*POWER(2,12)+MID(MT39,3,1)*POWER(2,13)+MID(MT39,2,1)*POWER(2,14)+MID(MT39,1,1)*POWER(2,15))</f>
        <v>1023</v>
      </c>
    </row>
    <row r="39" spans="1:360" s="63" customFormat="1" ht="18.600000000000001" thickBot="1" x14ac:dyDescent="0.4">
      <c r="A39" s="59"/>
      <c r="B39" s="60"/>
      <c r="C39" s="61" t="s">
        <v>6</v>
      </c>
      <c r="D39" s="61" t="s">
        <v>154</v>
      </c>
      <c r="E39" s="61">
        <v>53</v>
      </c>
      <c r="F39" s="61" t="s">
        <v>76</v>
      </c>
      <c r="G39" s="61" t="s">
        <v>104</v>
      </c>
      <c r="H39" s="61" t="str">
        <f t="shared" si="278"/>
        <v>10100101010100111110100000101110</v>
      </c>
      <c r="I39" s="61">
        <f t="shared" si="279"/>
        <v>16</v>
      </c>
      <c r="J39" s="61"/>
      <c r="K39" s="61"/>
      <c r="L39" s="62" t="str">
        <f>CONCATENATE(MID(H39,4,5),MID(H39,25,3),MID(H39,12,5),MID(H39,1,3),MID(H39,20,5),MID(H39,9,3),MID(H39,28,5),MID(H39,17,3))</f>
        <v>00101001100111010100001001110111</v>
      </c>
      <c r="M39" s="57" t="str">
        <f t="shared" si="38"/>
        <v>00101</v>
      </c>
      <c r="N39" s="26" t="str">
        <f t="shared" si="39"/>
        <v>10011</v>
      </c>
      <c r="O39" s="26" t="str">
        <f t="shared" si="40"/>
        <v>01000</v>
      </c>
      <c r="P39" s="26" t="str">
        <f t="shared" si="41"/>
        <v>01110</v>
      </c>
      <c r="Q39" s="101"/>
      <c r="R39" s="101"/>
      <c r="S39" s="101"/>
      <c r="T39" s="101"/>
      <c r="U39" s="63" t="str">
        <f t="shared" si="42"/>
        <v>0010</v>
      </c>
      <c r="V39" s="63" t="str">
        <f t="shared" si="43"/>
        <v>1001</v>
      </c>
      <c r="W39" s="63" t="str">
        <f t="shared" si="44"/>
        <v>1001</v>
      </c>
      <c r="X39" s="63" t="str">
        <f t="shared" si="45"/>
        <v>1101</v>
      </c>
      <c r="Y39" s="63" t="str">
        <f t="shared" si="46"/>
        <v>0100</v>
      </c>
      <c r="Z39" s="63" t="str">
        <f t="shared" si="47"/>
        <v>0010</v>
      </c>
      <c r="AA39" s="63" t="str">
        <f t="shared" si="48"/>
        <v>0111</v>
      </c>
      <c r="AB39" s="63" t="str">
        <f t="shared" si="49"/>
        <v>0111</v>
      </c>
      <c r="AC39" s="101"/>
      <c r="AD39" s="101"/>
      <c r="AE39" s="101"/>
      <c r="AF39" s="101"/>
      <c r="AG39" s="101"/>
      <c r="AH39" s="101"/>
      <c r="AI39" s="101"/>
      <c r="AJ39" s="101"/>
      <c r="AK39" s="62" t="str">
        <f t="shared" si="3"/>
        <v>0010100110011101</v>
      </c>
      <c r="AL39" s="62" t="str">
        <f t="shared" si="4"/>
        <v>0100001001110111</v>
      </c>
      <c r="AM39" s="101"/>
      <c r="AN39" s="101"/>
      <c r="AO39" s="60" t="str">
        <f>CONCATENATE(MID($L39,1,1)*MID($K38,1,1),MID($L39,2,1)*MID($K38,2,1),MID($L39,3,1)*MID($K38,3,1),MID($L39,4,1)*MID($K38,4,1),MID($L39,5,1)*MID($K38,5,1),MID($L39,6,1)*MID($K38,6,1),MID($L39,7,1)*MID($K38,7,1),MID($L39,8,1)*MID($K38,8,1),MID($L39,9,1)*MID($K38,1,1),MID($L39,10,1)*MID($K38,2,1),MID($L39,11,1)*MID($K38,3,1),MID($L39,12,1)*MID($K38,4,1),MID($L39,13,1)*MID($K38,5,1),MID($L39,14,1)*MID($K38,6,1),MID($L39,15,1)*MID($K38,7,1),MID($L39,16,1)*MID($K38,8,1),MID($L39,17,1)*MID($K38,1,1),MID($L39,18,1)*MID($K38,2,1),MID($L39,19,1)*MID($K38,3,1),MID($L39,20,1)*MID($K38,4,1),MID($L39,21,1)*MID($K38,5,1),MID($L39,22,1)*MID($K38,6,1),MID($L39,23,1)*MID($K38,7,1),MID($L39,24,1)*MID($K38,8,1),MID($L39,25,1)*MID($K38,1,1),MID($L39,26,1)*MID($K38,2,1),MID($L39,27,1)*MID($K38,3,1),MID($L39,28,1)*MID($K38,4,1),MID($L39,29,1)*MID($K38,5,1),MID($L39,30,1)*MID($K38,6,1),MID($L39,31,1)*MID($K38,7,1),MID($L39,32,1)*MID($K38,8,1))</f>
        <v>00101001100111010100001001110111</v>
      </c>
      <c r="AP39" s="62" t="str">
        <f t="shared" si="50"/>
        <v>00101001</v>
      </c>
      <c r="AQ39" s="62" t="str">
        <f t="shared" si="51"/>
        <v>10011101</v>
      </c>
      <c r="AR39" s="62" t="str">
        <f t="shared" si="52"/>
        <v>01000010</v>
      </c>
      <c r="AS39" s="62" t="str">
        <f t="shared" si="53"/>
        <v>01110111</v>
      </c>
      <c r="AT39" s="101"/>
      <c r="AU39" s="101"/>
      <c r="AV39" s="101"/>
      <c r="AW39" s="101"/>
      <c r="AX39" s="63" t="str">
        <f t="shared" si="54"/>
        <v>0010</v>
      </c>
      <c r="AY39" s="63" t="str">
        <f t="shared" si="55"/>
        <v>1001</v>
      </c>
      <c r="AZ39" s="63" t="str">
        <f t="shared" si="56"/>
        <v>1001</v>
      </c>
      <c r="BA39" s="63" t="str">
        <f t="shared" si="57"/>
        <v>1101</v>
      </c>
      <c r="BB39" s="63" t="str">
        <f t="shared" si="58"/>
        <v>0100</v>
      </c>
      <c r="BC39" s="63" t="str">
        <f t="shared" si="59"/>
        <v>0010</v>
      </c>
      <c r="BD39" s="63" t="str">
        <f t="shared" si="60"/>
        <v>0111</v>
      </c>
      <c r="BE39" s="63" t="str">
        <f t="shared" si="61"/>
        <v>0111</v>
      </c>
      <c r="BF39" s="101"/>
      <c r="BG39" s="101"/>
      <c r="BH39" s="101"/>
      <c r="BI39" s="101"/>
      <c r="BJ39" s="101"/>
      <c r="BK39" s="101"/>
      <c r="BL39" s="101"/>
      <c r="BM39" s="101"/>
      <c r="BN39" s="62" t="str">
        <f t="shared" si="6"/>
        <v>0010100110011101</v>
      </c>
      <c r="BO39" s="62" t="str">
        <f t="shared" si="7"/>
        <v>0100001001110111</v>
      </c>
      <c r="BP39" s="101"/>
      <c r="BQ39" s="101"/>
      <c r="BR39" s="60" t="str">
        <f>L39</f>
        <v>00101001100111010100001001110111</v>
      </c>
      <c r="BS39" s="62" t="str">
        <f t="shared" si="62"/>
        <v>00101001</v>
      </c>
      <c r="BT39" s="62" t="str">
        <f t="shared" si="63"/>
        <v>10011101</v>
      </c>
      <c r="BU39" s="62" t="str">
        <f t="shared" si="64"/>
        <v>01000010</v>
      </c>
      <c r="BV39" s="62" t="str">
        <f t="shared" si="65"/>
        <v>01110111</v>
      </c>
      <c r="BW39" s="101"/>
      <c r="BX39" s="101"/>
      <c r="BY39" s="101"/>
      <c r="BZ39" s="101"/>
      <c r="CA39" s="63" t="str">
        <f t="shared" si="66"/>
        <v>0010</v>
      </c>
      <c r="CB39" s="63" t="str">
        <f t="shared" si="67"/>
        <v>1001</v>
      </c>
      <c r="CC39" s="63" t="str">
        <f t="shared" si="68"/>
        <v>1001</v>
      </c>
      <c r="CD39" s="63" t="str">
        <f t="shared" si="69"/>
        <v>1101</v>
      </c>
      <c r="CE39" s="63" t="str">
        <f t="shared" si="70"/>
        <v>0100</v>
      </c>
      <c r="CF39" s="63" t="str">
        <f t="shared" si="71"/>
        <v>0010</v>
      </c>
      <c r="CG39" s="63" t="str">
        <f t="shared" si="72"/>
        <v>0111</v>
      </c>
      <c r="CH39" s="63" t="str">
        <f t="shared" si="73"/>
        <v>0111</v>
      </c>
      <c r="CI39" s="101"/>
      <c r="CJ39" s="101"/>
      <c r="CK39" s="101"/>
      <c r="CL39" s="101"/>
      <c r="CM39" s="101"/>
      <c r="CN39" s="101"/>
      <c r="CO39" s="101"/>
      <c r="CP39" s="101"/>
      <c r="CQ39" s="62" t="str">
        <f t="shared" si="9"/>
        <v>0010100110011101</v>
      </c>
      <c r="CR39" s="62" t="str">
        <f t="shared" si="10"/>
        <v>0100001001110111</v>
      </c>
      <c r="CS39" s="101"/>
      <c r="CT39" s="101"/>
      <c r="CU39" s="60" t="str">
        <f>AO39</f>
        <v>00101001100111010100001001110111</v>
      </c>
      <c r="CV39" s="62" t="str">
        <f t="shared" si="74"/>
        <v>00101001</v>
      </c>
      <c r="CW39" s="62" t="str">
        <f t="shared" si="75"/>
        <v>10011101</v>
      </c>
      <c r="CX39" s="62" t="str">
        <f t="shared" si="76"/>
        <v>01000010</v>
      </c>
      <c r="CY39" s="62" t="str">
        <f t="shared" si="77"/>
        <v>01110111</v>
      </c>
      <c r="CZ39" s="101"/>
      <c r="DA39" s="101"/>
      <c r="DB39" s="101"/>
      <c r="DC39" s="101"/>
      <c r="DD39" s="63" t="str">
        <f t="shared" si="78"/>
        <v>0010</v>
      </c>
      <c r="DE39" s="63" t="str">
        <f t="shared" si="79"/>
        <v>1001</v>
      </c>
      <c r="DF39" s="63" t="str">
        <f t="shared" si="80"/>
        <v>1001</v>
      </c>
      <c r="DG39" s="63" t="str">
        <f t="shared" si="81"/>
        <v>1101</v>
      </c>
      <c r="DH39" s="63" t="str">
        <f t="shared" si="82"/>
        <v>0100</v>
      </c>
      <c r="DI39" s="63" t="str">
        <f t="shared" si="83"/>
        <v>0010</v>
      </c>
      <c r="DJ39" s="63" t="str">
        <f t="shared" si="84"/>
        <v>0111</v>
      </c>
      <c r="DK39" s="63" t="str">
        <f t="shared" si="85"/>
        <v>0111</v>
      </c>
      <c r="DL39" s="101"/>
      <c r="DM39" s="101"/>
      <c r="DN39" s="101"/>
      <c r="DO39" s="101"/>
      <c r="DP39" s="101"/>
      <c r="DQ39" s="101"/>
      <c r="DR39" s="101"/>
      <c r="DS39" s="101"/>
      <c r="DT39" s="62" t="str">
        <f t="shared" si="12"/>
        <v>0010100110011101</v>
      </c>
      <c r="DU39" s="62" t="str">
        <f t="shared" si="13"/>
        <v>0100001001110111</v>
      </c>
      <c r="DV39" s="101"/>
      <c r="DW39" s="101"/>
      <c r="DX39" s="60" t="str">
        <f>CONCATENATE(MID($H39,1,1)*MID($K38,1,1),MID($H39,2,1)*MID($K38,2,1),MID($H39,3,1)*MID($K38,3,1),MID($H39,4,1)*MID($K38,4,1),MID($H39,5,1)*MID($K38,5,1),MID($H39,6,1)*MID($K38,6,1),MID($H39,7,1)*MID($K38,7,1),MID($H39,8,1)*MID($K38,8,1),MID($H39,9,1)*MID($K38,1,1),MID($H39,10,1)*MID($K38,2,1),MID($H39,11,1)*MID($K38,3,1),MID($H39,12,1)*MID($K38,4,1),MID($H39,13,1)*MID($K38,5,1),MID($H39,14,1)*MID($K38,6,1),MID($H39,15,1)*MID($K38,7,1),MID($H39,16,1)*MID($K38,8,1),MID($H39,17,1)*MID($K38,1,1),MID($H39,18,1)*MID($K38,2,1),MID($H39,19,1)*MID($K38,3,1),MID($H39,20,1)*MID($K38,4,1),MID($H39,21,1)*MID($K38,5,1),MID($H39,22,1)*MID($K38,6,1),MID($H39,23,1)*MID($K38,7,1),MID($H39,24,1)*MID($K38,8,1),MID($H39,25,1)*MID($K38,1,1),MID($H39,26,1)*MID($K38,2,1),MID($H39,27,1)*MID($K38,3,1),MID($H39,28,1)*MID($K38,4,1),MID($H39,29,1)*MID($K38,5,1),MID($H39,30,1)*MID($K38,6,1),MID($H39,31,1)*MID($K38,7,1),MID($H39,32,1)*MID($K38,8,1))</f>
        <v>10100101010100111110100000101110</v>
      </c>
      <c r="DY39" s="62" t="str">
        <f>CONCATENATE(MID(DX39,4,5),MID(DX39,25,3),MID(DX39,12,5),MID(DX39,1,3),MID(DX39,20,5),MID(DX39,9,3),MID(DX39,28,5),MID(DX39,17,3))</f>
        <v>00101001100111010100001001110111</v>
      </c>
      <c r="DZ39" s="62" t="str">
        <f t="shared" si="178"/>
        <v>00101001</v>
      </c>
      <c r="EA39" s="62" t="str">
        <f t="shared" si="86"/>
        <v>10011101</v>
      </c>
      <c r="EB39" s="62" t="str">
        <f t="shared" si="87"/>
        <v>01000010</v>
      </c>
      <c r="EC39" s="62" t="str">
        <f t="shared" si="88"/>
        <v>01110111</v>
      </c>
      <c r="ED39" s="101"/>
      <c r="EE39" s="101"/>
      <c r="EF39" s="101"/>
      <c r="EG39" s="101"/>
      <c r="EH39" s="63" t="str">
        <f t="shared" si="89"/>
        <v>0010</v>
      </c>
      <c r="EI39" s="63" t="str">
        <f t="shared" si="90"/>
        <v>1001</v>
      </c>
      <c r="EJ39" s="63" t="str">
        <f t="shared" si="91"/>
        <v>1001</v>
      </c>
      <c r="EK39" s="63" t="str">
        <f t="shared" si="92"/>
        <v>1101</v>
      </c>
      <c r="EL39" s="63" t="str">
        <f t="shared" si="93"/>
        <v>0100</v>
      </c>
      <c r="EM39" s="63" t="str">
        <f t="shared" si="94"/>
        <v>0010</v>
      </c>
      <c r="EN39" s="63" t="str">
        <f t="shared" si="95"/>
        <v>0111</v>
      </c>
      <c r="EO39" s="63" t="str">
        <f t="shared" si="96"/>
        <v>0111</v>
      </c>
      <c r="EP39" s="101"/>
      <c r="EQ39" s="101"/>
      <c r="ER39" s="101"/>
      <c r="ES39" s="101"/>
      <c r="ET39" s="101"/>
      <c r="EU39" s="101"/>
      <c r="EV39" s="101"/>
      <c r="EW39" s="101"/>
      <c r="EX39" s="62" t="str">
        <f t="shared" si="15"/>
        <v>0010100110011101</v>
      </c>
      <c r="EY39" s="62" t="str">
        <f t="shared" si="16"/>
        <v>0100001001110111</v>
      </c>
      <c r="EZ39" s="101"/>
      <c r="FA39" s="101"/>
      <c r="FB39" s="60" t="str">
        <f>CONCATENATE(MID(DY39,1,1)*MID($K38,1,1),MID(DY39,2,1)*MID($K38,2,1),MID(DY39,3,1)*MID($K38,3,1),MID(DY39,4,1)*MID($K38,4,1),MID(DY39,5,1)*MID($K38,5,1),MID(DY39,6,1)*MID($K38,6,1),MID(DY39,7,1)*MID($K38,7,1),MID(DY39,8,1)*MID($K38,8,1),MID(DY39,9,1)*MID($K38,1,1),MID(DY39,10,1)*MID($K38,2,1),MID(DY39,11,1)*MID($K38,3,1),MID(DY39,12,1)*MID($K38,4,1),MID(DY39,13,1)*MID($K38,5,1),MID(DY39,14,1)*MID($K38,6,1),MID(DY39,15,1)*MID($K38,7,1),MID(DY39,16,1)*MID($K38,8,1),MID(DY39,17,1)*MID($K38,1,1),MID(DY39,18,1)*MID($K38,2,1),MID(DY39,19,1)*MID($K38,3,1),MID(DY39,20,1)*MID($K38,4,1),MID(DY39,21,1)*MID($K38,5,1),MID(DY39,22,1)*MID($K38,6,1),MID(DY39,23,1)*MID($K38,7,1),MID(DY39,24,1)*MID($K38,8,1),MID(DY39,25,1)*MID($K38,1,1),MID(DY39,26,1)*MID($K38,2,1),MID(DY39,27,1)*MID($K38,3,1),MID(DY39,28,1)*MID($K38,4,1),MID(DY39,29,1)*MID($K38,5,1),MID(DY39,30,1)*MID($K38,6,1),MID(DY39,31,1)*MID($K38,7,1),MID(DY39,32,1)*MID($K38,8,1))</f>
        <v>00101001100111010100001001110111</v>
      </c>
      <c r="FC39" s="62" t="str">
        <f t="shared" si="180"/>
        <v>00101001</v>
      </c>
      <c r="FD39" s="62" t="str">
        <f t="shared" si="97"/>
        <v>10011101</v>
      </c>
      <c r="FE39" s="62" t="str">
        <f t="shared" si="98"/>
        <v>01000010</v>
      </c>
      <c r="FF39" s="62" t="str">
        <f t="shared" si="99"/>
        <v>01110111</v>
      </c>
      <c r="FG39" s="101"/>
      <c r="FH39" s="101"/>
      <c r="FI39" s="101"/>
      <c r="FJ39" s="101"/>
      <c r="FK39" s="63" t="str">
        <f t="shared" si="100"/>
        <v>0010</v>
      </c>
      <c r="FL39" s="63" t="str">
        <f t="shared" si="101"/>
        <v>1001</v>
      </c>
      <c r="FM39" s="63" t="str">
        <f t="shared" si="102"/>
        <v>1001</v>
      </c>
      <c r="FN39" s="63" t="str">
        <f t="shared" si="103"/>
        <v>1101</v>
      </c>
      <c r="FO39" s="63" t="str">
        <f t="shared" si="104"/>
        <v>0100</v>
      </c>
      <c r="FP39" s="63" t="str">
        <f t="shared" si="105"/>
        <v>0010</v>
      </c>
      <c r="FQ39" s="63" t="str">
        <f t="shared" si="106"/>
        <v>0111</v>
      </c>
      <c r="FR39" s="63" t="str">
        <f t="shared" si="107"/>
        <v>0111</v>
      </c>
      <c r="FS39" s="101"/>
      <c r="FT39" s="101"/>
      <c r="FU39" s="101"/>
      <c r="FV39" s="101"/>
      <c r="FW39" s="101"/>
      <c r="FX39" s="101"/>
      <c r="FY39" s="101"/>
      <c r="FZ39" s="101"/>
      <c r="GA39" s="62" t="str">
        <f t="shared" si="18"/>
        <v>0010100110011101</v>
      </c>
      <c r="GB39" s="62" t="str">
        <f t="shared" si="19"/>
        <v>0100001001110111</v>
      </c>
      <c r="GC39" s="101"/>
      <c r="GD39" s="101"/>
      <c r="GE39" s="63" t="str">
        <f>DY39</f>
        <v>00101001100111010100001001110111</v>
      </c>
      <c r="GF39" s="62" t="str">
        <f t="shared" si="182"/>
        <v>00101001</v>
      </c>
      <c r="GG39" s="62" t="str">
        <f t="shared" si="108"/>
        <v>10011101</v>
      </c>
      <c r="GH39" s="62" t="str">
        <f t="shared" si="109"/>
        <v>01000010</v>
      </c>
      <c r="GI39" s="62" t="str">
        <f t="shared" si="110"/>
        <v>01110111</v>
      </c>
      <c r="GJ39" s="101"/>
      <c r="GK39" s="101"/>
      <c r="GL39" s="101"/>
      <c r="GM39" s="101"/>
      <c r="GN39" s="63" t="str">
        <f t="shared" si="111"/>
        <v>0010</v>
      </c>
      <c r="GO39" s="63" t="str">
        <f t="shared" si="112"/>
        <v>1001</v>
      </c>
      <c r="GP39" s="63" t="str">
        <f t="shared" si="113"/>
        <v>1001</v>
      </c>
      <c r="GQ39" s="63" t="str">
        <f t="shared" si="114"/>
        <v>1101</v>
      </c>
      <c r="GR39" s="63" t="str">
        <f t="shared" si="115"/>
        <v>0100</v>
      </c>
      <c r="GS39" s="63" t="str">
        <f t="shared" si="116"/>
        <v>0010</v>
      </c>
      <c r="GT39" s="63" t="str">
        <f t="shared" si="117"/>
        <v>0111</v>
      </c>
      <c r="GU39" s="63" t="str">
        <f t="shared" si="118"/>
        <v>0111</v>
      </c>
      <c r="GV39" s="101"/>
      <c r="GW39" s="101"/>
      <c r="GX39" s="101"/>
      <c r="GY39" s="101"/>
      <c r="GZ39" s="101"/>
      <c r="HA39" s="101"/>
      <c r="HB39" s="101"/>
      <c r="HC39" s="101"/>
      <c r="HD39" s="62" t="str">
        <f t="shared" si="21"/>
        <v>0010100110011101</v>
      </c>
      <c r="HE39" s="62" t="str">
        <f t="shared" si="22"/>
        <v>0100001001110111</v>
      </c>
      <c r="HF39" s="101"/>
      <c r="HG39" s="101"/>
      <c r="HH39" s="63" t="str">
        <f>FB39</f>
        <v>00101001100111010100001001110111</v>
      </c>
      <c r="HI39" s="62" t="str">
        <f t="shared" si="184"/>
        <v>00101001</v>
      </c>
      <c r="HJ39" s="62" t="str">
        <f t="shared" si="119"/>
        <v>10011101</v>
      </c>
      <c r="HK39" s="62" t="str">
        <f t="shared" si="120"/>
        <v>01000010</v>
      </c>
      <c r="HL39" s="62" t="str">
        <f t="shared" si="121"/>
        <v>01110111</v>
      </c>
      <c r="HM39" s="101"/>
      <c r="HN39" s="101"/>
      <c r="HO39" s="101"/>
      <c r="HP39" s="101"/>
      <c r="HQ39" s="63" t="str">
        <f t="shared" si="122"/>
        <v>0010</v>
      </c>
      <c r="HR39" s="63" t="str">
        <f t="shared" si="123"/>
        <v>1001</v>
      </c>
      <c r="HS39" s="63" t="str">
        <f t="shared" si="124"/>
        <v>1001</v>
      </c>
      <c r="HT39" s="63" t="str">
        <f t="shared" si="125"/>
        <v>1101</v>
      </c>
      <c r="HU39" s="63" t="str">
        <f t="shared" si="126"/>
        <v>0100</v>
      </c>
      <c r="HV39" s="63" t="str">
        <f t="shared" si="127"/>
        <v>0010</v>
      </c>
      <c r="HW39" s="63" t="str">
        <f t="shared" si="128"/>
        <v>0111</v>
      </c>
      <c r="HX39" s="63" t="str">
        <f t="shared" si="129"/>
        <v>0111</v>
      </c>
      <c r="HY39" s="101"/>
      <c r="HZ39" s="101"/>
      <c r="IA39" s="101"/>
      <c r="IB39" s="101"/>
      <c r="IC39" s="101"/>
      <c r="ID39" s="101"/>
      <c r="IE39" s="101"/>
      <c r="IF39" s="101"/>
      <c r="IG39" s="62" t="str">
        <f t="shared" si="24"/>
        <v>0010100110011101</v>
      </c>
      <c r="IH39" s="62" t="str">
        <f t="shared" si="25"/>
        <v>0100001001110111</v>
      </c>
      <c r="II39" s="101"/>
      <c r="IJ39" s="101"/>
      <c r="IK39" s="62" t="str">
        <f>L39</f>
        <v>00101001100111010100001001110111</v>
      </c>
      <c r="IL39" s="62" t="str">
        <f t="shared" si="186"/>
        <v>00101001</v>
      </c>
      <c r="IM39" s="62" t="str">
        <f t="shared" si="130"/>
        <v>10011101</v>
      </c>
      <c r="IN39" s="62" t="str">
        <f t="shared" si="131"/>
        <v>01000010</v>
      </c>
      <c r="IO39" s="62" t="str">
        <f t="shared" si="132"/>
        <v>01110111</v>
      </c>
      <c r="IP39" s="101"/>
      <c r="IQ39" s="101"/>
      <c r="IR39" s="101"/>
      <c r="IS39" s="101"/>
      <c r="IT39" s="63" t="str">
        <f t="shared" si="133"/>
        <v>0010</v>
      </c>
      <c r="IU39" s="63" t="str">
        <f t="shared" si="134"/>
        <v>1001</v>
      </c>
      <c r="IV39" s="63" t="str">
        <f t="shared" si="135"/>
        <v>1001</v>
      </c>
      <c r="IW39" s="63" t="str">
        <f t="shared" si="136"/>
        <v>1101</v>
      </c>
      <c r="IX39" s="63" t="str">
        <f t="shared" si="137"/>
        <v>0100</v>
      </c>
      <c r="IY39" s="63" t="str">
        <f t="shared" si="138"/>
        <v>0010</v>
      </c>
      <c r="IZ39" s="63" t="str">
        <f t="shared" si="139"/>
        <v>0111</v>
      </c>
      <c r="JA39" s="63" t="str">
        <f t="shared" si="140"/>
        <v>0111</v>
      </c>
      <c r="JB39" s="101"/>
      <c r="JC39" s="101"/>
      <c r="JD39" s="101"/>
      <c r="JE39" s="101"/>
      <c r="JF39" s="101"/>
      <c r="JG39" s="101"/>
      <c r="JH39" s="101"/>
      <c r="JI39" s="101"/>
      <c r="JJ39" s="62" t="str">
        <f t="shared" si="27"/>
        <v>0010100110011101</v>
      </c>
      <c r="JK39" s="62" t="str">
        <f t="shared" si="28"/>
        <v>0100001001110111</v>
      </c>
      <c r="JL39" s="101"/>
      <c r="JM39" s="101"/>
      <c r="JN39" s="60" t="str">
        <f>L39</f>
        <v>00101001100111010100001001110111</v>
      </c>
      <c r="JO39" s="62" t="str">
        <f t="shared" si="188"/>
        <v>00101001</v>
      </c>
      <c r="JP39" s="62" t="str">
        <f t="shared" si="141"/>
        <v>10011101</v>
      </c>
      <c r="JQ39" s="62" t="str">
        <f t="shared" si="142"/>
        <v>01000010</v>
      </c>
      <c r="JR39" s="62" t="str">
        <f t="shared" si="143"/>
        <v>01110111</v>
      </c>
      <c r="JS39" s="101"/>
      <c r="JT39" s="101"/>
      <c r="JU39" s="101"/>
      <c r="JV39" s="101"/>
      <c r="JW39" s="63" t="str">
        <f t="shared" si="144"/>
        <v>0010</v>
      </c>
      <c r="JX39" s="63" t="str">
        <f t="shared" si="145"/>
        <v>1001</v>
      </c>
      <c r="JY39" s="63" t="str">
        <f t="shared" si="146"/>
        <v>1001</v>
      </c>
      <c r="JZ39" s="63" t="str">
        <f t="shared" si="147"/>
        <v>1101</v>
      </c>
      <c r="KA39" s="63" t="str">
        <f t="shared" si="148"/>
        <v>0100</v>
      </c>
      <c r="KB39" s="63" t="str">
        <f t="shared" si="149"/>
        <v>0010</v>
      </c>
      <c r="KC39" s="63" t="str">
        <f t="shared" si="150"/>
        <v>0111</v>
      </c>
      <c r="KD39" s="63" t="str">
        <f t="shared" si="151"/>
        <v>0111</v>
      </c>
      <c r="KE39" s="101"/>
      <c r="KF39" s="101"/>
      <c r="KG39" s="101"/>
      <c r="KH39" s="101"/>
      <c r="KI39" s="101"/>
      <c r="KJ39" s="101"/>
      <c r="KK39" s="101"/>
      <c r="KL39" s="101"/>
      <c r="KM39" s="62" t="str">
        <f t="shared" si="30"/>
        <v>0010100110011101</v>
      </c>
      <c r="KN39" s="62" t="str">
        <f t="shared" si="31"/>
        <v>0100001001110111</v>
      </c>
      <c r="KO39" s="101"/>
      <c r="KP39" s="101"/>
      <c r="KQ39" s="63" t="str">
        <f>AO39</f>
        <v>00101001100111010100001001110111</v>
      </c>
      <c r="KR39" s="62" t="str">
        <f t="shared" si="190"/>
        <v>00101001</v>
      </c>
      <c r="KS39" s="62" t="str">
        <f t="shared" si="152"/>
        <v>10011101</v>
      </c>
      <c r="KT39" s="62" t="str">
        <f t="shared" si="153"/>
        <v>01000010</v>
      </c>
      <c r="KU39" s="62" t="str">
        <f t="shared" si="154"/>
        <v>01110111</v>
      </c>
      <c r="KV39" s="101"/>
      <c r="KW39" s="101"/>
      <c r="KX39" s="101"/>
      <c r="KY39" s="101"/>
      <c r="KZ39" s="63" t="str">
        <f t="shared" si="155"/>
        <v>0010</v>
      </c>
      <c r="LA39" s="63" t="str">
        <f t="shared" si="156"/>
        <v>1001</v>
      </c>
      <c r="LB39" s="63" t="str">
        <f t="shared" si="157"/>
        <v>1001</v>
      </c>
      <c r="LC39" s="63" t="str">
        <f t="shared" si="158"/>
        <v>1101</v>
      </c>
      <c r="LD39" s="63" t="str">
        <f t="shared" si="159"/>
        <v>0100</v>
      </c>
      <c r="LE39" s="63" t="str">
        <f t="shared" si="160"/>
        <v>0010</v>
      </c>
      <c r="LF39" s="63" t="str">
        <f t="shared" si="161"/>
        <v>0111</v>
      </c>
      <c r="LG39" s="63" t="str">
        <f t="shared" si="162"/>
        <v>0111</v>
      </c>
      <c r="LH39" s="101"/>
      <c r="LI39" s="101"/>
      <c r="LJ39" s="101"/>
      <c r="LK39" s="101"/>
      <c r="LL39" s="101"/>
      <c r="LM39" s="101"/>
      <c r="LN39" s="101"/>
      <c r="LO39" s="101"/>
      <c r="LP39" s="62" t="str">
        <f t="shared" si="33"/>
        <v>0010100110011101</v>
      </c>
      <c r="LQ39" s="62" t="str">
        <f t="shared" si="34"/>
        <v>0100001001110111</v>
      </c>
      <c r="LR39" s="101"/>
      <c r="LS39" s="101"/>
      <c r="LT39" s="63" t="str">
        <f>GE39</f>
        <v>00101001100111010100001001110111</v>
      </c>
      <c r="LU39" s="62" t="str">
        <f t="shared" si="192"/>
        <v>00101001</v>
      </c>
      <c r="LV39" s="62" t="str">
        <f t="shared" si="163"/>
        <v>10011101</v>
      </c>
      <c r="LW39" s="62" t="str">
        <f t="shared" si="164"/>
        <v>01000010</v>
      </c>
      <c r="LX39" s="62" t="str">
        <f t="shared" si="165"/>
        <v>01110111</v>
      </c>
      <c r="LY39" s="101"/>
      <c r="LZ39" s="101"/>
      <c r="MA39" s="101"/>
      <c r="MB39" s="101"/>
      <c r="MC39" s="63" t="str">
        <f t="shared" si="166"/>
        <v>0010</v>
      </c>
      <c r="MD39" s="63" t="str">
        <f t="shared" si="167"/>
        <v>1001</v>
      </c>
      <c r="ME39" s="63" t="str">
        <f t="shared" si="168"/>
        <v>1001</v>
      </c>
      <c r="MF39" s="63" t="str">
        <f t="shared" si="169"/>
        <v>1101</v>
      </c>
      <c r="MG39" s="63" t="str">
        <f t="shared" si="170"/>
        <v>0100</v>
      </c>
      <c r="MH39" s="63" t="str">
        <f t="shared" si="171"/>
        <v>0010</v>
      </c>
      <c r="MI39" s="63" t="str">
        <f t="shared" si="172"/>
        <v>0111</v>
      </c>
      <c r="MJ39" s="63" t="str">
        <f t="shared" si="173"/>
        <v>0111</v>
      </c>
      <c r="MK39" s="101"/>
      <c r="ML39" s="101"/>
      <c r="MM39" s="101"/>
      <c r="MN39" s="101"/>
      <c r="MO39" s="101"/>
      <c r="MP39" s="101"/>
      <c r="MQ39" s="101"/>
      <c r="MR39" s="101"/>
      <c r="MS39" s="62" t="str">
        <f t="shared" si="36"/>
        <v>0010100110011101</v>
      </c>
      <c r="MT39" s="62" t="str">
        <f t="shared" si="37"/>
        <v>0100001001110111</v>
      </c>
      <c r="MU39" s="101"/>
      <c r="MV39" s="101"/>
    </row>
    <row r="40" spans="1:360" s="58" customFormat="1" ht="18.600000000000001" thickBot="1" x14ac:dyDescent="0.4">
      <c r="A40" s="54"/>
      <c r="B40" s="55"/>
      <c r="C40" s="56" t="s">
        <v>0</v>
      </c>
      <c r="D40" s="56" t="s">
        <v>106</v>
      </c>
      <c r="E40" s="56" t="s">
        <v>82</v>
      </c>
      <c r="F40" s="56">
        <v>1</v>
      </c>
      <c r="G40" s="56" t="s">
        <v>48</v>
      </c>
      <c r="H40" s="56" t="str">
        <f t="shared" si="278"/>
        <v>11011110110011010000000111000101</v>
      </c>
      <c r="I40" s="56">
        <f t="shared" si="279"/>
        <v>16</v>
      </c>
      <c r="J40" s="56" t="s">
        <v>47</v>
      </c>
      <c r="K40" s="56" t="str">
        <f>HEX2BIN(J40,8)</f>
        <v>11111111</v>
      </c>
      <c r="L40" s="57" t="str">
        <f>CONCATENATE(MID(H40,17,16),MID(H40,1,16))</f>
        <v>00000001110001011101111011001101</v>
      </c>
      <c r="M40" s="57" t="str">
        <f t="shared" si="38"/>
        <v>00000</v>
      </c>
      <c r="N40" s="26" t="str">
        <f t="shared" si="39"/>
        <v>11000</v>
      </c>
      <c r="O40" s="26" t="str">
        <f t="shared" si="40"/>
        <v>11011</v>
      </c>
      <c r="P40" s="26" t="str">
        <f t="shared" si="41"/>
        <v>11001</v>
      </c>
      <c r="Q40" s="100">
        <f>BIN2DEC(M40)-BIN2DEC(M41)</f>
        <v>0</v>
      </c>
      <c r="R40" s="100">
        <f>BIN2DEC(N40)-BIN2DEC(N41)</f>
        <v>0</v>
      </c>
      <c r="S40" s="100">
        <f>BIN2DEC(O40)-BIN2DEC(O41)</f>
        <v>0</v>
      </c>
      <c r="T40" s="100">
        <f>BIN2DEC(P40)-BIN2DEC(P41)</f>
        <v>0</v>
      </c>
      <c r="U40" s="58" t="str">
        <f t="shared" si="42"/>
        <v>0000</v>
      </c>
      <c r="V40" s="58" t="str">
        <f t="shared" si="43"/>
        <v>0001</v>
      </c>
      <c r="W40" s="58" t="str">
        <f t="shared" si="44"/>
        <v>1100</v>
      </c>
      <c r="X40" s="58" t="str">
        <f t="shared" si="45"/>
        <v>0101</v>
      </c>
      <c r="Y40" s="58" t="str">
        <f t="shared" si="46"/>
        <v>1101</v>
      </c>
      <c r="Z40" s="58" t="str">
        <f t="shared" si="47"/>
        <v>1110</v>
      </c>
      <c r="AA40" s="58" t="str">
        <f t="shared" si="48"/>
        <v>1100</v>
      </c>
      <c r="AB40" s="58" t="str">
        <f t="shared" si="49"/>
        <v>1101</v>
      </c>
      <c r="AC40" s="100">
        <f>BIN2DEC(U40)-BIN2DEC(U41)</f>
        <v>0</v>
      </c>
      <c r="AD40" s="100">
        <f t="shared" ref="AD40:AI40" si="400">BIN2DEC(V40)-BIN2DEC(V41)</f>
        <v>-1</v>
      </c>
      <c r="AE40" s="100">
        <f t="shared" si="400"/>
        <v>0</v>
      </c>
      <c r="AF40" s="100">
        <f t="shared" si="400"/>
        <v>-1</v>
      </c>
      <c r="AG40" s="100">
        <f t="shared" si="400"/>
        <v>0</v>
      </c>
      <c r="AH40" s="100">
        <f t="shared" si="400"/>
        <v>4</v>
      </c>
      <c r="AI40" s="100">
        <f t="shared" si="400"/>
        <v>0</v>
      </c>
      <c r="AJ40" s="100">
        <f>BIN2DEC(AB40)-BIN2DEC(AB41)</f>
        <v>-1</v>
      </c>
      <c r="AK40" s="57" t="str">
        <f t="shared" si="3"/>
        <v>0000000111000101</v>
      </c>
      <c r="AL40" s="57" t="str">
        <f t="shared" si="4"/>
        <v>1101111011001101</v>
      </c>
      <c r="AM40" s="100">
        <f>MID(AK40,16,1)*POWER(2,0)+MID(AK40,15,1)*POWER(2,1)+MID(AK40,14,1)*POWER(2,2)+MID(AK40,13,1)*POWER(2,3)+MID(AK40,12,1)*POWER(2,4)+MID(AK40,11,1)*POWER(2,5)+MID(AK40,10,1)*POWER(2,6)+MID(AK40,9,1)*POWER(2,7)+MID(AK40,8,1)*POWER(2,8)+MID(AK40,7,1)*POWER(2,9)+MID(AK40,6,1)*POWER(2,10)+MID(AK40,5,1)*POWER(2,11)+MID(AK40,4,1)*POWER(2,12)+MID(AK40,3,1)*POWER(2,13)+MID(AK40,2,1)*POWER(2,14)+MID(AK40,1,1)*POWER(2,15)-(MID(AK41,16,1)*POWER(2,0)+MID(AK41,15,1)*POWER(2,1)+MID(AK41,14,1)*POWER(2,2)+MID(AK41,13,1)*POWER(2,3)+MID(AK41,12,1)*POWER(2,4)+MID(AK41,11,1)*POWER(2,5)+MID(AK41,10,1)*POWER(2,6)+MID(AK41,9,1)*POWER(2,7)+MID(AK41,8,1)*POWER(2,8)+MID(AK41,7,1)*POWER(2,9)+MID(AK41,6,1)*POWER(2,10)+MID(AK41,5,1)*POWER(2,11)+MID(AK41,4,1)*POWER(2,12)+MID(AK41,3,1)*POWER(2,13)+MID(AK41,2,1)*POWER(2,14)+MID(AK41,1,1)*POWER(2,15))</f>
        <v>-257</v>
      </c>
      <c r="AN40" s="100">
        <f>MID(AL40,16,1)*POWER(2,0)+MID(AL40,15,1)*POWER(2,1)+MID(AL40,14,1)*POWER(2,2)+MID(AL40,13,1)*POWER(2,3)+MID(AL40,12,1)*POWER(2,4)+MID(AL40,11,1)*POWER(2,5)+MID(AL40,10,1)*POWER(2,6)+MID(AL40,9,1)*POWER(2,7)+MID(AL40,8,1)*POWER(2,8)+MID(AL40,7,1)*POWER(2,9)+MID(AL40,6,1)*POWER(2,10)+MID(AL40,5,1)*POWER(2,11)+MID(AL40,4,1)*POWER(2,12)+MID(AL40,3,1)*POWER(2,13)+MID(AL40,2,1)*POWER(2,14)+MID(AL40,1,1)*POWER(2,15)-(MID(AL41,16,1)*POWER(2,0)+MID(AL41,15,1)*POWER(2,1)+MID(AL41,14,1)*POWER(2,2)+MID(AL41,13,1)*POWER(2,3)+MID(AL41,12,1)*POWER(2,4)+MID(AL41,11,1)*POWER(2,5)+MID(AL41,10,1)*POWER(2,6)+MID(AL41,9,1)*POWER(2,7)+MID(AL41,8,1)*POWER(2,8)+MID(AL41,7,1)*POWER(2,9)+MID(AL41,6,1)*POWER(2,10)+MID(AL41,5,1)*POWER(2,11)+MID(AL41,4,1)*POWER(2,12)+MID(AL41,3,1)*POWER(2,13)+MID(AL41,2,1)*POWER(2,14)+MID(AL41,1,1)*POWER(2,15))</f>
        <v>1023</v>
      </c>
      <c r="AO40" s="55" t="str">
        <f>L40</f>
        <v>00000001110001011101111011001101</v>
      </c>
      <c r="AP40" s="57" t="str">
        <f t="shared" si="50"/>
        <v>00000001</v>
      </c>
      <c r="AQ40" s="57" t="str">
        <f t="shared" si="51"/>
        <v>11000101</v>
      </c>
      <c r="AR40" s="57" t="str">
        <f t="shared" si="52"/>
        <v>11011110</v>
      </c>
      <c r="AS40" s="57" t="str">
        <f t="shared" si="53"/>
        <v>11001101</v>
      </c>
      <c r="AT40" s="100">
        <f>BIN2DEC(AP40)-BIN2DEC(AP41)</f>
        <v>-1</v>
      </c>
      <c r="AU40" s="100">
        <f>BIN2DEC(AQ40)-BIN2DEC(AQ41)</f>
        <v>-1</v>
      </c>
      <c r="AV40" s="100">
        <f>BIN2DEC(AR40)-BIN2DEC(AR41)</f>
        <v>4</v>
      </c>
      <c r="AW40" s="100">
        <f>BIN2DEC(AS40)-BIN2DEC(AS41)</f>
        <v>-1</v>
      </c>
      <c r="AX40" s="58" t="str">
        <f t="shared" si="54"/>
        <v>0000</v>
      </c>
      <c r="AY40" s="58" t="str">
        <f t="shared" si="55"/>
        <v>0001</v>
      </c>
      <c r="AZ40" s="58" t="str">
        <f t="shared" si="56"/>
        <v>1100</v>
      </c>
      <c r="BA40" s="58" t="str">
        <f t="shared" si="57"/>
        <v>0101</v>
      </c>
      <c r="BB40" s="58" t="str">
        <f t="shared" si="58"/>
        <v>1101</v>
      </c>
      <c r="BC40" s="58" t="str">
        <f t="shared" si="59"/>
        <v>1110</v>
      </c>
      <c r="BD40" s="58" t="str">
        <f t="shared" si="60"/>
        <v>1100</v>
      </c>
      <c r="BE40" s="58" t="str">
        <f t="shared" si="61"/>
        <v>1101</v>
      </c>
      <c r="BF40" s="100">
        <f>BIN2DEC(AX40)-BIN2DEC(AX41)</f>
        <v>0</v>
      </c>
      <c r="BG40" s="100">
        <f t="shared" ref="BG40:BL40" si="401">BIN2DEC(AY40)-BIN2DEC(AY41)</f>
        <v>-1</v>
      </c>
      <c r="BH40" s="100">
        <f t="shared" si="401"/>
        <v>0</v>
      </c>
      <c r="BI40" s="100">
        <f t="shared" si="401"/>
        <v>-1</v>
      </c>
      <c r="BJ40" s="100">
        <f t="shared" si="401"/>
        <v>0</v>
      </c>
      <c r="BK40" s="100">
        <f t="shared" si="401"/>
        <v>4</v>
      </c>
      <c r="BL40" s="100">
        <f t="shared" si="401"/>
        <v>0</v>
      </c>
      <c r="BM40" s="100">
        <f>BIN2DEC(BE40)-BIN2DEC(BE41)</f>
        <v>-1</v>
      </c>
      <c r="BN40" s="57" t="str">
        <f t="shared" si="6"/>
        <v>0000000111000101</v>
      </c>
      <c r="BO40" s="57" t="str">
        <f t="shared" si="7"/>
        <v>1101111011001101</v>
      </c>
      <c r="BP40" s="100">
        <f>MID(BN40,16,1)*POWER(2,0)+MID(BN40,15,1)*POWER(2,1)+MID(BN40,14,1)*POWER(2,2)+MID(BN40,13,1)*POWER(2,3)+MID(BN40,12,1)*POWER(2,4)+MID(BN40,11,1)*POWER(2,5)+MID(BN40,10,1)*POWER(2,6)+MID(BN40,9,1)*POWER(2,7)+MID(BN40,8,1)*POWER(2,8)+MID(BN40,7,1)*POWER(2,9)+MID(BN40,6,1)*POWER(2,10)+MID(BN40,5,1)*POWER(2,11)+MID(BN40,4,1)*POWER(2,12)+MID(BN40,3,1)*POWER(2,13)+MID(BN40,2,1)*POWER(2,14)+MID(BN40,1,1)*POWER(2,15)-(MID(BN41,16,1)*POWER(2,0)+MID(BN41,15,1)*POWER(2,1)+MID(BN41,14,1)*POWER(2,2)+MID(BN41,13,1)*POWER(2,3)+MID(BN41,12,1)*POWER(2,4)+MID(BN41,11,1)*POWER(2,5)+MID(BN41,10,1)*POWER(2,6)+MID(BN41,9,1)*POWER(2,7)+MID(BN41,8,1)*POWER(2,8)+MID(BN41,7,1)*POWER(2,9)+MID(BN41,6,1)*POWER(2,10)+MID(BN41,5,1)*POWER(2,11)+MID(BN41,4,1)*POWER(2,12)+MID(BN41,3,1)*POWER(2,13)+MID(BN41,2,1)*POWER(2,14)+MID(BN41,1,1)*POWER(2,15))</f>
        <v>-257</v>
      </c>
      <c r="BQ40" s="100">
        <f>MID(BO40,16,1)*POWER(2,0)+MID(BO40,15,1)*POWER(2,1)+MID(BO40,14,1)*POWER(2,2)+MID(BO40,13,1)*POWER(2,3)+MID(BO40,12,1)*POWER(2,4)+MID(BO40,11,1)*POWER(2,5)+MID(BO40,10,1)*POWER(2,6)+MID(BO40,9,1)*POWER(2,7)+MID(BO40,8,1)*POWER(2,8)+MID(BO40,7,1)*POWER(2,9)+MID(BO40,6,1)*POWER(2,10)+MID(BO40,5,1)*POWER(2,11)+MID(BO40,4,1)*POWER(2,12)+MID(BO40,3,1)*POWER(2,13)+MID(BO40,2,1)*POWER(2,14)+MID(BO40,1,1)*POWER(2,15)-(MID(BO41,16,1)*POWER(2,0)+MID(BO41,15,1)*POWER(2,1)+MID(BO41,14,1)*POWER(2,2)+MID(BO41,13,1)*POWER(2,3)+MID(BO41,12,1)*POWER(2,4)+MID(BO41,11,1)*POWER(2,5)+MID(BO41,10,1)*POWER(2,6)+MID(BO41,9,1)*POWER(2,7)+MID(BO41,8,1)*POWER(2,8)+MID(BO41,7,1)*POWER(2,9)+MID(BO41,6,1)*POWER(2,10)+MID(BO41,5,1)*POWER(2,11)+MID(BO41,4,1)*POWER(2,12)+MID(BO41,3,1)*POWER(2,13)+MID(BO41,2,1)*POWER(2,14)+MID(BO41,1,1)*POWER(2,15))</f>
        <v>1023</v>
      </c>
      <c r="BR40" s="55" t="str">
        <f>CONCATENATE(MID($L40,1,1)*MID($K40,1,1),MID($L40,2,1)*MID($K40,2,1),MID($L40,3,1)*MID($K40,3,1),MID($L40,4,1)*MID($K40,4,1),MID($L40,5,1)*MID($K40,5,1),MID($L40,6,1)*MID($K40,6,1),MID($L40,7,1)*MID($K40,7,1),MID($L40,8,1)*MID($K40,8,1),MID($L40,9,1)*MID($K40,1,1),MID($L40,10,1)*MID($K40,2,1),MID($L40,11,1)*MID($K40,3,1),MID($L40,12,1)*MID($K40,4,1),MID($L40,13,1)*MID($K40,5,1),MID($L40,14,1)*MID($K40,6,1),MID($L40,15,1)*MID($K40,7,1),MID($L40,16,1)*MID($K40,8,1),MID($L40,17,1)*MID($K40,1,1),MID($L40,18,1)*MID($K40,2,1),MID($L40,19,1)*MID($K40,3,1),MID($L40,20,1)*MID($K40,4,1),MID($L40,21,1)*MID($K40,5,1),MID($L40,22,1)*MID($K40,6,1),MID($L40,23,1)*MID($K40,7,1),MID($L40,24,1)*MID($K40,8,1),MID($L40,25,1)*MID($K40,1,1),MID($L40,26,1)*MID($K40,2,1),MID($L40,27,1)*MID($K40,3,1),MID($L40,28,1)*MID($K40,4,1),MID($L40,29,1)*MID($K40,5,1),MID($L40,30,1)*MID($K40,6,1),MID($L40,31,1)*MID($K40,7,1),MID($L40,32,1)*MID($K40,8,1))</f>
        <v>00000001110001011101111011001101</v>
      </c>
      <c r="BS40" s="57" t="str">
        <f t="shared" si="62"/>
        <v>00000001</v>
      </c>
      <c r="BT40" s="57" t="str">
        <f t="shared" si="63"/>
        <v>11000101</v>
      </c>
      <c r="BU40" s="57" t="str">
        <f t="shared" si="64"/>
        <v>11011110</v>
      </c>
      <c r="BV40" s="57" t="str">
        <f t="shared" si="65"/>
        <v>11001101</v>
      </c>
      <c r="BW40" s="100">
        <f>BIN2DEC(BS40)-BIN2DEC(BS41)</f>
        <v>-1</v>
      </c>
      <c r="BX40" s="100">
        <f>BIN2DEC(BT40)-BIN2DEC(BT41)</f>
        <v>-1</v>
      </c>
      <c r="BY40" s="100">
        <f>BIN2DEC(BU40)-BIN2DEC(BU41)</f>
        <v>4</v>
      </c>
      <c r="BZ40" s="100">
        <f>BIN2DEC(BV40)-BIN2DEC(BV41)</f>
        <v>-1</v>
      </c>
      <c r="CA40" s="58" t="str">
        <f t="shared" si="66"/>
        <v>0000</v>
      </c>
      <c r="CB40" s="58" t="str">
        <f t="shared" si="67"/>
        <v>0001</v>
      </c>
      <c r="CC40" s="58" t="str">
        <f t="shared" si="68"/>
        <v>1100</v>
      </c>
      <c r="CD40" s="58" t="str">
        <f t="shared" si="69"/>
        <v>0101</v>
      </c>
      <c r="CE40" s="58" t="str">
        <f t="shared" si="70"/>
        <v>1101</v>
      </c>
      <c r="CF40" s="58" t="str">
        <f t="shared" si="71"/>
        <v>1110</v>
      </c>
      <c r="CG40" s="58" t="str">
        <f t="shared" si="72"/>
        <v>1100</v>
      </c>
      <c r="CH40" s="58" t="str">
        <f t="shared" si="73"/>
        <v>1101</v>
      </c>
      <c r="CI40" s="100">
        <f>BIN2DEC(CA40)-BIN2DEC(CA41)</f>
        <v>0</v>
      </c>
      <c r="CJ40" s="100">
        <f t="shared" ref="CJ40:CO40" si="402">BIN2DEC(CB40)-BIN2DEC(CB41)</f>
        <v>-1</v>
      </c>
      <c r="CK40" s="100">
        <f t="shared" si="402"/>
        <v>0</v>
      </c>
      <c r="CL40" s="100">
        <f t="shared" si="402"/>
        <v>-1</v>
      </c>
      <c r="CM40" s="100">
        <f t="shared" si="402"/>
        <v>0</v>
      </c>
      <c r="CN40" s="100">
        <f t="shared" si="402"/>
        <v>4</v>
      </c>
      <c r="CO40" s="100">
        <f t="shared" si="402"/>
        <v>0</v>
      </c>
      <c r="CP40" s="100">
        <f>BIN2DEC(CH40)-BIN2DEC(CH41)</f>
        <v>-1</v>
      </c>
      <c r="CQ40" s="57" t="str">
        <f t="shared" si="9"/>
        <v>0000000111000101</v>
      </c>
      <c r="CR40" s="57" t="str">
        <f t="shared" si="10"/>
        <v>1101111011001101</v>
      </c>
      <c r="CS40" s="100">
        <f>MID(CQ40,16,1)*POWER(2,0)+MID(CQ40,15,1)*POWER(2,1)+MID(CQ40,14,1)*POWER(2,2)+MID(CQ40,13,1)*POWER(2,3)+MID(CQ40,12,1)*POWER(2,4)+MID(CQ40,11,1)*POWER(2,5)+MID(CQ40,10,1)*POWER(2,6)+MID(CQ40,9,1)*POWER(2,7)+MID(CQ40,8,1)*POWER(2,8)+MID(CQ40,7,1)*POWER(2,9)+MID(CQ40,6,1)*POWER(2,10)+MID(CQ40,5,1)*POWER(2,11)+MID(CQ40,4,1)*POWER(2,12)+MID(CQ40,3,1)*POWER(2,13)+MID(CQ40,2,1)*POWER(2,14)+MID(CQ40,1,1)*POWER(2,15)-(MID(CQ41,16,1)*POWER(2,0)+MID(CQ41,15,1)*POWER(2,1)+MID(CQ41,14,1)*POWER(2,2)+MID(CQ41,13,1)*POWER(2,3)+MID(CQ41,12,1)*POWER(2,4)+MID(CQ41,11,1)*POWER(2,5)+MID(CQ41,10,1)*POWER(2,6)+MID(CQ41,9,1)*POWER(2,7)+MID(CQ41,8,1)*POWER(2,8)+MID(CQ41,7,1)*POWER(2,9)+MID(CQ41,6,1)*POWER(2,10)+MID(CQ41,5,1)*POWER(2,11)+MID(CQ41,4,1)*POWER(2,12)+MID(CQ41,3,1)*POWER(2,13)+MID(CQ41,2,1)*POWER(2,14)+MID(CQ41,1,1)*POWER(2,15))</f>
        <v>-257</v>
      </c>
      <c r="CT40" s="100">
        <f>MID(CR40,16,1)*POWER(2,0)+MID(CR40,15,1)*POWER(2,1)+MID(CR40,14,1)*POWER(2,2)+MID(CR40,13,1)*POWER(2,3)+MID(CR40,12,1)*POWER(2,4)+MID(CR40,11,1)*POWER(2,5)+MID(CR40,10,1)*POWER(2,6)+MID(CR40,9,1)*POWER(2,7)+MID(CR40,8,1)*POWER(2,8)+MID(CR40,7,1)*POWER(2,9)+MID(CR40,6,1)*POWER(2,10)+MID(CR40,5,1)*POWER(2,11)+MID(CR40,4,1)*POWER(2,12)+MID(CR40,3,1)*POWER(2,13)+MID(CR40,2,1)*POWER(2,14)+MID(CR40,1,1)*POWER(2,15)-(MID(CR41,16,1)*POWER(2,0)+MID(CR41,15,1)*POWER(2,1)+MID(CR41,14,1)*POWER(2,2)+MID(CR41,13,1)*POWER(2,3)+MID(CR41,12,1)*POWER(2,4)+MID(CR41,11,1)*POWER(2,5)+MID(CR41,10,1)*POWER(2,6)+MID(CR41,9,1)*POWER(2,7)+MID(CR41,8,1)*POWER(2,8)+MID(CR41,7,1)*POWER(2,9)+MID(CR41,6,1)*POWER(2,10)+MID(CR41,5,1)*POWER(2,11)+MID(CR41,4,1)*POWER(2,12)+MID(CR41,3,1)*POWER(2,13)+MID(CR41,2,1)*POWER(2,14)+MID(CR41,1,1)*POWER(2,15))</f>
        <v>1023</v>
      </c>
      <c r="CU40" s="55" t="str">
        <f>BR40</f>
        <v>00000001110001011101111011001101</v>
      </c>
      <c r="CV40" s="57" t="str">
        <f t="shared" si="74"/>
        <v>00000001</v>
      </c>
      <c r="CW40" s="57" t="str">
        <f t="shared" si="75"/>
        <v>11000101</v>
      </c>
      <c r="CX40" s="57" t="str">
        <f t="shared" si="76"/>
        <v>11011110</v>
      </c>
      <c r="CY40" s="57" t="str">
        <f t="shared" si="77"/>
        <v>11001101</v>
      </c>
      <c r="CZ40" s="100">
        <f>BIN2DEC(CV40)-BIN2DEC(CV41)</f>
        <v>-1</v>
      </c>
      <c r="DA40" s="100">
        <f>BIN2DEC(CW40)-BIN2DEC(CW41)</f>
        <v>-1</v>
      </c>
      <c r="DB40" s="100">
        <f>BIN2DEC(CX40)-BIN2DEC(CX41)</f>
        <v>4</v>
      </c>
      <c r="DC40" s="100">
        <f>BIN2DEC(CY40)-BIN2DEC(CY41)</f>
        <v>-1</v>
      </c>
      <c r="DD40" s="58" t="str">
        <f t="shared" si="78"/>
        <v>0000</v>
      </c>
      <c r="DE40" s="58" t="str">
        <f t="shared" si="79"/>
        <v>0001</v>
      </c>
      <c r="DF40" s="58" t="str">
        <f t="shared" si="80"/>
        <v>1100</v>
      </c>
      <c r="DG40" s="58" t="str">
        <f t="shared" si="81"/>
        <v>0101</v>
      </c>
      <c r="DH40" s="58" t="str">
        <f t="shared" si="82"/>
        <v>1101</v>
      </c>
      <c r="DI40" s="58" t="str">
        <f t="shared" si="83"/>
        <v>1110</v>
      </c>
      <c r="DJ40" s="58" t="str">
        <f t="shared" si="84"/>
        <v>1100</v>
      </c>
      <c r="DK40" s="58" t="str">
        <f t="shared" si="85"/>
        <v>1101</v>
      </c>
      <c r="DL40" s="100">
        <f>BIN2DEC(DD40)-BIN2DEC(DD41)</f>
        <v>0</v>
      </c>
      <c r="DM40" s="100">
        <f t="shared" ref="DM40:DR40" si="403">BIN2DEC(DE40)-BIN2DEC(DE41)</f>
        <v>-1</v>
      </c>
      <c r="DN40" s="100">
        <f t="shared" si="403"/>
        <v>0</v>
      </c>
      <c r="DO40" s="100">
        <f t="shared" si="403"/>
        <v>-1</v>
      </c>
      <c r="DP40" s="100">
        <f t="shared" si="403"/>
        <v>0</v>
      </c>
      <c r="DQ40" s="100">
        <f t="shared" si="403"/>
        <v>4</v>
      </c>
      <c r="DR40" s="100">
        <f t="shared" si="403"/>
        <v>0</v>
      </c>
      <c r="DS40" s="100">
        <f>BIN2DEC(DK40)-BIN2DEC(DK41)</f>
        <v>-1</v>
      </c>
      <c r="DT40" s="57" t="str">
        <f t="shared" si="12"/>
        <v>0000000111000101</v>
      </c>
      <c r="DU40" s="57" t="str">
        <f t="shared" si="13"/>
        <v>1101111011001101</v>
      </c>
      <c r="DV40" s="100">
        <f>MID(DT40,16,1)*POWER(2,0)+MID(DT40,15,1)*POWER(2,1)+MID(DT40,14,1)*POWER(2,2)+MID(DT40,13,1)*POWER(2,3)+MID(DT40,12,1)*POWER(2,4)+MID(DT40,11,1)*POWER(2,5)+MID(DT40,10,1)*POWER(2,6)+MID(DT40,9,1)*POWER(2,7)+MID(DT40,8,1)*POWER(2,8)+MID(DT40,7,1)*POWER(2,9)+MID(DT40,6,1)*POWER(2,10)+MID(DT40,5,1)*POWER(2,11)+MID(DT40,4,1)*POWER(2,12)+MID(DT40,3,1)*POWER(2,13)+MID(DT40,2,1)*POWER(2,14)+MID(DT40,1,1)*POWER(2,15)-(MID(DT41,16,1)*POWER(2,0)+MID(DT41,15,1)*POWER(2,1)+MID(DT41,14,1)*POWER(2,2)+MID(DT41,13,1)*POWER(2,3)+MID(DT41,12,1)*POWER(2,4)+MID(DT41,11,1)*POWER(2,5)+MID(DT41,10,1)*POWER(2,6)+MID(DT41,9,1)*POWER(2,7)+MID(DT41,8,1)*POWER(2,8)+MID(DT41,7,1)*POWER(2,9)+MID(DT41,6,1)*POWER(2,10)+MID(DT41,5,1)*POWER(2,11)+MID(DT41,4,1)*POWER(2,12)+MID(DT41,3,1)*POWER(2,13)+MID(DT41,2,1)*POWER(2,14)+MID(DT41,1,1)*POWER(2,15))</f>
        <v>-257</v>
      </c>
      <c r="DW40" s="100">
        <f>MID(DU40,16,1)*POWER(2,0)+MID(DU40,15,1)*POWER(2,1)+MID(DU40,14,1)*POWER(2,2)+MID(DU40,13,1)*POWER(2,3)+MID(DU40,12,1)*POWER(2,4)+MID(DU40,11,1)*POWER(2,5)+MID(DU40,10,1)*POWER(2,6)+MID(DU40,9,1)*POWER(2,7)+MID(DU40,8,1)*POWER(2,8)+MID(DU40,7,1)*POWER(2,9)+MID(DU40,6,1)*POWER(2,10)+MID(DU40,5,1)*POWER(2,11)+MID(DU40,4,1)*POWER(2,12)+MID(DU40,3,1)*POWER(2,13)+MID(DU40,2,1)*POWER(2,14)+MID(DU40,1,1)*POWER(2,15)-(MID(DU41,16,1)*POWER(2,0)+MID(DU41,15,1)*POWER(2,1)+MID(DU41,14,1)*POWER(2,2)+MID(DU41,13,1)*POWER(2,3)+MID(DU41,12,1)*POWER(2,4)+MID(DU41,11,1)*POWER(2,5)+MID(DU41,10,1)*POWER(2,6)+MID(DU41,9,1)*POWER(2,7)+MID(DU41,8,1)*POWER(2,8)+MID(DU41,7,1)*POWER(2,9)+MID(DU41,6,1)*POWER(2,10)+MID(DU41,5,1)*POWER(2,11)+MID(DU41,4,1)*POWER(2,12)+MID(DU41,3,1)*POWER(2,13)+MID(DU41,2,1)*POWER(2,14)+MID(DU41,1,1)*POWER(2,15))</f>
        <v>1023</v>
      </c>
      <c r="DX40" s="55" t="str">
        <f>CONCATENATE(MID($H40,1,1)*MID($K40,1,1),MID($H40,2,1)*MID($K40,2,1),MID($H40,3,1)*MID($K40,3,1),MID($H40,4,1)*MID($K40,4,1),MID($H40,5,1)*MID($K40,5,1),MID($H40,6,1)*MID($K40,6,1),MID($H40,7,1)*MID($K40,7,1),MID($H40,8,1)*MID($K40,8,1),MID($H40,9,1)*MID($K40,1,1),MID($H40,10,1)*MID($K40,2,1),MID($H40,11,1)*MID($K40,3,1),MID($H40,12,1)*MID($K40,4,1),MID($H40,13,1)*MID($K40,5,1),MID($H40,14,1)*MID($K40,6,1),MID($H40,15,1)*MID($K40,7,1),MID($H40,16,1)*MID($K40,8,1),MID($H40,17,1)*MID($K40,1,1),MID($H40,18,1)*MID($K40,2,1),MID($H40,19,1)*MID($K40,3,1),MID($H40,20,1)*MID($K40,4,1),MID($H40,21,1)*MID($K40,5,1),MID($H40,22,1)*MID($K40,6,1),MID($H40,23,1)*MID($K40,7,1),MID($H40,24,1)*MID($K40,8,1),MID($H40,25,1)*MID($K40,1,1),MID($H40,26,1)*MID($K40,2,1),MID($H40,27,1)*MID($K40,3,1),MID($H40,28,1)*MID($K40,4,1),MID($H40,29,1)*MID($K40,5,1),MID($H40,30,1)*MID($K40,6,1),MID($H40,31,1)*MID($K40,7,1),MID($H40,32,1)*MID($K40,8,1))</f>
        <v>11011110110011010000000111000101</v>
      </c>
      <c r="DY40" s="57" t="str">
        <f>L40</f>
        <v>00000001110001011101111011001101</v>
      </c>
      <c r="DZ40" s="57" t="str">
        <f t="shared" si="178"/>
        <v>00000001</v>
      </c>
      <c r="EA40" s="57" t="str">
        <f t="shared" si="86"/>
        <v>11000101</v>
      </c>
      <c r="EB40" s="57" t="str">
        <f t="shared" si="87"/>
        <v>11011110</v>
      </c>
      <c r="EC40" s="57" t="str">
        <f t="shared" si="88"/>
        <v>11001101</v>
      </c>
      <c r="ED40" s="100">
        <f>BIN2DEC(DZ40)-BIN2DEC(DZ41)</f>
        <v>-1</v>
      </c>
      <c r="EE40" s="100">
        <f>BIN2DEC(EA40)-BIN2DEC(EA41)</f>
        <v>-1</v>
      </c>
      <c r="EF40" s="100">
        <f>BIN2DEC(EB40)-BIN2DEC(EB41)</f>
        <v>4</v>
      </c>
      <c r="EG40" s="100">
        <f>BIN2DEC(EC40)-BIN2DEC(EC41)</f>
        <v>-1</v>
      </c>
      <c r="EH40" s="58" t="str">
        <f t="shared" si="89"/>
        <v>0000</v>
      </c>
      <c r="EI40" s="58" t="str">
        <f t="shared" si="90"/>
        <v>0001</v>
      </c>
      <c r="EJ40" s="58" t="str">
        <f t="shared" si="91"/>
        <v>1100</v>
      </c>
      <c r="EK40" s="58" t="str">
        <f t="shared" si="92"/>
        <v>0101</v>
      </c>
      <c r="EL40" s="58" t="str">
        <f t="shared" si="93"/>
        <v>1101</v>
      </c>
      <c r="EM40" s="58" t="str">
        <f t="shared" si="94"/>
        <v>1110</v>
      </c>
      <c r="EN40" s="58" t="str">
        <f t="shared" si="95"/>
        <v>1100</v>
      </c>
      <c r="EO40" s="58" t="str">
        <f t="shared" si="96"/>
        <v>1101</v>
      </c>
      <c r="EP40" s="100">
        <f>BIN2DEC(EH40)-BIN2DEC(EH41)</f>
        <v>0</v>
      </c>
      <c r="EQ40" s="100">
        <f t="shared" ref="EQ40:EV40" si="404">BIN2DEC(EI40)-BIN2DEC(EI41)</f>
        <v>-1</v>
      </c>
      <c r="ER40" s="100">
        <f t="shared" si="404"/>
        <v>0</v>
      </c>
      <c r="ES40" s="100">
        <f t="shared" si="404"/>
        <v>-1</v>
      </c>
      <c r="ET40" s="100">
        <f t="shared" si="404"/>
        <v>0</v>
      </c>
      <c r="EU40" s="100">
        <f t="shared" si="404"/>
        <v>4</v>
      </c>
      <c r="EV40" s="100">
        <f t="shared" si="404"/>
        <v>0</v>
      </c>
      <c r="EW40" s="100">
        <f>BIN2DEC(EO40)-BIN2DEC(EO41)</f>
        <v>-1</v>
      </c>
      <c r="EX40" s="57" t="str">
        <f t="shared" si="15"/>
        <v>0000000111000101</v>
      </c>
      <c r="EY40" s="57" t="str">
        <f t="shared" si="16"/>
        <v>1101111011001101</v>
      </c>
      <c r="EZ40" s="100">
        <f>MID(EX40,16,1)*POWER(2,0)+MID(EX40,15,1)*POWER(2,1)+MID(EX40,14,1)*POWER(2,2)+MID(EX40,13,1)*POWER(2,3)+MID(EX40,12,1)*POWER(2,4)+MID(EX40,11,1)*POWER(2,5)+MID(EX40,10,1)*POWER(2,6)+MID(EX40,9,1)*POWER(2,7)+MID(EX40,8,1)*POWER(2,8)+MID(EX40,7,1)*POWER(2,9)+MID(EX40,6,1)*POWER(2,10)+MID(EX40,5,1)*POWER(2,11)+MID(EX40,4,1)*POWER(2,12)+MID(EX40,3,1)*POWER(2,13)+MID(EX40,2,1)*POWER(2,14)+MID(EX40,1,1)*POWER(2,15)-(MID(EX41,16,1)*POWER(2,0)+MID(EX41,15,1)*POWER(2,1)+MID(EX41,14,1)*POWER(2,2)+MID(EX41,13,1)*POWER(2,3)+MID(EX41,12,1)*POWER(2,4)+MID(EX41,11,1)*POWER(2,5)+MID(EX41,10,1)*POWER(2,6)+MID(EX41,9,1)*POWER(2,7)+MID(EX41,8,1)*POWER(2,8)+MID(EX41,7,1)*POWER(2,9)+MID(EX41,6,1)*POWER(2,10)+MID(EX41,5,1)*POWER(2,11)+MID(EX41,4,1)*POWER(2,12)+MID(EX41,3,1)*POWER(2,13)+MID(EX41,2,1)*POWER(2,14)+MID(EX41,1,1)*POWER(2,15))</f>
        <v>-257</v>
      </c>
      <c r="FA40" s="100">
        <f>MID(EY40,16,1)*POWER(2,0)+MID(EY40,15,1)*POWER(2,1)+MID(EY40,14,1)*POWER(2,2)+MID(EY40,13,1)*POWER(2,3)+MID(EY40,12,1)*POWER(2,4)+MID(EY40,11,1)*POWER(2,5)+MID(EY40,10,1)*POWER(2,6)+MID(EY40,9,1)*POWER(2,7)+MID(EY40,8,1)*POWER(2,8)+MID(EY40,7,1)*POWER(2,9)+MID(EY40,6,1)*POWER(2,10)+MID(EY40,5,1)*POWER(2,11)+MID(EY40,4,1)*POWER(2,12)+MID(EY40,3,1)*POWER(2,13)+MID(EY40,2,1)*POWER(2,14)+MID(EY40,1,1)*POWER(2,15)-(MID(EY41,16,1)*POWER(2,0)+MID(EY41,15,1)*POWER(2,1)+MID(EY41,14,1)*POWER(2,2)+MID(EY41,13,1)*POWER(2,3)+MID(EY41,12,1)*POWER(2,4)+MID(EY41,11,1)*POWER(2,5)+MID(EY41,10,1)*POWER(2,6)+MID(EY41,9,1)*POWER(2,7)+MID(EY41,8,1)*POWER(2,8)+MID(EY41,7,1)*POWER(2,9)+MID(EY41,6,1)*POWER(2,10)+MID(EY41,5,1)*POWER(2,11)+MID(EY41,4,1)*POWER(2,12)+MID(EY41,3,1)*POWER(2,13)+MID(EY41,2,1)*POWER(2,14)+MID(EY41,1,1)*POWER(2,15))</f>
        <v>1023</v>
      </c>
      <c r="FB40" s="55" t="str">
        <f>L40</f>
        <v>00000001110001011101111011001101</v>
      </c>
      <c r="FC40" s="57" t="str">
        <f t="shared" si="180"/>
        <v>00000001</v>
      </c>
      <c r="FD40" s="57" t="str">
        <f t="shared" si="97"/>
        <v>11000101</v>
      </c>
      <c r="FE40" s="57" t="str">
        <f t="shared" si="98"/>
        <v>11011110</v>
      </c>
      <c r="FF40" s="57" t="str">
        <f t="shared" si="99"/>
        <v>11001101</v>
      </c>
      <c r="FG40" s="100">
        <f>BIN2DEC(FC40)-BIN2DEC(FC41)</f>
        <v>-1</v>
      </c>
      <c r="FH40" s="100">
        <f>BIN2DEC(FD40)-BIN2DEC(FD41)</f>
        <v>-1</v>
      </c>
      <c r="FI40" s="100">
        <f>BIN2DEC(FE40)-BIN2DEC(FE41)</f>
        <v>4</v>
      </c>
      <c r="FJ40" s="100">
        <f>BIN2DEC(FF40)-BIN2DEC(FF41)</f>
        <v>-1</v>
      </c>
      <c r="FK40" s="58" t="str">
        <f t="shared" si="100"/>
        <v>0000</v>
      </c>
      <c r="FL40" s="58" t="str">
        <f t="shared" si="101"/>
        <v>0001</v>
      </c>
      <c r="FM40" s="58" t="str">
        <f t="shared" si="102"/>
        <v>1100</v>
      </c>
      <c r="FN40" s="58" t="str">
        <f t="shared" si="103"/>
        <v>0101</v>
      </c>
      <c r="FO40" s="58" t="str">
        <f t="shared" si="104"/>
        <v>1101</v>
      </c>
      <c r="FP40" s="58" t="str">
        <f t="shared" si="105"/>
        <v>1110</v>
      </c>
      <c r="FQ40" s="58" t="str">
        <f t="shared" si="106"/>
        <v>1100</v>
      </c>
      <c r="FR40" s="58" t="str">
        <f t="shared" si="107"/>
        <v>1101</v>
      </c>
      <c r="FS40" s="100">
        <f>BIN2DEC(FK40)-BIN2DEC(FK41)</f>
        <v>0</v>
      </c>
      <c r="FT40" s="100">
        <f t="shared" ref="FT40:FY40" si="405">BIN2DEC(FL40)-BIN2DEC(FL41)</f>
        <v>-1</v>
      </c>
      <c r="FU40" s="100">
        <f t="shared" si="405"/>
        <v>0</v>
      </c>
      <c r="FV40" s="100">
        <f t="shared" si="405"/>
        <v>-1</v>
      </c>
      <c r="FW40" s="100">
        <f t="shared" si="405"/>
        <v>0</v>
      </c>
      <c r="FX40" s="100">
        <f t="shared" si="405"/>
        <v>4</v>
      </c>
      <c r="FY40" s="100">
        <f t="shared" si="405"/>
        <v>0</v>
      </c>
      <c r="FZ40" s="100">
        <f>BIN2DEC(FR40)-BIN2DEC(FR41)</f>
        <v>-1</v>
      </c>
      <c r="GA40" s="57" t="str">
        <f t="shared" si="18"/>
        <v>0000000111000101</v>
      </c>
      <c r="GB40" s="57" t="str">
        <f t="shared" si="19"/>
        <v>1101111011001101</v>
      </c>
      <c r="GC40" s="100">
        <f>MID(GA40,16,1)*POWER(2,0)+MID(GA40,15,1)*POWER(2,1)+MID(GA40,14,1)*POWER(2,2)+MID(GA40,13,1)*POWER(2,3)+MID(GA40,12,1)*POWER(2,4)+MID(GA40,11,1)*POWER(2,5)+MID(GA40,10,1)*POWER(2,6)+MID(GA40,9,1)*POWER(2,7)+MID(GA40,8,1)*POWER(2,8)+MID(GA40,7,1)*POWER(2,9)+MID(GA40,6,1)*POWER(2,10)+MID(GA40,5,1)*POWER(2,11)+MID(GA40,4,1)*POWER(2,12)+MID(GA40,3,1)*POWER(2,13)+MID(GA40,2,1)*POWER(2,14)+MID(GA40,1,1)*POWER(2,15)-(MID(GA41,16,1)*POWER(2,0)+MID(GA41,15,1)*POWER(2,1)+MID(GA41,14,1)*POWER(2,2)+MID(GA41,13,1)*POWER(2,3)+MID(GA41,12,1)*POWER(2,4)+MID(GA41,11,1)*POWER(2,5)+MID(GA41,10,1)*POWER(2,6)+MID(GA41,9,1)*POWER(2,7)+MID(GA41,8,1)*POWER(2,8)+MID(GA41,7,1)*POWER(2,9)+MID(GA41,6,1)*POWER(2,10)+MID(GA41,5,1)*POWER(2,11)+MID(GA41,4,1)*POWER(2,12)+MID(GA41,3,1)*POWER(2,13)+MID(GA41,2,1)*POWER(2,14)+MID(GA41,1,1)*POWER(2,15))</f>
        <v>-257</v>
      </c>
      <c r="GD40" s="100">
        <f>MID(GB40,16,1)*POWER(2,0)+MID(GB40,15,1)*POWER(2,1)+MID(GB40,14,1)*POWER(2,2)+MID(GB40,13,1)*POWER(2,3)+MID(GB40,12,1)*POWER(2,4)+MID(GB40,11,1)*POWER(2,5)+MID(GB40,10,1)*POWER(2,6)+MID(GB40,9,1)*POWER(2,7)+MID(GB40,8,1)*POWER(2,8)+MID(GB40,7,1)*POWER(2,9)+MID(GB40,6,1)*POWER(2,10)+MID(GB40,5,1)*POWER(2,11)+MID(GB40,4,1)*POWER(2,12)+MID(GB40,3,1)*POWER(2,13)+MID(GB40,2,1)*POWER(2,14)+MID(GB40,1,1)*POWER(2,15)-(MID(GB41,16,1)*POWER(2,0)+MID(GB41,15,1)*POWER(2,1)+MID(GB41,14,1)*POWER(2,2)+MID(GB41,13,1)*POWER(2,3)+MID(GB41,12,1)*POWER(2,4)+MID(GB41,11,1)*POWER(2,5)+MID(GB41,10,1)*POWER(2,6)+MID(GB41,9,1)*POWER(2,7)+MID(GB41,8,1)*POWER(2,8)+MID(GB41,7,1)*POWER(2,9)+MID(GB41,6,1)*POWER(2,10)+MID(GB41,5,1)*POWER(2,11)+MID(GB41,4,1)*POWER(2,12)+MID(GB41,3,1)*POWER(2,13)+MID(GB41,2,1)*POWER(2,14)+MID(GB41,1,1)*POWER(2,15))</f>
        <v>1023</v>
      </c>
      <c r="GE40" s="58" t="str">
        <f>CU40</f>
        <v>00000001110001011101111011001101</v>
      </c>
      <c r="GF40" s="57" t="str">
        <f t="shared" si="182"/>
        <v>00000001</v>
      </c>
      <c r="GG40" s="57" t="str">
        <f t="shared" si="108"/>
        <v>11000101</v>
      </c>
      <c r="GH40" s="57" t="str">
        <f t="shared" si="109"/>
        <v>11011110</v>
      </c>
      <c r="GI40" s="57" t="str">
        <f t="shared" si="110"/>
        <v>11001101</v>
      </c>
      <c r="GJ40" s="100">
        <f>BIN2DEC(GF40)-BIN2DEC(GF41)</f>
        <v>-1</v>
      </c>
      <c r="GK40" s="100">
        <f>BIN2DEC(GG40)-BIN2DEC(GG41)</f>
        <v>-1</v>
      </c>
      <c r="GL40" s="100">
        <f>BIN2DEC(GH40)-BIN2DEC(GH41)</f>
        <v>4</v>
      </c>
      <c r="GM40" s="100">
        <f>BIN2DEC(GI40)-BIN2DEC(GI41)</f>
        <v>-1</v>
      </c>
      <c r="GN40" s="58" t="str">
        <f t="shared" si="111"/>
        <v>0000</v>
      </c>
      <c r="GO40" s="58" t="str">
        <f t="shared" si="112"/>
        <v>0001</v>
      </c>
      <c r="GP40" s="58" t="str">
        <f t="shared" si="113"/>
        <v>1100</v>
      </c>
      <c r="GQ40" s="58" t="str">
        <f t="shared" si="114"/>
        <v>0101</v>
      </c>
      <c r="GR40" s="58" t="str">
        <f t="shared" si="115"/>
        <v>1101</v>
      </c>
      <c r="GS40" s="58" t="str">
        <f t="shared" si="116"/>
        <v>1110</v>
      </c>
      <c r="GT40" s="58" t="str">
        <f t="shared" si="117"/>
        <v>1100</v>
      </c>
      <c r="GU40" s="58" t="str">
        <f t="shared" si="118"/>
        <v>1101</v>
      </c>
      <c r="GV40" s="100">
        <f>BIN2DEC(GN40)-BIN2DEC(GN41)</f>
        <v>0</v>
      </c>
      <c r="GW40" s="100">
        <f t="shared" ref="GW40:HB40" si="406">BIN2DEC(GO40)-BIN2DEC(GO41)</f>
        <v>-1</v>
      </c>
      <c r="GX40" s="100">
        <f t="shared" si="406"/>
        <v>0</v>
      </c>
      <c r="GY40" s="100">
        <f t="shared" si="406"/>
        <v>-1</v>
      </c>
      <c r="GZ40" s="100">
        <f t="shared" si="406"/>
        <v>0</v>
      </c>
      <c r="HA40" s="100">
        <f t="shared" si="406"/>
        <v>4</v>
      </c>
      <c r="HB40" s="100">
        <f t="shared" si="406"/>
        <v>0</v>
      </c>
      <c r="HC40" s="100">
        <f>BIN2DEC(GU40)-BIN2DEC(GU41)</f>
        <v>-1</v>
      </c>
      <c r="HD40" s="57" t="str">
        <f t="shared" si="21"/>
        <v>0000000111000101</v>
      </c>
      <c r="HE40" s="57" t="str">
        <f t="shared" si="22"/>
        <v>1101111011001101</v>
      </c>
      <c r="HF40" s="100">
        <f>MID(HD40,16,1)*POWER(2,0)+MID(HD40,15,1)*POWER(2,1)+MID(HD40,14,1)*POWER(2,2)+MID(HD40,13,1)*POWER(2,3)+MID(HD40,12,1)*POWER(2,4)+MID(HD40,11,1)*POWER(2,5)+MID(HD40,10,1)*POWER(2,6)+MID(HD40,9,1)*POWER(2,7)+MID(HD40,8,1)*POWER(2,8)+MID(HD40,7,1)*POWER(2,9)+MID(HD40,6,1)*POWER(2,10)+MID(HD40,5,1)*POWER(2,11)+MID(HD40,4,1)*POWER(2,12)+MID(HD40,3,1)*POWER(2,13)+MID(HD40,2,1)*POWER(2,14)+MID(HD40,1,1)*POWER(2,15)-(MID(HD41,16,1)*POWER(2,0)+MID(HD41,15,1)*POWER(2,1)+MID(HD41,14,1)*POWER(2,2)+MID(HD41,13,1)*POWER(2,3)+MID(HD41,12,1)*POWER(2,4)+MID(HD41,11,1)*POWER(2,5)+MID(HD41,10,1)*POWER(2,6)+MID(HD41,9,1)*POWER(2,7)+MID(HD41,8,1)*POWER(2,8)+MID(HD41,7,1)*POWER(2,9)+MID(HD41,6,1)*POWER(2,10)+MID(HD41,5,1)*POWER(2,11)+MID(HD41,4,1)*POWER(2,12)+MID(HD41,3,1)*POWER(2,13)+MID(HD41,2,1)*POWER(2,14)+MID(HD41,1,1)*POWER(2,15))</f>
        <v>-257</v>
      </c>
      <c r="HG40" s="100">
        <f>MID(HE40,16,1)*POWER(2,0)+MID(HE40,15,1)*POWER(2,1)+MID(HE40,14,1)*POWER(2,2)+MID(HE40,13,1)*POWER(2,3)+MID(HE40,12,1)*POWER(2,4)+MID(HE40,11,1)*POWER(2,5)+MID(HE40,10,1)*POWER(2,6)+MID(HE40,9,1)*POWER(2,7)+MID(HE40,8,1)*POWER(2,8)+MID(HE40,7,1)*POWER(2,9)+MID(HE40,6,1)*POWER(2,10)+MID(HE40,5,1)*POWER(2,11)+MID(HE40,4,1)*POWER(2,12)+MID(HE40,3,1)*POWER(2,13)+MID(HE40,2,1)*POWER(2,14)+MID(HE40,1,1)*POWER(2,15)-(MID(HE41,16,1)*POWER(2,0)+MID(HE41,15,1)*POWER(2,1)+MID(HE41,14,1)*POWER(2,2)+MID(HE41,13,1)*POWER(2,3)+MID(HE41,12,1)*POWER(2,4)+MID(HE41,11,1)*POWER(2,5)+MID(HE41,10,1)*POWER(2,6)+MID(HE41,9,1)*POWER(2,7)+MID(HE41,8,1)*POWER(2,8)+MID(HE41,7,1)*POWER(2,9)+MID(HE41,6,1)*POWER(2,10)+MID(HE41,5,1)*POWER(2,11)+MID(HE41,4,1)*POWER(2,12)+MID(HE41,3,1)*POWER(2,13)+MID(HE41,2,1)*POWER(2,14)+MID(HE41,1,1)*POWER(2,15))</f>
        <v>1023</v>
      </c>
      <c r="HH40" s="57" t="str">
        <f>CONCATENATE(MID(DX40,17,16),MID(DX40,1,16))</f>
        <v>00000001110001011101111011001101</v>
      </c>
      <c r="HI40" s="57" t="str">
        <f t="shared" si="184"/>
        <v>00000001</v>
      </c>
      <c r="HJ40" s="57" t="str">
        <f t="shared" si="119"/>
        <v>11000101</v>
      </c>
      <c r="HK40" s="57" t="str">
        <f t="shared" si="120"/>
        <v>11011110</v>
      </c>
      <c r="HL40" s="57" t="str">
        <f t="shared" si="121"/>
        <v>11001101</v>
      </c>
      <c r="HM40" s="100">
        <f>BIN2DEC(HI40)-BIN2DEC(HI41)</f>
        <v>-1</v>
      </c>
      <c r="HN40" s="100">
        <f>BIN2DEC(HJ40)-BIN2DEC(HJ41)</f>
        <v>-1</v>
      </c>
      <c r="HO40" s="100">
        <f>BIN2DEC(HK40)-BIN2DEC(HK41)</f>
        <v>4</v>
      </c>
      <c r="HP40" s="100">
        <f>BIN2DEC(HL40)-BIN2DEC(HL41)</f>
        <v>-1</v>
      </c>
      <c r="HQ40" s="58" t="str">
        <f t="shared" si="122"/>
        <v>0000</v>
      </c>
      <c r="HR40" s="58" t="str">
        <f t="shared" si="123"/>
        <v>0001</v>
      </c>
      <c r="HS40" s="58" t="str">
        <f t="shared" si="124"/>
        <v>1100</v>
      </c>
      <c r="HT40" s="58" t="str">
        <f t="shared" si="125"/>
        <v>0101</v>
      </c>
      <c r="HU40" s="58" t="str">
        <f t="shared" si="126"/>
        <v>1101</v>
      </c>
      <c r="HV40" s="58" t="str">
        <f t="shared" si="127"/>
        <v>1110</v>
      </c>
      <c r="HW40" s="58" t="str">
        <f t="shared" si="128"/>
        <v>1100</v>
      </c>
      <c r="HX40" s="58" t="str">
        <f t="shared" si="129"/>
        <v>1101</v>
      </c>
      <c r="HY40" s="100">
        <f>BIN2DEC(HQ40)-BIN2DEC(HQ41)</f>
        <v>0</v>
      </c>
      <c r="HZ40" s="100">
        <f t="shared" ref="HZ40:IE40" si="407">BIN2DEC(HR40)-BIN2DEC(HR41)</f>
        <v>-1</v>
      </c>
      <c r="IA40" s="100">
        <f t="shared" si="407"/>
        <v>0</v>
      </c>
      <c r="IB40" s="100">
        <f t="shared" si="407"/>
        <v>-1</v>
      </c>
      <c r="IC40" s="100">
        <f t="shared" si="407"/>
        <v>0</v>
      </c>
      <c r="ID40" s="100">
        <f t="shared" si="407"/>
        <v>4</v>
      </c>
      <c r="IE40" s="100">
        <f t="shared" si="407"/>
        <v>0</v>
      </c>
      <c r="IF40" s="100">
        <f>BIN2DEC(HX40)-BIN2DEC(HX41)</f>
        <v>-1</v>
      </c>
      <c r="IG40" s="57" t="str">
        <f t="shared" si="24"/>
        <v>0000000111000101</v>
      </c>
      <c r="IH40" s="57" t="str">
        <f t="shared" si="25"/>
        <v>1101111011001101</v>
      </c>
      <c r="II40" s="100">
        <f>MID(IG40,16,1)*POWER(2,0)+MID(IG40,15,1)*POWER(2,1)+MID(IG40,14,1)*POWER(2,2)+MID(IG40,13,1)*POWER(2,3)+MID(IG40,12,1)*POWER(2,4)+MID(IG40,11,1)*POWER(2,5)+MID(IG40,10,1)*POWER(2,6)+MID(IG40,9,1)*POWER(2,7)+MID(IG40,8,1)*POWER(2,8)+MID(IG40,7,1)*POWER(2,9)+MID(IG40,6,1)*POWER(2,10)+MID(IG40,5,1)*POWER(2,11)+MID(IG40,4,1)*POWER(2,12)+MID(IG40,3,1)*POWER(2,13)+MID(IG40,2,1)*POWER(2,14)+MID(IG40,1,1)*POWER(2,15)-(MID(IG41,16,1)*POWER(2,0)+MID(IG41,15,1)*POWER(2,1)+MID(IG41,14,1)*POWER(2,2)+MID(IG41,13,1)*POWER(2,3)+MID(IG41,12,1)*POWER(2,4)+MID(IG41,11,1)*POWER(2,5)+MID(IG41,10,1)*POWER(2,6)+MID(IG41,9,1)*POWER(2,7)+MID(IG41,8,1)*POWER(2,8)+MID(IG41,7,1)*POWER(2,9)+MID(IG41,6,1)*POWER(2,10)+MID(IG41,5,1)*POWER(2,11)+MID(IG41,4,1)*POWER(2,12)+MID(IG41,3,1)*POWER(2,13)+MID(IG41,2,1)*POWER(2,14)+MID(IG41,1,1)*POWER(2,15))</f>
        <v>-257</v>
      </c>
      <c r="IJ40" s="100">
        <f>MID(IH40,16,1)*POWER(2,0)+MID(IH40,15,1)*POWER(2,1)+MID(IH40,14,1)*POWER(2,2)+MID(IH40,13,1)*POWER(2,3)+MID(IH40,12,1)*POWER(2,4)+MID(IH40,11,1)*POWER(2,5)+MID(IH40,10,1)*POWER(2,6)+MID(IH40,9,1)*POWER(2,7)+MID(IH40,8,1)*POWER(2,8)+MID(IH40,7,1)*POWER(2,9)+MID(IH40,6,1)*POWER(2,10)+MID(IH40,5,1)*POWER(2,11)+MID(IH40,4,1)*POWER(2,12)+MID(IH40,3,1)*POWER(2,13)+MID(IH40,2,1)*POWER(2,14)+MID(IH40,1,1)*POWER(2,15)-(MID(IH41,16,1)*POWER(2,0)+MID(IH41,15,1)*POWER(2,1)+MID(IH41,14,1)*POWER(2,2)+MID(IH41,13,1)*POWER(2,3)+MID(IH41,12,1)*POWER(2,4)+MID(IH41,11,1)*POWER(2,5)+MID(IH41,10,1)*POWER(2,6)+MID(IH41,9,1)*POWER(2,7)+MID(IH41,8,1)*POWER(2,8)+MID(IH41,7,1)*POWER(2,9)+MID(IH41,6,1)*POWER(2,10)+MID(IH41,5,1)*POWER(2,11)+MID(IH41,4,1)*POWER(2,12)+MID(IH41,3,1)*POWER(2,13)+MID(IH41,2,1)*POWER(2,14)+MID(IH41,1,1)*POWER(2,15))</f>
        <v>1023</v>
      </c>
      <c r="IK40" s="57" t="str">
        <f>HH40</f>
        <v>00000001110001011101111011001101</v>
      </c>
      <c r="IL40" s="57" t="str">
        <f t="shared" si="186"/>
        <v>00000001</v>
      </c>
      <c r="IM40" s="57" t="str">
        <f t="shared" si="130"/>
        <v>11000101</v>
      </c>
      <c r="IN40" s="57" t="str">
        <f t="shared" si="131"/>
        <v>11011110</v>
      </c>
      <c r="IO40" s="57" t="str">
        <f t="shared" si="132"/>
        <v>11001101</v>
      </c>
      <c r="IP40" s="100">
        <f>BIN2DEC(IL40)-BIN2DEC(IL41)</f>
        <v>-1</v>
      </c>
      <c r="IQ40" s="100">
        <f>BIN2DEC(IM40)-BIN2DEC(IM41)</f>
        <v>-1</v>
      </c>
      <c r="IR40" s="100">
        <f>BIN2DEC(IN40)-BIN2DEC(IN41)</f>
        <v>4</v>
      </c>
      <c r="IS40" s="100">
        <f>BIN2DEC(IO40)-BIN2DEC(IO41)</f>
        <v>-1</v>
      </c>
      <c r="IT40" s="58" t="str">
        <f t="shared" si="133"/>
        <v>0000</v>
      </c>
      <c r="IU40" s="58" t="str">
        <f t="shared" si="134"/>
        <v>0001</v>
      </c>
      <c r="IV40" s="58" t="str">
        <f t="shared" si="135"/>
        <v>1100</v>
      </c>
      <c r="IW40" s="58" t="str">
        <f t="shared" si="136"/>
        <v>0101</v>
      </c>
      <c r="IX40" s="58" t="str">
        <f t="shared" si="137"/>
        <v>1101</v>
      </c>
      <c r="IY40" s="58" t="str">
        <f t="shared" si="138"/>
        <v>1110</v>
      </c>
      <c r="IZ40" s="58" t="str">
        <f t="shared" si="139"/>
        <v>1100</v>
      </c>
      <c r="JA40" s="58" t="str">
        <f t="shared" si="140"/>
        <v>1101</v>
      </c>
      <c r="JB40" s="100">
        <f t="shared" ref="JB40:JI40" si="408">BIN2DEC(IT40)-BIN2DEC(IT41)</f>
        <v>0</v>
      </c>
      <c r="JC40" s="100">
        <f t="shared" si="408"/>
        <v>-1</v>
      </c>
      <c r="JD40" s="100">
        <f t="shared" si="408"/>
        <v>0</v>
      </c>
      <c r="JE40" s="100">
        <f t="shared" si="408"/>
        <v>-1</v>
      </c>
      <c r="JF40" s="100">
        <f t="shared" si="408"/>
        <v>0</v>
      </c>
      <c r="JG40" s="100">
        <f t="shared" si="408"/>
        <v>4</v>
      </c>
      <c r="JH40" s="100">
        <f t="shared" si="408"/>
        <v>0</v>
      </c>
      <c r="JI40" s="100">
        <f t="shared" si="408"/>
        <v>-1</v>
      </c>
      <c r="JJ40" s="57" t="str">
        <f t="shared" si="27"/>
        <v>0000000111000101</v>
      </c>
      <c r="JK40" s="57" t="str">
        <f t="shared" si="28"/>
        <v>1101111011001101</v>
      </c>
      <c r="JL40" s="100">
        <f>MID(JJ40,16,1)*POWER(2,0)+MID(JJ40,15,1)*POWER(2,1)+MID(JJ40,14,1)*POWER(2,2)+MID(JJ40,13,1)*POWER(2,3)+MID(JJ40,12,1)*POWER(2,4)+MID(JJ40,11,1)*POWER(2,5)+MID(JJ40,10,1)*POWER(2,6)+MID(JJ40,9,1)*POWER(2,7)+MID(JJ40,8,1)*POWER(2,8)+MID(JJ40,7,1)*POWER(2,9)+MID(JJ40,6,1)*POWER(2,10)+MID(JJ40,5,1)*POWER(2,11)+MID(JJ40,4,1)*POWER(2,12)+MID(JJ40,3,1)*POWER(2,13)+MID(JJ40,2,1)*POWER(2,14)+MID(JJ40,1,1)*POWER(2,15)-(MID(JJ41,16,1)*POWER(2,0)+MID(JJ41,15,1)*POWER(2,1)+MID(JJ41,14,1)*POWER(2,2)+MID(JJ41,13,1)*POWER(2,3)+MID(JJ41,12,1)*POWER(2,4)+MID(JJ41,11,1)*POWER(2,5)+MID(JJ41,10,1)*POWER(2,6)+MID(JJ41,9,1)*POWER(2,7)+MID(JJ41,8,1)*POWER(2,8)+MID(JJ41,7,1)*POWER(2,9)+MID(JJ41,6,1)*POWER(2,10)+MID(JJ41,5,1)*POWER(2,11)+MID(JJ41,4,1)*POWER(2,12)+MID(JJ41,3,1)*POWER(2,13)+MID(JJ41,2,1)*POWER(2,14)+MID(JJ41,1,1)*POWER(2,15))</f>
        <v>-257</v>
      </c>
      <c r="JM40" s="100">
        <f>MID(JK40,16,1)*POWER(2,0)+MID(JK40,15,1)*POWER(2,1)+MID(JK40,14,1)*POWER(2,2)+MID(JK40,13,1)*POWER(2,3)+MID(JK40,12,1)*POWER(2,4)+MID(JK40,11,1)*POWER(2,5)+MID(JK40,10,1)*POWER(2,6)+MID(JK40,9,1)*POWER(2,7)+MID(JK40,8,1)*POWER(2,8)+MID(JK40,7,1)*POWER(2,9)+MID(JK40,6,1)*POWER(2,10)+MID(JK40,5,1)*POWER(2,11)+MID(JK40,4,1)*POWER(2,12)+MID(JK40,3,1)*POWER(2,13)+MID(JK40,2,1)*POWER(2,14)+MID(JK40,1,1)*POWER(2,15)-(MID(JK41,16,1)*POWER(2,0)+MID(JK41,15,1)*POWER(2,1)+MID(JK41,14,1)*POWER(2,2)+MID(JK41,13,1)*POWER(2,3)+MID(JK41,12,1)*POWER(2,4)+MID(JK41,11,1)*POWER(2,5)+MID(JK41,10,1)*POWER(2,6)+MID(JK41,9,1)*POWER(2,7)+MID(JK41,8,1)*POWER(2,8)+MID(JK41,7,1)*POWER(2,9)+MID(JK41,6,1)*POWER(2,10)+MID(JK41,5,1)*POWER(2,11)+MID(JK41,4,1)*POWER(2,12)+MID(JK41,3,1)*POWER(2,13)+MID(JK41,2,1)*POWER(2,14)+MID(JK41,1,1)*POWER(2,15))</f>
        <v>1023</v>
      </c>
      <c r="JN40" s="55" t="str">
        <f>CONCATENATE(MID(IK40,1,1)*MID($K40,1,1),MID(IK40,2,1)*MID($K40,2,1),MID(IK40,3,1)*MID($K40,3,1),MID(IK40,4,1)*MID($K40,4,1),MID(IK40,5,1)*MID($K40,5,1),MID(IK40,6,1)*MID($K40,6,1),MID(IK40,7,1)*MID($K40,7,1),MID(IK40,8,1)*MID($K40,8,1),MID(IK40,9,1)*MID($K40,1,1),MID(IK40,10,1)*MID($K40,2,1),MID(IK40,11,1)*MID($K40,3,1),MID(IK40,12,1)*MID($K40,4,1),MID(IK40,13,1)*MID($K40,5,1),MID(IK40,14,1)*MID($K40,6,1),MID(IK40,15,1)*MID($K40,7,1),MID(IK40,16,1)*MID($K40,8,1),MID(IK40,17,1)*MID($K40,1,1),MID(IK40,18,1)*MID($K40,2,1),MID(IK40,19,1)*MID($K40,3,1),MID(IK40,20,1)*MID($K40,4,1),MID(IK40,21,1)*MID($K40,5,1),MID(IK40,22,1)*MID($K40,6,1),MID(IK40,23,1)*MID($K40,7,1),MID(IK40,24,1)*MID($K40,8,1),MID(IK40,25,1)*MID($K40,1,1),MID(IK40,26,1)*MID($K40,2,1),MID(IK40,27,1)*MID($K40,3,1),MID(IK40,28,1)*MID($K40,4,1),MID(IK40,29,1)*MID($K40,5,1),MID(IK40,30,1)*MID($K40,6,1),MID(IK40,31,1)*MID($K40,7,1),MID(IK40,32,1)*MID($K40,8,1))</f>
        <v>00000001110001011101111011001101</v>
      </c>
      <c r="JO40" s="57" t="str">
        <f t="shared" si="188"/>
        <v>00000001</v>
      </c>
      <c r="JP40" s="57" t="str">
        <f t="shared" si="141"/>
        <v>11000101</v>
      </c>
      <c r="JQ40" s="57" t="str">
        <f t="shared" si="142"/>
        <v>11011110</v>
      </c>
      <c r="JR40" s="57" t="str">
        <f t="shared" si="143"/>
        <v>11001101</v>
      </c>
      <c r="JS40" s="100">
        <f>BIN2DEC(JO40)-BIN2DEC(JO41)</f>
        <v>-1</v>
      </c>
      <c r="JT40" s="100">
        <f>BIN2DEC(JP40)-BIN2DEC(JP41)</f>
        <v>-1</v>
      </c>
      <c r="JU40" s="100">
        <f>BIN2DEC(JQ40)-BIN2DEC(JQ41)</f>
        <v>4</v>
      </c>
      <c r="JV40" s="100">
        <f>BIN2DEC(JR40)-BIN2DEC(JR41)</f>
        <v>-1</v>
      </c>
      <c r="JW40" s="58" t="str">
        <f t="shared" si="144"/>
        <v>0000</v>
      </c>
      <c r="JX40" s="58" t="str">
        <f t="shared" si="145"/>
        <v>0001</v>
      </c>
      <c r="JY40" s="58" t="str">
        <f t="shared" si="146"/>
        <v>1100</v>
      </c>
      <c r="JZ40" s="58" t="str">
        <f t="shared" si="147"/>
        <v>0101</v>
      </c>
      <c r="KA40" s="58" t="str">
        <f t="shared" si="148"/>
        <v>1101</v>
      </c>
      <c r="KB40" s="58" t="str">
        <f t="shared" si="149"/>
        <v>1110</v>
      </c>
      <c r="KC40" s="58" t="str">
        <f t="shared" si="150"/>
        <v>1100</v>
      </c>
      <c r="KD40" s="58" t="str">
        <f t="shared" si="151"/>
        <v>1101</v>
      </c>
      <c r="KE40" s="100">
        <f t="shared" ref="KE40:KL40" si="409">BIN2DEC(JW40)-BIN2DEC(JW41)</f>
        <v>0</v>
      </c>
      <c r="KF40" s="100">
        <f t="shared" si="409"/>
        <v>-1</v>
      </c>
      <c r="KG40" s="100">
        <f t="shared" si="409"/>
        <v>0</v>
      </c>
      <c r="KH40" s="100">
        <f t="shared" si="409"/>
        <v>-1</v>
      </c>
      <c r="KI40" s="100">
        <f t="shared" si="409"/>
        <v>0</v>
      </c>
      <c r="KJ40" s="100">
        <f t="shared" si="409"/>
        <v>4</v>
      </c>
      <c r="KK40" s="100">
        <f t="shared" si="409"/>
        <v>0</v>
      </c>
      <c r="KL40" s="100">
        <f t="shared" si="409"/>
        <v>-1</v>
      </c>
      <c r="KM40" s="57" t="str">
        <f t="shared" si="30"/>
        <v>0000000111000101</v>
      </c>
      <c r="KN40" s="57" t="str">
        <f t="shared" si="31"/>
        <v>1101111011001101</v>
      </c>
      <c r="KO40" s="100">
        <f>MID(KM40,16,1)*POWER(2,0)+MID(KM40,15,1)*POWER(2,1)+MID(KM40,14,1)*POWER(2,2)+MID(KM40,13,1)*POWER(2,3)+MID(KM40,12,1)*POWER(2,4)+MID(KM40,11,1)*POWER(2,5)+MID(KM40,10,1)*POWER(2,6)+MID(KM40,9,1)*POWER(2,7)+MID(KM40,8,1)*POWER(2,8)+MID(KM40,7,1)*POWER(2,9)+MID(KM40,6,1)*POWER(2,10)+MID(KM40,5,1)*POWER(2,11)+MID(KM40,4,1)*POWER(2,12)+MID(KM40,3,1)*POWER(2,13)+MID(KM40,2,1)*POWER(2,14)+MID(KM40,1,1)*POWER(2,15)-(MID(KM41,16,1)*POWER(2,0)+MID(KM41,15,1)*POWER(2,1)+MID(KM41,14,1)*POWER(2,2)+MID(KM41,13,1)*POWER(2,3)+MID(KM41,12,1)*POWER(2,4)+MID(KM41,11,1)*POWER(2,5)+MID(KM41,10,1)*POWER(2,6)+MID(KM41,9,1)*POWER(2,7)+MID(KM41,8,1)*POWER(2,8)+MID(KM41,7,1)*POWER(2,9)+MID(KM41,6,1)*POWER(2,10)+MID(KM41,5,1)*POWER(2,11)+MID(KM41,4,1)*POWER(2,12)+MID(KM41,3,1)*POWER(2,13)+MID(KM41,2,1)*POWER(2,14)+MID(KM41,1,1)*POWER(2,15))</f>
        <v>-257</v>
      </c>
      <c r="KP40" s="100">
        <f>MID(KN40,16,1)*POWER(2,0)+MID(KN40,15,1)*POWER(2,1)+MID(KN40,14,1)*POWER(2,2)+MID(KN40,13,1)*POWER(2,3)+MID(KN40,12,1)*POWER(2,4)+MID(KN40,11,1)*POWER(2,5)+MID(KN40,10,1)*POWER(2,6)+MID(KN40,9,1)*POWER(2,7)+MID(KN40,8,1)*POWER(2,8)+MID(KN40,7,1)*POWER(2,9)+MID(KN40,6,1)*POWER(2,10)+MID(KN40,5,1)*POWER(2,11)+MID(KN40,4,1)*POWER(2,12)+MID(KN40,3,1)*POWER(2,13)+MID(KN40,2,1)*POWER(2,14)+MID(KN40,1,1)*POWER(2,15)-(MID(KN41,16,1)*POWER(2,0)+MID(KN41,15,1)*POWER(2,1)+MID(KN41,14,1)*POWER(2,2)+MID(KN41,13,1)*POWER(2,3)+MID(KN41,12,1)*POWER(2,4)+MID(KN41,11,1)*POWER(2,5)+MID(KN41,10,1)*POWER(2,6)+MID(KN41,9,1)*POWER(2,7)+MID(KN41,8,1)*POWER(2,8)+MID(KN41,7,1)*POWER(2,9)+MID(KN41,6,1)*POWER(2,10)+MID(KN41,5,1)*POWER(2,11)+MID(KN41,4,1)*POWER(2,12)+MID(KN41,3,1)*POWER(2,13)+MID(KN41,2,1)*POWER(2,14)+MID(KN41,1,1)*POWER(2,15))</f>
        <v>1023</v>
      </c>
      <c r="KQ40" s="58" t="str">
        <f>IK40</f>
        <v>00000001110001011101111011001101</v>
      </c>
      <c r="KR40" s="57" t="str">
        <f t="shared" si="190"/>
        <v>00000001</v>
      </c>
      <c r="KS40" s="57" t="str">
        <f t="shared" si="152"/>
        <v>11000101</v>
      </c>
      <c r="KT40" s="57" t="str">
        <f t="shared" si="153"/>
        <v>11011110</v>
      </c>
      <c r="KU40" s="57" t="str">
        <f t="shared" si="154"/>
        <v>11001101</v>
      </c>
      <c r="KV40" s="100">
        <f>BIN2DEC(KR40)-BIN2DEC(KR41)</f>
        <v>-1</v>
      </c>
      <c r="KW40" s="100">
        <f>BIN2DEC(KS40)-BIN2DEC(KS41)</f>
        <v>-1</v>
      </c>
      <c r="KX40" s="100">
        <f>BIN2DEC(KT40)-BIN2DEC(KT41)</f>
        <v>4</v>
      </c>
      <c r="KY40" s="100">
        <f>BIN2DEC(KU40)-BIN2DEC(KU41)</f>
        <v>-1</v>
      </c>
      <c r="KZ40" s="58" t="str">
        <f t="shared" si="155"/>
        <v>0000</v>
      </c>
      <c r="LA40" s="58" t="str">
        <f t="shared" si="156"/>
        <v>0001</v>
      </c>
      <c r="LB40" s="58" t="str">
        <f t="shared" si="157"/>
        <v>1100</v>
      </c>
      <c r="LC40" s="58" t="str">
        <f t="shared" si="158"/>
        <v>0101</v>
      </c>
      <c r="LD40" s="58" t="str">
        <f t="shared" si="159"/>
        <v>1101</v>
      </c>
      <c r="LE40" s="58" t="str">
        <f t="shared" si="160"/>
        <v>1110</v>
      </c>
      <c r="LF40" s="58" t="str">
        <f t="shared" si="161"/>
        <v>1100</v>
      </c>
      <c r="LG40" s="58" t="str">
        <f t="shared" si="162"/>
        <v>1101</v>
      </c>
      <c r="LH40" s="100">
        <f t="shared" ref="LH40:LO40" si="410">BIN2DEC(KZ40)-BIN2DEC(KZ41)</f>
        <v>0</v>
      </c>
      <c r="LI40" s="100">
        <f t="shared" si="410"/>
        <v>-1</v>
      </c>
      <c r="LJ40" s="100">
        <f t="shared" si="410"/>
        <v>0</v>
      </c>
      <c r="LK40" s="100">
        <f t="shared" si="410"/>
        <v>-1</v>
      </c>
      <c r="LL40" s="100">
        <f t="shared" si="410"/>
        <v>0</v>
      </c>
      <c r="LM40" s="100">
        <f t="shared" si="410"/>
        <v>4</v>
      </c>
      <c r="LN40" s="100">
        <f t="shared" si="410"/>
        <v>0</v>
      </c>
      <c r="LO40" s="100">
        <f t="shared" si="410"/>
        <v>-1</v>
      </c>
      <c r="LP40" s="57" t="str">
        <f t="shared" si="33"/>
        <v>0000000111000101</v>
      </c>
      <c r="LQ40" s="57" t="str">
        <f t="shared" si="34"/>
        <v>1101111011001101</v>
      </c>
      <c r="LR40" s="100">
        <f>MID(LP40,16,1)*POWER(2,0)+MID(LP40,15,1)*POWER(2,1)+MID(LP40,14,1)*POWER(2,2)+MID(LP40,13,1)*POWER(2,3)+MID(LP40,12,1)*POWER(2,4)+MID(LP40,11,1)*POWER(2,5)+MID(LP40,10,1)*POWER(2,6)+MID(LP40,9,1)*POWER(2,7)+MID(LP40,8,1)*POWER(2,8)+MID(LP40,7,1)*POWER(2,9)+MID(LP40,6,1)*POWER(2,10)+MID(LP40,5,1)*POWER(2,11)+MID(LP40,4,1)*POWER(2,12)+MID(LP40,3,1)*POWER(2,13)+MID(LP40,2,1)*POWER(2,14)+MID(LP40,1,1)*POWER(2,15)-(MID(LP41,16,1)*POWER(2,0)+MID(LP41,15,1)*POWER(2,1)+MID(LP41,14,1)*POWER(2,2)+MID(LP41,13,1)*POWER(2,3)+MID(LP41,12,1)*POWER(2,4)+MID(LP41,11,1)*POWER(2,5)+MID(LP41,10,1)*POWER(2,6)+MID(LP41,9,1)*POWER(2,7)+MID(LP41,8,1)*POWER(2,8)+MID(LP41,7,1)*POWER(2,9)+MID(LP41,6,1)*POWER(2,10)+MID(LP41,5,1)*POWER(2,11)+MID(LP41,4,1)*POWER(2,12)+MID(LP41,3,1)*POWER(2,13)+MID(LP41,2,1)*POWER(2,14)+MID(LP41,1,1)*POWER(2,15))</f>
        <v>-257</v>
      </c>
      <c r="LS40" s="100">
        <f>MID(LQ40,16,1)*POWER(2,0)+MID(LQ40,15,1)*POWER(2,1)+MID(LQ40,14,1)*POWER(2,2)+MID(LQ40,13,1)*POWER(2,3)+MID(LQ40,12,1)*POWER(2,4)+MID(LQ40,11,1)*POWER(2,5)+MID(LQ40,10,1)*POWER(2,6)+MID(LQ40,9,1)*POWER(2,7)+MID(LQ40,8,1)*POWER(2,8)+MID(LQ40,7,1)*POWER(2,9)+MID(LQ40,6,1)*POWER(2,10)+MID(LQ40,5,1)*POWER(2,11)+MID(LQ40,4,1)*POWER(2,12)+MID(LQ40,3,1)*POWER(2,13)+MID(LQ40,2,1)*POWER(2,14)+MID(LQ40,1,1)*POWER(2,15)-(MID(LQ41,16,1)*POWER(2,0)+MID(LQ41,15,1)*POWER(2,1)+MID(LQ41,14,1)*POWER(2,2)+MID(LQ41,13,1)*POWER(2,3)+MID(LQ41,12,1)*POWER(2,4)+MID(LQ41,11,1)*POWER(2,5)+MID(LQ41,10,1)*POWER(2,6)+MID(LQ41,9,1)*POWER(2,7)+MID(LQ41,8,1)*POWER(2,8)+MID(LQ41,7,1)*POWER(2,9)+MID(LQ41,6,1)*POWER(2,10)+MID(LQ41,5,1)*POWER(2,11)+MID(LQ41,4,1)*POWER(2,12)+MID(LQ41,3,1)*POWER(2,13)+MID(LQ41,2,1)*POWER(2,14)+MID(LQ41,1,1)*POWER(2,15))</f>
        <v>1023</v>
      </c>
      <c r="LT40" s="57" t="str">
        <f>JN40</f>
        <v>00000001110001011101111011001101</v>
      </c>
      <c r="LU40" s="57" t="str">
        <f t="shared" si="192"/>
        <v>00000001</v>
      </c>
      <c r="LV40" s="57" t="str">
        <f t="shared" si="163"/>
        <v>11000101</v>
      </c>
      <c r="LW40" s="57" t="str">
        <f t="shared" si="164"/>
        <v>11011110</v>
      </c>
      <c r="LX40" s="57" t="str">
        <f t="shared" si="165"/>
        <v>11001101</v>
      </c>
      <c r="LY40" s="100">
        <f>BIN2DEC(LU40)-BIN2DEC(LU41)</f>
        <v>-1</v>
      </c>
      <c r="LZ40" s="100">
        <f>BIN2DEC(LV40)-BIN2DEC(LV41)</f>
        <v>-1</v>
      </c>
      <c r="MA40" s="100">
        <f>BIN2DEC(LW40)-BIN2DEC(LW41)</f>
        <v>4</v>
      </c>
      <c r="MB40" s="100">
        <f>BIN2DEC(LX40)-BIN2DEC(LX41)</f>
        <v>-1</v>
      </c>
      <c r="MC40" s="58" t="str">
        <f t="shared" si="166"/>
        <v>0000</v>
      </c>
      <c r="MD40" s="58" t="str">
        <f t="shared" si="167"/>
        <v>0001</v>
      </c>
      <c r="ME40" s="58" t="str">
        <f t="shared" si="168"/>
        <v>1100</v>
      </c>
      <c r="MF40" s="58" t="str">
        <f t="shared" si="169"/>
        <v>0101</v>
      </c>
      <c r="MG40" s="58" t="str">
        <f t="shared" si="170"/>
        <v>1101</v>
      </c>
      <c r="MH40" s="58" t="str">
        <f t="shared" si="171"/>
        <v>1110</v>
      </c>
      <c r="MI40" s="58" t="str">
        <f t="shared" si="172"/>
        <v>1100</v>
      </c>
      <c r="MJ40" s="58" t="str">
        <f t="shared" si="173"/>
        <v>1101</v>
      </c>
      <c r="MK40" s="100">
        <f t="shared" ref="MK40:MR40" si="411">BIN2DEC(MC40)-BIN2DEC(MC41)</f>
        <v>0</v>
      </c>
      <c r="ML40" s="100">
        <f t="shared" si="411"/>
        <v>-1</v>
      </c>
      <c r="MM40" s="100">
        <f t="shared" si="411"/>
        <v>0</v>
      </c>
      <c r="MN40" s="100">
        <f t="shared" si="411"/>
        <v>-1</v>
      </c>
      <c r="MO40" s="100">
        <f t="shared" si="411"/>
        <v>0</v>
      </c>
      <c r="MP40" s="100">
        <f t="shared" si="411"/>
        <v>4</v>
      </c>
      <c r="MQ40" s="100">
        <f t="shared" si="411"/>
        <v>0</v>
      </c>
      <c r="MR40" s="100">
        <f t="shared" si="411"/>
        <v>-1</v>
      </c>
      <c r="MS40" s="57" t="str">
        <f t="shared" si="36"/>
        <v>0000000111000101</v>
      </c>
      <c r="MT40" s="57" t="str">
        <f t="shared" si="37"/>
        <v>1101111011001101</v>
      </c>
      <c r="MU40" s="100">
        <f>MID(MS40,16,1)*POWER(2,0)+MID(MS40,15,1)*POWER(2,1)+MID(MS40,14,1)*POWER(2,2)+MID(MS40,13,1)*POWER(2,3)+MID(MS40,12,1)*POWER(2,4)+MID(MS40,11,1)*POWER(2,5)+MID(MS40,10,1)*POWER(2,6)+MID(MS40,9,1)*POWER(2,7)+MID(MS40,8,1)*POWER(2,8)+MID(MS40,7,1)*POWER(2,9)+MID(MS40,6,1)*POWER(2,10)+MID(MS40,5,1)*POWER(2,11)+MID(MS40,4,1)*POWER(2,12)+MID(MS40,3,1)*POWER(2,13)+MID(MS40,2,1)*POWER(2,14)+MID(MS40,1,1)*POWER(2,15)-(MID(MS41,16,1)*POWER(2,0)+MID(MS41,15,1)*POWER(2,1)+MID(MS41,14,1)*POWER(2,2)+MID(MS41,13,1)*POWER(2,3)+MID(MS41,12,1)*POWER(2,4)+MID(MS41,11,1)*POWER(2,5)+MID(MS41,10,1)*POWER(2,6)+MID(MS41,9,1)*POWER(2,7)+MID(MS41,8,1)*POWER(2,8)+MID(MS41,7,1)*POWER(2,9)+MID(MS41,6,1)*POWER(2,10)+MID(MS41,5,1)*POWER(2,11)+MID(MS41,4,1)*POWER(2,12)+MID(MS41,3,1)*POWER(2,13)+MID(MS41,2,1)*POWER(2,14)+MID(MS41,1,1)*POWER(2,15))</f>
        <v>-257</v>
      </c>
      <c r="MV40" s="100">
        <f>MID(MT40,16,1)*POWER(2,0)+MID(MT40,15,1)*POWER(2,1)+MID(MT40,14,1)*POWER(2,2)+MID(MT40,13,1)*POWER(2,3)+MID(MT40,12,1)*POWER(2,4)+MID(MT40,11,1)*POWER(2,5)+MID(MT40,10,1)*POWER(2,6)+MID(MT40,9,1)*POWER(2,7)+MID(MT40,8,1)*POWER(2,8)+MID(MT40,7,1)*POWER(2,9)+MID(MT40,6,1)*POWER(2,10)+MID(MT40,5,1)*POWER(2,11)+MID(MT40,4,1)*POWER(2,12)+MID(MT40,3,1)*POWER(2,13)+MID(MT40,2,1)*POWER(2,14)+MID(MT40,1,1)*POWER(2,15)-(MID(MT41,16,1)*POWER(2,0)+MID(MT41,15,1)*POWER(2,1)+MID(MT41,14,1)*POWER(2,2)+MID(MT41,13,1)*POWER(2,3)+MID(MT41,12,1)*POWER(2,4)+MID(MT41,11,1)*POWER(2,5)+MID(MT41,10,1)*POWER(2,6)+MID(MT41,9,1)*POWER(2,7)+MID(MT41,8,1)*POWER(2,8)+MID(MT41,7,1)*POWER(2,9)+MID(MT41,6,1)*POWER(2,10)+MID(MT41,5,1)*POWER(2,11)+MID(MT41,4,1)*POWER(2,12)+MID(MT41,3,1)*POWER(2,13)+MID(MT41,2,1)*POWER(2,14)+MID(MT41,1,1)*POWER(2,15))</f>
        <v>1023</v>
      </c>
    </row>
    <row r="41" spans="1:360" s="63" customFormat="1" ht="18.600000000000001" thickBot="1" x14ac:dyDescent="0.4">
      <c r="A41" s="59"/>
      <c r="B41" s="60"/>
      <c r="C41" s="61" t="s">
        <v>6</v>
      </c>
      <c r="D41" s="61" t="s">
        <v>67</v>
      </c>
      <c r="E41" s="61">
        <v>58</v>
      </c>
      <c r="F41" s="61" t="s">
        <v>19</v>
      </c>
      <c r="G41" s="61">
        <v>59</v>
      </c>
      <c r="H41" s="61" t="str">
        <f t="shared" si="278"/>
        <v>11000000010110001101101101011001</v>
      </c>
      <c r="I41" s="61">
        <f t="shared" si="279"/>
        <v>15</v>
      </c>
      <c r="J41" s="61"/>
      <c r="K41" s="61"/>
      <c r="L41" s="62" t="str">
        <f>CONCATENATE(MID(H41,4,5),MID(H41,25,3),MID(H41,12,5),MID(H41,1,3),MID(H41,20,5),MID(H41,9,3),MID(H41,28,5),MID(H41,17,3))</f>
        <v>00000010110001101101101011001110</v>
      </c>
      <c r="M41" s="57" t="str">
        <f t="shared" si="38"/>
        <v>00000</v>
      </c>
      <c r="N41" s="26" t="str">
        <f t="shared" si="39"/>
        <v>11000</v>
      </c>
      <c r="O41" s="26" t="str">
        <f t="shared" si="40"/>
        <v>11011</v>
      </c>
      <c r="P41" s="26" t="str">
        <f t="shared" si="41"/>
        <v>11001</v>
      </c>
      <c r="Q41" s="101"/>
      <c r="R41" s="101"/>
      <c r="S41" s="101"/>
      <c r="T41" s="101"/>
      <c r="U41" s="63" t="str">
        <f t="shared" si="42"/>
        <v>0000</v>
      </c>
      <c r="V41" s="63" t="str">
        <f t="shared" si="43"/>
        <v>0010</v>
      </c>
      <c r="W41" s="63" t="str">
        <f t="shared" si="44"/>
        <v>1100</v>
      </c>
      <c r="X41" s="63" t="str">
        <f t="shared" si="45"/>
        <v>0110</v>
      </c>
      <c r="Y41" s="63" t="str">
        <f t="shared" si="46"/>
        <v>1101</v>
      </c>
      <c r="Z41" s="63" t="str">
        <f t="shared" si="47"/>
        <v>1010</v>
      </c>
      <c r="AA41" s="63" t="str">
        <f t="shared" si="48"/>
        <v>1100</v>
      </c>
      <c r="AB41" s="63" t="str">
        <f t="shared" si="49"/>
        <v>1110</v>
      </c>
      <c r="AC41" s="101"/>
      <c r="AD41" s="101"/>
      <c r="AE41" s="101"/>
      <c r="AF41" s="101"/>
      <c r="AG41" s="101"/>
      <c r="AH41" s="101"/>
      <c r="AI41" s="101"/>
      <c r="AJ41" s="101"/>
      <c r="AK41" s="62" t="str">
        <f t="shared" si="3"/>
        <v>0000001011000110</v>
      </c>
      <c r="AL41" s="62" t="str">
        <f t="shared" si="4"/>
        <v>1101101011001110</v>
      </c>
      <c r="AM41" s="101"/>
      <c r="AN41" s="101"/>
      <c r="AO41" s="60" t="str">
        <f>CONCATENATE(MID($L41,1,1)*MID($K40,1,1),MID($L41,2,1)*MID($K40,2,1),MID($L41,3,1)*MID($K40,3,1),MID($L41,4,1)*MID($K40,4,1),MID($L41,5,1)*MID($K40,5,1),MID($L41,6,1)*MID($K40,6,1),MID($L41,7,1)*MID($K40,7,1),MID($L41,8,1)*MID($K40,8,1),MID($L41,9,1)*MID($K40,1,1),MID($L41,10,1)*MID($K40,2,1),MID($L41,11,1)*MID($K40,3,1),MID($L41,12,1)*MID($K40,4,1),MID($L41,13,1)*MID($K40,5,1),MID($L41,14,1)*MID($K40,6,1),MID($L41,15,1)*MID($K40,7,1),MID($L41,16,1)*MID($K40,8,1),MID($L41,17,1)*MID($K40,1,1),MID($L41,18,1)*MID($K40,2,1),MID($L41,19,1)*MID($K40,3,1),MID($L41,20,1)*MID($K40,4,1),MID($L41,21,1)*MID($K40,5,1),MID($L41,22,1)*MID($K40,6,1),MID($L41,23,1)*MID($K40,7,1),MID($L41,24,1)*MID($K40,8,1),MID($L41,25,1)*MID($K40,1,1),MID($L41,26,1)*MID($K40,2,1),MID($L41,27,1)*MID($K40,3,1),MID($L41,28,1)*MID($K40,4,1),MID($L41,29,1)*MID($K40,5,1),MID($L41,30,1)*MID($K40,6,1),MID($L41,31,1)*MID($K40,7,1),MID($L41,32,1)*MID($K40,8,1))</f>
        <v>00000010110001101101101011001110</v>
      </c>
      <c r="AP41" s="62" t="str">
        <f t="shared" si="50"/>
        <v>00000010</v>
      </c>
      <c r="AQ41" s="62" t="str">
        <f t="shared" si="51"/>
        <v>11000110</v>
      </c>
      <c r="AR41" s="62" t="str">
        <f t="shared" si="52"/>
        <v>11011010</v>
      </c>
      <c r="AS41" s="62" t="str">
        <f t="shared" si="53"/>
        <v>11001110</v>
      </c>
      <c r="AT41" s="101"/>
      <c r="AU41" s="101"/>
      <c r="AV41" s="101"/>
      <c r="AW41" s="101"/>
      <c r="AX41" s="63" t="str">
        <f t="shared" si="54"/>
        <v>0000</v>
      </c>
      <c r="AY41" s="63" t="str">
        <f t="shared" si="55"/>
        <v>0010</v>
      </c>
      <c r="AZ41" s="63" t="str">
        <f t="shared" si="56"/>
        <v>1100</v>
      </c>
      <c r="BA41" s="63" t="str">
        <f t="shared" si="57"/>
        <v>0110</v>
      </c>
      <c r="BB41" s="63" t="str">
        <f t="shared" si="58"/>
        <v>1101</v>
      </c>
      <c r="BC41" s="63" t="str">
        <f t="shared" si="59"/>
        <v>1010</v>
      </c>
      <c r="BD41" s="63" t="str">
        <f t="shared" si="60"/>
        <v>1100</v>
      </c>
      <c r="BE41" s="63" t="str">
        <f t="shared" si="61"/>
        <v>1110</v>
      </c>
      <c r="BF41" s="101"/>
      <c r="BG41" s="101"/>
      <c r="BH41" s="101"/>
      <c r="BI41" s="101"/>
      <c r="BJ41" s="101"/>
      <c r="BK41" s="101"/>
      <c r="BL41" s="101"/>
      <c r="BM41" s="101"/>
      <c r="BN41" s="62" t="str">
        <f t="shared" si="6"/>
        <v>0000001011000110</v>
      </c>
      <c r="BO41" s="62" t="str">
        <f t="shared" si="7"/>
        <v>1101101011001110</v>
      </c>
      <c r="BP41" s="101"/>
      <c r="BQ41" s="101"/>
      <c r="BR41" s="60" t="str">
        <f>L41</f>
        <v>00000010110001101101101011001110</v>
      </c>
      <c r="BS41" s="62" t="str">
        <f t="shared" si="62"/>
        <v>00000010</v>
      </c>
      <c r="BT41" s="62" t="str">
        <f t="shared" si="63"/>
        <v>11000110</v>
      </c>
      <c r="BU41" s="62" t="str">
        <f t="shared" si="64"/>
        <v>11011010</v>
      </c>
      <c r="BV41" s="62" t="str">
        <f t="shared" si="65"/>
        <v>11001110</v>
      </c>
      <c r="BW41" s="101"/>
      <c r="BX41" s="101"/>
      <c r="BY41" s="101"/>
      <c r="BZ41" s="101"/>
      <c r="CA41" s="63" t="str">
        <f t="shared" si="66"/>
        <v>0000</v>
      </c>
      <c r="CB41" s="63" t="str">
        <f t="shared" si="67"/>
        <v>0010</v>
      </c>
      <c r="CC41" s="63" t="str">
        <f t="shared" si="68"/>
        <v>1100</v>
      </c>
      <c r="CD41" s="63" t="str">
        <f t="shared" si="69"/>
        <v>0110</v>
      </c>
      <c r="CE41" s="63" t="str">
        <f t="shared" si="70"/>
        <v>1101</v>
      </c>
      <c r="CF41" s="63" t="str">
        <f t="shared" si="71"/>
        <v>1010</v>
      </c>
      <c r="CG41" s="63" t="str">
        <f t="shared" si="72"/>
        <v>1100</v>
      </c>
      <c r="CH41" s="63" t="str">
        <f t="shared" si="73"/>
        <v>1110</v>
      </c>
      <c r="CI41" s="101"/>
      <c r="CJ41" s="101"/>
      <c r="CK41" s="101"/>
      <c r="CL41" s="101"/>
      <c r="CM41" s="101"/>
      <c r="CN41" s="101"/>
      <c r="CO41" s="101"/>
      <c r="CP41" s="101"/>
      <c r="CQ41" s="62" t="str">
        <f t="shared" si="9"/>
        <v>0000001011000110</v>
      </c>
      <c r="CR41" s="62" t="str">
        <f t="shared" si="10"/>
        <v>1101101011001110</v>
      </c>
      <c r="CS41" s="101"/>
      <c r="CT41" s="101"/>
      <c r="CU41" s="60" t="str">
        <f>AO41</f>
        <v>00000010110001101101101011001110</v>
      </c>
      <c r="CV41" s="62" t="str">
        <f t="shared" si="74"/>
        <v>00000010</v>
      </c>
      <c r="CW41" s="62" t="str">
        <f t="shared" si="75"/>
        <v>11000110</v>
      </c>
      <c r="CX41" s="62" t="str">
        <f t="shared" si="76"/>
        <v>11011010</v>
      </c>
      <c r="CY41" s="62" t="str">
        <f t="shared" si="77"/>
        <v>11001110</v>
      </c>
      <c r="CZ41" s="101"/>
      <c r="DA41" s="101"/>
      <c r="DB41" s="101"/>
      <c r="DC41" s="101"/>
      <c r="DD41" s="63" t="str">
        <f t="shared" si="78"/>
        <v>0000</v>
      </c>
      <c r="DE41" s="63" t="str">
        <f t="shared" si="79"/>
        <v>0010</v>
      </c>
      <c r="DF41" s="63" t="str">
        <f t="shared" si="80"/>
        <v>1100</v>
      </c>
      <c r="DG41" s="63" t="str">
        <f t="shared" si="81"/>
        <v>0110</v>
      </c>
      <c r="DH41" s="63" t="str">
        <f t="shared" si="82"/>
        <v>1101</v>
      </c>
      <c r="DI41" s="63" t="str">
        <f t="shared" si="83"/>
        <v>1010</v>
      </c>
      <c r="DJ41" s="63" t="str">
        <f t="shared" si="84"/>
        <v>1100</v>
      </c>
      <c r="DK41" s="63" t="str">
        <f t="shared" si="85"/>
        <v>1110</v>
      </c>
      <c r="DL41" s="101"/>
      <c r="DM41" s="101"/>
      <c r="DN41" s="101"/>
      <c r="DO41" s="101"/>
      <c r="DP41" s="101"/>
      <c r="DQ41" s="101"/>
      <c r="DR41" s="101"/>
      <c r="DS41" s="101"/>
      <c r="DT41" s="62" t="str">
        <f t="shared" si="12"/>
        <v>0000001011000110</v>
      </c>
      <c r="DU41" s="62" t="str">
        <f t="shared" si="13"/>
        <v>1101101011001110</v>
      </c>
      <c r="DV41" s="101"/>
      <c r="DW41" s="101"/>
      <c r="DX41" s="60" t="str">
        <f>CONCATENATE(MID($H41,1,1)*MID($K40,1,1),MID($H41,2,1)*MID($K40,2,1),MID($H41,3,1)*MID($K40,3,1),MID($H41,4,1)*MID($K40,4,1),MID($H41,5,1)*MID($K40,5,1),MID($H41,6,1)*MID($K40,6,1),MID($H41,7,1)*MID($K40,7,1),MID($H41,8,1)*MID($K40,8,1),MID($H41,9,1)*MID($K40,1,1),MID($H41,10,1)*MID($K40,2,1),MID($H41,11,1)*MID($K40,3,1),MID($H41,12,1)*MID($K40,4,1),MID($H41,13,1)*MID($K40,5,1),MID($H41,14,1)*MID($K40,6,1),MID($H41,15,1)*MID($K40,7,1),MID($H41,16,1)*MID($K40,8,1),MID($H41,17,1)*MID($K40,1,1),MID($H41,18,1)*MID($K40,2,1),MID($H41,19,1)*MID($K40,3,1),MID($H41,20,1)*MID($K40,4,1),MID($H41,21,1)*MID($K40,5,1),MID($H41,22,1)*MID($K40,6,1),MID($H41,23,1)*MID($K40,7,1),MID($H41,24,1)*MID($K40,8,1),MID($H41,25,1)*MID($K40,1,1),MID($H41,26,1)*MID($K40,2,1),MID($H41,27,1)*MID($K40,3,1),MID($H41,28,1)*MID($K40,4,1),MID($H41,29,1)*MID($K40,5,1),MID($H41,30,1)*MID($K40,6,1),MID($H41,31,1)*MID($K40,7,1),MID($H41,32,1)*MID($K40,8,1))</f>
        <v>11000000010110001101101101011001</v>
      </c>
      <c r="DY41" s="62" t="str">
        <f>CONCATENATE(MID(DX41,4,5),MID(DX41,25,3),MID(DX41,12,5),MID(DX41,1,3),MID(DX41,20,5),MID(DX41,9,3),MID(DX41,28,5),MID(DX41,17,3))</f>
        <v>00000010110001101101101011001110</v>
      </c>
      <c r="DZ41" s="62" t="str">
        <f t="shared" si="178"/>
        <v>00000010</v>
      </c>
      <c r="EA41" s="62" t="str">
        <f t="shared" si="86"/>
        <v>11000110</v>
      </c>
      <c r="EB41" s="62" t="str">
        <f t="shared" si="87"/>
        <v>11011010</v>
      </c>
      <c r="EC41" s="62" t="str">
        <f t="shared" si="88"/>
        <v>11001110</v>
      </c>
      <c r="ED41" s="101"/>
      <c r="EE41" s="101"/>
      <c r="EF41" s="101"/>
      <c r="EG41" s="101"/>
      <c r="EH41" s="63" t="str">
        <f t="shared" si="89"/>
        <v>0000</v>
      </c>
      <c r="EI41" s="63" t="str">
        <f t="shared" si="90"/>
        <v>0010</v>
      </c>
      <c r="EJ41" s="63" t="str">
        <f t="shared" si="91"/>
        <v>1100</v>
      </c>
      <c r="EK41" s="63" t="str">
        <f t="shared" si="92"/>
        <v>0110</v>
      </c>
      <c r="EL41" s="63" t="str">
        <f t="shared" si="93"/>
        <v>1101</v>
      </c>
      <c r="EM41" s="63" t="str">
        <f t="shared" si="94"/>
        <v>1010</v>
      </c>
      <c r="EN41" s="63" t="str">
        <f t="shared" si="95"/>
        <v>1100</v>
      </c>
      <c r="EO41" s="63" t="str">
        <f t="shared" si="96"/>
        <v>1110</v>
      </c>
      <c r="EP41" s="101"/>
      <c r="EQ41" s="101"/>
      <c r="ER41" s="101"/>
      <c r="ES41" s="101"/>
      <c r="ET41" s="101"/>
      <c r="EU41" s="101"/>
      <c r="EV41" s="101"/>
      <c r="EW41" s="101"/>
      <c r="EX41" s="62" t="str">
        <f t="shared" si="15"/>
        <v>0000001011000110</v>
      </c>
      <c r="EY41" s="62" t="str">
        <f t="shared" si="16"/>
        <v>1101101011001110</v>
      </c>
      <c r="EZ41" s="101"/>
      <c r="FA41" s="101"/>
      <c r="FB41" s="60" t="str">
        <f>CONCATENATE(MID(DY41,1,1)*MID($K40,1,1),MID(DY41,2,1)*MID($K40,2,1),MID(DY41,3,1)*MID($K40,3,1),MID(DY41,4,1)*MID($K40,4,1),MID(DY41,5,1)*MID($K40,5,1),MID(DY41,6,1)*MID($K40,6,1),MID(DY41,7,1)*MID($K40,7,1),MID(DY41,8,1)*MID($K40,8,1),MID(DY41,9,1)*MID($K40,1,1),MID(DY41,10,1)*MID($K40,2,1),MID(DY41,11,1)*MID($K40,3,1),MID(DY41,12,1)*MID($K40,4,1),MID(DY41,13,1)*MID($K40,5,1),MID(DY41,14,1)*MID($K40,6,1),MID(DY41,15,1)*MID($K40,7,1),MID(DY41,16,1)*MID($K40,8,1),MID(DY41,17,1)*MID($K40,1,1),MID(DY41,18,1)*MID($K40,2,1),MID(DY41,19,1)*MID($K40,3,1),MID(DY41,20,1)*MID($K40,4,1),MID(DY41,21,1)*MID($K40,5,1),MID(DY41,22,1)*MID($K40,6,1),MID(DY41,23,1)*MID($K40,7,1),MID(DY41,24,1)*MID($K40,8,1),MID(DY41,25,1)*MID($K40,1,1),MID(DY41,26,1)*MID($K40,2,1),MID(DY41,27,1)*MID($K40,3,1),MID(DY41,28,1)*MID($K40,4,1),MID(DY41,29,1)*MID($K40,5,1),MID(DY41,30,1)*MID($K40,6,1),MID(DY41,31,1)*MID($K40,7,1),MID(DY41,32,1)*MID($K40,8,1))</f>
        <v>00000010110001101101101011001110</v>
      </c>
      <c r="FC41" s="62" t="str">
        <f t="shared" si="180"/>
        <v>00000010</v>
      </c>
      <c r="FD41" s="62" t="str">
        <f t="shared" si="97"/>
        <v>11000110</v>
      </c>
      <c r="FE41" s="62" t="str">
        <f t="shared" si="98"/>
        <v>11011010</v>
      </c>
      <c r="FF41" s="62" t="str">
        <f t="shared" si="99"/>
        <v>11001110</v>
      </c>
      <c r="FG41" s="101"/>
      <c r="FH41" s="101"/>
      <c r="FI41" s="101"/>
      <c r="FJ41" s="101"/>
      <c r="FK41" s="63" t="str">
        <f t="shared" si="100"/>
        <v>0000</v>
      </c>
      <c r="FL41" s="63" t="str">
        <f t="shared" si="101"/>
        <v>0010</v>
      </c>
      <c r="FM41" s="63" t="str">
        <f t="shared" si="102"/>
        <v>1100</v>
      </c>
      <c r="FN41" s="63" t="str">
        <f t="shared" si="103"/>
        <v>0110</v>
      </c>
      <c r="FO41" s="63" t="str">
        <f t="shared" si="104"/>
        <v>1101</v>
      </c>
      <c r="FP41" s="63" t="str">
        <f t="shared" si="105"/>
        <v>1010</v>
      </c>
      <c r="FQ41" s="63" t="str">
        <f t="shared" si="106"/>
        <v>1100</v>
      </c>
      <c r="FR41" s="63" t="str">
        <f t="shared" si="107"/>
        <v>1110</v>
      </c>
      <c r="FS41" s="101"/>
      <c r="FT41" s="101"/>
      <c r="FU41" s="101"/>
      <c r="FV41" s="101"/>
      <c r="FW41" s="101"/>
      <c r="FX41" s="101"/>
      <c r="FY41" s="101"/>
      <c r="FZ41" s="101"/>
      <c r="GA41" s="62" t="str">
        <f t="shared" si="18"/>
        <v>0000001011000110</v>
      </c>
      <c r="GB41" s="62" t="str">
        <f t="shared" si="19"/>
        <v>1101101011001110</v>
      </c>
      <c r="GC41" s="101"/>
      <c r="GD41" s="101"/>
      <c r="GE41" s="63" t="str">
        <f>DY41</f>
        <v>00000010110001101101101011001110</v>
      </c>
      <c r="GF41" s="62" t="str">
        <f t="shared" si="182"/>
        <v>00000010</v>
      </c>
      <c r="GG41" s="62" t="str">
        <f t="shared" si="108"/>
        <v>11000110</v>
      </c>
      <c r="GH41" s="62" t="str">
        <f t="shared" si="109"/>
        <v>11011010</v>
      </c>
      <c r="GI41" s="62" t="str">
        <f t="shared" si="110"/>
        <v>11001110</v>
      </c>
      <c r="GJ41" s="101"/>
      <c r="GK41" s="101"/>
      <c r="GL41" s="101"/>
      <c r="GM41" s="101"/>
      <c r="GN41" s="63" t="str">
        <f t="shared" si="111"/>
        <v>0000</v>
      </c>
      <c r="GO41" s="63" t="str">
        <f t="shared" si="112"/>
        <v>0010</v>
      </c>
      <c r="GP41" s="63" t="str">
        <f t="shared" si="113"/>
        <v>1100</v>
      </c>
      <c r="GQ41" s="63" t="str">
        <f t="shared" si="114"/>
        <v>0110</v>
      </c>
      <c r="GR41" s="63" t="str">
        <f t="shared" si="115"/>
        <v>1101</v>
      </c>
      <c r="GS41" s="63" t="str">
        <f t="shared" si="116"/>
        <v>1010</v>
      </c>
      <c r="GT41" s="63" t="str">
        <f t="shared" si="117"/>
        <v>1100</v>
      </c>
      <c r="GU41" s="63" t="str">
        <f t="shared" si="118"/>
        <v>1110</v>
      </c>
      <c r="GV41" s="101"/>
      <c r="GW41" s="101"/>
      <c r="GX41" s="101"/>
      <c r="GY41" s="101"/>
      <c r="GZ41" s="101"/>
      <c r="HA41" s="101"/>
      <c r="HB41" s="101"/>
      <c r="HC41" s="101"/>
      <c r="HD41" s="62" t="str">
        <f t="shared" si="21"/>
        <v>0000001011000110</v>
      </c>
      <c r="HE41" s="62" t="str">
        <f t="shared" si="22"/>
        <v>1101101011001110</v>
      </c>
      <c r="HF41" s="101"/>
      <c r="HG41" s="101"/>
      <c r="HH41" s="63" t="str">
        <f>FB41</f>
        <v>00000010110001101101101011001110</v>
      </c>
      <c r="HI41" s="62" t="str">
        <f t="shared" si="184"/>
        <v>00000010</v>
      </c>
      <c r="HJ41" s="62" t="str">
        <f t="shared" si="119"/>
        <v>11000110</v>
      </c>
      <c r="HK41" s="62" t="str">
        <f t="shared" si="120"/>
        <v>11011010</v>
      </c>
      <c r="HL41" s="62" t="str">
        <f t="shared" si="121"/>
        <v>11001110</v>
      </c>
      <c r="HM41" s="101"/>
      <c r="HN41" s="101"/>
      <c r="HO41" s="101"/>
      <c r="HP41" s="101"/>
      <c r="HQ41" s="63" t="str">
        <f t="shared" si="122"/>
        <v>0000</v>
      </c>
      <c r="HR41" s="63" t="str">
        <f t="shared" si="123"/>
        <v>0010</v>
      </c>
      <c r="HS41" s="63" t="str">
        <f t="shared" si="124"/>
        <v>1100</v>
      </c>
      <c r="HT41" s="63" t="str">
        <f t="shared" si="125"/>
        <v>0110</v>
      </c>
      <c r="HU41" s="63" t="str">
        <f t="shared" si="126"/>
        <v>1101</v>
      </c>
      <c r="HV41" s="63" t="str">
        <f t="shared" si="127"/>
        <v>1010</v>
      </c>
      <c r="HW41" s="63" t="str">
        <f t="shared" si="128"/>
        <v>1100</v>
      </c>
      <c r="HX41" s="63" t="str">
        <f t="shared" si="129"/>
        <v>1110</v>
      </c>
      <c r="HY41" s="101"/>
      <c r="HZ41" s="101"/>
      <c r="IA41" s="101"/>
      <c r="IB41" s="101"/>
      <c r="IC41" s="101"/>
      <c r="ID41" s="101"/>
      <c r="IE41" s="101"/>
      <c r="IF41" s="101"/>
      <c r="IG41" s="62" t="str">
        <f t="shared" si="24"/>
        <v>0000001011000110</v>
      </c>
      <c r="IH41" s="62" t="str">
        <f t="shared" si="25"/>
        <v>1101101011001110</v>
      </c>
      <c r="II41" s="101"/>
      <c r="IJ41" s="101"/>
      <c r="IK41" s="62" t="str">
        <f>L41</f>
        <v>00000010110001101101101011001110</v>
      </c>
      <c r="IL41" s="62" t="str">
        <f t="shared" si="186"/>
        <v>00000010</v>
      </c>
      <c r="IM41" s="62" t="str">
        <f t="shared" si="130"/>
        <v>11000110</v>
      </c>
      <c r="IN41" s="62" t="str">
        <f t="shared" si="131"/>
        <v>11011010</v>
      </c>
      <c r="IO41" s="62" t="str">
        <f t="shared" si="132"/>
        <v>11001110</v>
      </c>
      <c r="IP41" s="101"/>
      <c r="IQ41" s="101"/>
      <c r="IR41" s="101"/>
      <c r="IS41" s="101"/>
      <c r="IT41" s="63" t="str">
        <f t="shared" si="133"/>
        <v>0000</v>
      </c>
      <c r="IU41" s="63" t="str">
        <f t="shared" si="134"/>
        <v>0010</v>
      </c>
      <c r="IV41" s="63" t="str">
        <f t="shared" si="135"/>
        <v>1100</v>
      </c>
      <c r="IW41" s="63" t="str">
        <f t="shared" si="136"/>
        <v>0110</v>
      </c>
      <c r="IX41" s="63" t="str">
        <f t="shared" si="137"/>
        <v>1101</v>
      </c>
      <c r="IY41" s="63" t="str">
        <f t="shared" si="138"/>
        <v>1010</v>
      </c>
      <c r="IZ41" s="63" t="str">
        <f t="shared" si="139"/>
        <v>1100</v>
      </c>
      <c r="JA41" s="63" t="str">
        <f t="shared" si="140"/>
        <v>1110</v>
      </c>
      <c r="JB41" s="101"/>
      <c r="JC41" s="101"/>
      <c r="JD41" s="101"/>
      <c r="JE41" s="101"/>
      <c r="JF41" s="101"/>
      <c r="JG41" s="101"/>
      <c r="JH41" s="101"/>
      <c r="JI41" s="101"/>
      <c r="JJ41" s="62" t="str">
        <f t="shared" si="27"/>
        <v>0000001011000110</v>
      </c>
      <c r="JK41" s="62" t="str">
        <f t="shared" si="28"/>
        <v>1101101011001110</v>
      </c>
      <c r="JL41" s="101"/>
      <c r="JM41" s="101"/>
      <c r="JN41" s="60" t="str">
        <f>L41</f>
        <v>00000010110001101101101011001110</v>
      </c>
      <c r="JO41" s="62" t="str">
        <f t="shared" si="188"/>
        <v>00000010</v>
      </c>
      <c r="JP41" s="62" t="str">
        <f t="shared" si="141"/>
        <v>11000110</v>
      </c>
      <c r="JQ41" s="62" t="str">
        <f t="shared" si="142"/>
        <v>11011010</v>
      </c>
      <c r="JR41" s="62" t="str">
        <f t="shared" si="143"/>
        <v>11001110</v>
      </c>
      <c r="JS41" s="101"/>
      <c r="JT41" s="101"/>
      <c r="JU41" s="101"/>
      <c r="JV41" s="101"/>
      <c r="JW41" s="63" t="str">
        <f t="shared" si="144"/>
        <v>0000</v>
      </c>
      <c r="JX41" s="63" t="str">
        <f t="shared" si="145"/>
        <v>0010</v>
      </c>
      <c r="JY41" s="63" t="str">
        <f t="shared" si="146"/>
        <v>1100</v>
      </c>
      <c r="JZ41" s="63" t="str">
        <f t="shared" si="147"/>
        <v>0110</v>
      </c>
      <c r="KA41" s="63" t="str">
        <f t="shared" si="148"/>
        <v>1101</v>
      </c>
      <c r="KB41" s="63" t="str">
        <f t="shared" si="149"/>
        <v>1010</v>
      </c>
      <c r="KC41" s="63" t="str">
        <f t="shared" si="150"/>
        <v>1100</v>
      </c>
      <c r="KD41" s="63" t="str">
        <f t="shared" si="151"/>
        <v>1110</v>
      </c>
      <c r="KE41" s="101"/>
      <c r="KF41" s="101"/>
      <c r="KG41" s="101"/>
      <c r="KH41" s="101"/>
      <c r="KI41" s="101"/>
      <c r="KJ41" s="101"/>
      <c r="KK41" s="101"/>
      <c r="KL41" s="101"/>
      <c r="KM41" s="62" t="str">
        <f t="shared" si="30"/>
        <v>0000001011000110</v>
      </c>
      <c r="KN41" s="62" t="str">
        <f t="shared" si="31"/>
        <v>1101101011001110</v>
      </c>
      <c r="KO41" s="101"/>
      <c r="KP41" s="101"/>
      <c r="KQ41" s="63" t="str">
        <f>AO41</f>
        <v>00000010110001101101101011001110</v>
      </c>
      <c r="KR41" s="62" t="str">
        <f t="shared" si="190"/>
        <v>00000010</v>
      </c>
      <c r="KS41" s="62" t="str">
        <f t="shared" si="152"/>
        <v>11000110</v>
      </c>
      <c r="KT41" s="62" t="str">
        <f t="shared" si="153"/>
        <v>11011010</v>
      </c>
      <c r="KU41" s="62" t="str">
        <f t="shared" si="154"/>
        <v>11001110</v>
      </c>
      <c r="KV41" s="101"/>
      <c r="KW41" s="101"/>
      <c r="KX41" s="101"/>
      <c r="KY41" s="101"/>
      <c r="KZ41" s="63" t="str">
        <f t="shared" si="155"/>
        <v>0000</v>
      </c>
      <c r="LA41" s="63" t="str">
        <f t="shared" si="156"/>
        <v>0010</v>
      </c>
      <c r="LB41" s="63" t="str">
        <f t="shared" si="157"/>
        <v>1100</v>
      </c>
      <c r="LC41" s="63" t="str">
        <f t="shared" si="158"/>
        <v>0110</v>
      </c>
      <c r="LD41" s="63" t="str">
        <f t="shared" si="159"/>
        <v>1101</v>
      </c>
      <c r="LE41" s="63" t="str">
        <f t="shared" si="160"/>
        <v>1010</v>
      </c>
      <c r="LF41" s="63" t="str">
        <f t="shared" si="161"/>
        <v>1100</v>
      </c>
      <c r="LG41" s="63" t="str">
        <f t="shared" si="162"/>
        <v>1110</v>
      </c>
      <c r="LH41" s="101"/>
      <c r="LI41" s="101"/>
      <c r="LJ41" s="101"/>
      <c r="LK41" s="101"/>
      <c r="LL41" s="101"/>
      <c r="LM41" s="101"/>
      <c r="LN41" s="101"/>
      <c r="LO41" s="101"/>
      <c r="LP41" s="62" t="str">
        <f t="shared" si="33"/>
        <v>0000001011000110</v>
      </c>
      <c r="LQ41" s="62" t="str">
        <f t="shared" si="34"/>
        <v>1101101011001110</v>
      </c>
      <c r="LR41" s="101"/>
      <c r="LS41" s="101"/>
      <c r="LT41" s="63" t="str">
        <f>GE41</f>
        <v>00000010110001101101101011001110</v>
      </c>
      <c r="LU41" s="62" t="str">
        <f t="shared" si="192"/>
        <v>00000010</v>
      </c>
      <c r="LV41" s="62" t="str">
        <f t="shared" si="163"/>
        <v>11000110</v>
      </c>
      <c r="LW41" s="62" t="str">
        <f t="shared" si="164"/>
        <v>11011010</v>
      </c>
      <c r="LX41" s="62" t="str">
        <f t="shared" si="165"/>
        <v>11001110</v>
      </c>
      <c r="LY41" s="101"/>
      <c r="LZ41" s="101"/>
      <c r="MA41" s="101"/>
      <c r="MB41" s="101"/>
      <c r="MC41" s="63" t="str">
        <f t="shared" si="166"/>
        <v>0000</v>
      </c>
      <c r="MD41" s="63" t="str">
        <f t="shared" si="167"/>
        <v>0010</v>
      </c>
      <c r="ME41" s="63" t="str">
        <f t="shared" si="168"/>
        <v>1100</v>
      </c>
      <c r="MF41" s="63" t="str">
        <f t="shared" si="169"/>
        <v>0110</v>
      </c>
      <c r="MG41" s="63" t="str">
        <f t="shared" si="170"/>
        <v>1101</v>
      </c>
      <c r="MH41" s="63" t="str">
        <f t="shared" si="171"/>
        <v>1010</v>
      </c>
      <c r="MI41" s="63" t="str">
        <f t="shared" si="172"/>
        <v>1100</v>
      </c>
      <c r="MJ41" s="63" t="str">
        <f t="shared" si="173"/>
        <v>1110</v>
      </c>
      <c r="MK41" s="101"/>
      <c r="ML41" s="101"/>
      <c r="MM41" s="101"/>
      <c r="MN41" s="101"/>
      <c r="MO41" s="101"/>
      <c r="MP41" s="101"/>
      <c r="MQ41" s="101"/>
      <c r="MR41" s="101"/>
      <c r="MS41" s="62" t="str">
        <f t="shared" si="36"/>
        <v>0000001011000110</v>
      </c>
      <c r="MT41" s="62" t="str">
        <f t="shared" si="37"/>
        <v>1101101011001110</v>
      </c>
      <c r="MU41" s="101"/>
      <c r="MV41" s="101"/>
    </row>
  </sheetData>
  <mergeCells count="3434">
    <mergeCell ref="AP1:AS1"/>
    <mergeCell ref="AT1:AW1"/>
    <mergeCell ref="AX1:BE1"/>
    <mergeCell ref="BF1:BM1"/>
    <mergeCell ref="BN1:BO1"/>
    <mergeCell ref="BP1:BQ1"/>
    <mergeCell ref="M1:P1"/>
    <mergeCell ref="Q1:T1"/>
    <mergeCell ref="U1:AB1"/>
    <mergeCell ref="AC1:AJ1"/>
    <mergeCell ref="AK1:AL1"/>
    <mergeCell ref="AM1:AN1"/>
    <mergeCell ref="DZ1:EC1"/>
    <mergeCell ref="ED1:EG1"/>
    <mergeCell ref="EH1:EO1"/>
    <mergeCell ref="EP1:EW1"/>
    <mergeCell ref="EX1:EY1"/>
    <mergeCell ref="EZ1:FA1"/>
    <mergeCell ref="CV1:CY1"/>
    <mergeCell ref="CZ1:DC1"/>
    <mergeCell ref="DD1:DK1"/>
    <mergeCell ref="DL1:DS1"/>
    <mergeCell ref="DT1:DU1"/>
    <mergeCell ref="DV1:DW1"/>
    <mergeCell ref="BS1:BV1"/>
    <mergeCell ref="BW1:BZ1"/>
    <mergeCell ref="CA1:CH1"/>
    <mergeCell ref="CI1:CP1"/>
    <mergeCell ref="CQ1:CR1"/>
    <mergeCell ref="CS1:CT1"/>
    <mergeCell ref="HI1:HL1"/>
    <mergeCell ref="HM1:HP1"/>
    <mergeCell ref="HQ1:HX1"/>
    <mergeCell ref="HY1:IF1"/>
    <mergeCell ref="IG1:IH1"/>
    <mergeCell ref="II1:IJ1"/>
    <mergeCell ref="GF1:GI1"/>
    <mergeCell ref="GJ1:GM1"/>
    <mergeCell ref="GN1:GU1"/>
    <mergeCell ref="GV1:HC1"/>
    <mergeCell ref="HD1:HE1"/>
    <mergeCell ref="HF1:HG1"/>
    <mergeCell ref="FC1:FF1"/>
    <mergeCell ref="FG1:FJ1"/>
    <mergeCell ref="FK1:FR1"/>
    <mergeCell ref="FS1:FZ1"/>
    <mergeCell ref="GA1:GB1"/>
    <mergeCell ref="GC1:GD1"/>
    <mergeCell ref="AI2:AI3"/>
    <mergeCell ref="AJ2:AJ3"/>
    <mergeCell ref="AM2:AM3"/>
    <mergeCell ref="AN2:AN3"/>
    <mergeCell ref="AT2:AT3"/>
    <mergeCell ref="AU2:AU3"/>
    <mergeCell ref="CJ2:CJ3"/>
    <mergeCell ref="DL2:DL3"/>
    <mergeCell ref="DM2:DM3"/>
    <mergeCell ref="DN2:DN3"/>
    <mergeCell ref="DO2:DO3"/>
    <mergeCell ref="DP2:DP3"/>
    <mergeCell ref="DQ2:DQ3"/>
    <mergeCell ref="CS2:CS3"/>
    <mergeCell ref="CT2:CT3"/>
    <mergeCell ref="CZ2:CZ3"/>
    <mergeCell ref="DA2:DA3"/>
    <mergeCell ref="DB2:DB3"/>
    <mergeCell ref="AC2:AC3"/>
    <mergeCell ref="AD2:AD3"/>
    <mergeCell ref="AE2:AE3"/>
    <mergeCell ref="AF2:AF3"/>
    <mergeCell ref="AG2:AG3"/>
    <mergeCell ref="AH2:AH3"/>
    <mergeCell ref="J2:J3"/>
    <mergeCell ref="K2:K3"/>
    <mergeCell ref="Q2:Q3"/>
    <mergeCell ref="R2:R3"/>
    <mergeCell ref="S2:S3"/>
    <mergeCell ref="T2:T3"/>
    <mergeCell ref="BW2:BW3"/>
    <mergeCell ref="BX2:BX3"/>
    <mergeCell ref="BY2:BY3"/>
    <mergeCell ref="BZ2:BZ3"/>
    <mergeCell ref="CI2:CI3"/>
    <mergeCell ref="BJ2:BJ3"/>
    <mergeCell ref="BK2:BK3"/>
    <mergeCell ref="BL2:BL3"/>
    <mergeCell ref="BM2:BM3"/>
    <mergeCell ref="BP2:BP3"/>
    <mergeCell ref="BQ2:BQ3"/>
    <mergeCell ref="AV2:AV3"/>
    <mergeCell ref="AW2:AW3"/>
    <mergeCell ref="BF2:BF3"/>
    <mergeCell ref="BG2:BG3"/>
    <mergeCell ref="BH2:BH3"/>
    <mergeCell ref="BI2:BI3"/>
    <mergeCell ref="DC2:DC3"/>
    <mergeCell ref="CK2:CK3"/>
    <mergeCell ref="CL2:CL3"/>
    <mergeCell ref="CM2:CM3"/>
    <mergeCell ref="CN2:CN3"/>
    <mergeCell ref="CO2:CO3"/>
    <mergeCell ref="CP2:CP3"/>
    <mergeCell ref="FJ2:FJ3"/>
    <mergeCell ref="FS2:FS3"/>
    <mergeCell ref="FT2:FT3"/>
    <mergeCell ref="ET2:ET3"/>
    <mergeCell ref="EU2:EU3"/>
    <mergeCell ref="EV2:EV3"/>
    <mergeCell ref="EW2:EW3"/>
    <mergeCell ref="EZ2:EZ3"/>
    <mergeCell ref="FA2:FA3"/>
    <mergeCell ref="EF2:EF3"/>
    <mergeCell ref="EG2:EG3"/>
    <mergeCell ref="EP2:EP3"/>
    <mergeCell ref="EQ2:EQ3"/>
    <mergeCell ref="ER2:ER3"/>
    <mergeCell ref="ES2:ES3"/>
    <mergeCell ref="DR2:DR3"/>
    <mergeCell ref="DS2:DS3"/>
    <mergeCell ref="DV2:DV3"/>
    <mergeCell ref="DW2:DW3"/>
    <mergeCell ref="ED2:ED3"/>
    <mergeCell ref="EE2:EE3"/>
    <mergeCell ref="IJ2:IJ3"/>
    <mergeCell ref="HO2:HO3"/>
    <mergeCell ref="HP2:HP3"/>
    <mergeCell ref="HY2:HY3"/>
    <mergeCell ref="HZ2:HZ3"/>
    <mergeCell ref="IA2:IA3"/>
    <mergeCell ref="IB2:IB3"/>
    <mergeCell ref="HB2:HB3"/>
    <mergeCell ref="HC2:HC3"/>
    <mergeCell ref="HF2:HF3"/>
    <mergeCell ref="HG2:HG3"/>
    <mergeCell ref="HM2:HM3"/>
    <mergeCell ref="HN2:HN3"/>
    <mergeCell ref="GV2:GV3"/>
    <mergeCell ref="GW2:GW3"/>
    <mergeCell ref="GX2:GX3"/>
    <mergeCell ref="GY2:GY3"/>
    <mergeCell ref="GZ2:GZ3"/>
    <mergeCell ref="HA2:HA3"/>
    <mergeCell ref="AE4:AE5"/>
    <mergeCell ref="AF4:AF5"/>
    <mergeCell ref="AG4:AG5"/>
    <mergeCell ref="AH4:AH5"/>
    <mergeCell ref="AI4:AI5"/>
    <mergeCell ref="AJ4:AJ5"/>
    <mergeCell ref="Q4:Q5"/>
    <mergeCell ref="R4:R5"/>
    <mergeCell ref="S4:S5"/>
    <mergeCell ref="T4:T5"/>
    <mergeCell ref="AC4:AC5"/>
    <mergeCell ref="AD4:AD5"/>
    <mergeCell ref="IC2:IC3"/>
    <mergeCell ref="ID2:ID3"/>
    <mergeCell ref="IE2:IE3"/>
    <mergeCell ref="IF2:IF3"/>
    <mergeCell ref="II2:II3"/>
    <mergeCell ref="GC2:GC3"/>
    <mergeCell ref="GD2:GD3"/>
    <mergeCell ref="GJ2:GJ3"/>
    <mergeCell ref="GK2:GK3"/>
    <mergeCell ref="GL2:GL3"/>
    <mergeCell ref="GM2:GM3"/>
    <mergeCell ref="FU2:FU3"/>
    <mergeCell ref="FV2:FV3"/>
    <mergeCell ref="FW2:FW3"/>
    <mergeCell ref="FX2:FX3"/>
    <mergeCell ref="FY2:FY3"/>
    <mergeCell ref="FZ2:FZ3"/>
    <mergeCell ref="FG2:FG3"/>
    <mergeCell ref="FH2:FH3"/>
    <mergeCell ref="FI2:FI3"/>
    <mergeCell ref="BL4:BL5"/>
    <mergeCell ref="BM4:BM5"/>
    <mergeCell ref="BP4:BP5"/>
    <mergeCell ref="BQ4:BQ5"/>
    <mergeCell ref="BW4:BW5"/>
    <mergeCell ref="BX4:BX5"/>
    <mergeCell ref="BF4:BF5"/>
    <mergeCell ref="BG4:BG5"/>
    <mergeCell ref="BH4:BH5"/>
    <mergeCell ref="BI4:BI5"/>
    <mergeCell ref="BJ4:BJ5"/>
    <mergeCell ref="BK4:BK5"/>
    <mergeCell ref="AM4:AM5"/>
    <mergeCell ref="AN4:AN5"/>
    <mergeCell ref="AT4:AT5"/>
    <mergeCell ref="AU4:AU5"/>
    <mergeCell ref="AV4:AV5"/>
    <mergeCell ref="AW4:AW5"/>
    <mergeCell ref="CZ4:CZ5"/>
    <mergeCell ref="DA4:DA5"/>
    <mergeCell ref="DB4:DB5"/>
    <mergeCell ref="DC4:DC5"/>
    <mergeCell ref="DL4:DL5"/>
    <mergeCell ref="DM4:DM5"/>
    <mergeCell ref="CM4:CM5"/>
    <mergeCell ref="CN4:CN5"/>
    <mergeCell ref="CO4:CO5"/>
    <mergeCell ref="CP4:CP5"/>
    <mergeCell ref="CS4:CS5"/>
    <mergeCell ref="CT4:CT5"/>
    <mergeCell ref="BY4:BY5"/>
    <mergeCell ref="BZ4:BZ5"/>
    <mergeCell ref="CI4:CI5"/>
    <mergeCell ref="CJ4:CJ5"/>
    <mergeCell ref="CK4:CK5"/>
    <mergeCell ref="CL4:CL5"/>
    <mergeCell ref="EP4:EP5"/>
    <mergeCell ref="EQ4:EQ5"/>
    <mergeCell ref="ER4:ER5"/>
    <mergeCell ref="ES4:ES5"/>
    <mergeCell ref="ET4:ET5"/>
    <mergeCell ref="EU4:EU5"/>
    <mergeCell ref="DV4:DV5"/>
    <mergeCell ref="DW4:DW5"/>
    <mergeCell ref="ED4:ED5"/>
    <mergeCell ref="EE4:EE5"/>
    <mergeCell ref="EF4:EF5"/>
    <mergeCell ref="EG4:EG5"/>
    <mergeCell ref="DN4:DN5"/>
    <mergeCell ref="DO4:DO5"/>
    <mergeCell ref="DP4:DP5"/>
    <mergeCell ref="DQ4:DQ5"/>
    <mergeCell ref="DR4:DR5"/>
    <mergeCell ref="DS4:DS5"/>
    <mergeCell ref="GV4:GV5"/>
    <mergeCell ref="GW4:GW5"/>
    <mergeCell ref="FW4:FW5"/>
    <mergeCell ref="FX4:FX5"/>
    <mergeCell ref="FY4:FY5"/>
    <mergeCell ref="FZ4:FZ5"/>
    <mergeCell ref="GC4:GC5"/>
    <mergeCell ref="GD4:GD5"/>
    <mergeCell ref="FI4:FI5"/>
    <mergeCell ref="FJ4:FJ5"/>
    <mergeCell ref="FS4:FS5"/>
    <mergeCell ref="FT4:FT5"/>
    <mergeCell ref="FU4:FU5"/>
    <mergeCell ref="FV4:FV5"/>
    <mergeCell ref="EV4:EV5"/>
    <mergeCell ref="EW4:EW5"/>
    <mergeCell ref="EZ4:EZ5"/>
    <mergeCell ref="FA4:FA5"/>
    <mergeCell ref="FG4:FG5"/>
    <mergeCell ref="FH4:FH5"/>
    <mergeCell ref="IE4:IE5"/>
    <mergeCell ref="IF4:IF5"/>
    <mergeCell ref="II4:II5"/>
    <mergeCell ref="IJ4:IJ5"/>
    <mergeCell ref="Q6:Q7"/>
    <mergeCell ref="R6:R7"/>
    <mergeCell ref="S6:S7"/>
    <mergeCell ref="T6:T7"/>
    <mergeCell ref="AC6:AC7"/>
    <mergeCell ref="AD6:AD7"/>
    <mergeCell ref="HY4:HY5"/>
    <mergeCell ref="HZ4:HZ5"/>
    <mergeCell ref="IA4:IA5"/>
    <mergeCell ref="IB4:IB5"/>
    <mergeCell ref="IC4:IC5"/>
    <mergeCell ref="ID4:ID5"/>
    <mergeCell ref="HF4:HF5"/>
    <mergeCell ref="HG4:HG5"/>
    <mergeCell ref="HM4:HM5"/>
    <mergeCell ref="HN4:HN5"/>
    <mergeCell ref="HO4:HO5"/>
    <mergeCell ref="HP4:HP5"/>
    <mergeCell ref="GX4:GX5"/>
    <mergeCell ref="GY4:GY5"/>
    <mergeCell ref="GZ4:GZ5"/>
    <mergeCell ref="HA4:HA5"/>
    <mergeCell ref="HB4:HB5"/>
    <mergeCell ref="HC4:HC5"/>
    <mergeCell ref="GJ4:GJ5"/>
    <mergeCell ref="GK4:GK5"/>
    <mergeCell ref="GL4:GL5"/>
    <mergeCell ref="GM4:GM5"/>
    <mergeCell ref="BF6:BF7"/>
    <mergeCell ref="BG6:BG7"/>
    <mergeCell ref="BH6:BH7"/>
    <mergeCell ref="BI6:BI7"/>
    <mergeCell ref="BJ6:BJ7"/>
    <mergeCell ref="BK6:BK7"/>
    <mergeCell ref="AM6:AM7"/>
    <mergeCell ref="AN6:AN7"/>
    <mergeCell ref="AT6:AT7"/>
    <mergeCell ref="AU6:AU7"/>
    <mergeCell ref="AV6:AV7"/>
    <mergeCell ref="AW6:AW7"/>
    <mergeCell ref="AE6:AE7"/>
    <mergeCell ref="AF6:AF7"/>
    <mergeCell ref="AG6:AG7"/>
    <mergeCell ref="AH6:AH7"/>
    <mergeCell ref="AI6:AI7"/>
    <mergeCell ref="AJ6:AJ7"/>
    <mergeCell ref="CM6:CM7"/>
    <mergeCell ref="CN6:CN7"/>
    <mergeCell ref="CO6:CO7"/>
    <mergeCell ref="CP6:CP7"/>
    <mergeCell ref="CS6:CS7"/>
    <mergeCell ref="CT6:CT7"/>
    <mergeCell ref="BY6:BY7"/>
    <mergeCell ref="BZ6:BZ7"/>
    <mergeCell ref="CI6:CI7"/>
    <mergeCell ref="CJ6:CJ7"/>
    <mergeCell ref="CK6:CK7"/>
    <mergeCell ref="CL6:CL7"/>
    <mergeCell ref="BL6:BL7"/>
    <mergeCell ref="BM6:BM7"/>
    <mergeCell ref="BP6:BP7"/>
    <mergeCell ref="BQ6:BQ7"/>
    <mergeCell ref="BW6:BW7"/>
    <mergeCell ref="BX6:BX7"/>
    <mergeCell ref="DV6:DV7"/>
    <mergeCell ref="DW6:DW7"/>
    <mergeCell ref="ED6:ED7"/>
    <mergeCell ref="EE6:EE7"/>
    <mergeCell ref="EF6:EF7"/>
    <mergeCell ref="EG6:EG7"/>
    <mergeCell ref="DN6:DN7"/>
    <mergeCell ref="DO6:DO7"/>
    <mergeCell ref="DP6:DP7"/>
    <mergeCell ref="DQ6:DQ7"/>
    <mergeCell ref="DR6:DR7"/>
    <mergeCell ref="DS6:DS7"/>
    <mergeCell ref="CZ6:CZ7"/>
    <mergeCell ref="DA6:DA7"/>
    <mergeCell ref="DB6:DB7"/>
    <mergeCell ref="DC6:DC7"/>
    <mergeCell ref="DL6:DL7"/>
    <mergeCell ref="DM6:DM7"/>
    <mergeCell ref="FI6:FI7"/>
    <mergeCell ref="FJ6:FJ7"/>
    <mergeCell ref="FS6:FS7"/>
    <mergeCell ref="FT6:FT7"/>
    <mergeCell ref="FU6:FU7"/>
    <mergeCell ref="FV6:FV7"/>
    <mergeCell ref="EV6:EV7"/>
    <mergeCell ref="EW6:EW7"/>
    <mergeCell ref="EZ6:EZ7"/>
    <mergeCell ref="FA6:FA7"/>
    <mergeCell ref="FG6:FG7"/>
    <mergeCell ref="FH6:FH7"/>
    <mergeCell ref="EP6:EP7"/>
    <mergeCell ref="EQ6:EQ7"/>
    <mergeCell ref="ER6:ER7"/>
    <mergeCell ref="ES6:ES7"/>
    <mergeCell ref="ET6:ET7"/>
    <mergeCell ref="EU6:EU7"/>
    <mergeCell ref="HO6:HO7"/>
    <mergeCell ref="HP6:HP7"/>
    <mergeCell ref="GX6:GX7"/>
    <mergeCell ref="GY6:GY7"/>
    <mergeCell ref="GZ6:GZ7"/>
    <mergeCell ref="HA6:HA7"/>
    <mergeCell ref="HB6:HB7"/>
    <mergeCell ref="HC6:HC7"/>
    <mergeCell ref="GJ6:GJ7"/>
    <mergeCell ref="GK6:GK7"/>
    <mergeCell ref="GL6:GL7"/>
    <mergeCell ref="GM6:GM7"/>
    <mergeCell ref="GV6:GV7"/>
    <mergeCell ref="GW6:GW7"/>
    <mergeCell ref="FW6:FW7"/>
    <mergeCell ref="FX6:FX7"/>
    <mergeCell ref="FY6:FY7"/>
    <mergeCell ref="FZ6:FZ7"/>
    <mergeCell ref="GC6:GC7"/>
    <mergeCell ref="GD6:GD7"/>
    <mergeCell ref="AM8:AM9"/>
    <mergeCell ref="AN8:AN9"/>
    <mergeCell ref="AT8:AT9"/>
    <mergeCell ref="AU8:AU9"/>
    <mergeCell ref="AV8:AV9"/>
    <mergeCell ref="AW8:AW9"/>
    <mergeCell ref="AE8:AE9"/>
    <mergeCell ref="AF8:AF9"/>
    <mergeCell ref="AG8:AG9"/>
    <mergeCell ref="AH8:AH9"/>
    <mergeCell ref="AI8:AI9"/>
    <mergeCell ref="AJ8:AJ9"/>
    <mergeCell ref="IE6:IE7"/>
    <mergeCell ref="IF6:IF7"/>
    <mergeCell ref="II6:II7"/>
    <mergeCell ref="IJ6:IJ7"/>
    <mergeCell ref="Q8:Q9"/>
    <mergeCell ref="R8:R9"/>
    <mergeCell ref="S8:S9"/>
    <mergeCell ref="T8:T9"/>
    <mergeCell ref="AC8:AC9"/>
    <mergeCell ref="AD8:AD9"/>
    <mergeCell ref="HY6:HY7"/>
    <mergeCell ref="HZ6:HZ7"/>
    <mergeCell ref="IA6:IA7"/>
    <mergeCell ref="IB6:IB7"/>
    <mergeCell ref="IC6:IC7"/>
    <mergeCell ref="ID6:ID7"/>
    <mergeCell ref="HF6:HF7"/>
    <mergeCell ref="HG6:HG7"/>
    <mergeCell ref="HM6:HM7"/>
    <mergeCell ref="HN6:HN7"/>
    <mergeCell ref="BY8:BY9"/>
    <mergeCell ref="BZ8:BZ9"/>
    <mergeCell ref="CI8:CI9"/>
    <mergeCell ref="CJ8:CJ9"/>
    <mergeCell ref="CK8:CK9"/>
    <mergeCell ref="CL8:CL9"/>
    <mergeCell ref="BL8:BL9"/>
    <mergeCell ref="BM8:BM9"/>
    <mergeCell ref="BP8:BP9"/>
    <mergeCell ref="BQ8:BQ9"/>
    <mergeCell ref="BW8:BW9"/>
    <mergeCell ref="BX8:BX9"/>
    <mergeCell ref="BF8:BF9"/>
    <mergeCell ref="BG8:BG9"/>
    <mergeCell ref="BH8:BH9"/>
    <mergeCell ref="BI8:BI9"/>
    <mergeCell ref="BJ8:BJ9"/>
    <mergeCell ref="BK8:BK9"/>
    <mergeCell ref="DN8:DN9"/>
    <mergeCell ref="DO8:DO9"/>
    <mergeCell ref="DP8:DP9"/>
    <mergeCell ref="DQ8:DQ9"/>
    <mergeCell ref="DR8:DR9"/>
    <mergeCell ref="DS8:DS9"/>
    <mergeCell ref="CZ8:CZ9"/>
    <mergeCell ref="DA8:DA9"/>
    <mergeCell ref="DB8:DB9"/>
    <mergeCell ref="DC8:DC9"/>
    <mergeCell ref="DL8:DL9"/>
    <mergeCell ref="DM8:DM9"/>
    <mergeCell ref="CM8:CM9"/>
    <mergeCell ref="CN8:CN9"/>
    <mergeCell ref="CO8:CO9"/>
    <mergeCell ref="CP8:CP9"/>
    <mergeCell ref="CS8:CS9"/>
    <mergeCell ref="CT8:CT9"/>
    <mergeCell ref="EV8:EV9"/>
    <mergeCell ref="EW8:EW9"/>
    <mergeCell ref="EZ8:EZ9"/>
    <mergeCell ref="FA8:FA9"/>
    <mergeCell ref="FG8:FG9"/>
    <mergeCell ref="FH8:FH9"/>
    <mergeCell ref="EP8:EP9"/>
    <mergeCell ref="EQ8:EQ9"/>
    <mergeCell ref="ER8:ER9"/>
    <mergeCell ref="ES8:ES9"/>
    <mergeCell ref="ET8:ET9"/>
    <mergeCell ref="EU8:EU9"/>
    <mergeCell ref="DV8:DV9"/>
    <mergeCell ref="DW8:DW9"/>
    <mergeCell ref="ED8:ED9"/>
    <mergeCell ref="EE8:EE9"/>
    <mergeCell ref="EF8:EF9"/>
    <mergeCell ref="EG8:EG9"/>
    <mergeCell ref="HB8:HB9"/>
    <mergeCell ref="HC8:HC9"/>
    <mergeCell ref="GJ8:GJ9"/>
    <mergeCell ref="GK8:GK9"/>
    <mergeCell ref="GL8:GL9"/>
    <mergeCell ref="GM8:GM9"/>
    <mergeCell ref="GV8:GV9"/>
    <mergeCell ref="GW8:GW9"/>
    <mergeCell ref="FW8:FW9"/>
    <mergeCell ref="FX8:FX9"/>
    <mergeCell ref="FY8:FY9"/>
    <mergeCell ref="FZ8:FZ9"/>
    <mergeCell ref="GC8:GC9"/>
    <mergeCell ref="GD8:GD9"/>
    <mergeCell ref="FI8:FI9"/>
    <mergeCell ref="FJ8:FJ9"/>
    <mergeCell ref="FS8:FS9"/>
    <mergeCell ref="FT8:FT9"/>
    <mergeCell ref="FU8:FU9"/>
    <mergeCell ref="FV8:FV9"/>
    <mergeCell ref="AE10:AE11"/>
    <mergeCell ref="AF10:AF11"/>
    <mergeCell ref="AG10:AG11"/>
    <mergeCell ref="AH10:AH11"/>
    <mergeCell ref="AI10:AI11"/>
    <mergeCell ref="AJ10:AJ11"/>
    <mergeCell ref="IE8:IE9"/>
    <mergeCell ref="IF8:IF9"/>
    <mergeCell ref="II8:II9"/>
    <mergeCell ref="IJ8:IJ9"/>
    <mergeCell ref="Q10:Q11"/>
    <mergeCell ref="R10:R11"/>
    <mergeCell ref="S10:S11"/>
    <mergeCell ref="T10:T11"/>
    <mergeCell ref="AC10:AC11"/>
    <mergeCell ref="AD10:AD11"/>
    <mergeCell ref="HY8:HY9"/>
    <mergeCell ref="HZ8:HZ9"/>
    <mergeCell ref="IA8:IA9"/>
    <mergeCell ref="IB8:IB9"/>
    <mergeCell ref="IC8:IC9"/>
    <mergeCell ref="ID8:ID9"/>
    <mergeCell ref="HF8:HF9"/>
    <mergeCell ref="HG8:HG9"/>
    <mergeCell ref="HM8:HM9"/>
    <mergeCell ref="HN8:HN9"/>
    <mergeCell ref="HO8:HO9"/>
    <mergeCell ref="HP8:HP9"/>
    <mergeCell ref="GX8:GX9"/>
    <mergeCell ref="GY8:GY9"/>
    <mergeCell ref="GZ8:GZ9"/>
    <mergeCell ref="HA8:HA9"/>
    <mergeCell ref="BL10:BL11"/>
    <mergeCell ref="BM10:BM11"/>
    <mergeCell ref="BP10:BP11"/>
    <mergeCell ref="BQ10:BQ11"/>
    <mergeCell ref="BW10:BW11"/>
    <mergeCell ref="BX10:BX11"/>
    <mergeCell ref="BF10:BF11"/>
    <mergeCell ref="BG10:BG11"/>
    <mergeCell ref="BH10:BH11"/>
    <mergeCell ref="BI10:BI11"/>
    <mergeCell ref="BJ10:BJ11"/>
    <mergeCell ref="BK10:BK11"/>
    <mergeCell ref="AM10:AM11"/>
    <mergeCell ref="AN10:AN11"/>
    <mergeCell ref="AT10:AT11"/>
    <mergeCell ref="AU10:AU11"/>
    <mergeCell ref="AV10:AV11"/>
    <mergeCell ref="AW10:AW11"/>
    <mergeCell ref="CZ10:CZ11"/>
    <mergeCell ref="DA10:DA11"/>
    <mergeCell ref="DB10:DB11"/>
    <mergeCell ref="DC10:DC11"/>
    <mergeCell ref="DL10:DL11"/>
    <mergeCell ref="DM10:DM11"/>
    <mergeCell ref="CM10:CM11"/>
    <mergeCell ref="CN10:CN11"/>
    <mergeCell ref="CO10:CO11"/>
    <mergeCell ref="CP10:CP11"/>
    <mergeCell ref="CS10:CS11"/>
    <mergeCell ref="CT10:CT11"/>
    <mergeCell ref="BY10:BY11"/>
    <mergeCell ref="BZ10:BZ11"/>
    <mergeCell ref="CI10:CI11"/>
    <mergeCell ref="CJ10:CJ11"/>
    <mergeCell ref="CK10:CK11"/>
    <mergeCell ref="CL10:CL11"/>
    <mergeCell ref="EP10:EP11"/>
    <mergeCell ref="EQ10:EQ11"/>
    <mergeCell ref="ER10:ER11"/>
    <mergeCell ref="ES10:ES11"/>
    <mergeCell ref="ET10:ET11"/>
    <mergeCell ref="EU10:EU11"/>
    <mergeCell ref="DV10:DV11"/>
    <mergeCell ref="DW10:DW11"/>
    <mergeCell ref="ED10:ED11"/>
    <mergeCell ref="EE10:EE11"/>
    <mergeCell ref="EF10:EF11"/>
    <mergeCell ref="EG10:EG11"/>
    <mergeCell ref="DN10:DN11"/>
    <mergeCell ref="DO10:DO11"/>
    <mergeCell ref="DP10:DP11"/>
    <mergeCell ref="DQ10:DQ11"/>
    <mergeCell ref="DR10:DR11"/>
    <mergeCell ref="DS10:DS11"/>
    <mergeCell ref="GV10:GV11"/>
    <mergeCell ref="GW10:GW11"/>
    <mergeCell ref="FW10:FW11"/>
    <mergeCell ref="FX10:FX11"/>
    <mergeCell ref="FY10:FY11"/>
    <mergeCell ref="FZ10:FZ11"/>
    <mergeCell ref="GC10:GC11"/>
    <mergeCell ref="GD10:GD11"/>
    <mergeCell ref="FI10:FI11"/>
    <mergeCell ref="FJ10:FJ11"/>
    <mergeCell ref="FS10:FS11"/>
    <mergeCell ref="FT10:FT11"/>
    <mergeCell ref="FU10:FU11"/>
    <mergeCell ref="FV10:FV11"/>
    <mergeCell ref="EV10:EV11"/>
    <mergeCell ref="EW10:EW11"/>
    <mergeCell ref="EZ10:EZ11"/>
    <mergeCell ref="FA10:FA11"/>
    <mergeCell ref="FG10:FG11"/>
    <mergeCell ref="FH10:FH11"/>
    <mergeCell ref="IE10:IE11"/>
    <mergeCell ref="IF10:IF11"/>
    <mergeCell ref="II10:II11"/>
    <mergeCell ref="IJ10:IJ11"/>
    <mergeCell ref="Q12:Q13"/>
    <mergeCell ref="R12:R13"/>
    <mergeCell ref="S12:S13"/>
    <mergeCell ref="T12:T13"/>
    <mergeCell ref="AC12:AC13"/>
    <mergeCell ref="AD12:AD13"/>
    <mergeCell ref="HY10:HY11"/>
    <mergeCell ref="HZ10:HZ11"/>
    <mergeCell ref="IA10:IA11"/>
    <mergeCell ref="IB10:IB11"/>
    <mergeCell ref="IC10:IC11"/>
    <mergeCell ref="ID10:ID11"/>
    <mergeCell ref="HF10:HF11"/>
    <mergeCell ref="HG10:HG11"/>
    <mergeCell ref="HM10:HM11"/>
    <mergeCell ref="HN10:HN11"/>
    <mergeCell ref="HO10:HO11"/>
    <mergeCell ref="HP10:HP11"/>
    <mergeCell ref="GX10:GX11"/>
    <mergeCell ref="GY10:GY11"/>
    <mergeCell ref="GZ10:GZ11"/>
    <mergeCell ref="HA10:HA11"/>
    <mergeCell ref="HB10:HB11"/>
    <mergeCell ref="HC10:HC11"/>
    <mergeCell ref="GJ10:GJ11"/>
    <mergeCell ref="GK10:GK11"/>
    <mergeCell ref="GL10:GL11"/>
    <mergeCell ref="GM10:GM11"/>
    <mergeCell ref="BF12:BF13"/>
    <mergeCell ref="BG12:BG13"/>
    <mergeCell ref="BH12:BH13"/>
    <mergeCell ref="BI12:BI13"/>
    <mergeCell ref="BJ12:BJ13"/>
    <mergeCell ref="BK12:BK13"/>
    <mergeCell ref="AM12:AM13"/>
    <mergeCell ref="AN12:AN13"/>
    <mergeCell ref="AT12:AT13"/>
    <mergeCell ref="AU12:AU13"/>
    <mergeCell ref="AV12:AV13"/>
    <mergeCell ref="AW12:AW13"/>
    <mergeCell ref="AE12:AE13"/>
    <mergeCell ref="AF12:AF13"/>
    <mergeCell ref="AG12:AG13"/>
    <mergeCell ref="AH12:AH13"/>
    <mergeCell ref="AI12:AI13"/>
    <mergeCell ref="AJ12:AJ13"/>
    <mergeCell ref="CM12:CM13"/>
    <mergeCell ref="CN12:CN13"/>
    <mergeCell ref="CO12:CO13"/>
    <mergeCell ref="CP12:CP13"/>
    <mergeCell ref="CS12:CS13"/>
    <mergeCell ref="CT12:CT13"/>
    <mergeCell ref="BY12:BY13"/>
    <mergeCell ref="BZ12:BZ13"/>
    <mergeCell ref="CI12:CI13"/>
    <mergeCell ref="CJ12:CJ13"/>
    <mergeCell ref="CK12:CK13"/>
    <mergeCell ref="CL12:CL13"/>
    <mergeCell ref="BL12:BL13"/>
    <mergeCell ref="BM12:BM13"/>
    <mergeCell ref="BP12:BP13"/>
    <mergeCell ref="BQ12:BQ13"/>
    <mergeCell ref="BW12:BW13"/>
    <mergeCell ref="BX12:BX13"/>
    <mergeCell ref="DV12:DV13"/>
    <mergeCell ref="DW12:DW13"/>
    <mergeCell ref="ED12:ED13"/>
    <mergeCell ref="EE12:EE13"/>
    <mergeCell ref="EF12:EF13"/>
    <mergeCell ref="EG12:EG13"/>
    <mergeCell ref="DN12:DN13"/>
    <mergeCell ref="DO12:DO13"/>
    <mergeCell ref="DP12:DP13"/>
    <mergeCell ref="DQ12:DQ13"/>
    <mergeCell ref="DR12:DR13"/>
    <mergeCell ref="DS12:DS13"/>
    <mergeCell ref="CZ12:CZ13"/>
    <mergeCell ref="DA12:DA13"/>
    <mergeCell ref="DB12:DB13"/>
    <mergeCell ref="DC12:DC13"/>
    <mergeCell ref="DL12:DL13"/>
    <mergeCell ref="DM12:DM13"/>
    <mergeCell ref="FI12:FI13"/>
    <mergeCell ref="FJ12:FJ13"/>
    <mergeCell ref="FS12:FS13"/>
    <mergeCell ref="FT12:FT13"/>
    <mergeCell ref="FU12:FU13"/>
    <mergeCell ref="FV12:FV13"/>
    <mergeCell ref="EV12:EV13"/>
    <mergeCell ref="EW12:EW13"/>
    <mergeCell ref="EZ12:EZ13"/>
    <mergeCell ref="FA12:FA13"/>
    <mergeCell ref="FG12:FG13"/>
    <mergeCell ref="FH12:FH13"/>
    <mergeCell ref="EP12:EP13"/>
    <mergeCell ref="EQ12:EQ13"/>
    <mergeCell ref="ER12:ER13"/>
    <mergeCell ref="ES12:ES13"/>
    <mergeCell ref="ET12:ET13"/>
    <mergeCell ref="EU12:EU13"/>
    <mergeCell ref="HO12:HO13"/>
    <mergeCell ref="HP12:HP13"/>
    <mergeCell ref="GX12:GX13"/>
    <mergeCell ref="GY12:GY13"/>
    <mergeCell ref="GZ12:GZ13"/>
    <mergeCell ref="HA12:HA13"/>
    <mergeCell ref="HB12:HB13"/>
    <mergeCell ref="HC12:HC13"/>
    <mergeCell ref="GJ12:GJ13"/>
    <mergeCell ref="GK12:GK13"/>
    <mergeCell ref="GL12:GL13"/>
    <mergeCell ref="GM12:GM13"/>
    <mergeCell ref="GV12:GV13"/>
    <mergeCell ref="GW12:GW13"/>
    <mergeCell ref="FW12:FW13"/>
    <mergeCell ref="FX12:FX13"/>
    <mergeCell ref="FY12:FY13"/>
    <mergeCell ref="FZ12:FZ13"/>
    <mergeCell ref="GC12:GC13"/>
    <mergeCell ref="GD12:GD13"/>
    <mergeCell ref="AM14:AM15"/>
    <mergeCell ref="AN14:AN15"/>
    <mergeCell ref="AT14:AT15"/>
    <mergeCell ref="AU14:AU15"/>
    <mergeCell ref="AV14:AV15"/>
    <mergeCell ref="AW14:AW15"/>
    <mergeCell ref="AE14:AE15"/>
    <mergeCell ref="AF14:AF15"/>
    <mergeCell ref="AG14:AG15"/>
    <mergeCell ref="AH14:AH15"/>
    <mergeCell ref="AI14:AI15"/>
    <mergeCell ref="AJ14:AJ15"/>
    <mergeCell ref="IE12:IE13"/>
    <mergeCell ref="IF12:IF13"/>
    <mergeCell ref="II12:II13"/>
    <mergeCell ref="IJ12:IJ13"/>
    <mergeCell ref="Q14:Q15"/>
    <mergeCell ref="R14:R15"/>
    <mergeCell ref="S14:S15"/>
    <mergeCell ref="T14:T15"/>
    <mergeCell ref="AC14:AC15"/>
    <mergeCell ref="AD14:AD15"/>
    <mergeCell ref="HY12:HY13"/>
    <mergeCell ref="HZ12:HZ13"/>
    <mergeCell ref="IA12:IA13"/>
    <mergeCell ref="IB12:IB13"/>
    <mergeCell ref="IC12:IC13"/>
    <mergeCell ref="ID12:ID13"/>
    <mergeCell ref="HF12:HF13"/>
    <mergeCell ref="HG12:HG13"/>
    <mergeCell ref="HM12:HM13"/>
    <mergeCell ref="HN12:HN13"/>
    <mergeCell ref="BY14:BY15"/>
    <mergeCell ref="BZ14:BZ15"/>
    <mergeCell ref="CI14:CI15"/>
    <mergeCell ref="CJ14:CJ15"/>
    <mergeCell ref="CK14:CK15"/>
    <mergeCell ref="CL14:CL15"/>
    <mergeCell ref="BL14:BL15"/>
    <mergeCell ref="BM14:BM15"/>
    <mergeCell ref="BP14:BP15"/>
    <mergeCell ref="BQ14:BQ15"/>
    <mergeCell ref="BW14:BW15"/>
    <mergeCell ref="BX14:BX15"/>
    <mergeCell ref="BF14:BF15"/>
    <mergeCell ref="BG14:BG15"/>
    <mergeCell ref="BH14:BH15"/>
    <mergeCell ref="BI14:BI15"/>
    <mergeCell ref="BJ14:BJ15"/>
    <mergeCell ref="BK14:BK15"/>
    <mergeCell ref="DN14:DN15"/>
    <mergeCell ref="DO14:DO15"/>
    <mergeCell ref="DP14:DP15"/>
    <mergeCell ref="DQ14:DQ15"/>
    <mergeCell ref="DR14:DR15"/>
    <mergeCell ref="DS14:DS15"/>
    <mergeCell ref="CZ14:CZ15"/>
    <mergeCell ref="DA14:DA15"/>
    <mergeCell ref="DB14:DB15"/>
    <mergeCell ref="DC14:DC15"/>
    <mergeCell ref="DL14:DL15"/>
    <mergeCell ref="DM14:DM15"/>
    <mergeCell ref="CM14:CM15"/>
    <mergeCell ref="CN14:CN15"/>
    <mergeCell ref="CO14:CO15"/>
    <mergeCell ref="CP14:CP15"/>
    <mergeCell ref="CS14:CS15"/>
    <mergeCell ref="CT14:CT15"/>
    <mergeCell ref="EV14:EV15"/>
    <mergeCell ref="EW14:EW15"/>
    <mergeCell ref="EZ14:EZ15"/>
    <mergeCell ref="FA14:FA15"/>
    <mergeCell ref="FG14:FG15"/>
    <mergeCell ref="FH14:FH15"/>
    <mergeCell ref="EP14:EP15"/>
    <mergeCell ref="EQ14:EQ15"/>
    <mergeCell ref="ER14:ER15"/>
    <mergeCell ref="ES14:ES15"/>
    <mergeCell ref="ET14:ET15"/>
    <mergeCell ref="EU14:EU15"/>
    <mergeCell ref="DV14:DV15"/>
    <mergeCell ref="DW14:DW15"/>
    <mergeCell ref="ED14:ED15"/>
    <mergeCell ref="EE14:EE15"/>
    <mergeCell ref="EF14:EF15"/>
    <mergeCell ref="EG14:EG15"/>
    <mergeCell ref="HB14:HB15"/>
    <mergeCell ref="HC14:HC15"/>
    <mergeCell ref="GJ14:GJ15"/>
    <mergeCell ref="GK14:GK15"/>
    <mergeCell ref="GL14:GL15"/>
    <mergeCell ref="GM14:GM15"/>
    <mergeCell ref="GV14:GV15"/>
    <mergeCell ref="GW14:GW15"/>
    <mergeCell ref="FW14:FW15"/>
    <mergeCell ref="FX14:FX15"/>
    <mergeCell ref="FY14:FY15"/>
    <mergeCell ref="FZ14:FZ15"/>
    <mergeCell ref="GC14:GC15"/>
    <mergeCell ref="GD14:GD15"/>
    <mergeCell ref="FI14:FI15"/>
    <mergeCell ref="FJ14:FJ15"/>
    <mergeCell ref="FS14:FS15"/>
    <mergeCell ref="FT14:FT15"/>
    <mergeCell ref="FU14:FU15"/>
    <mergeCell ref="FV14:FV15"/>
    <mergeCell ref="AE16:AE17"/>
    <mergeCell ref="AF16:AF17"/>
    <mergeCell ref="AG16:AG17"/>
    <mergeCell ref="AH16:AH17"/>
    <mergeCell ref="AI16:AI17"/>
    <mergeCell ref="AJ16:AJ17"/>
    <mergeCell ref="IE14:IE15"/>
    <mergeCell ref="IF14:IF15"/>
    <mergeCell ref="II14:II15"/>
    <mergeCell ref="IJ14:IJ15"/>
    <mergeCell ref="Q16:Q17"/>
    <mergeCell ref="R16:R17"/>
    <mergeCell ref="S16:S17"/>
    <mergeCell ref="T16:T17"/>
    <mergeCell ref="AC16:AC17"/>
    <mergeCell ref="AD16:AD17"/>
    <mergeCell ref="HY14:HY15"/>
    <mergeCell ref="HZ14:HZ15"/>
    <mergeCell ref="IA14:IA15"/>
    <mergeCell ref="IB14:IB15"/>
    <mergeCell ref="IC14:IC15"/>
    <mergeCell ref="ID14:ID15"/>
    <mergeCell ref="HF14:HF15"/>
    <mergeCell ref="HG14:HG15"/>
    <mergeCell ref="HM14:HM15"/>
    <mergeCell ref="HN14:HN15"/>
    <mergeCell ref="HO14:HO15"/>
    <mergeCell ref="HP14:HP15"/>
    <mergeCell ref="GX14:GX15"/>
    <mergeCell ref="GY14:GY15"/>
    <mergeCell ref="GZ14:GZ15"/>
    <mergeCell ref="HA14:HA15"/>
    <mergeCell ref="BL16:BL17"/>
    <mergeCell ref="BM16:BM17"/>
    <mergeCell ref="BP16:BP17"/>
    <mergeCell ref="BQ16:BQ17"/>
    <mergeCell ref="BW16:BW17"/>
    <mergeCell ref="BX16:BX17"/>
    <mergeCell ref="BF16:BF17"/>
    <mergeCell ref="BG16:BG17"/>
    <mergeCell ref="BH16:BH17"/>
    <mergeCell ref="BI16:BI17"/>
    <mergeCell ref="BJ16:BJ17"/>
    <mergeCell ref="BK16:BK17"/>
    <mergeCell ref="AM16:AM17"/>
    <mergeCell ref="AN16:AN17"/>
    <mergeCell ref="AT16:AT17"/>
    <mergeCell ref="AU16:AU17"/>
    <mergeCell ref="AV16:AV17"/>
    <mergeCell ref="AW16:AW17"/>
    <mergeCell ref="CZ16:CZ17"/>
    <mergeCell ref="DA16:DA17"/>
    <mergeCell ref="DB16:DB17"/>
    <mergeCell ref="DC16:DC17"/>
    <mergeCell ref="DL16:DL17"/>
    <mergeCell ref="DM16:DM17"/>
    <mergeCell ref="CM16:CM17"/>
    <mergeCell ref="CN16:CN17"/>
    <mergeCell ref="CO16:CO17"/>
    <mergeCell ref="CP16:CP17"/>
    <mergeCell ref="CS16:CS17"/>
    <mergeCell ref="CT16:CT17"/>
    <mergeCell ref="BY16:BY17"/>
    <mergeCell ref="BZ16:BZ17"/>
    <mergeCell ref="CI16:CI17"/>
    <mergeCell ref="CJ16:CJ17"/>
    <mergeCell ref="CK16:CK17"/>
    <mergeCell ref="CL16:CL17"/>
    <mergeCell ref="EP16:EP17"/>
    <mergeCell ref="EQ16:EQ17"/>
    <mergeCell ref="ER16:ER17"/>
    <mergeCell ref="ES16:ES17"/>
    <mergeCell ref="ET16:ET17"/>
    <mergeCell ref="EU16:EU17"/>
    <mergeCell ref="DV16:DV17"/>
    <mergeCell ref="DW16:DW17"/>
    <mergeCell ref="ED16:ED17"/>
    <mergeCell ref="EE16:EE17"/>
    <mergeCell ref="EF16:EF17"/>
    <mergeCell ref="EG16:EG17"/>
    <mergeCell ref="DN16:DN17"/>
    <mergeCell ref="DO16:DO17"/>
    <mergeCell ref="DP16:DP17"/>
    <mergeCell ref="DQ16:DQ17"/>
    <mergeCell ref="DR16:DR17"/>
    <mergeCell ref="DS16:DS17"/>
    <mergeCell ref="GV16:GV17"/>
    <mergeCell ref="GW16:GW17"/>
    <mergeCell ref="FW16:FW17"/>
    <mergeCell ref="FX16:FX17"/>
    <mergeCell ref="FY16:FY17"/>
    <mergeCell ref="FZ16:FZ17"/>
    <mergeCell ref="GC16:GC17"/>
    <mergeCell ref="GD16:GD17"/>
    <mergeCell ref="FI16:FI17"/>
    <mergeCell ref="FJ16:FJ17"/>
    <mergeCell ref="FS16:FS17"/>
    <mergeCell ref="FT16:FT17"/>
    <mergeCell ref="FU16:FU17"/>
    <mergeCell ref="FV16:FV17"/>
    <mergeCell ref="EV16:EV17"/>
    <mergeCell ref="EW16:EW17"/>
    <mergeCell ref="EZ16:EZ17"/>
    <mergeCell ref="FA16:FA17"/>
    <mergeCell ref="FG16:FG17"/>
    <mergeCell ref="FH16:FH17"/>
    <mergeCell ref="IE16:IE17"/>
    <mergeCell ref="IF16:IF17"/>
    <mergeCell ref="II16:II17"/>
    <mergeCell ref="IJ16:IJ17"/>
    <mergeCell ref="Q18:Q19"/>
    <mergeCell ref="R18:R19"/>
    <mergeCell ref="S18:S19"/>
    <mergeCell ref="T18:T19"/>
    <mergeCell ref="AC18:AC19"/>
    <mergeCell ref="AD18:AD19"/>
    <mergeCell ref="HY16:HY17"/>
    <mergeCell ref="HZ16:HZ17"/>
    <mergeCell ref="IA16:IA17"/>
    <mergeCell ref="IB16:IB17"/>
    <mergeCell ref="IC16:IC17"/>
    <mergeCell ref="ID16:ID17"/>
    <mergeCell ref="HF16:HF17"/>
    <mergeCell ref="HG16:HG17"/>
    <mergeCell ref="HM16:HM17"/>
    <mergeCell ref="HN16:HN17"/>
    <mergeCell ref="HO16:HO17"/>
    <mergeCell ref="HP16:HP17"/>
    <mergeCell ref="GX16:GX17"/>
    <mergeCell ref="GY16:GY17"/>
    <mergeCell ref="GZ16:GZ17"/>
    <mergeCell ref="HA16:HA17"/>
    <mergeCell ref="HB16:HB17"/>
    <mergeCell ref="HC16:HC17"/>
    <mergeCell ref="GJ16:GJ17"/>
    <mergeCell ref="GK16:GK17"/>
    <mergeCell ref="GL16:GL17"/>
    <mergeCell ref="GM16:GM17"/>
    <mergeCell ref="BF18:BF19"/>
    <mergeCell ref="BG18:BG19"/>
    <mergeCell ref="BH18:BH19"/>
    <mergeCell ref="BI18:BI19"/>
    <mergeCell ref="BJ18:BJ19"/>
    <mergeCell ref="BK18:BK19"/>
    <mergeCell ref="AM18:AM19"/>
    <mergeCell ref="AN18:AN19"/>
    <mergeCell ref="AT18:AT19"/>
    <mergeCell ref="AU18:AU19"/>
    <mergeCell ref="AV18:AV19"/>
    <mergeCell ref="AW18:AW19"/>
    <mergeCell ref="AE18:AE19"/>
    <mergeCell ref="AF18:AF19"/>
    <mergeCell ref="AG18:AG19"/>
    <mergeCell ref="AH18:AH19"/>
    <mergeCell ref="AI18:AI19"/>
    <mergeCell ref="AJ18:AJ19"/>
    <mergeCell ref="CM18:CM19"/>
    <mergeCell ref="CN18:CN19"/>
    <mergeCell ref="CO18:CO19"/>
    <mergeCell ref="CP18:CP19"/>
    <mergeCell ref="CS18:CS19"/>
    <mergeCell ref="CT18:CT19"/>
    <mergeCell ref="BY18:BY19"/>
    <mergeCell ref="BZ18:BZ19"/>
    <mergeCell ref="CI18:CI19"/>
    <mergeCell ref="CJ18:CJ19"/>
    <mergeCell ref="CK18:CK19"/>
    <mergeCell ref="CL18:CL19"/>
    <mergeCell ref="BL18:BL19"/>
    <mergeCell ref="BM18:BM19"/>
    <mergeCell ref="BP18:BP19"/>
    <mergeCell ref="BQ18:BQ19"/>
    <mergeCell ref="BW18:BW19"/>
    <mergeCell ref="BX18:BX19"/>
    <mergeCell ref="DV18:DV19"/>
    <mergeCell ref="DW18:DW19"/>
    <mergeCell ref="ED18:ED19"/>
    <mergeCell ref="EE18:EE19"/>
    <mergeCell ref="EF18:EF19"/>
    <mergeCell ref="EG18:EG19"/>
    <mergeCell ref="DN18:DN19"/>
    <mergeCell ref="DO18:DO19"/>
    <mergeCell ref="DP18:DP19"/>
    <mergeCell ref="DQ18:DQ19"/>
    <mergeCell ref="DR18:DR19"/>
    <mergeCell ref="DS18:DS19"/>
    <mergeCell ref="CZ18:CZ19"/>
    <mergeCell ref="DA18:DA19"/>
    <mergeCell ref="DB18:DB19"/>
    <mergeCell ref="DC18:DC19"/>
    <mergeCell ref="DL18:DL19"/>
    <mergeCell ref="DM18:DM19"/>
    <mergeCell ref="FI18:FI19"/>
    <mergeCell ref="FJ18:FJ19"/>
    <mergeCell ref="FS18:FS19"/>
    <mergeCell ref="FT18:FT19"/>
    <mergeCell ref="FU18:FU19"/>
    <mergeCell ref="FV18:FV19"/>
    <mergeCell ref="EV18:EV19"/>
    <mergeCell ref="EW18:EW19"/>
    <mergeCell ref="EZ18:EZ19"/>
    <mergeCell ref="FA18:FA19"/>
    <mergeCell ref="FG18:FG19"/>
    <mergeCell ref="FH18:FH19"/>
    <mergeCell ref="EP18:EP19"/>
    <mergeCell ref="EQ18:EQ19"/>
    <mergeCell ref="ER18:ER19"/>
    <mergeCell ref="ES18:ES19"/>
    <mergeCell ref="ET18:ET19"/>
    <mergeCell ref="EU18:EU19"/>
    <mergeCell ref="HO18:HO19"/>
    <mergeCell ref="HP18:HP19"/>
    <mergeCell ref="GX18:GX19"/>
    <mergeCell ref="GY18:GY19"/>
    <mergeCell ref="GZ18:GZ19"/>
    <mergeCell ref="HA18:HA19"/>
    <mergeCell ref="HB18:HB19"/>
    <mergeCell ref="HC18:HC19"/>
    <mergeCell ref="GJ18:GJ19"/>
    <mergeCell ref="GK18:GK19"/>
    <mergeCell ref="GL18:GL19"/>
    <mergeCell ref="GM18:GM19"/>
    <mergeCell ref="GV18:GV19"/>
    <mergeCell ref="GW18:GW19"/>
    <mergeCell ref="FW18:FW19"/>
    <mergeCell ref="FX18:FX19"/>
    <mergeCell ref="FY18:FY19"/>
    <mergeCell ref="FZ18:FZ19"/>
    <mergeCell ref="GC18:GC19"/>
    <mergeCell ref="GD18:GD19"/>
    <mergeCell ref="AM20:AM21"/>
    <mergeCell ref="AN20:AN21"/>
    <mergeCell ref="AT20:AT21"/>
    <mergeCell ref="AU20:AU21"/>
    <mergeCell ref="AV20:AV21"/>
    <mergeCell ref="AW20:AW21"/>
    <mergeCell ref="AE20:AE21"/>
    <mergeCell ref="AF20:AF21"/>
    <mergeCell ref="AG20:AG21"/>
    <mergeCell ref="AH20:AH21"/>
    <mergeCell ref="AI20:AI21"/>
    <mergeCell ref="AJ20:AJ21"/>
    <mergeCell ref="IE18:IE19"/>
    <mergeCell ref="IF18:IF19"/>
    <mergeCell ref="II18:II19"/>
    <mergeCell ref="IJ18:IJ19"/>
    <mergeCell ref="Q20:Q21"/>
    <mergeCell ref="R20:R21"/>
    <mergeCell ref="S20:S21"/>
    <mergeCell ref="T20:T21"/>
    <mergeCell ref="AC20:AC21"/>
    <mergeCell ref="AD20:AD21"/>
    <mergeCell ref="HY18:HY19"/>
    <mergeCell ref="HZ18:HZ19"/>
    <mergeCell ref="IA18:IA19"/>
    <mergeCell ref="IB18:IB19"/>
    <mergeCell ref="IC18:IC19"/>
    <mergeCell ref="ID18:ID19"/>
    <mergeCell ref="HF18:HF19"/>
    <mergeCell ref="HG18:HG19"/>
    <mergeCell ref="HM18:HM19"/>
    <mergeCell ref="HN18:HN19"/>
    <mergeCell ref="BY20:BY21"/>
    <mergeCell ref="BZ20:BZ21"/>
    <mergeCell ref="CI20:CI21"/>
    <mergeCell ref="CJ20:CJ21"/>
    <mergeCell ref="CK20:CK21"/>
    <mergeCell ref="CL20:CL21"/>
    <mergeCell ref="BL20:BL21"/>
    <mergeCell ref="BM20:BM21"/>
    <mergeCell ref="BP20:BP21"/>
    <mergeCell ref="BQ20:BQ21"/>
    <mergeCell ref="BW20:BW21"/>
    <mergeCell ref="BX20:BX21"/>
    <mergeCell ref="BF20:BF21"/>
    <mergeCell ref="BG20:BG21"/>
    <mergeCell ref="BH20:BH21"/>
    <mergeCell ref="BI20:BI21"/>
    <mergeCell ref="BJ20:BJ21"/>
    <mergeCell ref="BK20:BK21"/>
    <mergeCell ref="DN20:DN21"/>
    <mergeCell ref="DO20:DO21"/>
    <mergeCell ref="DP20:DP21"/>
    <mergeCell ref="DQ20:DQ21"/>
    <mergeCell ref="DR20:DR21"/>
    <mergeCell ref="DS20:DS21"/>
    <mergeCell ref="CZ20:CZ21"/>
    <mergeCell ref="DA20:DA21"/>
    <mergeCell ref="DB20:DB21"/>
    <mergeCell ref="DC20:DC21"/>
    <mergeCell ref="DL20:DL21"/>
    <mergeCell ref="DM20:DM21"/>
    <mergeCell ref="CM20:CM21"/>
    <mergeCell ref="CN20:CN21"/>
    <mergeCell ref="CO20:CO21"/>
    <mergeCell ref="CP20:CP21"/>
    <mergeCell ref="CS20:CS21"/>
    <mergeCell ref="CT20:CT21"/>
    <mergeCell ref="EV20:EV21"/>
    <mergeCell ref="EW20:EW21"/>
    <mergeCell ref="EZ20:EZ21"/>
    <mergeCell ref="FA20:FA21"/>
    <mergeCell ref="FG20:FG21"/>
    <mergeCell ref="FH20:FH21"/>
    <mergeCell ref="EP20:EP21"/>
    <mergeCell ref="EQ20:EQ21"/>
    <mergeCell ref="ER20:ER21"/>
    <mergeCell ref="ES20:ES21"/>
    <mergeCell ref="ET20:ET21"/>
    <mergeCell ref="EU20:EU21"/>
    <mergeCell ref="DV20:DV21"/>
    <mergeCell ref="DW20:DW21"/>
    <mergeCell ref="ED20:ED21"/>
    <mergeCell ref="EE20:EE21"/>
    <mergeCell ref="EF20:EF21"/>
    <mergeCell ref="EG20:EG21"/>
    <mergeCell ref="HB20:HB21"/>
    <mergeCell ref="HC20:HC21"/>
    <mergeCell ref="GJ20:GJ21"/>
    <mergeCell ref="GK20:GK21"/>
    <mergeCell ref="GL20:GL21"/>
    <mergeCell ref="GM20:GM21"/>
    <mergeCell ref="GV20:GV21"/>
    <mergeCell ref="GW20:GW21"/>
    <mergeCell ref="FW20:FW21"/>
    <mergeCell ref="FX20:FX21"/>
    <mergeCell ref="FY20:FY21"/>
    <mergeCell ref="FZ20:FZ21"/>
    <mergeCell ref="GC20:GC21"/>
    <mergeCell ref="GD20:GD21"/>
    <mergeCell ref="FI20:FI21"/>
    <mergeCell ref="FJ20:FJ21"/>
    <mergeCell ref="FS20:FS21"/>
    <mergeCell ref="FT20:FT21"/>
    <mergeCell ref="FU20:FU21"/>
    <mergeCell ref="FV20:FV21"/>
    <mergeCell ref="AE22:AE23"/>
    <mergeCell ref="AF22:AF23"/>
    <mergeCell ref="AG22:AG23"/>
    <mergeCell ref="AH22:AH23"/>
    <mergeCell ref="AI22:AI23"/>
    <mergeCell ref="AJ22:AJ23"/>
    <mergeCell ref="IE20:IE21"/>
    <mergeCell ref="IF20:IF21"/>
    <mergeCell ref="II20:II21"/>
    <mergeCell ref="IJ20:IJ21"/>
    <mergeCell ref="Q22:Q23"/>
    <mergeCell ref="R22:R23"/>
    <mergeCell ref="S22:S23"/>
    <mergeCell ref="T22:T23"/>
    <mergeCell ref="AC22:AC23"/>
    <mergeCell ref="AD22:AD23"/>
    <mergeCell ref="HY20:HY21"/>
    <mergeCell ref="HZ20:HZ21"/>
    <mergeCell ref="IA20:IA21"/>
    <mergeCell ref="IB20:IB21"/>
    <mergeCell ref="IC20:IC21"/>
    <mergeCell ref="ID20:ID21"/>
    <mergeCell ref="HF20:HF21"/>
    <mergeCell ref="HG20:HG21"/>
    <mergeCell ref="HM20:HM21"/>
    <mergeCell ref="HN20:HN21"/>
    <mergeCell ref="HO20:HO21"/>
    <mergeCell ref="HP20:HP21"/>
    <mergeCell ref="GX20:GX21"/>
    <mergeCell ref="GY20:GY21"/>
    <mergeCell ref="GZ20:GZ21"/>
    <mergeCell ref="HA20:HA21"/>
    <mergeCell ref="BL22:BL23"/>
    <mergeCell ref="BM22:BM23"/>
    <mergeCell ref="BP22:BP23"/>
    <mergeCell ref="BQ22:BQ23"/>
    <mergeCell ref="BW22:BW23"/>
    <mergeCell ref="BX22:BX23"/>
    <mergeCell ref="BF22:BF23"/>
    <mergeCell ref="BG22:BG23"/>
    <mergeCell ref="BH22:BH23"/>
    <mergeCell ref="BI22:BI23"/>
    <mergeCell ref="BJ22:BJ23"/>
    <mergeCell ref="BK22:BK23"/>
    <mergeCell ref="AM22:AM23"/>
    <mergeCell ref="AN22:AN23"/>
    <mergeCell ref="AT22:AT23"/>
    <mergeCell ref="AU22:AU23"/>
    <mergeCell ref="AV22:AV23"/>
    <mergeCell ref="AW22:AW23"/>
    <mergeCell ref="CZ22:CZ23"/>
    <mergeCell ref="DA22:DA23"/>
    <mergeCell ref="DB22:DB23"/>
    <mergeCell ref="DC22:DC23"/>
    <mergeCell ref="DL22:DL23"/>
    <mergeCell ref="DM22:DM23"/>
    <mergeCell ref="CM22:CM23"/>
    <mergeCell ref="CN22:CN23"/>
    <mergeCell ref="CO22:CO23"/>
    <mergeCell ref="CP22:CP23"/>
    <mergeCell ref="CS22:CS23"/>
    <mergeCell ref="CT22:CT23"/>
    <mergeCell ref="BY22:BY23"/>
    <mergeCell ref="BZ22:BZ23"/>
    <mergeCell ref="CI22:CI23"/>
    <mergeCell ref="CJ22:CJ23"/>
    <mergeCell ref="CK22:CK23"/>
    <mergeCell ref="CL22:CL23"/>
    <mergeCell ref="EP22:EP23"/>
    <mergeCell ref="EQ22:EQ23"/>
    <mergeCell ref="ER22:ER23"/>
    <mergeCell ref="ES22:ES23"/>
    <mergeCell ref="ET22:ET23"/>
    <mergeCell ref="EU22:EU23"/>
    <mergeCell ref="DV22:DV23"/>
    <mergeCell ref="DW22:DW23"/>
    <mergeCell ref="ED22:ED23"/>
    <mergeCell ref="EE22:EE23"/>
    <mergeCell ref="EF22:EF23"/>
    <mergeCell ref="EG22:EG23"/>
    <mergeCell ref="DN22:DN23"/>
    <mergeCell ref="DO22:DO23"/>
    <mergeCell ref="DP22:DP23"/>
    <mergeCell ref="DQ22:DQ23"/>
    <mergeCell ref="DR22:DR23"/>
    <mergeCell ref="DS22:DS23"/>
    <mergeCell ref="GV22:GV23"/>
    <mergeCell ref="GW22:GW23"/>
    <mergeCell ref="FW22:FW23"/>
    <mergeCell ref="FX22:FX23"/>
    <mergeCell ref="FY22:FY23"/>
    <mergeCell ref="FZ22:FZ23"/>
    <mergeCell ref="GC22:GC23"/>
    <mergeCell ref="GD22:GD23"/>
    <mergeCell ref="FI22:FI23"/>
    <mergeCell ref="FJ22:FJ23"/>
    <mergeCell ref="FS22:FS23"/>
    <mergeCell ref="FT22:FT23"/>
    <mergeCell ref="FU22:FU23"/>
    <mergeCell ref="FV22:FV23"/>
    <mergeCell ref="EV22:EV23"/>
    <mergeCell ref="EW22:EW23"/>
    <mergeCell ref="EZ22:EZ23"/>
    <mergeCell ref="FA22:FA23"/>
    <mergeCell ref="FG22:FG23"/>
    <mergeCell ref="FH22:FH23"/>
    <mergeCell ref="IE22:IE23"/>
    <mergeCell ref="IF22:IF23"/>
    <mergeCell ref="II22:II23"/>
    <mergeCell ref="IJ22:IJ23"/>
    <mergeCell ref="Q24:Q25"/>
    <mergeCell ref="R24:R25"/>
    <mergeCell ref="S24:S25"/>
    <mergeCell ref="T24:T25"/>
    <mergeCell ref="AC24:AC25"/>
    <mergeCell ref="AD24:AD25"/>
    <mergeCell ref="HY22:HY23"/>
    <mergeCell ref="HZ22:HZ23"/>
    <mergeCell ref="IA22:IA23"/>
    <mergeCell ref="IB22:IB23"/>
    <mergeCell ref="IC22:IC23"/>
    <mergeCell ref="ID22:ID23"/>
    <mergeCell ref="HF22:HF23"/>
    <mergeCell ref="HG22:HG23"/>
    <mergeCell ref="HM22:HM23"/>
    <mergeCell ref="HN22:HN23"/>
    <mergeCell ref="HO22:HO23"/>
    <mergeCell ref="HP22:HP23"/>
    <mergeCell ref="GX22:GX23"/>
    <mergeCell ref="GY22:GY23"/>
    <mergeCell ref="GZ22:GZ23"/>
    <mergeCell ref="HA22:HA23"/>
    <mergeCell ref="HB22:HB23"/>
    <mergeCell ref="HC22:HC23"/>
    <mergeCell ref="GJ22:GJ23"/>
    <mergeCell ref="GK22:GK23"/>
    <mergeCell ref="GL22:GL23"/>
    <mergeCell ref="GM22:GM23"/>
    <mergeCell ref="BF24:BF25"/>
    <mergeCell ref="BG24:BG25"/>
    <mergeCell ref="BH24:BH25"/>
    <mergeCell ref="BI24:BI25"/>
    <mergeCell ref="BJ24:BJ25"/>
    <mergeCell ref="BK24:BK25"/>
    <mergeCell ref="AM24:AM25"/>
    <mergeCell ref="AN24:AN25"/>
    <mergeCell ref="AT24:AT25"/>
    <mergeCell ref="AU24:AU25"/>
    <mergeCell ref="AV24:AV25"/>
    <mergeCell ref="AW24:AW25"/>
    <mergeCell ref="AE24:AE25"/>
    <mergeCell ref="AF24:AF25"/>
    <mergeCell ref="AG24:AG25"/>
    <mergeCell ref="AH24:AH25"/>
    <mergeCell ref="AI24:AI25"/>
    <mergeCell ref="AJ24:AJ25"/>
    <mergeCell ref="CM24:CM25"/>
    <mergeCell ref="CN24:CN25"/>
    <mergeCell ref="CO24:CO25"/>
    <mergeCell ref="CP24:CP25"/>
    <mergeCell ref="CS24:CS25"/>
    <mergeCell ref="CT24:CT25"/>
    <mergeCell ref="BY24:BY25"/>
    <mergeCell ref="BZ24:BZ25"/>
    <mergeCell ref="CI24:CI25"/>
    <mergeCell ref="CJ24:CJ25"/>
    <mergeCell ref="CK24:CK25"/>
    <mergeCell ref="CL24:CL25"/>
    <mergeCell ref="BL24:BL25"/>
    <mergeCell ref="BM24:BM25"/>
    <mergeCell ref="BP24:BP25"/>
    <mergeCell ref="BQ24:BQ25"/>
    <mergeCell ref="BW24:BW25"/>
    <mergeCell ref="BX24:BX25"/>
    <mergeCell ref="DV24:DV25"/>
    <mergeCell ref="DW24:DW25"/>
    <mergeCell ref="ED24:ED25"/>
    <mergeCell ref="EE24:EE25"/>
    <mergeCell ref="EF24:EF25"/>
    <mergeCell ref="EG24:EG25"/>
    <mergeCell ref="DN24:DN25"/>
    <mergeCell ref="DO24:DO25"/>
    <mergeCell ref="DP24:DP25"/>
    <mergeCell ref="DQ24:DQ25"/>
    <mergeCell ref="DR24:DR25"/>
    <mergeCell ref="DS24:DS25"/>
    <mergeCell ref="CZ24:CZ25"/>
    <mergeCell ref="DA24:DA25"/>
    <mergeCell ref="DB24:DB25"/>
    <mergeCell ref="DC24:DC25"/>
    <mergeCell ref="DL24:DL25"/>
    <mergeCell ref="DM24:DM25"/>
    <mergeCell ref="FI24:FI25"/>
    <mergeCell ref="FJ24:FJ25"/>
    <mergeCell ref="FS24:FS25"/>
    <mergeCell ref="FT24:FT25"/>
    <mergeCell ref="FU24:FU25"/>
    <mergeCell ref="FV24:FV25"/>
    <mergeCell ref="EV24:EV25"/>
    <mergeCell ref="EW24:EW25"/>
    <mergeCell ref="EZ24:EZ25"/>
    <mergeCell ref="FA24:FA25"/>
    <mergeCell ref="FG24:FG25"/>
    <mergeCell ref="FH24:FH25"/>
    <mergeCell ref="EP24:EP25"/>
    <mergeCell ref="EQ24:EQ25"/>
    <mergeCell ref="ER24:ER25"/>
    <mergeCell ref="ES24:ES25"/>
    <mergeCell ref="ET24:ET25"/>
    <mergeCell ref="EU24:EU25"/>
    <mergeCell ref="HO24:HO25"/>
    <mergeCell ref="HP24:HP25"/>
    <mergeCell ref="GX24:GX25"/>
    <mergeCell ref="GY24:GY25"/>
    <mergeCell ref="GZ24:GZ25"/>
    <mergeCell ref="HA24:HA25"/>
    <mergeCell ref="HB24:HB25"/>
    <mergeCell ref="HC24:HC25"/>
    <mergeCell ref="GJ24:GJ25"/>
    <mergeCell ref="GK24:GK25"/>
    <mergeCell ref="GL24:GL25"/>
    <mergeCell ref="GM24:GM25"/>
    <mergeCell ref="GV24:GV25"/>
    <mergeCell ref="GW24:GW25"/>
    <mergeCell ref="FW24:FW25"/>
    <mergeCell ref="FX24:FX25"/>
    <mergeCell ref="FY24:FY25"/>
    <mergeCell ref="FZ24:FZ25"/>
    <mergeCell ref="GC24:GC25"/>
    <mergeCell ref="GD24:GD25"/>
    <mergeCell ref="AM26:AM27"/>
    <mergeCell ref="AN26:AN27"/>
    <mergeCell ref="AT26:AT27"/>
    <mergeCell ref="AU26:AU27"/>
    <mergeCell ref="AV26:AV27"/>
    <mergeCell ref="AW26:AW27"/>
    <mergeCell ref="AE26:AE27"/>
    <mergeCell ref="AF26:AF27"/>
    <mergeCell ref="AG26:AG27"/>
    <mergeCell ref="AH26:AH27"/>
    <mergeCell ref="AI26:AI27"/>
    <mergeCell ref="AJ26:AJ27"/>
    <mergeCell ref="IE24:IE25"/>
    <mergeCell ref="IF24:IF25"/>
    <mergeCell ref="II24:II25"/>
    <mergeCell ref="IJ24:IJ25"/>
    <mergeCell ref="Q26:Q27"/>
    <mergeCell ref="R26:R27"/>
    <mergeCell ref="S26:S27"/>
    <mergeCell ref="T26:T27"/>
    <mergeCell ref="AC26:AC27"/>
    <mergeCell ref="AD26:AD27"/>
    <mergeCell ref="HY24:HY25"/>
    <mergeCell ref="HZ24:HZ25"/>
    <mergeCell ref="IA24:IA25"/>
    <mergeCell ref="IB24:IB25"/>
    <mergeCell ref="IC24:IC25"/>
    <mergeCell ref="ID24:ID25"/>
    <mergeCell ref="HF24:HF25"/>
    <mergeCell ref="HG24:HG25"/>
    <mergeCell ref="HM24:HM25"/>
    <mergeCell ref="HN24:HN25"/>
    <mergeCell ref="BY26:BY27"/>
    <mergeCell ref="BZ26:BZ27"/>
    <mergeCell ref="CI26:CI27"/>
    <mergeCell ref="CJ26:CJ27"/>
    <mergeCell ref="CK26:CK27"/>
    <mergeCell ref="CL26:CL27"/>
    <mergeCell ref="BL26:BL27"/>
    <mergeCell ref="BM26:BM27"/>
    <mergeCell ref="BP26:BP27"/>
    <mergeCell ref="BQ26:BQ27"/>
    <mergeCell ref="BW26:BW27"/>
    <mergeCell ref="BX26:BX27"/>
    <mergeCell ref="BF26:BF27"/>
    <mergeCell ref="BG26:BG27"/>
    <mergeCell ref="BH26:BH27"/>
    <mergeCell ref="BI26:BI27"/>
    <mergeCell ref="BJ26:BJ27"/>
    <mergeCell ref="BK26:BK27"/>
    <mergeCell ref="DN26:DN27"/>
    <mergeCell ref="DO26:DO27"/>
    <mergeCell ref="DP26:DP27"/>
    <mergeCell ref="DQ26:DQ27"/>
    <mergeCell ref="DR26:DR27"/>
    <mergeCell ref="DS26:DS27"/>
    <mergeCell ref="CZ26:CZ27"/>
    <mergeCell ref="DA26:DA27"/>
    <mergeCell ref="DB26:DB27"/>
    <mergeCell ref="DC26:DC27"/>
    <mergeCell ref="DL26:DL27"/>
    <mergeCell ref="DM26:DM27"/>
    <mergeCell ref="CM26:CM27"/>
    <mergeCell ref="CN26:CN27"/>
    <mergeCell ref="CO26:CO27"/>
    <mergeCell ref="CP26:CP27"/>
    <mergeCell ref="CS26:CS27"/>
    <mergeCell ref="CT26:CT27"/>
    <mergeCell ref="EV26:EV27"/>
    <mergeCell ref="EW26:EW27"/>
    <mergeCell ref="EZ26:EZ27"/>
    <mergeCell ref="FA26:FA27"/>
    <mergeCell ref="FG26:FG27"/>
    <mergeCell ref="FH26:FH27"/>
    <mergeCell ref="EP26:EP27"/>
    <mergeCell ref="EQ26:EQ27"/>
    <mergeCell ref="ER26:ER27"/>
    <mergeCell ref="ES26:ES27"/>
    <mergeCell ref="ET26:ET27"/>
    <mergeCell ref="EU26:EU27"/>
    <mergeCell ref="DV26:DV27"/>
    <mergeCell ref="DW26:DW27"/>
    <mergeCell ref="ED26:ED27"/>
    <mergeCell ref="EE26:EE27"/>
    <mergeCell ref="EF26:EF27"/>
    <mergeCell ref="EG26:EG27"/>
    <mergeCell ref="HB26:HB27"/>
    <mergeCell ref="HC26:HC27"/>
    <mergeCell ref="GJ26:GJ27"/>
    <mergeCell ref="GK26:GK27"/>
    <mergeCell ref="GL26:GL27"/>
    <mergeCell ref="GM26:GM27"/>
    <mergeCell ref="GV26:GV27"/>
    <mergeCell ref="GW26:GW27"/>
    <mergeCell ref="FW26:FW27"/>
    <mergeCell ref="FX26:FX27"/>
    <mergeCell ref="FY26:FY27"/>
    <mergeCell ref="FZ26:FZ27"/>
    <mergeCell ref="GC26:GC27"/>
    <mergeCell ref="GD26:GD27"/>
    <mergeCell ref="FI26:FI27"/>
    <mergeCell ref="FJ26:FJ27"/>
    <mergeCell ref="FS26:FS27"/>
    <mergeCell ref="FT26:FT27"/>
    <mergeCell ref="FU26:FU27"/>
    <mergeCell ref="FV26:FV27"/>
    <mergeCell ref="AE28:AE29"/>
    <mergeCell ref="AF28:AF29"/>
    <mergeCell ref="AG28:AG29"/>
    <mergeCell ref="AH28:AH29"/>
    <mergeCell ref="AI28:AI29"/>
    <mergeCell ref="AJ28:AJ29"/>
    <mergeCell ref="IE26:IE27"/>
    <mergeCell ref="IF26:IF27"/>
    <mergeCell ref="II26:II27"/>
    <mergeCell ref="IJ26:IJ27"/>
    <mergeCell ref="Q28:Q29"/>
    <mergeCell ref="R28:R29"/>
    <mergeCell ref="S28:S29"/>
    <mergeCell ref="T28:T29"/>
    <mergeCell ref="AC28:AC29"/>
    <mergeCell ref="AD28:AD29"/>
    <mergeCell ref="HY26:HY27"/>
    <mergeCell ref="HZ26:HZ27"/>
    <mergeCell ref="IA26:IA27"/>
    <mergeCell ref="IB26:IB27"/>
    <mergeCell ref="IC26:IC27"/>
    <mergeCell ref="ID26:ID27"/>
    <mergeCell ref="HF26:HF27"/>
    <mergeCell ref="HG26:HG27"/>
    <mergeCell ref="HM26:HM27"/>
    <mergeCell ref="HN26:HN27"/>
    <mergeCell ref="HO26:HO27"/>
    <mergeCell ref="HP26:HP27"/>
    <mergeCell ref="GX26:GX27"/>
    <mergeCell ref="GY26:GY27"/>
    <mergeCell ref="GZ26:GZ27"/>
    <mergeCell ref="HA26:HA27"/>
    <mergeCell ref="BL28:BL29"/>
    <mergeCell ref="BM28:BM29"/>
    <mergeCell ref="BP28:BP29"/>
    <mergeCell ref="BQ28:BQ29"/>
    <mergeCell ref="BW28:BW29"/>
    <mergeCell ref="BX28:BX29"/>
    <mergeCell ref="BF28:BF29"/>
    <mergeCell ref="BG28:BG29"/>
    <mergeCell ref="BH28:BH29"/>
    <mergeCell ref="BI28:BI29"/>
    <mergeCell ref="BJ28:BJ29"/>
    <mergeCell ref="BK28:BK29"/>
    <mergeCell ref="AM28:AM29"/>
    <mergeCell ref="AN28:AN29"/>
    <mergeCell ref="AT28:AT29"/>
    <mergeCell ref="AU28:AU29"/>
    <mergeCell ref="AV28:AV29"/>
    <mergeCell ref="AW28:AW29"/>
    <mergeCell ref="CZ28:CZ29"/>
    <mergeCell ref="DA28:DA29"/>
    <mergeCell ref="DB28:DB29"/>
    <mergeCell ref="DC28:DC29"/>
    <mergeCell ref="DL28:DL29"/>
    <mergeCell ref="DM28:DM29"/>
    <mergeCell ref="CM28:CM29"/>
    <mergeCell ref="CN28:CN29"/>
    <mergeCell ref="CO28:CO29"/>
    <mergeCell ref="CP28:CP29"/>
    <mergeCell ref="CS28:CS29"/>
    <mergeCell ref="CT28:CT29"/>
    <mergeCell ref="BY28:BY29"/>
    <mergeCell ref="BZ28:BZ29"/>
    <mergeCell ref="CI28:CI29"/>
    <mergeCell ref="CJ28:CJ29"/>
    <mergeCell ref="CK28:CK29"/>
    <mergeCell ref="CL28:CL29"/>
    <mergeCell ref="EP28:EP29"/>
    <mergeCell ref="EQ28:EQ29"/>
    <mergeCell ref="ER28:ER29"/>
    <mergeCell ref="ES28:ES29"/>
    <mergeCell ref="ET28:ET29"/>
    <mergeCell ref="EU28:EU29"/>
    <mergeCell ref="DV28:DV29"/>
    <mergeCell ref="DW28:DW29"/>
    <mergeCell ref="ED28:ED29"/>
    <mergeCell ref="EE28:EE29"/>
    <mergeCell ref="EF28:EF29"/>
    <mergeCell ref="EG28:EG29"/>
    <mergeCell ref="DN28:DN29"/>
    <mergeCell ref="DO28:DO29"/>
    <mergeCell ref="DP28:DP29"/>
    <mergeCell ref="DQ28:DQ29"/>
    <mergeCell ref="DR28:DR29"/>
    <mergeCell ref="DS28:DS29"/>
    <mergeCell ref="GV28:GV29"/>
    <mergeCell ref="GW28:GW29"/>
    <mergeCell ref="FW28:FW29"/>
    <mergeCell ref="FX28:FX29"/>
    <mergeCell ref="FY28:FY29"/>
    <mergeCell ref="FZ28:FZ29"/>
    <mergeCell ref="GC28:GC29"/>
    <mergeCell ref="GD28:GD29"/>
    <mergeCell ref="FI28:FI29"/>
    <mergeCell ref="FJ28:FJ29"/>
    <mergeCell ref="FS28:FS29"/>
    <mergeCell ref="FT28:FT29"/>
    <mergeCell ref="FU28:FU29"/>
    <mergeCell ref="FV28:FV29"/>
    <mergeCell ref="EV28:EV29"/>
    <mergeCell ref="EW28:EW29"/>
    <mergeCell ref="EZ28:EZ29"/>
    <mergeCell ref="FA28:FA29"/>
    <mergeCell ref="FG28:FG29"/>
    <mergeCell ref="FH28:FH29"/>
    <mergeCell ref="IE28:IE29"/>
    <mergeCell ref="IF28:IF29"/>
    <mergeCell ref="II28:II29"/>
    <mergeCell ref="IJ28:IJ29"/>
    <mergeCell ref="Q30:Q31"/>
    <mergeCell ref="R30:R31"/>
    <mergeCell ref="S30:S31"/>
    <mergeCell ref="T30:T31"/>
    <mergeCell ref="AC30:AC31"/>
    <mergeCell ref="AD30:AD31"/>
    <mergeCell ref="HY28:HY29"/>
    <mergeCell ref="HZ28:HZ29"/>
    <mergeCell ref="IA28:IA29"/>
    <mergeCell ref="IB28:IB29"/>
    <mergeCell ref="IC28:IC29"/>
    <mergeCell ref="ID28:ID29"/>
    <mergeCell ref="HF28:HF29"/>
    <mergeCell ref="HG28:HG29"/>
    <mergeCell ref="HM28:HM29"/>
    <mergeCell ref="HN28:HN29"/>
    <mergeCell ref="HO28:HO29"/>
    <mergeCell ref="HP28:HP29"/>
    <mergeCell ref="GX28:GX29"/>
    <mergeCell ref="GY28:GY29"/>
    <mergeCell ref="GZ28:GZ29"/>
    <mergeCell ref="HA28:HA29"/>
    <mergeCell ref="HB28:HB29"/>
    <mergeCell ref="HC28:HC29"/>
    <mergeCell ref="GJ28:GJ29"/>
    <mergeCell ref="GK28:GK29"/>
    <mergeCell ref="GL28:GL29"/>
    <mergeCell ref="GM28:GM29"/>
    <mergeCell ref="BF30:BF31"/>
    <mergeCell ref="BG30:BG31"/>
    <mergeCell ref="BH30:BH31"/>
    <mergeCell ref="BI30:BI31"/>
    <mergeCell ref="BJ30:BJ31"/>
    <mergeCell ref="BK30:BK31"/>
    <mergeCell ref="AM30:AM31"/>
    <mergeCell ref="AN30:AN31"/>
    <mergeCell ref="AT30:AT31"/>
    <mergeCell ref="AU30:AU31"/>
    <mergeCell ref="AV30:AV31"/>
    <mergeCell ref="AW30:AW31"/>
    <mergeCell ref="AE30:AE31"/>
    <mergeCell ref="AF30:AF31"/>
    <mergeCell ref="AG30:AG31"/>
    <mergeCell ref="AH30:AH31"/>
    <mergeCell ref="AI30:AI31"/>
    <mergeCell ref="AJ30:AJ31"/>
    <mergeCell ref="CM30:CM31"/>
    <mergeCell ref="CN30:CN31"/>
    <mergeCell ref="CO30:CO31"/>
    <mergeCell ref="CP30:CP31"/>
    <mergeCell ref="CS30:CS31"/>
    <mergeCell ref="CT30:CT31"/>
    <mergeCell ref="BY30:BY31"/>
    <mergeCell ref="BZ30:BZ31"/>
    <mergeCell ref="CI30:CI31"/>
    <mergeCell ref="CJ30:CJ31"/>
    <mergeCell ref="CK30:CK31"/>
    <mergeCell ref="CL30:CL31"/>
    <mergeCell ref="BL30:BL31"/>
    <mergeCell ref="BM30:BM31"/>
    <mergeCell ref="BP30:BP31"/>
    <mergeCell ref="BQ30:BQ31"/>
    <mergeCell ref="BW30:BW31"/>
    <mergeCell ref="BX30:BX31"/>
    <mergeCell ref="DV30:DV31"/>
    <mergeCell ref="DW30:DW31"/>
    <mergeCell ref="ED30:ED31"/>
    <mergeCell ref="EE30:EE31"/>
    <mergeCell ref="EF30:EF31"/>
    <mergeCell ref="EG30:EG31"/>
    <mergeCell ref="DN30:DN31"/>
    <mergeCell ref="DO30:DO31"/>
    <mergeCell ref="DP30:DP31"/>
    <mergeCell ref="DQ30:DQ31"/>
    <mergeCell ref="DR30:DR31"/>
    <mergeCell ref="DS30:DS31"/>
    <mergeCell ref="CZ30:CZ31"/>
    <mergeCell ref="DA30:DA31"/>
    <mergeCell ref="DB30:DB31"/>
    <mergeCell ref="DC30:DC31"/>
    <mergeCell ref="DL30:DL31"/>
    <mergeCell ref="DM30:DM31"/>
    <mergeCell ref="FI30:FI31"/>
    <mergeCell ref="FJ30:FJ31"/>
    <mergeCell ref="FS30:FS31"/>
    <mergeCell ref="FT30:FT31"/>
    <mergeCell ref="FU30:FU31"/>
    <mergeCell ref="FV30:FV31"/>
    <mergeCell ref="EV30:EV31"/>
    <mergeCell ref="EW30:EW31"/>
    <mergeCell ref="EZ30:EZ31"/>
    <mergeCell ref="FA30:FA31"/>
    <mergeCell ref="FG30:FG31"/>
    <mergeCell ref="FH30:FH31"/>
    <mergeCell ref="EP30:EP31"/>
    <mergeCell ref="EQ30:EQ31"/>
    <mergeCell ref="ER30:ER31"/>
    <mergeCell ref="ES30:ES31"/>
    <mergeCell ref="ET30:ET31"/>
    <mergeCell ref="EU30:EU31"/>
    <mergeCell ref="HO30:HO31"/>
    <mergeCell ref="HP30:HP31"/>
    <mergeCell ref="GX30:GX31"/>
    <mergeCell ref="GY30:GY31"/>
    <mergeCell ref="GZ30:GZ31"/>
    <mergeCell ref="HA30:HA31"/>
    <mergeCell ref="HB30:HB31"/>
    <mergeCell ref="HC30:HC31"/>
    <mergeCell ref="GJ30:GJ31"/>
    <mergeCell ref="GK30:GK31"/>
    <mergeCell ref="GL30:GL31"/>
    <mergeCell ref="GM30:GM31"/>
    <mergeCell ref="GV30:GV31"/>
    <mergeCell ref="GW30:GW31"/>
    <mergeCell ref="FW30:FW31"/>
    <mergeCell ref="FX30:FX31"/>
    <mergeCell ref="FY30:FY31"/>
    <mergeCell ref="FZ30:FZ31"/>
    <mergeCell ref="GC30:GC31"/>
    <mergeCell ref="GD30:GD31"/>
    <mergeCell ref="AM32:AM33"/>
    <mergeCell ref="AN32:AN33"/>
    <mergeCell ref="AT32:AT33"/>
    <mergeCell ref="AU32:AU33"/>
    <mergeCell ref="AV32:AV33"/>
    <mergeCell ref="AW32:AW33"/>
    <mergeCell ref="AE32:AE33"/>
    <mergeCell ref="AF32:AF33"/>
    <mergeCell ref="AG32:AG33"/>
    <mergeCell ref="AH32:AH33"/>
    <mergeCell ref="AI32:AI33"/>
    <mergeCell ref="AJ32:AJ33"/>
    <mergeCell ref="IE30:IE31"/>
    <mergeCell ref="IF30:IF31"/>
    <mergeCell ref="II30:II31"/>
    <mergeCell ref="IJ30:IJ31"/>
    <mergeCell ref="Q32:Q33"/>
    <mergeCell ref="R32:R33"/>
    <mergeCell ref="S32:S33"/>
    <mergeCell ref="T32:T33"/>
    <mergeCell ref="AC32:AC33"/>
    <mergeCell ref="AD32:AD33"/>
    <mergeCell ref="HY30:HY31"/>
    <mergeCell ref="HZ30:HZ31"/>
    <mergeCell ref="IA30:IA31"/>
    <mergeCell ref="IB30:IB31"/>
    <mergeCell ref="IC30:IC31"/>
    <mergeCell ref="ID30:ID31"/>
    <mergeCell ref="HF30:HF31"/>
    <mergeCell ref="HG30:HG31"/>
    <mergeCell ref="HM30:HM31"/>
    <mergeCell ref="HN30:HN31"/>
    <mergeCell ref="BY32:BY33"/>
    <mergeCell ref="BZ32:BZ33"/>
    <mergeCell ref="CI32:CI33"/>
    <mergeCell ref="CJ32:CJ33"/>
    <mergeCell ref="CK32:CK33"/>
    <mergeCell ref="CL32:CL33"/>
    <mergeCell ref="BL32:BL33"/>
    <mergeCell ref="BM32:BM33"/>
    <mergeCell ref="BP32:BP33"/>
    <mergeCell ref="BQ32:BQ33"/>
    <mergeCell ref="BW32:BW33"/>
    <mergeCell ref="BX32:BX33"/>
    <mergeCell ref="BF32:BF33"/>
    <mergeCell ref="BG32:BG33"/>
    <mergeCell ref="BH32:BH33"/>
    <mergeCell ref="BI32:BI33"/>
    <mergeCell ref="BJ32:BJ33"/>
    <mergeCell ref="BK32:BK33"/>
    <mergeCell ref="DN32:DN33"/>
    <mergeCell ref="DO32:DO33"/>
    <mergeCell ref="DP32:DP33"/>
    <mergeCell ref="DQ32:DQ33"/>
    <mergeCell ref="DR32:DR33"/>
    <mergeCell ref="DS32:DS33"/>
    <mergeCell ref="CZ32:CZ33"/>
    <mergeCell ref="DA32:DA33"/>
    <mergeCell ref="DB32:DB33"/>
    <mergeCell ref="DC32:DC33"/>
    <mergeCell ref="DL32:DL33"/>
    <mergeCell ref="DM32:DM33"/>
    <mergeCell ref="CM32:CM33"/>
    <mergeCell ref="CN32:CN33"/>
    <mergeCell ref="CO32:CO33"/>
    <mergeCell ref="CP32:CP33"/>
    <mergeCell ref="CS32:CS33"/>
    <mergeCell ref="CT32:CT33"/>
    <mergeCell ref="EV32:EV33"/>
    <mergeCell ref="EW32:EW33"/>
    <mergeCell ref="EZ32:EZ33"/>
    <mergeCell ref="FA32:FA33"/>
    <mergeCell ref="FG32:FG33"/>
    <mergeCell ref="FH32:FH33"/>
    <mergeCell ref="EP32:EP33"/>
    <mergeCell ref="EQ32:EQ33"/>
    <mergeCell ref="ER32:ER33"/>
    <mergeCell ref="ES32:ES33"/>
    <mergeCell ref="ET32:ET33"/>
    <mergeCell ref="EU32:EU33"/>
    <mergeCell ref="DV32:DV33"/>
    <mergeCell ref="DW32:DW33"/>
    <mergeCell ref="ED32:ED33"/>
    <mergeCell ref="EE32:EE33"/>
    <mergeCell ref="EF32:EF33"/>
    <mergeCell ref="EG32:EG33"/>
    <mergeCell ref="HB32:HB33"/>
    <mergeCell ref="HC32:HC33"/>
    <mergeCell ref="GJ32:GJ33"/>
    <mergeCell ref="GK32:GK33"/>
    <mergeCell ref="GL32:GL33"/>
    <mergeCell ref="GM32:GM33"/>
    <mergeCell ref="GV32:GV33"/>
    <mergeCell ref="GW32:GW33"/>
    <mergeCell ref="FW32:FW33"/>
    <mergeCell ref="FX32:FX33"/>
    <mergeCell ref="FY32:FY33"/>
    <mergeCell ref="FZ32:FZ33"/>
    <mergeCell ref="GC32:GC33"/>
    <mergeCell ref="GD32:GD33"/>
    <mergeCell ref="FI32:FI33"/>
    <mergeCell ref="FJ32:FJ33"/>
    <mergeCell ref="FS32:FS33"/>
    <mergeCell ref="FT32:FT33"/>
    <mergeCell ref="FU32:FU33"/>
    <mergeCell ref="FV32:FV33"/>
    <mergeCell ref="AE34:AE35"/>
    <mergeCell ref="AF34:AF35"/>
    <mergeCell ref="AG34:AG35"/>
    <mergeCell ref="AH34:AH35"/>
    <mergeCell ref="AI34:AI35"/>
    <mergeCell ref="AJ34:AJ35"/>
    <mergeCell ref="IE32:IE33"/>
    <mergeCell ref="IF32:IF33"/>
    <mergeCell ref="II32:II33"/>
    <mergeCell ref="IJ32:IJ33"/>
    <mergeCell ref="Q34:Q35"/>
    <mergeCell ref="R34:R35"/>
    <mergeCell ref="S34:S35"/>
    <mergeCell ref="T34:T35"/>
    <mergeCell ref="AC34:AC35"/>
    <mergeCell ref="AD34:AD35"/>
    <mergeCell ref="HY32:HY33"/>
    <mergeCell ref="HZ32:HZ33"/>
    <mergeCell ref="IA32:IA33"/>
    <mergeCell ref="IB32:IB33"/>
    <mergeCell ref="IC32:IC33"/>
    <mergeCell ref="ID32:ID33"/>
    <mergeCell ref="HF32:HF33"/>
    <mergeCell ref="HG32:HG33"/>
    <mergeCell ref="HM32:HM33"/>
    <mergeCell ref="HN32:HN33"/>
    <mergeCell ref="HO32:HO33"/>
    <mergeCell ref="HP32:HP33"/>
    <mergeCell ref="GX32:GX33"/>
    <mergeCell ref="GY32:GY33"/>
    <mergeCell ref="GZ32:GZ33"/>
    <mergeCell ref="HA32:HA33"/>
    <mergeCell ref="BL34:BL35"/>
    <mergeCell ref="BM34:BM35"/>
    <mergeCell ref="BP34:BP35"/>
    <mergeCell ref="BQ34:BQ35"/>
    <mergeCell ref="BW34:BW35"/>
    <mergeCell ref="BX34:BX35"/>
    <mergeCell ref="BF34:BF35"/>
    <mergeCell ref="BG34:BG35"/>
    <mergeCell ref="BH34:BH35"/>
    <mergeCell ref="BI34:BI35"/>
    <mergeCell ref="BJ34:BJ35"/>
    <mergeCell ref="BK34:BK35"/>
    <mergeCell ref="AM34:AM35"/>
    <mergeCell ref="AN34:AN35"/>
    <mergeCell ref="AT34:AT35"/>
    <mergeCell ref="AU34:AU35"/>
    <mergeCell ref="AV34:AV35"/>
    <mergeCell ref="AW34:AW35"/>
    <mergeCell ref="CZ34:CZ35"/>
    <mergeCell ref="DA34:DA35"/>
    <mergeCell ref="DB34:DB35"/>
    <mergeCell ref="DC34:DC35"/>
    <mergeCell ref="DL34:DL35"/>
    <mergeCell ref="DM34:DM35"/>
    <mergeCell ref="CM34:CM35"/>
    <mergeCell ref="CN34:CN35"/>
    <mergeCell ref="CO34:CO35"/>
    <mergeCell ref="CP34:CP35"/>
    <mergeCell ref="CS34:CS35"/>
    <mergeCell ref="CT34:CT35"/>
    <mergeCell ref="BY34:BY35"/>
    <mergeCell ref="BZ34:BZ35"/>
    <mergeCell ref="CI34:CI35"/>
    <mergeCell ref="CJ34:CJ35"/>
    <mergeCell ref="CK34:CK35"/>
    <mergeCell ref="CL34:CL35"/>
    <mergeCell ref="EP34:EP35"/>
    <mergeCell ref="EQ34:EQ35"/>
    <mergeCell ref="ER34:ER35"/>
    <mergeCell ref="ES34:ES35"/>
    <mergeCell ref="ET34:ET35"/>
    <mergeCell ref="EU34:EU35"/>
    <mergeCell ref="DV34:DV35"/>
    <mergeCell ref="DW34:DW35"/>
    <mergeCell ref="ED34:ED35"/>
    <mergeCell ref="EE34:EE35"/>
    <mergeCell ref="EF34:EF35"/>
    <mergeCell ref="EG34:EG35"/>
    <mergeCell ref="DN34:DN35"/>
    <mergeCell ref="DO34:DO35"/>
    <mergeCell ref="DP34:DP35"/>
    <mergeCell ref="DQ34:DQ35"/>
    <mergeCell ref="DR34:DR35"/>
    <mergeCell ref="DS34:DS35"/>
    <mergeCell ref="FW34:FW35"/>
    <mergeCell ref="FX34:FX35"/>
    <mergeCell ref="FY34:FY35"/>
    <mergeCell ref="FZ34:FZ35"/>
    <mergeCell ref="GC34:GC35"/>
    <mergeCell ref="GD34:GD35"/>
    <mergeCell ref="FI34:FI35"/>
    <mergeCell ref="FJ34:FJ35"/>
    <mergeCell ref="FS34:FS35"/>
    <mergeCell ref="FT34:FT35"/>
    <mergeCell ref="FU34:FU35"/>
    <mergeCell ref="FV34:FV35"/>
    <mergeCell ref="EV34:EV35"/>
    <mergeCell ref="EW34:EW35"/>
    <mergeCell ref="EZ34:EZ35"/>
    <mergeCell ref="FA34:FA35"/>
    <mergeCell ref="FG34:FG35"/>
    <mergeCell ref="FH34:FH35"/>
    <mergeCell ref="II34:II35"/>
    <mergeCell ref="IJ34:IJ35"/>
    <mergeCell ref="Q36:Q37"/>
    <mergeCell ref="R36:R37"/>
    <mergeCell ref="S36:S37"/>
    <mergeCell ref="T36:T37"/>
    <mergeCell ref="AC36:AC37"/>
    <mergeCell ref="AD36:AD37"/>
    <mergeCell ref="HY34:HY35"/>
    <mergeCell ref="HZ34:HZ35"/>
    <mergeCell ref="IA34:IA35"/>
    <mergeCell ref="IB34:IB35"/>
    <mergeCell ref="IC34:IC35"/>
    <mergeCell ref="ID34:ID35"/>
    <mergeCell ref="HF34:HF35"/>
    <mergeCell ref="HG34:HG35"/>
    <mergeCell ref="HM34:HM35"/>
    <mergeCell ref="HN34:HN35"/>
    <mergeCell ref="HO34:HO35"/>
    <mergeCell ref="HP34:HP35"/>
    <mergeCell ref="GX34:GX35"/>
    <mergeCell ref="GY34:GY35"/>
    <mergeCell ref="GZ34:GZ35"/>
    <mergeCell ref="HA34:HA35"/>
    <mergeCell ref="HB34:HB35"/>
    <mergeCell ref="HC34:HC35"/>
    <mergeCell ref="GJ34:GJ35"/>
    <mergeCell ref="GK34:GK35"/>
    <mergeCell ref="GL34:GL35"/>
    <mergeCell ref="GM34:GM35"/>
    <mergeCell ref="GV34:GV35"/>
    <mergeCell ref="GW34:GW35"/>
    <mergeCell ref="BF36:BF37"/>
    <mergeCell ref="BG36:BG37"/>
    <mergeCell ref="BH36:BH37"/>
    <mergeCell ref="BI36:BI37"/>
    <mergeCell ref="BJ36:BJ37"/>
    <mergeCell ref="BK36:BK37"/>
    <mergeCell ref="AM36:AM37"/>
    <mergeCell ref="AN36:AN37"/>
    <mergeCell ref="AT36:AT37"/>
    <mergeCell ref="AU36:AU37"/>
    <mergeCell ref="AV36:AV37"/>
    <mergeCell ref="AW36:AW37"/>
    <mergeCell ref="AE36:AE37"/>
    <mergeCell ref="AF36:AF37"/>
    <mergeCell ref="AG36:AG37"/>
    <mergeCell ref="AH36:AH37"/>
    <mergeCell ref="AI36:AI37"/>
    <mergeCell ref="AJ36:AJ37"/>
    <mergeCell ref="CM36:CM37"/>
    <mergeCell ref="CN36:CN37"/>
    <mergeCell ref="CO36:CO37"/>
    <mergeCell ref="CP36:CP37"/>
    <mergeCell ref="CS36:CS37"/>
    <mergeCell ref="CT36:CT37"/>
    <mergeCell ref="BY36:BY37"/>
    <mergeCell ref="BZ36:BZ37"/>
    <mergeCell ref="CI36:CI37"/>
    <mergeCell ref="CJ36:CJ37"/>
    <mergeCell ref="CK36:CK37"/>
    <mergeCell ref="CL36:CL37"/>
    <mergeCell ref="BL36:BL37"/>
    <mergeCell ref="BM36:BM37"/>
    <mergeCell ref="BP36:BP37"/>
    <mergeCell ref="BQ36:BQ37"/>
    <mergeCell ref="BW36:BW37"/>
    <mergeCell ref="BX36:BX37"/>
    <mergeCell ref="DV36:DV37"/>
    <mergeCell ref="DW36:DW37"/>
    <mergeCell ref="ED36:ED37"/>
    <mergeCell ref="EE36:EE37"/>
    <mergeCell ref="EF36:EF37"/>
    <mergeCell ref="EG36:EG37"/>
    <mergeCell ref="DN36:DN37"/>
    <mergeCell ref="DO36:DO37"/>
    <mergeCell ref="DP36:DP37"/>
    <mergeCell ref="DQ36:DQ37"/>
    <mergeCell ref="DR36:DR37"/>
    <mergeCell ref="DS36:DS37"/>
    <mergeCell ref="CZ36:CZ37"/>
    <mergeCell ref="DA36:DA37"/>
    <mergeCell ref="DB36:DB37"/>
    <mergeCell ref="DC36:DC37"/>
    <mergeCell ref="DL36:DL37"/>
    <mergeCell ref="DM36:DM37"/>
    <mergeCell ref="FY36:FY37"/>
    <mergeCell ref="FZ36:FZ37"/>
    <mergeCell ref="GC36:GC37"/>
    <mergeCell ref="GD36:GD37"/>
    <mergeCell ref="FI36:FI37"/>
    <mergeCell ref="FJ36:FJ37"/>
    <mergeCell ref="FS36:FS37"/>
    <mergeCell ref="FT36:FT37"/>
    <mergeCell ref="FU36:FU37"/>
    <mergeCell ref="FV36:FV37"/>
    <mergeCell ref="EV36:EV37"/>
    <mergeCell ref="EW36:EW37"/>
    <mergeCell ref="EZ36:EZ37"/>
    <mergeCell ref="FA36:FA37"/>
    <mergeCell ref="FG36:FG37"/>
    <mergeCell ref="FH36:FH37"/>
    <mergeCell ref="EP36:EP37"/>
    <mergeCell ref="EQ36:EQ37"/>
    <mergeCell ref="ER36:ER37"/>
    <mergeCell ref="ES36:ES37"/>
    <mergeCell ref="ET36:ET37"/>
    <mergeCell ref="EU36:EU37"/>
    <mergeCell ref="Q38:Q39"/>
    <mergeCell ref="R38:R39"/>
    <mergeCell ref="S38:S39"/>
    <mergeCell ref="T38:T39"/>
    <mergeCell ref="AC38:AC39"/>
    <mergeCell ref="AD38:AD39"/>
    <mergeCell ref="HY36:HY37"/>
    <mergeCell ref="HZ36:HZ37"/>
    <mergeCell ref="IA36:IA37"/>
    <mergeCell ref="IB36:IB37"/>
    <mergeCell ref="IC36:IC37"/>
    <mergeCell ref="ID36:ID37"/>
    <mergeCell ref="HF36:HF37"/>
    <mergeCell ref="HG36:HG37"/>
    <mergeCell ref="HM36:HM37"/>
    <mergeCell ref="HN36:HN37"/>
    <mergeCell ref="HO36:HO37"/>
    <mergeCell ref="HP36:HP37"/>
    <mergeCell ref="GX36:GX37"/>
    <mergeCell ref="GY36:GY37"/>
    <mergeCell ref="GZ36:GZ37"/>
    <mergeCell ref="HA36:HA37"/>
    <mergeCell ref="HB36:HB37"/>
    <mergeCell ref="HC36:HC37"/>
    <mergeCell ref="GJ36:GJ37"/>
    <mergeCell ref="GK36:GK37"/>
    <mergeCell ref="GL36:GL37"/>
    <mergeCell ref="GM36:GM37"/>
    <mergeCell ref="GV36:GV37"/>
    <mergeCell ref="GW36:GW37"/>
    <mergeCell ref="FW36:FW37"/>
    <mergeCell ref="FX36:FX37"/>
    <mergeCell ref="BF38:BF39"/>
    <mergeCell ref="BG38:BG39"/>
    <mergeCell ref="BH38:BH39"/>
    <mergeCell ref="BI38:BI39"/>
    <mergeCell ref="BJ38:BJ39"/>
    <mergeCell ref="BK38:BK39"/>
    <mergeCell ref="AM38:AM39"/>
    <mergeCell ref="AN38:AN39"/>
    <mergeCell ref="AT38:AT39"/>
    <mergeCell ref="AU38:AU39"/>
    <mergeCell ref="AV38:AV39"/>
    <mergeCell ref="AW38:AW39"/>
    <mergeCell ref="AE38:AE39"/>
    <mergeCell ref="AF38:AF39"/>
    <mergeCell ref="AG38:AG39"/>
    <mergeCell ref="AH38:AH39"/>
    <mergeCell ref="AI38:AI39"/>
    <mergeCell ref="AJ38:AJ39"/>
    <mergeCell ref="CM38:CM39"/>
    <mergeCell ref="CN38:CN39"/>
    <mergeCell ref="CO38:CO39"/>
    <mergeCell ref="CP38:CP39"/>
    <mergeCell ref="CS38:CS39"/>
    <mergeCell ref="CT38:CT39"/>
    <mergeCell ref="BY38:BY39"/>
    <mergeCell ref="BZ38:BZ39"/>
    <mergeCell ref="CI38:CI39"/>
    <mergeCell ref="CJ38:CJ39"/>
    <mergeCell ref="CK38:CK39"/>
    <mergeCell ref="CL38:CL39"/>
    <mergeCell ref="BL38:BL39"/>
    <mergeCell ref="BM38:BM39"/>
    <mergeCell ref="BP38:BP39"/>
    <mergeCell ref="BQ38:BQ39"/>
    <mergeCell ref="BW38:BW39"/>
    <mergeCell ref="BX38:BX39"/>
    <mergeCell ref="DV38:DV39"/>
    <mergeCell ref="DW38:DW39"/>
    <mergeCell ref="ED38:ED39"/>
    <mergeCell ref="EE38:EE39"/>
    <mergeCell ref="EF38:EF39"/>
    <mergeCell ref="EG38:EG39"/>
    <mergeCell ref="DN38:DN39"/>
    <mergeCell ref="DO38:DO39"/>
    <mergeCell ref="DP38:DP39"/>
    <mergeCell ref="DQ38:DQ39"/>
    <mergeCell ref="DR38:DR39"/>
    <mergeCell ref="DS38:DS39"/>
    <mergeCell ref="CZ38:CZ39"/>
    <mergeCell ref="DA38:DA39"/>
    <mergeCell ref="DB38:DB39"/>
    <mergeCell ref="DC38:DC39"/>
    <mergeCell ref="DL38:DL39"/>
    <mergeCell ref="DM38:DM39"/>
    <mergeCell ref="FY38:FY39"/>
    <mergeCell ref="FZ38:FZ39"/>
    <mergeCell ref="GC38:GC39"/>
    <mergeCell ref="GD38:GD39"/>
    <mergeCell ref="FI38:FI39"/>
    <mergeCell ref="FJ38:FJ39"/>
    <mergeCell ref="FS38:FS39"/>
    <mergeCell ref="FT38:FT39"/>
    <mergeCell ref="FU38:FU39"/>
    <mergeCell ref="FV38:FV39"/>
    <mergeCell ref="EV38:EV39"/>
    <mergeCell ref="EW38:EW39"/>
    <mergeCell ref="EZ38:EZ39"/>
    <mergeCell ref="FA38:FA39"/>
    <mergeCell ref="FG38:FG39"/>
    <mergeCell ref="FH38:FH39"/>
    <mergeCell ref="EP38:EP39"/>
    <mergeCell ref="EQ38:EQ39"/>
    <mergeCell ref="ER38:ER39"/>
    <mergeCell ref="ES38:ES39"/>
    <mergeCell ref="ET38:ET39"/>
    <mergeCell ref="EU38:EU39"/>
    <mergeCell ref="Q40:Q41"/>
    <mergeCell ref="R40:R41"/>
    <mergeCell ref="S40:S41"/>
    <mergeCell ref="T40:T41"/>
    <mergeCell ref="AC40:AC41"/>
    <mergeCell ref="AD40:AD41"/>
    <mergeCell ref="HY38:HY39"/>
    <mergeCell ref="HZ38:HZ39"/>
    <mergeCell ref="IA38:IA39"/>
    <mergeCell ref="IB38:IB39"/>
    <mergeCell ref="IC38:IC39"/>
    <mergeCell ref="ID38:ID39"/>
    <mergeCell ref="HF38:HF39"/>
    <mergeCell ref="HG38:HG39"/>
    <mergeCell ref="HM38:HM39"/>
    <mergeCell ref="HN38:HN39"/>
    <mergeCell ref="HO38:HO39"/>
    <mergeCell ref="HP38:HP39"/>
    <mergeCell ref="GX38:GX39"/>
    <mergeCell ref="GY38:GY39"/>
    <mergeCell ref="GZ38:GZ39"/>
    <mergeCell ref="HA38:HA39"/>
    <mergeCell ref="HB38:HB39"/>
    <mergeCell ref="HC38:HC39"/>
    <mergeCell ref="GJ38:GJ39"/>
    <mergeCell ref="GK38:GK39"/>
    <mergeCell ref="GL38:GL39"/>
    <mergeCell ref="GM38:GM39"/>
    <mergeCell ref="GV38:GV39"/>
    <mergeCell ref="GW38:GW39"/>
    <mergeCell ref="FW38:FW39"/>
    <mergeCell ref="FX38:FX39"/>
    <mergeCell ref="BF40:BF41"/>
    <mergeCell ref="BG40:BG41"/>
    <mergeCell ref="BH40:BH41"/>
    <mergeCell ref="BI40:BI41"/>
    <mergeCell ref="BJ40:BJ41"/>
    <mergeCell ref="BK40:BK41"/>
    <mergeCell ref="AM40:AM41"/>
    <mergeCell ref="AN40:AN41"/>
    <mergeCell ref="AT40:AT41"/>
    <mergeCell ref="AU40:AU41"/>
    <mergeCell ref="AV40:AV41"/>
    <mergeCell ref="AW40:AW41"/>
    <mergeCell ref="AE40:AE41"/>
    <mergeCell ref="AF40:AF41"/>
    <mergeCell ref="AG40:AG41"/>
    <mergeCell ref="AH40:AH41"/>
    <mergeCell ref="AI40:AI41"/>
    <mergeCell ref="AJ40:AJ41"/>
    <mergeCell ref="CM40:CM41"/>
    <mergeCell ref="CN40:CN41"/>
    <mergeCell ref="CO40:CO41"/>
    <mergeCell ref="CP40:CP41"/>
    <mergeCell ref="CS40:CS41"/>
    <mergeCell ref="CT40:CT41"/>
    <mergeCell ref="BY40:BY41"/>
    <mergeCell ref="BZ40:BZ41"/>
    <mergeCell ref="CI40:CI41"/>
    <mergeCell ref="CJ40:CJ41"/>
    <mergeCell ref="CK40:CK41"/>
    <mergeCell ref="CL40:CL41"/>
    <mergeCell ref="BL40:BL41"/>
    <mergeCell ref="BM40:BM41"/>
    <mergeCell ref="BP40:BP41"/>
    <mergeCell ref="BQ40:BQ41"/>
    <mergeCell ref="BW40:BW41"/>
    <mergeCell ref="BX40:BX41"/>
    <mergeCell ref="DV40:DV41"/>
    <mergeCell ref="DW40:DW41"/>
    <mergeCell ref="ED40:ED41"/>
    <mergeCell ref="EE40:EE41"/>
    <mergeCell ref="EF40:EF41"/>
    <mergeCell ref="EG40:EG41"/>
    <mergeCell ref="DN40:DN41"/>
    <mergeCell ref="DO40:DO41"/>
    <mergeCell ref="DP40:DP41"/>
    <mergeCell ref="DQ40:DQ41"/>
    <mergeCell ref="DR40:DR41"/>
    <mergeCell ref="DS40:DS41"/>
    <mergeCell ref="CZ40:CZ41"/>
    <mergeCell ref="DA40:DA41"/>
    <mergeCell ref="DB40:DB41"/>
    <mergeCell ref="DC40:DC41"/>
    <mergeCell ref="DL40:DL41"/>
    <mergeCell ref="DM40:DM41"/>
    <mergeCell ref="FI40:FI41"/>
    <mergeCell ref="FJ40:FJ41"/>
    <mergeCell ref="FS40:FS41"/>
    <mergeCell ref="FT40:FT41"/>
    <mergeCell ref="FU40:FU41"/>
    <mergeCell ref="FV40:FV41"/>
    <mergeCell ref="EV40:EV41"/>
    <mergeCell ref="EW40:EW41"/>
    <mergeCell ref="EZ40:EZ41"/>
    <mergeCell ref="FA40:FA41"/>
    <mergeCell ref="FG40:FG41"/>
    <mergeCell ref="FH40:FH41"/>
    <mergeCell ref="EP40:EP41"/>
    <mergeCell ref="EQ40:EQ41"/>
    <mergeCell ref="ER40:ER41"/>
    <mergeCell ref="ES40:ES41"/>
    <mergeCell ref="ET40:ET41"/>
    <mergeCell ref="EU40:EU41"/>
    <mergeCell ref="GX40:GX41"/>
    <mergeCell ref="GY40:GY41"/>
    <mergeCell ref="GZ40:GZ41"/>
    <mergeCell ref="HA40:HA41"/>
    <mergeCell ref="HB40:HB41"/>
    <mergeCell ref="HC40:HC41"/>
    <mergeCell ref="GJ40:GJ41"/>
    <mergeCell ref="GK40:GK41"/>
    <mergeCell ref="GL40:GL41"/>
    <mergeCell ref="GM40:GM41"/>
    <mergeCell ref="GV40:GV41"/>
    <mergeCell ref="GW40:GW41"/>
    <mergeCell ref="FW40:FW41"/>
    <mergeCell ref="FX40:FX41"/>
    <mergeCell ref="FY40:FY41"/>
    <mergeCell ref="FZ40:FZ41"/>
    <mergeCell ref="GC40:GC41"/>
    <mergeCell ref="GD40:GD41"/>
    <mergeCell ref="IE40:IE41"/>
    <mergeCell ref="IF40:IF41"/>
    <mergeCell ref="II40:II41"/>
    <mergeCell ref="IJ40:IJ41"/>
    <mergeCell ref="IL1:IO1"/>
    <mergeCell ref="IP1:IS1"/>
    <mergeCell ref="IP6:IP7"/>
    <mergeCell ref="IQ6:IQ7"/>
    <mergeCell ref="IR6:IR7"/>
    <mergeCell ref="IS6:IS7"/>
    <mergeCell ref="HY40:HY41"/>
    <mergeCell ref="HZ40:HZ41"/>
    <mergeCell ref="IA40:IA41"/>
    <mergeCell ref="IB40:IB41"/>
    <mergeCell ref="IC40:IC41"/>
    <mergeCell ref="ID40:ID41"/>
    <mergeCell ref="HF40:HF41"/>
    <mergeCell ref="HG40:HG41"/>
    <mergeCell ref="HM40:HM41"/>
    <mergeCell ref="HN40:HN41"/>
    <mergeCell ref="HO40:HO41"/>
    <mergeCell ref="HP40:HP41"/>
    <mergeCell ref="IE38:IE39"/>
    <mergeCell ref="IF38:IF39"/>
    <mergeCell ref="II38:II39"/>
    <mergeCell ref="IJ38:IJ39"/>
    <mergeCell ref="IE36:IE37"/>
    <mergeCell ref="IF36:IF37"/>
    <mergeCell ref="II36:II37"/>
    <mergeCell ref="IJ36:IJ37"/>
    <mergeCell ref="IE34:IE35"/>
    <mergeCell ref="IF34:IF35"/>
    <mergeCell ref="MS1:MT1"/>
    <mergeCell ref="MU1:MV1"/>
    <mergeCell ref="IP2:IP3"/>
    <mergeCell ref="IQ2:IQ3"/>
    <mergeCell ref="IR2:IR3"/>
    <mergeCell ref="IS2:IS3"/>
    <mergeCell ref="JB2:JB3"/>
    <mergeCell ref="JC2:JC3"/>
    <mergeCell ref="KZ1:LG1"/>
    <mergeCell ref="LH1:LO1"/>
    <mergeCell ref="LP1:LQ1"/>
    <mergeCell ref="LR1:LS1"/>
    <mergeCell ref="LU1:LX1"/>
    <mergeCell ref="LY1:MB1"/>
    <mergeCell ref="JW1:KD1"/>
    <mergeCell ref="KE1:KL1"/>
    <mergeCell ref="KM1:KN1"/>
    <mergeCell ref="KO1:KP1"/>
    <mergeCell ref="KR1:KU1"/>
    <mergeCell ref="KV1:KY1"/>
    <mergeCell ref="IT1:JA1"/>
    <mergeCell ref="JB1:JI1"/>
    <mergeCell ref="JJ1:JK1"/>
    <mergeCell ref="JL1:JM1"/>
    <mergeCell ref="JO1:JR1"/>
    <mergeCell ref="JS1:JV1"/>
    <mergeCell ref="KE2:KE3"/>
    <mergeCell ref="KF2:KF3"/>
    <mergeCell ref="KG2:KG3"/>
    <mergeCell ref="KH2:KH3"/>
    <mergeCell ref="JL2:JL3"/>
    <mergeCell ref="JM2:JM3"/>
    <mergeCell ref="JS2:JS3"/>
    <mergeCell ref="JT2:JT3"/>
    <mergeCell ref="JU2:JU3"/>
    <mergeCell ref="JV2:JV3"/>
    <mergeCell ref="JD2:JD3"/>
    <mergeCell ref="JE2:JE3"/>
    <mergeCell ref="JF2:JF3"/>
    <mergeCell ref="JG2:JG3"/>
    <mergeCell ref="JH2:JH3"/>
    <mergeCell ref="JI2:JI3"/>
    <mergeCell ref="LM2:LM3"/>
    <mergeCell ref="LN2:LN3"/>
    <mergeCell ref="LO2:LO3"/>
    <mergeCell ref="MC1:MJ1"/>
    <mergeCell ref="MK1:MR1"/>
    <mergeCell ref="LR2:LR3"/>
    <mergeCell ref="LS2:LS3"/>
    <mergeCell ref="KX2:KX3"/>
    <mergeCell ref="KY2:KY3"/>
    <mergeCell ref="LH2:LH3"/>
    <mergeCell ref="LI2:LI3"/>
    <mergeCell ref="LJ2:LJ3"/>
    <mergeCell ref="LK2:LK3"/>
    <mergeCell ref="KK2:KK3"/>
    <mergeCell ref="KL2:KL3"/>
    <mergeCell ref="KO2:KO3"/>
    <mergeCell ref="KP2:KP3"/>
    <mergeCell ref="KV2:KV3"/>
    <mergeCell ref="KW2:KW3"/>
    <mergeCell ref="ML2:ML3"/>
    <mergeCell ref="LL2:LL3"/>
    <mergeCell ref="JV4:JV5"/>
    <mergeCell ref="KE4:KE5"/>
    <mergeCell ref="KF4:KF5"/>
    <mergeCell ref="KI2:KI3"/>
    <mergeCell ref="KJ2:KJ3"/>
    <mergeCell ref="JF4:JF5"/>
    <mergeCell ref="JG4:JG5"/>
    <mergeCell ref="JH4:JH5"/>
    <mergeCell ref="JI4:JI5"/>
    <mergeCell ref="JL4:JL5"/>
    <mergeCell ref="JM4:JM5"/>
    <mergeCell ref="MU2:MU3"/>
    <mergeCell ref="MV2:MV3"/>
    <mergeCell ref="IP4:IP5"/>
    <mergeCell ref="IQ4:IQ5"/>
    <mergeCell ref="IR4:IR5"/>
    <mergeCell ref="IS4:IS5"/>
    <mergeCell ref="JB4:JB5"/>
    <mergeCell ref="JC4:JC5"/>
    <mergeCell ref="JD4:JD5"/>
    <mergeCell ref="JE4:JE5"/>
    <mergeCell ref="MM2:MM3"/>
    <mergeCell ref="MN2:MN3"/>
    <mergeCell ref="MO2:MO3"/>
    <mergeCell ref="MP2:MP3"/>
    <mergeCell ref="MQ2:MQ3"/>
    <mergeCell ref="MR2:MR3"/>
    <mergeCell ref="LY2:LY3"/>
    <mergeCell ref="LZ2:LZ3"/>
    <mergeCell ref="MA2:MA3"/>
    <mergeCell ref="MB2:MB3"/>
    <mergeCell ref="MK2:MK3"/>
    <mergeCell ref="MV4:MV5"/>
    <mergeCell ref="MA4:MA5"/>
    <mergeCell ref="MB4:MB5"/>
    <mergeCell ref="LN4:LN5"/>
    <mergeCell ref="LO4:LO5"/>
    <mergeCell ref="LR4:LR5"/>
    <mergeCell ref="LS4:LS5"/>
    <mergeCell ref="LY4:LY5"/>
    <mergeCell ref="LZ4:LZ5"/>
    <mergeCell ref="LH4:LH5"/>
    <mergeCell ref="LI4:LI5"/>
    <mergeCell ref="LJ4:LJ5"/>
    <mergeCell ref="LK4:LK5"/>
    <mergeCell ref="LL4:LL5"/>
    <mergeCell ref="LM4:LM5"/>
    <mergeCell ref="JH6:JH7"/>
    <mergeCell ref="JI6:JI7"/>
    <mergeCell ref="JL6:JL7"/>
    <mergeCell ref="JM6:JM7"/>
    <mergeCell ref="JS6:JS7"/>
    <mergeCell ref="JT6:JT7"/>
    <mergeCell ref="LH6:LH7"/>
    <mergeCell ref="LI6:LI7"/>
    <mergeCell ref="KI6:KI7"/>
    <mergeCell ref="KJ6:KJ7"/>
    <mergeCell ref="KK6:KK7"/>
    <mergeCell ref="KL6:KL7"/>
    <mergeCell ref="KO6:KO7"/>
    <mergeCell ref="KP6:KP7"/>
    <mergeCell ref="JU6:JU7"/>
    <mergeCell ref="JV6:JV7"/>
    <mergeCell ref="LJ6:LJ7"/>
    <mergeCell ref="JF6:JF7"/>
    <mergeCell ref="JG6:JG7"/>
    <mergeCell ref="MO4:MO5"/>
    <mergeCell ref="MP4:MP5"/>
    <mergeCell ref="MQ4:MQ5"/>
    <mergeCell ref="MR4:MR5"/>
    <mergeCell ref="MU4:MU5"/>
    <mergeCell ref="KO4:KO5"/>
    <mergeCell ref="KP4:KP5"/>
    <mergeCell ref="KV4:KV5"/>
    <mergeCell ref="KW4:KW5"/>
    <mergeCell ref="KX4:KX5"/>
    <mergeCell ref="KY4:KY5"/>
    <mergeCell ref="KG4:KG5"/>
    <mergeCell ref="KH4:KH5"/>
    <mergeCell ref="KI4:KI5"/>
    <mergeCell ref="KJ4:KJ5"/>
    <mergeCell ref="KK4:KK5"/>
    <mergeCell ref="KL4:KL5"/>
    <mergeCell ref="JS4:JS5"/>
    <mergeCell ref="JT4:JT5"/>
    <mergeCell ref="JU4:JU5"/>
    <mergeCell ref="LN6:LN7"/>
    <mergeCell ref="LO6:LO7"/>
    <mergeCell ref="KV6:KV7"/>
    <mergeCell ref="KW6:KW7"/>
    <mergeCell ref="KX6:KX7"/>
    <mergeCell ref="KY6:KY7"/>
    <mergeCell ref="MK4:MK5"/>
    <mergeCell ref="ML4:ML5"/>
    <mergeCell ref="MM4:MM5"/>
    <mergeCell ref="MN4:MN5"/>
    <mergeCell ref="JD8:JD9"/>
    <mergeCell ref="JE8:JE9"/>
    <mergeCell ref="JF8:JF9"/>
    <mergeCell ref="JG8:JG9"/>
    <mergeCell ref="JH8:JH9"/>
    <mergeCell ref="JI8:JI9"/>
    <mergeCell ref="MQ6:MQ7"/>
    <mergeCell ref="MR6:MR7"/>
    <mergeCell ref="MU6:MU7"/>
    <mergeCell ref="MV6:MV7"/>
    <mergeCell ref="IP8:IP9"/>
    <mergeCell ref="IQ8:IQ9"/>
    <mergeCell ref="IR8:IR9"/>
    <mergeCell ref="IS8:IS9"/>
    <mergeCell ref="JB8:JB9"/>
    <mergeCell ref="JC8:JC9"/>
    <mergeCell ref="MK6:MK7"/>
    <mergeCell ref="ML6:ML7"/>
    <mergeCell ref="MM6:MM7"/>
    <mergeCell ref="MN6:MN7"/>
    <mergeCell ref="MO6:MO7"/>
    <mergeCell ref="MP6:MP7"/>
    <mergeCell ref="LR6:LR7"/>
    <mergeCell ref="LS6:LS7"/>
    <mergeCell ref="LY6:LY7"/>
    <mergeCell ref="LZ6:LZ7"/>
    <mergeCell ref="MA6:MA7"/>
    <mergeCell ref="MB6:MB7"/>
    <mergeCell ref="JB6:JB7"/>
    <mergeCell ref="JC6:JC7"/>
    <mergeCell ref="JD6:JD7"/>
    <mergeCell ref="JE6:JE7"/>
    <mergeCell ref="LK6:LK7"/>
    <mergeCell ref="LL6:LL7"/>
    <mergeCell ref="LM6:LM7"/>
    <mergeCell ref="LJ8:LJ9"/>
    <mergeCell ref="LK8:LK9"/>
    <mergeCell ref="KK8:KK9"/>
    <mergeCell ref="KL8:KL9"/>
    <mergeCell ref="KO8:KO9"/>
    <mergeCell ref="KP8:KP9"/>
    <mergeCell ref="KV8:KV9"/>
    <mergeCell ref="KW8:KW9"/>
    <mergeCell ref="KE8:KE9"/>
    <mergeCell ref="KF8:KF9"/>
    <mergeCell ref="KG8:KG9"/>
    <mergeCell ref="KH8:KH9"/>
    <mergeCell ref="KI8:KI9"/>
    <mergeCell ref="KJ8:KJ9"/>
    <mergeCell ref="KE6:KE7"/>
    <mergeCell ref="KF6:KF7"/>
    <mergeCell ref="KG6:KG7"/>
    <mergeCell ref="KH6:KH7"/>
    <mergeCell ref="JL8:JL9"/>
    <mergeCell ref="JM8:JM9"/>
    <mergeCell ref="JS8:JS9"/>
    <mergeCell ref="JT8:JT9"/>
    <mergeCell ref="JU8:JU9"/>
    <mergeCell ref="JV8:JV9"/>
    <mergeCell ref="MU8:MU9"/>
    <mergeCell ref="MV8:MV9"/>
    <mergeCell ref="IP10:IP11"/>
    <mergeCell ref="IQ10:IQ11"/>
    <mergeCell ref="IR10:IR11"/>
    <mergeCell ref="IS10:IS11"/>
    <mergeCell ref="JB10:JB11"/>
    <mergeCell ref="JC10:JC11"/>
    <mergeCell ref="JD10:JD11"/>
    <mergeCell ref="JE10:JE11"/>
    <mergeCell ref="MM8:MM9"/>
    <mergeCell ref="MN8:MN9"/>
    <mergeCell ref="MO8:MO9"/>
    <mergeCell ref="MP8:MP9"/>
    <mergeCell ref="MQ8:MQ9"/>
    <mergeCell ref="MR8:MR9"/>
    <mergeCell ref="LY8:LY9"/>
    <mergeCell ref="LZ8:LZ9"/>
    <mergeCell ref="MA8:MA9"/>
    <mergeCell ref="MB8:MB9"/>
    <mergeCell ref="MK8:MK9"/>
    <mergeCell ref="ML8:ML9"/>
    <mergeCell ref="LL8:LL9"/>
    <mergeCell ref="LM8:LM9"/>
    <mergeCell ref="LN8:LN9"/>
    <mergeCell ref="LO8:LO9"/>
    <mergeCell ref="LR8:LR9"/>
    <mergeCell ref="LS8:LS9"/>
    <mergeCell ref="KX8:KX9"/>
    <mergeCell ref="KY8:KY9"/>
    <mergeCell ref="LH8:LH9"/>
    <mergeCell ref="LI8:LI9"/>
    <mergeCell ref="KV10:KV11"/>
    <mergeCell ref="KW10:KW11"/>
    <mergeCell ref="KX10:KX11"/>
    <mergeCell ref="KY10:KY11"/>
    <mergeCell ref="KG10:KG11"/>
    <mergeCell ref="KH10:KH11"/>
    <mergeCell ref="KI10:KI11"/>
    <mergeCell ref="KJ10:KJ11"/>
    <mergeCell ref="KK10:KK11"/>
    <mergeCell ref="KL10:KL11"/>
    <mergeCell ref="JS10:JS11"/>
    <mergeCell ref="JT10:JT11"/>
    <mergeCell ref="JU10:JU11"/>
    <mergeCell ref="JV10:JV11"/>
    <mergeCell ref="KE10:KE11"/>
    <mergeCell ref="KF10:KF11"/>
    <mergeCell ref="JF10:JF11"/>
    <mergeCell ref="JG10:JG11"/>
    <mergeCell ref="JH10:JH11"/>
    <mergeCell ref="JI10:JI11"/>
    <mergeCell ref="JL10:JL11"/>
    <mergeCell ref="JM10:JM11"/>
    <mergeCell ref="IP12:IP13"/>
    <mergeCell ref="IQ12:IQ13"/>
    <mergeCell ref="IR12:IR13"/>
    <mergeCell ref="IS12:IS13"/>
    <mergeCell ref="JB12:JB13"/>
    <mergeCell ref="JC12:JC13"/>
    <mergeCell ref="MO10:MO11"/>
    <mergeCell ref="MP10:MP11"/>
    <mergeCell ref="MQ10:MQ11"/>
    <mergeCell ref="MR10:MR11"/>
    <mergeCell ref="MU10:MU11"/>
    <mergeCell ref="KO10:KO11"/>
    <mergeCell ref="KP10:KP11"/>
    <mergeCell ref="KE12:KE13"/>
    <mergeCell ref="KF12:KF13"/>
    <mergeCell ref="KG12:KG13"/>
    <mergeCell ref="KH12:KH13"/>
    <mergeCell ref="KI12:KI13"/>
    <mergeCell ref="KJ12:KJ13"/>
    <mergeCell ref="JL12:JL13"/>
    <mergeCell ref="JM12:JM13"/>
    <mergeCell ref="JS12:JS13"/>
    <mergeCell ref="JT12:JT13"/>
    <mergeCell ref="JU12:JU13"/>
    <mergeCell ref="JV12:JV13"/>
    <mergeCell ref="JD12:JD13"/>
    <mergeCell ref="MV10:MV11"/>
    <mergeCell ref="MA10:MA11"/>
    <mergeCell ref="MB10:MB11"/>
    <mergeCell ref="MK10:MK11"/>
    <mergeCell ref="ML10:ML11"/>
    <mergeCell ref="MM10:MM11"/>
    <mergeCell ref="MN10:MN11"/>
    <mergeCell ref="LN10:LN11"/>
    <mergeCell ref="LO10:LO11"/>
    <mergeCell ref="LR10:LR11"/>
    <mergeCell ref="LS10:LS11"/>
    <mergeCell ref="LY10:LY11"/>
    <mergeCell ref="LZ10:LZ11"/>
    <mergeCell ref="LH10:LH11"/>
    <mergeCell ref="LI10:LI11"/>
    <mergeCell ref="LJ10:LJ11"/>
    <mergeCell ref="LK10:LK11"/>
    <mergeCell ref="LL10:LL11"/>
    <mergeCell ref="LM10:LM11"/>
    <mergeCell ref="JE12:JE13"/>
    <mergeCell ref="JF12:JF13"/>
    <mergeCell ref="JG12:JG13"/>
    <mergeCell ref="JH12:JH13"/>
    <mergeCell ref="JI12:JI13"/>
    <mergeCell ref="LM12:LM13"/>
    <mergeCell ref="LN12:LN13"/>
    <mergeCell ref="LO12:LO13"/>
    <mergeCell ref="LR12:LR13"/>
    <mergeCell ref="LS12:LS13"/>
    <mergeCell ref="KX12:KX13"/>
    <mergeCell ref="KY12:KY13"/>
    <mergeCell ref="LH12:LH13"/>
    <mergeCell ref="LI12:LI13"/>
    <mergeCell ref="LJ12:LJ13"/>
    <mergeCell ref="LK12:LK13"/>
    <mergeCell ref="KK12:KK13"/>
    <mergeCell ref="KL12:KL13"/>
    <mergeCell ref="KO12:KO13"/>
    <mergeCell ref="KP12:KP13"/>
    <mergeCell ref="KV12:KV13"/>
    <mergeCell ref="KW12:KW13"/>
    <mergeCell ref="JV14:JV15"/>
    <mergeCell ref="KE14:KE15"/>
    <mergeCell ref="KF14:KF15"/>
    <mergeCell ref="JF14:JF15"/>
    <mergeCell ref="JG14:JG15"/>
    <mergeCell ref="JH14:JH15"/>
    <mergeCell ref="JI14:JI15"/>
    <mergeCell ref="JL14:JL15"/>
    <mergeCell ref="JM14:JM15"/>
    <mergeCell ref="MU12:MU13"/>
    <mergeCell ref="MV12:MV13"/>
    <mergeCell ref="IP14:IP15"/>
    <mergeCell ref="IQ14:IQ15"/>
    <mergeCell ref="IR14:IR15"/>
    <mergeCell ref="IS14:IS15"/>
    <mergeCell ref="JB14:JB15"/>
    <mergeCell ref="JC14:JC15"/>
    <mergeCell ref="JD14:JD15"/>
    <mergeCell ref="JE14:JE15"/>
    <mergeCell ref="MM12:MM13"/>
    <mergeCell ref="MN12:MN13"/>
    <mergeCell ref="MO12:MO13"/>
    <mergeCell ref="MP12:MP13"/>
    <mergeCell ref="MQ12:MQ13"/>
    <mergeCell ref="MR12:MR13"/>
    <mergeCell ref="LY12:LY13"/>
    <mergeCell ref="LZ12:LZ13"/>
    <mergeCell ref="MA12:MA13"/>
    <mergeCell ref="MB12:MB13"/>
    <mergeCell ref="MK12:MK13"/>
    <mergeCell ref="ML12:ML13"/>
    <mergeCell ref="LL12:LL13"/>
    <mergeCell ref="MV14:MV15"/>
    <mergeCell ref="MA14:MA15"/>
    <mergeCell ref="MB14:MB15"/>
    <mergeCell ref="MK14:MK15"/>
    <mergeCell ref="ML14:ML15"/>
    <mergeCell ref="MM14:MM15"/>
    <mergeCell ref="MN14:MN15"/>
    <mergeCell ref="LN14:LN15"/>
    <mergeCell ref="LO14:LO15"/>
    <mergeCell ref="LR14:LR15"/>
    <mergeCell ref="LS14:LS15"/>
    <mergeCell ref="LY14:LY15"/>
    <mergeCell ref="LZ14:LZ15"/>
    <mergeCell ref="LH14:LH15"/>
    <mergeCell ref="LI14:LI15"/>
    <mergeCell ref="LJ14:LJ15"/>
    <mergeCell ref="LK14:LK15"/>
    <mergeCell ref="LL14:LL15"/>
    <mergeCell ref="LM14:LM15"/>
    <mergeCell ref="JD16:JD17"/>
    <mergeCell ref="JE16:JE17"/>
    <mergeCell ref="JF16:JF17"/>
    <mergeCell ref="JG16:JG17"/>
    <mergeCell ref="JH16:JH17"/>
    <mergeCell ref="JI16:JI17"/>
    <mergeCell ref="IP16:IP17"/>
    <mergeCell ref="IQ16:IQ17"/>
    <mergeCell ref="IR16:IR17"/>
    <mergeCell ref="IS16:IS17"/>
    <mergeCell ref="JB16:JB17"/>
    <mergeCell ref="JC16:JC17"/>
    <mergeCell ref="MO14:MO15"/>
    <mergeCell ref="MP14:MP15"/>
    <mergeCell ref="MQ14:MQ15"/>
    <mergeCell ref="MR14:MR15"/>
    <mergeCell ref="MU14:MU15"/>
    <mergeCell ref="KO14:KO15"/>
    <mergeCell ref="KP14:KP15"/>
    <mergeCell ref="KV14:KV15"/>
    <mergeCell ref="KW14:KW15"/>
    <mergeCell ref="KX14:KX15"/>
    <mergeCell ref="KY14:KY15"/>
    <mergeCell ref="KG14:KG15"/>
    <mergeCell ref="KH14:KH15"/>
    <mergeCell ref="KI14:KI15"/>
    <mergeCell ref="KJ14:KJ15"/>
    <mergeCell ref="KK14:KK15"/>
    <mergeCell ref="KL14:KL15"/>
    <mergeCell ref="JS14:JS15"/>
    <mergeCell ref="JT14:JT15"/>
    <mergeCell ref="JU14:JU15"/>
    <mergeCell ref="LJ16:LJ17"/>
    <mergeCell ref="LK16:LK17"/>
    <mergeCell ref="KK16:KK17"/>
    <mergeCell ref="KL16:KL17"/>
    <mergeCell ref="KO16:KO17"/>
    <mergeCell ref="KP16:KP17"/>
    <mergeCell ref="KV16:KV17"/>
    <mergeCell ref="KW16:KW17"/>
    <mergeCell ref="KE16:KE17"/>
    <mergeCell ref="KF16:KF17"/>
    <mergeCell ref="KG16:KG17"/>
    <mergeCell ref="KH16:KH17"/>
    <mergeCell ref="KI16:KI17"/>
    <mergeCell ref="KJ16:KJ17"/>
    <mergeCell ref="JL16:JL17"/>
    <mergeCell ref="JM16:JM17"/>
    <mergeCell ref="JS16:JS17"/>
    <mergeCell ref="JT16:JT17"/>
    <mergeCell ref="JU16:JU17"/>
    <mergeCell ref="JV16:JV17"/>
    <mergeCell ref="MU16:MU17"/>
    <mergeCell ref="MV16:MV17"/>
    <mergeCell ref="IP18:IP19"/>
    <mergeCell ref="IQ18:IQ19"/>
    <mergeCell ref="IR18:IR19"/>
    <mergeCell ref="IS18:IS19"/>
    <mergeCell ref="JB18:JB19"/>
    <mergeCell ref="JC18:JC19"/>
    <mergeCell ref="JD18:JD19"/>
    <mergeCell ref="JE18:JE19"/>
    <mergeCell ref="MM16:MM17"/>
    <mergeCell ref="MN16:MN17"/>
    <mergeCell ref="MO16:MO17"/>
    <mergeCell ref="MP16:MP17"/>
    <mergeCell ref="MQ16:MQ17"/>
    <mergeCell ref="MR16:MR17"/>
    <mergeCell ref="LY16:LY17"/>
    <mergeCell ref="LZ16:LZ17"/>
    <mergeCell ref="MA16:MA17"/>
    <mergeCell ref="MB16:MB17"/>
    <mergeCell ref="MK16:MK17"/>
    <mergeCell ref="ML16:ML17"/>
    <mergeCell ref="LL16:LL17"/>
    <mergeCell ref="LM16:LM17"/>
    <mergeCell ref="LN16:LN17"/>
    <mergeCell ref="LO16:LO17"/>
    <mergeCell ref="LR16:LR17"/>
    <mergeCell ref="LS16:LS17"/>
    <mergeCell ref="KX16:KX17"/>
    <mergeCell ref="KY16:KY17"/>
    <mergeCell ref="LH16:LH17"/>
    <mergeCell ref="LI16:LI17"/>
    <mergeCell ref="KV18:KV19"/>
    <mergeCell ref="KW18:KW19"/>
    <mergeCell ref="KX18:KX19"/>
    <mergeCell ref="KY18:KY19"/>
    <mergeCell ref="KG18:KG19"/>
    <mergeCell ref="KH18:KH19"/>
    <mergeCell ref="KI18:KI19"/>
    <mergeCell ref="KJ18:KJ19"/>
    <mergeCell ref="KK18:KK19"/>
    <mergeCell ref="KL18:KL19"/>
    <mergeCell ref="JS18:JS19"/>
    <mergeCell ref="JT18:JT19"/>
    <mergeCell ref="JU18:JU19"/>
    <mergeCell ref="JV18:JV19"/>
    <mergeCell ref="KE18:KE19"/>
    <mergeCell ref="KF18:KF19"/>
    <mergeCell ref="JF18:JF19"/>
    <mergeCell ref="JG18:JG19"/>
    <mergeCell ref="JH18:JH19"/>
    <mergeCell ref="JI18:JI19"/>
    <mergeCell ref="JL18:JL19"/>
    <mergeCell ref="JM18:JM19"/>
    <mergeCell ref="IP20:IP21"/>
    <mergeCell ref="IQ20:IQ21"/>
    <mergeCell ref="IR20:IR21"/>
    <mergeCell ref="IS20:IS21"/>
    <mergeCell ref="JB20:JB21"/>
    <mergeCell ref="JC20:JC21"/>
    <mergeCell ref="MO18:MO19"/>
    <mergeCell ref="MP18:MP19"/>
    <mergeCell ref="MQ18:MQ19"/>
    <mergeCell ref="MR18:MR19"/>
    <mergeCell ref="MU18:MU19"/>
    <mergeCell ref="MV18:MV19"/>
    <mergeCell ref="MA18:MA19"/>
    <mergeCell ref="MB18:MB19"/>
    <mergeCell ref="MK18:MK19"/>
    <mergeCell ref="ML18:ML19"/>
    <mergeCell ref="MM18:MM19"/>
    <mergeCell ref="MN18:MN19"/>
    <mergeCell ref="LN18:LN19"/>
    <mergeCell ref="LO18:LO19"/>
    <mergeCell ref="LR18:LR19"/>
    <mergeCell ref="LS18:LS19"/>
    <mergeCell ref="LY18:LY19"/>
    <mergeCell ref="LZ18:LZ19"/>
    <mergeCell ref="LH18:LH19"/>
    <mergeCell ref="LI18:LI19"/>
    <mergeCell ref="LJ18:LJ19"/>
    <mergeCell ref="LK18:LK19"/>
    <mergeCell ref="LL18:LL19"/>
    <mergeCell ref="LM18:LM19"/>
    <mergeCell ref="KO18:KO19"/>
    <mergeCell ref="KP18:KP19"/>
    <mergeCell ref="KE20:KE21"/>
    <mergeCell ref="KF20:KF21"/>
    <mergeCell ref="KG20:KG21"/>
    <mergeCell ref="KH20:KH21"/>
    <mergeCell ref="KI20:KI21"/>
    <mergeCell ref="KJ20:KJ21"/>
    <mergeCell ref="JL20:JL21"/>
    <mergeCell ref="JM20:JM21"/>
    <mergeCell ref="JS20:JS21"/>
    <mergeCell ref="JT20:JT21"/>
    <mergeCell ref="JU20:JU21"/>
    <mergeCell ref="JV20:JV21"/>
    <mergeCell ref="JD20:JD21"/>
    <mergeCell ref="JE20:JE21"/>
    <mergeCell ref="JF20:JF21"/>
    <mergeCell ref="JG20:JG21"/>
    <mergeCell ref="JH20:JH21"/>
    <mergeCell ref="JI20:JI21"/>
    <mergeCell ref="LM20:LM21"/>
    <mergeCell ref="LN20:LN21"/>
    <mergeCell ref="LO20:LO21"/>
    <mergeCell ref="LR20:LR21"/>
    <mergeCell ref="LS20:LS21"/>
    <mergeCell ref="KX20:KX21"/>
    <mergeCell ref="KY20:KY21"/>
    <mergeCell ref="LH20:LH21"/>
    <mergeCell ref="LI20:LI21"/>
    <mergeCell ref="LJ20:LJ21"/>
    <mergeCell ref="LK20:LK21"/>
    <mergeCell ref="KK20:KK21"/>
    <mergeCell ref="KL20:KL21"/>
    <mergeCell ref="KO20:KO21"/>
    <mergeCell ref="KP20:KP21"/>
    <mergeCell ref="KV20:KV21"/>
    <mergeCell ref="KW20:KW21"/>
    <mergeCell ref="JV22:JV23"/>
    <mergeCell ref="KE22:KE23"/>
    <mergeCell ref="KF22:KF23"/>
    <mergeCell ref="JF22:JF23"/>
    <mergeCell ref="JG22:JG23"/>
    <mergeCell ref="JH22:JH23"/>
    <mergeCell ref="JI22:JI23"/>
    <mergeCell ref="JL22:JL23"/>
    <mergeCell ref="JM22:JM23"/>
    <mergeCell ref="MU20:MU21"/>
    <mergeCell ref="MV20:MV21"/>
    <mergeCell ref="IP22:IP23"/>
    <mergeCell ref="IQ22:IQ23"/>
    <mergeCell ref="IR22:IR23"/>
    <mergeCell ref="IS22:IS23"/>
    <mergeCell ref="JB22:JB23"/>
    <mergeCell ref="JC22:JC23"/>
    <mergeCell ref="JD22:JD23"/>
    <mergeCell ref="JE22:JE23"/>
    <mergeCell ref="MM20:MM21"/>
    <mergeCell ref="MN20:MN21"/>
    <mergeCell ref="MO20:MO21"/>
    <mergeCell ref="MP20:MP21"/>
    <mergeCell ref="MQ20:MQ21"/>
    <mergeCell ref="MR20:MR21"/>
    <mergeCell ref="LY20:LY21"/>
    <mergeCell ref="LZ20:LZ21"/>
    <mergeCell ref="MA20:MA21"/>
    <mergeCell ref="MB20:MB21"/>
    <mergeCell ref="MK20:MK21"/>
    <mergeCell ref="ML20:ML21"/>
    <mergeCell ref="LL20:LL21"/>
    <mergeCell ref="MV22:MV23"/>
    <mergeCell ref="MA22:MA23"/>
    <mergeCell ref="MB22:MB23"/>
    <mergeCell ref="MK22:MK23"/>
    <mergeCell ref="ML22:ML23"/>
    <mergeCell ref="MM22:MM23"/>
    <mergeCell ref="MN22:MN23"/>
    <mergeCell ref="LN22:LN23"/>
    <mergeCell ref="LO22:LO23"/>
    <mergeCell ref="LR22:LR23"/>
    <mergeCell ref="LS22:LS23"/>
    <mergeCell ref="LY22:LY23"/>
    <mergeCell ref="LZ22:LZ23"/>
    <mergeCell ref="LH22:LH23"/>
    <mergeCell ref="LI22:LI23"/>
    <mergeCell ref="LJ22:LJ23"/>
    <mergeCell ref="LK22:LK23"/>
    <mergeCell ref="LL22:LL23"/>
    <mergeCell ref="LM22:LM23"/>
    <mergeCell ref="JD24:JD25"/>
    <mergeCell ref="JE24:JE25"/>
    <mergeCell ref="JF24:JF25"/>
    <mergeCell ref="JG24:JG25"/>
    <mergeCell ref="JH24:JH25"/>
    <mergeCell ref="JI24:JI25"/>
    <mergeCell ref="IP24:IP25"/>
    <mergeCell ref="IQ24:IQ25"/>
    <mergeCell ref="IR24:IR25"/>
    <mergeCell ref="IS24:IS25"/>
    <mergeCell ref="JB24:JB25"/>
    <mergeCell ref="JC24:JC25"/>
    <mergeCell ref="MO22:MO23"/>
    <mergeCell ref="MP22:MP23"/>
    <mergeCell ref="MQ22:MQ23"/>
    <mergeCell ref="MR22:MR23"/>
    <mergeCell ref="MU22:MU23"/>
    <mergeCell ref="KO22:KO23"/>
    <mergeCell ref="KP22:KP23"/>
    <mergeCell ref="KV22:KV23"/>
    <mergeCell ref="KW22:KW23"/>
    <mergeCell ref="KX22:KX23"/>
    <mergeCell ref="KY22:KY23"/>
    <mergeCell ref="KG22:KG23"/>
    <mergeCell ref="KH22:KH23"/>
    <mergeCell ref="KI22:KI23"/>
    <mergeCell ref="KJ22:KJ23"/>
    <mergeCell ref="KK22:KK23"/>
    <mergeCell ref="KL22:KL23"/>
    <mergeCell ref="JS22:JS23"/>
    <mergeCell ref="JT22:JT23"/>
    <mergeCell ref="JU22:JU23"/>
    <mergeCell ref="LJ24:LJ25"/>
    <mergeCell ref="LK24:LK25"/>
    <mergeCell ref="KK24:KK25"/>
    <mergeCell ref="KL24:KL25"/>
    <mergeCell ref="KO24:KO25"/>
    <mergeCell ref="KP24:KP25"/>
    <mergeCell ref="KV24:KV25"/>
    <mergeCell ref="KW24:KW25"/>
    <mergeCell ref="KE24:KE25"/>
    <mergeCell ref="KF24:KF25"/>
    <mergeCell ref="KG24:KG25"/>
    <mergeCell ref="KH24:KH25"/>
    <mergeCell ref="KI24:KI25"/>
    <mergeCell ref="KJ24:KJ25"/>
    <mergeCell ref="JL24:JL25"/>
    <mergeCell ref="JM24:JM25"/>
    <mergeCell ref="JS24:JS25"/>
    <mergeCell ref="JT24:JT25"/>
    <mergeCell ref="JU24:JU25"/>
    <mergeCell ref="JV24:JV25"/>
    <mergeCell ref="MU24:MU25"/>
    <mergeCell ref="MV24:MV25"/>
    <mergeCell ref="IP26:IP27"/>
    <mergeCell ref="IQ26:IQ27"/>
    <mergeCell ref="IR26:IR27"/>
    <mergeCell ref="IS26:IS27"/>
    <mergeCell ref="JB26:JB27"/>
    <mergeCell ref="JC26:JC27"/>
    <mergeCell ref="JD26:JD27"/>
    <mergeCell ref="JE26:JE27"/>
    <mergeCell ref="MM24:MM25"/>
    <mergeCell ref="MN24:MN25"/>
    <mergeCell ref="MO24:MO25"/>
    <mergeCell ref="MP24:MP25"/>
    <mergeCell ref="MQ24:MQ25"/>
    <mergeCell ref="MR24:MR25"/>
    <mergeCell ref="LY24:LY25"/>
    <mergeCell ref="LZ24:LZ25"/>
    <mergeCell ref="MA24:MA25"/>
    <mergeCell ref="MB24:MB25"/>
    <mergeCell ref="MK24:MK25"/>
    <mergeCell ref="ML24:ML25"/>
    <mergeCell ref="LL24:LL25"/>
    <mergeCell ref="LM24:LM25"/>
    <mergeCell ref="LN24:LN25"/>
    <mergeCell ref="LO24:LO25"/>
    <mergeCell ref="LR24:LR25"/>
    <mergeCell ref="LS24:LS25"/>
    <mergeCell ref="KX24:KX25"/>
    <mergeCell ref="KY24:KY25"/>
    <mergeCell ref="LH24:LH25"/>
    <mergeCell ref="LI24:LI25"/>
    <mergeCell ref="KV26:KV27"/>
    <mergeCell ref="KW26:KW27"/>
    <mergeCell ref="KX26:KX27"/>
    <mergeCell ref="KY26:KY27"/>
    <mergeCell ref="KG26:KG27"/>
    <mergeCell ref="KH26:KH27"/>
    <mergeCell ref="KI26:KI27"/>
    <mergeCell ref="KJ26:KJ27"/>
    <mergeCell ref="KK26:KK27"/>
    <mergeCell ref="KL26:KL27"/>
    <mergeCell ref="JS26:JS27"/>
    <mergeCell ref="JT26:JT27"/>
    <mergeCell ref="JU26:JU27"/>
    <mergeCell ref="JV26:JV27"/>
    <mergeCell ref="KE26:KE27"/>
    <mergeCell ref="KF26:KF27"/>
    <mergeCell ref="JF26:JF27"/>
    <mergeCell ref="JG26:JG27"/>
    <mergeCell ref="JH26:JH27"/>
    <mergeCell ref="JI26:JI27"/>
    <mergeCell ref="JL26:JL27"/>
    <mergeCell ref="JM26:JM27"/>
    <mergeCell ref="IP28:IP29"/>
    <mergeCell ref="IQ28:IQ29"/>
    <mergeCell ref="IR28:IR29"/>
    <mergeCell ref="IS28:IS29"/>
    <mergeCell ref="JB28:JB29"/>
    <mergeCell ref="JC28:JC29"/>
    <mergeCell ref="MO26:MO27"/>
    <mergeCell ref="MP26:MP27"/>
    <mergeCell ref="MQ26:MQ27"/>
    <mergeCell ref="MR26:MR27"/>
    <mergeCell ref="MU26:MU27"/>
    <mergeCell ref="MV26:MV27"/>
    <mergeCell ref="MA26:MA27"/>
    <mergeCell ref="MB26:MB27"/>
    <mergeCell ref="MK26:MK27"/>
    <mergeCell ref="ML26:ML27"/>
    <mergeCell ref="MM26:MM27"/>
    <mergeCell ref="MN26:MN27"/>
    <mergeCell ref="LN26:LN27"/>
    <mergeCell ref="LO26:LO27"/>
    <mergeCell ref="LR26:LR27"/>
    <mergeCell ref="LS26:LS27"/>
    <mergeCell ref="LY26:LY27"/>
    <mergeCell ref="LZ26:LZ27"/>
    <mergeCell ref="LH26:LH27"/>
    <mergeCell ref="LI26:LI27"/>
    <mergeCell ref="LJ26:LJ27"/>
    <mergeCell ref="LK26:LK27"/>
    <mergeCell ref="LL26:LL27"/>
    <mergeCell ref="LM26:LM27"/>
    <mergeCell ref="KO26:KO27"/>
    <mergeCell ref="KP26:KP27"/>
    <mergeCell ref="KE28:KE29"/>
    <mergeCell ref="KF28:KF29"/>
    <mergeCell ref="KG28:KG29"/>
    <mergeCell ref="KH28:KH29"/>
    <mergeCell ref="KI28:KI29"/>
    <mergeCell ref="KJ28:KJ29"/>
    <mergeCell ref="JL28:JL29"/>
    <mergeCell ref="JM28:JM29"/>
    <mergeCell ref="JS28:JS29"/>
    <mergeCell ref="JT28:JT29"/>
    <mergeCell ref="JU28:JU29"/>
    <mergeCell ref="JV28:JV29"/>
    <mergeCell ref="JD28:JD29"/>
    <mergeCell ref="JE28:JE29"/>
    <mergeCell ref="JF28:JF29"/>
    <mergeCell ref="JG28:JG29"/>
    <mergeCell ref="JH28:JH29"/>
    <mergeCell ref="JI28:JI29"/>
    <mergeCell ref="LM28:LM29"/>
    <mergeCell ref="LN28:LN29"/>
    <mergeCell ref="LO28:LO29"/>
    <mergeCell ref="LR28:LR29"/>
    <mergeCell ref="LS28:LS29"/>
    <mergeCell ref="KX28:KX29"/>
    <mergeCell ref="KY28:KY29"/>
    <mergeCell ref="LH28:LH29"/>
    <mergeCell ref="LI28:LI29"/>
    <mergeCell ref="LJ28:LJ29"/>
    <mergeCell ref="LK28:LK29"/>
    <mergeCell ref="KK28:KK29"/>
    <mergeCell ref="KL28:KL29"/>
    <mergeCell ref="KO28:KO29"/>
    <mergeCell ref="KP28:KP29"/>
    <mergeCell ref="KV28:KV29"/>
    <mergeCell ref="KW28:KW29"/>
    <mergeCell ref="JV30:JV31"/>
    <mergeCell ref="KE30:KE31"/>
    <mergeCell ref="KF30:KF31"/>
    <mergeCell ref="JF30:JF31"/>
    <mergeCell ref="JG30:JG31"/>
    <mergeCell ref="JH30:JH31"/>
    <mergeCell ref="JI30:JI31"/>
    <mergeCell ref="JL30:JL31"/>
    <mergeCell ref="JM30:JM31"/>
    <mergeCell ref="MU28:MU29"/>
    <mergeCell ref="MV28:MV29"/>
    <mergeCell ref="IP30:IP31"/>
    <mergeCell ref="IQ30:IQ31"/>
    <mergeCell ref="IR30:IR31"/>
    <mergeCell ref="IS30:IS31"/>
    <mergeCell ref="JB30:JB31"/>
    <mergeCell ref="JC30:JC31"/>
    <mergeCell ref="JD30:JD31"/>
    <mergeCell ref="JE30:JE31"/>
    <mergeCell ref="MM28:MM29"/>
    <mergeCell ref="MN28:MN29"/>
    <mergeCell ref="MO28:MO29"/>
    <mergeCell ref="MP28:MP29"/>
    <mergeCell ref="MQ28:MQ29"/>
    <mergeCell ref="MR28:MR29"/>
    <mergeCell ref="LY28:LY29"/>
    <mergeCell ref="LZ28:LZ29"/>
    <mergeCell ref="MA28:MA29"/>
    <mergeCell ref="MB28:MB29"/>
    <mergeCell ref="MK28:MK29"/>
    <mergeCell ref="ML28:ML29"/>
    <mergeCell ref="LL28:LL29"/>
    <mergeCell ref="MV30:MV31"/>
    <mergeCell ref="MA30:MA31"/>
    <mergeCell ref="MB30:MB31"/>
    <mergeCell ref="MK30:MK31"/>
    <mergeCell ref="ML30:ML31"/>
    <mergeCell ref="MM30:MM31"/>
    <mergeCell ref="MN30:MN31"/>
    <mergeCell ref="LN30:LN31"/>
    <mergeCell ref="LO30:LO31"/>
    <mergeCell ref="LR30:LR31"/>
    <mergeCell ref="LS30:LS31"/>
    <mergeCell ref="LY30:LY31"/>
    <mergeCell ref="LZ30:LZ31"/>
    <mergeCell ref="LH30:LH31"/>
    <mergeCell ref="LI30:LI31"/>
    <mergeCell ref="LJ30:LJ31"/>
    <mergeCell ref="LK30:LK31"/>
    <mergeCell ref="LL30:LL31"/>
    <mergeCell ref="LM30:LM31"/>
    <mergeCell ref="JD32:JD33"/>
    <mergeCell ref="JE32:JE33"/>
    <mergeCell ref="JF32:JF33"/>
    <mergeCell ref="JG32:JG33"/>
    <mergeCell ref="JH32:JH33"/>
    <mergeCell ref="JI32:JI33"/>
    <mergeCell ref="IP32:IP33"/>
    <mergeCell ref="IQ32:IQ33"/>
    <mergeCell ref="IR32:IR33"/>
    <mergeCell ref="IS32:IS33"/>
    <mergeCell ref="JB32:JB33"/>
    <mergeCell ref="JC32:JC33"/>
    <mergeCell ref="MO30:MO31"/>
    <mergeCell ref="MP30:MP31"/>
    <mergeCell ref="MQ30:MQ31"/>
    <mergeCell ref="MR30:MR31"/>
    <mergeCell ref="MU30:MU31"/>
    <mergeCell ref="KO30:KO31"/>
    <mergeCell ref="KP30:KP31"/>
    <mergeCell ref="KV30:KV31"/>
    <mergeCell ref="KW30:KW31"/>
    <mergeCell ref="KX30:KX31"/>
    <mergeCell ref="KY30:KY31"/>
    <mergeCell ref="KG30:KG31"/>
    <mergeCell ref="KH30:KH31"/>
    <mergeCell ref="KI30:KI31"/>
    <mergeCell ref="KJ30:KJ31"/>
    <mergeCell ref="KK30:KK31"/>
    <mergeCell ref="KL30:KL31"/>
    <mergeCell ref="JS30:JS31"/>
    <mergeCell ref="JT30:JT31"/>
    <mergeCell ref="JU30:JU31"/>
    <mergeCell ref="LJ32:LJ33"/>
    <mergeCell ref="LK32:LK33"/>
    <mergeCell ref="KK32:KK33"/>
    <mergeCell ref="KL32:KL33"/>
    <mergeCell ref="KO32:KO33"/>
    <mergeCell ref="KP32:KP33"/>
    <mergeCell ref="KV32:KV33"/>
    <mergeCell ref="KW32:KW33"/>
    <mergeCell ref="KE32:KE33"/>
    <mergeCell ref="KF32:KF33"/>
    <mergeCell ref="KG32:KG33"/>
    <mergeCell ref="KH32:KH33"/>
    <mergeCell ref="KI32:KI33"/>
    <mergeCell ref="KJ32:KJ33"/>
    <mergeCell ref="JL32:JL33"/>
    <mergeCell ref="JM32:JM33"/>
    <mergeCell ref="JS32:JS33"/>
    <mergeCell ref="JT32:JT33"/>
    <mergeCell ref="JU32:JU33"/>
    <mergeCell ref="JV32:JV33"/>
    <mergeCell ref="MU32:MU33"/>
    <mergeCell ref="MV32:MV33"/>
    <mergeCell ref="IP34:IP35"/>
    <mergeCell ref="IQ34:IQ35"/>
    <mergeCell ref="IR34:IR35"/>
    <mergeCell ref="IS34:IS35"/>
    <mergeCell ref="JB34:JB35"/>
    <mergeCell ref="JC34:JC35"/>
    <mergeCell ref="JD34:JD35"/>
    <mergeCell ref="JE34:JE35"/>
    <mergeCell ref="MM32:MM33"/>
    <mergeCell ref="MN32:MN33"/>
    <mergeCell ref="MO32:MO33"/>
    <mergeCell ref="MP32:MP33"/>
    <mergeCell ref="MQ32:MQ33"/>
    <mergeCell ref="MR32:MR33"/>
    <mergeCell ref="LY32:LY33"/>
    <mergeCell ref="LZ32:LZ33"/>
    <mergeCell ref="MA32:MA33"/>
    <mergeCell ref="MB32:MB33"/>
    <mergeCell ref="MK32:MK33"/>
    <mergeCell ref="ML32:ML33"/>
    <mergeCell ref="LL32:LL33"/>
    <mergeCell ref="LM32:LM33"/>
    <mergeCell ref="LN32:LN33"/>
    <mergeCell ref="LO32:LO33"/>
    <mergeCell ref="LR32:LR33"/>
    <mergeCell ref="LS32:LS33"/>
    <mergeCell ref="KX32:KX33"/>
    <mergeCell ref="KY32:KY33"/>
    <mergeCell ref="LH32:LH33"/>
    <mergeCell ref="LI32:LI33"/>
    <mergeCell ref="KV34:KV35"/>
    <mergeCell ref="KW34:KW35"/>
    <mergeCell ref="KX34:KX35"/>
    <mergeCell ref="KY34:KY35"/>
    <mergeCell ref="KG34:KG35"/>
    <mergeCell ref="KH34:KH35"/>
    <mergeCell ref="KI34:KI35"/>
    <mergeCell ref="KJ34:KJ35"/>
    <mergeCell ref="KK34:KK35"/>
    <mergeCell ref="KL34:KL35"/>
    <mergeCell ref="JS34:JS35"/>
    <mergeCell ref="JT34:JT35"/>
    <mergeCell ref="JU34:JU35"/>
    <mergeCell ref="JV34:JV35"/>
    <mergeCell ref="KE34:KE35"/>
    <mergeCell ref="KF34:KF35"/>
    <mergeCell ref="JF34:JF35"/>
    <mergeCell ref="JG34:JG35"/>
    <mergeCell ref="JH34:JH35"/>
    <mergeCell ref="JI34:JI35"/>
    <mergeCell ref="JL34:JL35"/>
    <mergeCell ref="JM34:JM35"/>
    <mergeCell ref="IP36:IP37"/>
    <mergeCell ref="IQ36:IQ37"/>
    <mergeCell ref="IR36:IR37"/>
    <mergeCell ref="IS36:IS37"/>
    <mergeCell ref="JB36:JB37"/>
    <mergeCell ref="JC36:JC37"/>
    <mergeCell ref="MO34:MO35"/>
    <mergeCell ref="MP34:MP35"/>
    <mergeCell ref="MQ34:MQ35"/>
    <mergeCell ref="MR34:MR35"/>
    <mergeCell ref="MU34:MU35"/>
    <mergeCell ref="MV34:MV35"/>
    <mergeCell ref="MA34:MA35"/>
    <mergeCell ref="MB34:MB35"/>
    <mergeCell ref="MK34:MK35"/>
    <mergeCell ref="ML34:ML35"/>
    <mergeCell ref="MM34:MM35"/>
    <mergeCell ref="MN34:MN35"/>
    <mergeCell ref="LN34:LN35"/>
    <mergeCell ref="LO34:LO35"/>
    <mergeCell ref="LR34:LR35"/>
    <mergeCell ref="LS34:LS35"/>
    <mergeCell ref="LY34:LY35"/>
    <mergeCell ref="LZ34:LZ35"/>
    <mergeCell ref="LH34:LH35"/>
    <mergeCell ref="LI34:LI35"/>
    <mergeCell ref="LJ34:LJ35"/>
    <mergeCell ref="LK34:LK35"/>
    <mergeCell ref="LL34:LL35"/>
    <mergeCell ref="LM34:LM35"/>
    <mergeCell ref="KO34:KO35"/>
    <mergeCell ref="KP34:KP35"/>
    <mergeCell ref="KE36:KE37"/>
    <mergeCell ref="KF36:KF37"/>
    <mergeCell ref="KG36:KG37"/>
    <mergeCell ref="KH36:KH37"/>
    <mergeCell ref="KI36:KI37"/>
    <mergeCell ref="KJ36:KJ37"/>
    <mergeCell ref="JL36:JL37"/>
    <mergeCell ref="JM36:JM37"/>
    <mergeCell ref="JS36:JS37"/>
    <mergeCell ref="JT36:JT37"/>
    <mergeCell ref="JU36:JU37"/>
    <mergeCell ref="JV36:JV37"/>
    <mergeCell ref="JD36:JD37"/>
    <mergeCell ref="JE36:JE37"/>
    <mergeCell ref="JF36:JF37"/>
    <mergeCell ref="JG36:JG37"/>
    <mergeCell ref="JH36:JH37"/>
    <mergeCell ref="JI36:JI37"/>
    <mergeCell ref="MK36:MK37"/>
    <mergeCell ref="ML36:ML37"/>
    <mergeCell ref="LL36:LL37"/>
    <mergeCell ref="LM36:LM37"/>
    <mergeCell ref="LN36:LN37"/>
    <mergeCell ref="LO36:LO37"/>
    <mergeCell ref="LR36:LR37"/>
    <mergeCell ref="LS36:LS37"/>
    <mergeCell ref="KX36:KX37"/>
    <mergeCell ref="KY36:KY37"/>
    <mergeCell ref="LH36:LH37"/>
    <mergeCell ref="LI36:LI37"/>
    <mergeCell ref="LJ36:LJ37"/>
    <mergeCell ref="LK36:LK37"/>
    <mergeCell ref="KK36:KK37"/>
    <mergeCell ref="KL36:KL37"/>
    <mergeCell ref="KO36:KO37"/>
    <mergeCell ref="KP36:KP37"/>
    <mergeCell ref="KV36:KV37"/>
    <mergeCell ref="KW36:KW37"/>
    <mergeCell ref="JS38:JS39"/>
    <mergeCell ref="JT38:JT39"/>
    <mergeCell ref="JU38:JU39"/>
    <mergeCell ref="JV38:JV39"/>
    <mergeCell ref="KE38:KE39"/>
    <mergeCell ref="KF38:KF39"/>
    <mergeCell ref="JF38:JF39"/>
    <mergeCell ref="JG38:JG39"/>
    <mergeCell ref="JH38:JH39"/>
    <mergeCell ref="JI38:JI39"/>
    <mergeCell ref="JL38:JL39"/>
    <mergeCell ref="JM38:JM39"/>
    <mergeCell ref="MU36:MU37"/>
    <mergeCell ref="MV36:MV37"/>
    <mergeCell ref="IP38:IP39"/>
    <mergeCell ref="IQ38:IQ39"/>
    <mergeCell ref="IR38:IR39"/>
    <mergeCell ref="IS38:IS39"/>
    <mergeCell ref="JB38:JB39"/>
    <mergeCell ref="JC38:JC39"/>
    <mergeCell ref="JD38:JD39"/>
    <mergeCell ref="JE38:JE39"/>
    <mergeCell ref="MM36:MM37"/>
    <mergeCell ref="MN36:MN37"/>
    <mergeCell ref="MO36:MO37"/>
    <mergeCell ref="MP36:MP37"/>
    <mergeCell ref="MQ36:MQ37"/>
    <mergeCell ref="MR36:MR37"/>
    <mergeCell ref="LY36:LY37"/>
    <mergeCell ref="LZ36:LZ37"/>
    <mergeCell ref="MA36:MA37"/>
    <mergeCell ref="MB36:MB37"/>
    <mergeCell ref="LH38:LH39"/>
    <mergeCell ref="LI38:LI39"/>
    <mergeCell ref="LJ38:LJ39"/>
    <mergeCell ref="LK38:LK39"/>
    <mergeCell ref="LL38:LL39"/>
    <mergeCell ref="LM38:LM39"/>
    <mergeCell ref="KO38:KO39"/>
    <mergeCell ref="KP38:KP39"/>
    <mergeCell ref="KV38:KV39"/>
    <mergeCell ref="KW38:KW39"/>
    <mergeCell ref="KX38:KX39"/>
    <mergeCell ref="KY38:KY39"/>
    <mergeCell ref="KG38:KG39"/>
    <mergeCell ref="KH38:KH39"/>
    <mergeCell ref="KI38:KI39"/>
    <mergeCell ref="KJ38:KJ39"/>
    <mergeCell ref="KK38:KK39"/>
    <mergeCell ref="KL38:KL39"/>
    <mergeCell ref="MO38:MO39"/>
    <mergeCell ref="MP38:MP39"/>
    <mergeCell ref="MQ38:MQ39"/>
    <mergeCell ref="MR38:MR39"/>
    <mergeCell ref="MU38:MU39"/>
    <mergeCell ref="MV38:MV39"/>
    <mergeCell ref="MA38:MA39"/>
    <mergeCell ref="MB38:MB39"/>
    <mergeCell ref="MK38:MK39"/>
    <mergeCell ref="ML38:ML39"/>
    <mergeCell ref="MM38:MM39"/>
    <mergeCell ref="MN38:MN39"/>
    <mergeCell ref="LN38:LN39"/>
    <mergeCell ref="LO38:LO39"/>
    <mergeCell ref="LR38:LR39"/>
    <mergeCell ref="LS38:LS39"/>
    <mergeCell ref="LY38:LY39"/>
    <mergeCell ref="LZ38:LZ39"/>
    <mergeCell ref="JL40:JL41"/>
    <mergeCell ref="JM40:JM41"/>
    <mergeCell ref="JS40:JS41"/>
    <mergeCell ref="JT40:JT41"/>
    <mergeCell ref="JU40:JU41"/>
    <mergeCell ref="JV40:JV41"/>
    <mergeCell ref="JD40:JD41"/>
    <mergeCell ref="JE40:JE41"/>
    <mergeCell ref="JF40:JF41"/>
    <mergeCell ref="JG40:JG41"/>
    <mergeCell ref="JH40:JH41"/>
    <mergeCell ref="JI40:JI41"/>
    <mergeCell ref="IP40:IP41"/>
    <mergeCell ref="IQ40:IQ41"/>
    <mergeCell ref="IR40:IR41"/>
    <mergeCell ref="IS40:IS41"/>
    <mergeCell ref="JB40:JB41"/>
    <mergeCell ref="JC40:JC41"/>
    <mergeCell ref="KX40:KX41"/>
    <mergeCell ref="KY40:KY41"/>
    <mergeCell ref="LH40:LH41"/>
    <mergeCell ref="LI40:LI41"/>
    <mergeCell ref="LJ40:LJ41"/>
    <mergeCell ref="LK40:LK41"/>
    <mergeCell ref="KK40:KK41"/>
    <mergeCell ref="KL40:KL41"/>
    <mergeCell ref="KO40:KO41"/>
    <mergeCell ref="KP40:KP41"/>
    <mergeCell ref="KV40:KV41"/>
    <mergeCell ref="KW40:KW41"/>
    <mergeCell ref="KE40:KE41"/>
    <mergeCell ref="KF40:KF41"/>
    <mergeCell ref="KG40:KG41"/>
    <mergeCell ref="KH40:KH41"/>
    <mergeCell ref="KI40:KI41"/>
    <mergeCell ref="KJ40:KJ41"/>
    <mergeCell ref="MU40:MU41"/>
    <mergeCell ref="MV40:MV41"/>
    <mergeCell ref="MM40:MM41"/>
    <mergeCell ref="MN40:MN41"/>
    <mergeCell ref="MO40:MO41"/>
    <mergeCell ref="MP40:MP41"/>
    <mergeCell ref="MQ40:MQ41"/>
    <mergeCell ref="MR40:MR41"/>
    <mergeCell ref="LY40:LY41"/>
    <mergeCell ref="LZ40:LZ41"/>
    <mergeCell ref="MA40:MA41"/>
    <mergeCell ref="MB40:MB41"/>
    <mergeCell ref="MK40:MK41"/>
    <mergeCell ref="ML40:ML41"/>
    <mergeCell ref="LL40:LL41"/>
    <mergeCell ref="LM40:LM41"/>
    <mergeCell ref="LN40:LN41"/>
    <mergeCell ref="LO40:LO41"/>
    <mergeCell ref="LR40:LR41"/>
    <mergeCell ref="LS40:LS41"/>
  </mergeCells>
  <conditionalFormatting sqref="I2">
    <cfRule type="expression" dxfId="68" priority="41">
      <formula>I2=I3</formula>
    </cfRule>
  </conditionalFormatting>
  <conditionalFormatting sqref="I3">
    <cfRule type="expression" dxfId="67" priority="40">
      <formula>I3=I2</formula>
    </cfRule>
  </conditionalFormatting>
  <conditionalFormatting sqref="O42:O257">
    <cfRule type="expression" dxfId="66" priority="39">
      <formula>O42=125</formula>
    </cfRule>
  </conditionalFormatting>
  <conditionalFormatting sqref="I4">
    <cfRule type="expression" dxfId="65" priority="38">
      <formula>I4=I5</formula>
    </cfRule>
  </conditionalFormatting>
  <conditionalFormatting sqref="I5">
    <cfRule type="expression" dxfId="64" priority="37">
      <formula>I5=I4</formula>
    </cfRule>
  </conditionalFormatting>
  <conditionalFormatting sqref="I8">
    <cfRule type="expression" dxfId="63" priority="34">
      <formula>I8=I9</formula>
    </cfRule>
  </conditionalFormatting>
  <conditionalFormatting sqref="I9">
    <cfRule type="expression" dxfId="62" priority="33">
      <formula>I9=I8</formula>
    </cfRule>
  </conditionalFormatting>
  <conditionalFormatting sqref="I16">
    <cfRule type="expression" dxfId="61" priority="26">
      <formula>I16=I17</formula>
    </cfRule>
  </conditionalFormatting>
  <conditionalFormatting sqref="I17">
    <cfRule type="expression" dxfId="60" priority="25">
      <formula>I17=I16</formula>
    </cfRule>
  </conditionalFormatting>
  <conditionalFormatting sqref="I24">
    <cfRule type="expression" dxfId="59" priority="18">
      <formula>I24=I25</formula>
    </cfRule>
  </conditionalFormatting>
  <conditionalFormatting sqref="I25">
    <cfRule type="expression" dxfId="58" priority="17">
      <formula>I25=I24</formula>
    </cfRule>
  </conditionalFormatting>
  <conditionalFormatting sqref="I6">
    <cfRule type="expression" dxfId="57" priority="36">
      <formula>I6=I7</formula>
    </cfRule>
  </conditionalFormatting>
  <conditionalFormatting sqref="I7">
    <cfRule type="expression" dxfId="56" priority="35">
      <formula>I7=I6</formula>
    </cfRule>
  </conditionalFormatting>
  <conditionalFormatting sqref="I10">
    <cfRule type="expression" dxfId="55" priority="32">
      <formula>I10=I11</formula>
    </cfRule>
  </conditionalFormatting>
  <conditionalFormatting sqref="I11">
    <cfRule type="expression" dxfId="54" priority="31">
      <formula>I11=I10</formula>
    </cfRule>
  </conditionalFormatting>
  <conditionalFormatting sqref="I12">
    <cfRule type="expression" dxfId="53" priority="30">
      <formula>I12=I13</formula>
    </cfRule>
  </conditionalFormatting>
  <conditionalFormatting sqref="I13">
    <cfRule type="expression" dxfId="52" priority="29">
      <formula>I13=I12</formula>
    </cfRule>
  </conditionalFormatting>
  <conditionalFormatting sqref="I14">
    <cfRule type="expression" dxfId="51" priority="28">
      <formula>I14=I15</formula>
    </cfRule>
  </conditionalFormatting>
  <conditionalFormatting sqref="I15">
    <cfRule type="expression" dxfId="50" priority="27">
      <formula>I15=I14</formula>
    </cfRule>
  </conditionalFormatting>
  <conditionalFormatting sqref="I18">
    <cfRule type="expression" dxfId="49" priority="24">
      <formula>I18=I19</formula>
    </cfRule>
  </conditionalFormatting>
  <conditionalFormatting sqref="I19">
    <cfRule type="expression" dxfId="48" priority="23">
      <formula>I19=I18</formula>
    </cfRule>
  </conditionalFormatting>
  <conditionalFormatting sqref="I20">
    <cfRule type="expression" dxfId="47" priority="22">
      <formula>I20=I21</formula>
    </cfRule>
  </conditionalFormatting>
  <conditionalFormatting sqref="I21">
    <cfRule type="expression" dxfId="46" priority="21">
      <formula>I21=I20</formula>
    </cfRule>
  </conditionalFormatting>
  <conditionalFormatting sqref="I22">
    <cfRule type="expression" dxfId="45" priority="20">
      <formula>I22=I23</formula>
    </cfRule>
  </conditionalFormatting>
  <conditionalFormatting sqref="I23">
    <cfRule type="expression" dxfId="44" priority="19">
      <formula>I23=I22</formula>
    </cfRule>
  </conditionalFormatting>
  <conditionalFormatting sqref="I26">
    <cfRule type="expression" dxfId="43" priority="16">
      <formula>I26=I27</formula>
    </cfRule>
  </conditionalFormatting>
  <conditionalFormatting sqref="I27">
    <cfRule type="expression" dxfId="42" priority="15">
      <formula>I27=I26</formula>
    </cfRule>
  </conditionalFormatting>
  <conditionalFormatting sqref="I28">
    <cfRule type="expression" dxfId="41" priority="14">
      <formula>I28=I29</formula>
    </cfRule>
  </conditionalFormatting>
  <conditionalFormatting sqref="I29">
    <cfRule type="expression" dxfId="40" priority="13">
      <formula>I29=I28</formula>
    </cfRule>
  </conditionalFormatting>
  <conditionalFormatting sqref="I30">
    <cfRule type="expression" dxfId="39" priority="12">
      <formula>I30=I31</formula>
    </cfRule>
  </conditionalFormatting>
  <conditionalFormatting sqref="I31">
    <cfRule type="expression" dxfId="38" priority="11">
      <formula>I31=I30</formula>
    </cfRule>
  </conditionalFormatting>
  <conditionalFormatting sqref="I32">
    <cfRule type="expression" dxfId="37" priority="10">
      <formula>I32=I33</formula>
    </cfRule>
  </conditionalFormatting>
  <conditionalFormatting sqref="I33">
    <cfRule type="expression" dxfId="36" priority="9">
      <formula>I33=I32</formula>
    </cfRule>
  </conditionalFormatting>
  <conditionalFormatting sqref="I34">
    <cfRule type="expression" dxfId="35" priority="8">
      <formula>I34=I35</formula>
    </cfRule>
  </conditionalFormatting>
  <conditionalFormatting sqref="I35">
    <cfRule type="expression" dxfId="34" priority="7">
      <formula>I35=I34</formula>
    </cfRule>
  </conditionalFormatting>
  <conditionalFormatting sqref="I36">
    <cfRule type="expression" dxfId="33" priority="6">
      <formula>I36=I37</formula>
    </cfRule>
  </conditionalFormatting>
  <conditionalFormatting sqref="I37">
    <cfRule type="expression" dxfId="32" priority="5">
      <formula>I37=I36</formula>
    </cfRule>
  </conditionalFormatting>
  <conditionalFormatting sqref="I38">
    <cfRule type="expression" dxfId="31" priority="4">
      <formula>I38=I39</formula>
    </cfRule>
  </conditionalFormatting>
  <conditionalFormatting sqref="I39">
    <cfRule type="expression" dxfId="30" priority="3">
      <formula>I39=I38</formula>
    </cfRule>
  </conditionalFormatting>
  <conditionalFormatting sqref="I40">
    <cfRule type="expression" dxfId="29" priority="2">
      <formula>I40=I41</formula>
    </cfRule>
  </conditionalFormatting>
  <conditionalFormatting sqref="I41">
    <cfRule type="expression" dxfId="28" priority="1">
      <formula>I41=I40</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AA41"/>
  <sheetViews>
    <sheetView workbookViewId="0">
      <selection activeCell="J21" sqref="J21"/>
    </sheetView>
  </sheetViews>
  <sheetFormatPr defaultRowHeight="14.4" x14ac:dyDescent="0.3"/>
  <cols>
    <col min="6" max="6" width="40.88671875" bestFit="1" customWidth="1"/>
    <col min="9" max="9" width="10.77734375" bestFit="1" customWidth="1"/>
    <col min="10" max="10" width="40.88671875" bestFit="1" customWidth="1"/>
    <col min="11" max="11" width="11.88671875" bestFit="1" customWidth="1"/>
    <col min="12" max="13" width="10.77734375" bestFit="1" customWidth="1"/>
    <col min="15" max="15" width="11.88671875" bestFit="1" customWidth="1"/>
    <col min="19" max="19" width="33.6640625" bestFit="1" customWidth="1"/>
  </cols>
  <sheetData>
    <row r="1" spans="1:27" ht="18.600000000000001" thickBot="1" x14ac:dyDescent="0.4">
      <c r="A1" s="1"/>
      <c r="B1" s="1"/>
      <c r="C1" s="1"/>
      <c r="D1" s="1"/>
      <c r="E1" s="1"/>
      <c r="F1" s="1"/>
      <c r="G1" s="1"/>
      <c r="H1" s="1"/>
      <c r="I1" s="1"/>
      <c r="J1" s="42" t="s">
        <v>214</v>
      </c>
      <c r="K1" s="94" t="s">
        <v>215</v>
      </c>
      <c r="L1" s="94"/>
      <c r="M1" s="94"/>
      <c r="N1" s="94"/>
      <c r="O1" s="94" t="s">
        <v>219</v>
      </c>
      <c r="P1" s="94"/>
      <c r="Q1" s="94"/>
      <c r="R1" s="94"/>
      <c r="S1">
        <f>BIN2DEC(1100)</f>
        <v>12</v>
      </c>
    </row>
    <row r="2" spans="1:27" ht="18.600000000000001" thickBot="1" x14ac:dyDescent="0.4">
      <c r="A2" s="40" t="s">
        <v>0</v>
      </c>
      <c r="B2" s="66" t="s">
        <v>76</v>
      </c>
      <c r="C2" s="66" t="s">
        <v>161</v>
      </c>
      <c r="D2" s="66">
        <v>30</v>
      </c>
      <c r="E2" s="66" t="s">
        <v>47</v>
      </c>
      <c r="F2" s="66" t="str">
        <f>CONCATENATE(HEX2BIN(B2,8),HEX2BIN(C2,8),HEX2BIN(D2,8),HEX2BIN(E2,8))</f>
        <v>11101000010010100011000011111111</v>
      </c>
      <c r="G2" s="66">
        <f>MID(F2,1,1)+MID(F2,2,1)+MID(F2,3,1)+MID(F2,4,1)+MID(F2,5,1)+MID(F2,6,1)+MID(F2,7,1)+MID(F2,8,1)+MID(F2,9,1)+MID(F2,10,1)+MID(F2,11,1)+MID(F2,12,1)+MID(F2,13,1)+MID(F2,14,1)+MID(F2,15,1)+MID(F2,16,1)+MID(F2,17,1)+MID(F2,18,1)+MID(F2,19,1)+MID(F2,20,1)+MID(F2,21,1)+MID(F2,22,1)+MID(F2,23,1)+MID(F2,24,1)+MID(F2,25,1)+MID(F2,26,1)+MID(F2,27,1)+MID(F2,28,1)+MID(F2,29,1)+MID(F2,30,1)+MID(F2,31,1)+MID(F2,32,1)</f>
        <v>17</v>
      </c>
      <c r="H2" s="77">
        <v>10</v>
      </c>
      <c r="I2" s="79" t="str">
        <f>HEX2BIN(H2,8)</f>
        <v>00010000</v>
      </c>
      <c r="J2" s="43" t="str">
        <f>CONCATENATE(MID(F2,30,3),MID(F2,17,5),MID(F2,6,3),MID(F2,25,5),MID(F2,14,3),MID(F2,1,5),MID(F2,22,3),MID(F2,9,5))</f>
        <v>11100110000111110101110100001001</v>
      </c>
      <c r="K2" s="26" t="str">
        <f>MID(J2,1,5)</f>
        <v>11100</v>
      </c>
      <c r="L2" s="26" t="str">
        <f>MID(J2,6,3)</f>
        <v>110</v>
      </c>
      <c r="M2" s="26" t="str">
        <f>MID(J2,9,3)</f>
        <v>000</v>
      </c>
      <c r="N2" s="26" t="str">
        <f>MID(J2,12,5)</f>
        <v>11111</v>
      </c>
      <c r="O2" s="77">
        <f>BIN2DEC(K2)-BIN2DEC(K3)</f>
        <v>-1</v>
      </c>
      <c r="P2" s="77">
        <f>BIN2DEC(L2)-BIN2DEC(L3)</f>
        <v>4</v>
      </c>
      <c r="Q2" s="77">
        <f>BIN2DEC(M2)-BIN2DEC(M3)</f>
        <v>0</v>
      </c>
      <c r="R2" s="77">
        <f>BIN2DEC(N2)-BIN2DEC(N3)</f>
        <v>30</v>
      </c>
      <c r="S2" t="s">
        <v>314</v>
      </c>
      <c r="T2" s="26" t="str">
        <f>MID(S2,17,5)</f>
        <v>01011</v>
      </c>
      <c r="U2" s="26" t="str">
        <f>MID(S2,22,3)</f>
        <v>101</v>
      </c>
      <c r="V2" s="26" t="str">
        <f>MID(S2,25,3)</f>
        <v>000</v>
      </c>
      <c r="W2" s="26" t="str">
        <f>MID(S2,28,5)</f>
        <v>01001</v>
      </c>
      <c r="X2" s="77">
        <f>BIN2DEC(T2)-BIN2DEC(T3)</f>
        <v>-1</v>
      </c>
      <c r="Y2" s="77">
        <f>BIN2DEC(U2)-BIN2DEC(U3)</f>
        <v>0</v>
      </c>
      <c r="Z2" s="77">
        <f>BIN2DEC(V2)-BIN2DEC(V3)</f>
        <v>0</v>
      </c>
      <c r="AA2" s="77">
        <f>BIN2DEC(W2)-BIN2DEC(W3)</f>
        <v>-6</v>
      </c>
    </row>
    <row r="3" spans="1:27" ht="18.600000000000001" thickBot="1" x14ac:dyDescent="0.4">
      <c r="A3" s="41" t="s">
        <v>6</v>
      </c>
      <c r="B3" s="67" t="s">
        <v>34</v>
      </c>
      <c r="C3" s="67">
        <v>1</v>
      </c>
      <c r="D3" s="67">
        <v>65</v>
      </c>
      <c r="E3" s="67" t="s">
        <v>33</v>
      </c>
      <c r="F3" s="67" t="str">
        <f>CONCATENATE(HEX2BIN(B3,8),HEX2BIN(C3,8),HEX2BIN(D3,8),HEX2BIN(E3,8))</f>
        <v>11101010000000010110010100001111</v>
      </c>
      <c r="G3" s="67">
        <f>MID(F3,1,1)+MID(F3,2,1)+MID(F3,3,1)+MID(F3,4,1)+MID(F3,5,1)+MID(F3,6,1)+MID(F3,7,1)+MID(F3,8,1)+MID(F3,9,1)+MID(F3,10,1)+MID(F3,11,1)+MID(F3,12,1)+MID(F3,13,1)+MID(F3,14,1)+MID(F3,15,1)+MID(F3,16,1)+MID(F3,17,1)+MID(F3,18,1)+MID(F3,19,1)+MID(F3,20,1)+MID(F3,21,1)+MID(F3,22,1)+MID(F3,23,1)+MID(F3,24,1)+MID(F3,25,1)+MID(F3,26,1)+MID(F3,27,1)+MID(F3,28,1)+MID(F3,29,1)+MID(F3,30,1)+MID(F3,31,1)+MID(F3,32,1)</f>
        <v>14</v>
      </c>
      <c r="H3" s="78"/>
      <c r="I3" s="80"/>
      <c r="J3" s="44" t="str">
        <f>F3</f>
        <v>11101010000000010110010100001111</v>
      </c>
      <c r="K3" s="26" t="str">
        <f>MID(J3,1,5)</f>
        <v>11101</v>
      </c>
      <c r="L3" s="26" t="str">
        <f t="shared" ref="L3:L41" si="0">MID(J3,6,3)</f>
        <v>010</v>
      </c>
      <c r="M3" s="26" t="str">
        <f t="shared" ref="M3:M41" si="1">MID(J3,9,3)</f>
        <v>000</v>
      </c>
      <c r="N3" s="26" t="str">
        <f t="shared" ref="N3:N41" si="2">MID(J3,12,5)</f>
        <v>00001</v>
      </c>
      <c r="O3" s="78"/>
      <c r="P3" s="78"/>
      <c r="Q3" s="78"/>
      <c r="R3" s="78"/>
      <c r="S3" t="s">
        <v>315</v>
      </c>
      <c r="T3" s="26" t="str">
        <f t="shared" ref="T3:T41" si="3">MID(S3,17,5)</f>
        <v>01100</v>
      </c>
      <c r="U3" s="26" t="str">
        <f t="shared" ref="U3:U41" si="4">MID(S3,22,3)</f>
        <v>101</v>
      </c>
      <c r="V3" s="26" t="str">
        <f t="shared" ref="V3:V41" si="5">MID(S3,25,3)</f>
        <v>000</v>
      </c>
      <c r="W3" s="26" t="str">
        <f t="shared" ref="W3:W41" si="6">MID(S3,28,5)</f>
        <v>01111</v>
      </c>
      <c r="X3" s="78"/>
      <c r="Y3" s="78"/>
      <c r="Z3" s="78"/>
      <c r="AA3" s="78"/>
    </row>
    <row r="4" spans="1:27" ht="18.600000000000001" thickBot="1" x14ac:dyDescent="0.4">
      <c r="A4" s="40" t="s">
        <v>0</v>
      </c>
      <c r="B4" s="40" t="s">
        <v>93</v>
      </c>
      <c r="C4" s="40">
        <v>82</v>
      </c>
      <c r="D4" s="40">
        <v>4</v>
      </c>
      <c r="E4" s="40" t="s">
        <v>58</v>
      </c>
      <c r="F4" s="40" t="str">
        <f t="shared" ref="F4:F15" si="7">CONCATENATE(HEX2BIN(B4,8),HEX2BIN(C4,8),HEX2BIN(D4,8),HEX2BIN(E4,8))</f>
        <v>00001101100000100000010001011100</v>
      </c>
      <c r="G4" s="40">
        <f t="shared" ref="G4:G15" si="8">MID(F4,1,1)+MID(F4,2,1)+MID(F4,3,1)+MID(F4,4,1)+MID(F4,5,1)+MID(F4,6,1)+MID(F4,7,1)+MID(F4,8,1)+MID(F4,9,1)+MID(F4,10,1)+MID(F4,11,1)+MID(F4,12,1)+MID(F4,13,1)+MID(F4,14,1)+MID(F4,15,1)+MID(F4,16,1)+MID(F4,17,1)+MID(F4,18,1)+MID(F4,19,1)+MID(F4,20,1)+MID(F4,21,1)+MID(F4,22,1)+MID(F4,23,1)+MID(F4,24,1)+MID(F4,25,1)+MID(F4,26,1)+MID(F4,27,1)+MID(F4,28,1)+MID(F4,29,1)+MID(F4,30,1)+MID(F4,31,1)+MID(F4,32,1)</f>
        <v>10</v>
      </c>
      <c r="H4" s="40">
        <v>64</v>
      </c>
      <c r="I4" s="40" t="str">
        <f>HEX2BIN(H4,8)</f>
        <v>01100100</v>
      </c>
      <c r="J4" s="43" t="str">
        <f>CONCATENATE(MID(F4,30,3),MID(F4,17,5),MID(F4,6,3),MID(F4,25,5),MID(F4,14,3),MID(F4,1,5),MID(F4,22,3),MID(F4,9,5))</f>
        <v>10000000101010110100000110010000</v>
      </c>
      <c r="K4" s="26" t="str">
        <f t="shared" ref="K4:K41" si="9">MID(J4,1,5)</f>
        <v>10000</v>
      </c>
      <c r="L4" s="26" t="str">
        <f t="shared" si="0"/>
        <v>000</v>
      </c>
      <c r="M4" s="26" t="str">
        <f t="shared" si="1"/>
        <v>101</v>
      </c>
      <c r="N4" s="26" t="str">
        <f t="shared" si="2"/>
        <v>01011</v>
      </c>
      <c r="O4" s="77">
        <f>BIN2DEC(K4)-BIN2DEC(K5)</f>
        <v>13</v>
      </c>
      <c r="P4" s="77">
        <f>BIN2DEC(L4)-BIN2DEC(L5)</f>
        <v>-1</v>
      </c>
      <c r="Q4" s="77">
        <f>BIN2DEC(M4)-BIN2DEC(M5)</f>
        <v>0</v>
      </c>
      <c r="R4" s="77">
        <f>BIN2DEC(N4)-BIN2DEC(N5)</f>
        <v>-13</v>
      </c>
      <c r="S4" t="s">
        <v>249</v>
      </c>
      <c r="T4" s="26" t="str">
        <f t="shared" si="3"/>
        <v>01000</v>
      </c>
      <c r="U4" s="26" t="str">
        <f t="shared" si="4"/>
        <v>001</v>
      </c>
      <c r="V4" s="26" t="str">
        <f t="shared" si="5"/>
        <v>100</v>
      </c>
      <c r="W4" s="26" t="str">
        <f t="shared" si="6"/>
        <v>10000</v>
      </c>
      <c r="X4" s="77">
        <f>BIN2DEC(T4)-BIN2DEC(T5)</f>
        <v>-22</v>
      </c>
      <c r="Y4" s="77">
        <f>BIN2DEC(U4)-BIN2DEC(U5)</f>
        <v>-2</v>
      </c>
      <c r="Z4" s="77">
        <f>BIN2DEC(V4)-BIN2DEC(V5)</f>
        <v>-1</v>
      </c>
      <c r="AA4" s="77">
        <f>BIN2DEC(W4)-BIN2DEC(W5)</f>
        <v>-5</v>
      </c>
    </row>
    <row r="5" spans="1:27" ht="18.600000000000001" thickBot="1" x14ac:dyDescent="0.4">
      <c r="A5" s="41" t="s">
        <v>6</v>
      </c>
      <c r="B5" s="41">
        <v>19</v>
      </c>
      <c r="C5" s="41" t="s">
        <v>11</v>
      </c>
      <c r="D5" s="41" t="s">
        <v>62</v>
      </c>
      <c r="E5" s="41" t="s">
        <v>24</v>
      </c>
      <c r="F5" s="41" t="str">
        <f t="shared" si="7"/>
        <v>00011001101110001111001110110101</v>
      </c>
      <c r="G5" s="41">
        <f t="shared" si="8"/>
        <v>18</v>
      </c>
      <c r="H5" s="41"/>
      <c r="I5" s="41"/>
      <c r="J5" s="44" t="str">
        <f>F5</f>
        <v>00011001101110001111001110110101</v>
      </c>
      <c r="K5" s="26" t="str">
        <f t="shared" si="9"/>
        <v>00011</v>
      </c>
      <c r="L5" s="26" t="str">
        <f t="shared" si="0"/>
        <v>001</v>
      </c>
      <c r="M5" s="26" t="str">
        <f t="shared" si="1"/>
        <v>101</v>
      </c>
      <c r="N5" s="26" t="str">
        <f t="shared" si="2"/>
        <v>11000</v>
      </c>
      <c r="O5" s="78"/>
      <c r="P5" s="78"/>
      <c r="Q5" s="78"/>
      <c r="R5" s="78"/>
      <c r="S5" t="s">
        <v>250</v>
      </c>
      <c r="T5" s="26" t="str">
        <f t="shared" si="3"/>
        <v>11110</v>
      </c>
      <c r="U5" s="26" t="str">
        <f t="shared" si="4"/>
        <v>011</v>
      </c>
      <c r="V5" s="26" t="str">
        <f t="shared" si="5"/>
        <v>101</v>
      </c>
      <c r="W5" s="26" t="str">
        <f t="shared" si="6"/>
        <v>10101</v>
      </c>
      <c r="X5" s="78"/>
      <c r="Y5" s="78"/>
      <c r="Z5" s="78"/>
      <c r="AA5" s="78"/>
    </row>
    <row r="6" spans="1:27" ht="18.600000000000001" thickBot="1" x14ac:dyDescent="0.4">
      <c r="A6" s="40" t="s">
        <v>0</v>
      </c>
      <c r="B6" s="40" t="s">
        <v>83</v>
      </c>
      <c r="C6" s="40" t="s">
        <v>48</v>
      </c>
      <c r="D6" s="40">
        <v>52</v>
      </c>
      <c r="E6" s="40" t="s">
        <v>105</v>
      </c>
      <c r="F6" s="40" t="str">
        <f>CONCATENATE(HEX2BIN(B6,8),HEX2BIN(C6,8),HEX2BIN(D6,8),HEX2BIN(E6,8))</f>
        <v>11100111110001010101001011101101</v>
      </c>
      <c r="G6" s="40">
        <f t="shared" si="8"/>
        <v>19</v>
      </c>
      <c r="H6" s="40">
        <v>64</v>
      </c>
      <c r="I6" s="40" t="str">
        <f>HEX2BIN(H6,8)</f>
        <v>01100100</v>
      </c>
      <c r="J6" s="43" t="str">
        <f>CONCATENATE(MID(F6,30,3),MID(F6,17,5),MID(F6,6,3),MID(F6,25,5),MID(F6,14,3),MID(F6,1,5),MID(F6,22,3),MID(F6,9,5))</f>
        <v>10101010111111011011110001011000</v>
      </c>
      <c r="K6" s="26" t="str">
        <f t="shared" si="9"/>
        <v>10101</v>
      </c>
      <c r="L6" s="26" t="str">
        <f t="shared" si="0"/>
        <v>010</v>
      </c>
      <c r="M6" s="26" t="str">
        <f t="shared" si="1"/>
        <v>111</v>
      </c>
      <c r="N6" s="26" t="str">
        <f t="shared" si="2"/>
        <v>11101</v>
      </c>
      <c r="O6" s="77">
        <f>BIN2DEC(K6)-BIN2DEC(K7)</f>
        <v>13</v>
      </c>
      <c r="P6" s="77">
        <f>BIN2DEC(L6)-BIN2DEC(L7)</f>
        <v>-1</v>
      </c>
      <c r="Q6" s="77">
        <f>BIN2DEC(M6)-BIN2DEC(M7)</f>
        <v>0</v>
      </c>
      <c r="R6" s="77">
        <f>BIN2DEC(N6)-BIN2DEC(N7)</f>
        <v>19</v>
      </c>
      <c r="S6" t="s">
        <v>251</v>
      </c>
      <c r="T6" s="26" t="str">
        <f t="shared" si="3"/>
        <v>10111</v>
      </c>
      <c r="U6" s="26" t="str">
        <f t="shared" si="4"/>
        <v>100</v>
      </c>
      <c r="V6" s="26" t="str">
        <f t="shared" si="5"/>
        <v>010</v>
      </c>
      <c r="W6" s="26" t="str">
        <f t="shared" si="6"/>
        <v>11000</v>
      </c>
      <c r="X6" s="77">
        <f>BIN2DEC(T6)-BIN2DEC(T7)</f>
        <v>10</v>
      </c>
      <c r="Y6" s="77">
        <f>BIN2DEC(U6)-BIN2DEC(U7)</f>
        <v>-2</v>
      </c>
      <c r="Z6" s="77">
        <f>BIN2DEC(V6)-BIN2DEC(V7)</f>
        <v>-1</v>
      </c>
      <c r="AA6" s="77">
        <f>BIN2DEC(W6)-BIN2DEC(W7)</f>
        <v>-6</v>
      </c>
    </row>
    <row r="7" spans="1:27" ht="18.600000000000001" thickBot="1" x14ac:dyDescent="0.4">
      <c r="A7" s="41" t="s">
        <v>6</v>
      </c>
      <c r="B7" s="41">
        <v>43</v>
      </c>
      <c r="C7" s="41" t="s">
        <v>34</v>
      </c>
      <c r="D7" s="41" t="s">
        <v>91</v>
      </c>
      <c r="E7" s="41" t="s">
        <v>79</v>
      </c>
      <c r="F7" s="41" t="str">
        <f t="shared" si="7"/>
        <v>01000011111010100110111001111110</v>
      </c>
      <c r="G7" s="41">
        <f t="shared" si="8"/>
        <v>19</v>
      </c>
      <c r="H7" s="41"/>
      <c r="I7" s="41"/>
      <c r="J7" s="44" t="str">
        <f>F7</f>
        <v>01000011111010100110111001111110</v>
      </c>
      <c r="K7" s="26" t="str">
        <f t="shared" si="9"/>
        <v>01000</v>
      </c>
      <c r="L7" s="26" t="str">
        <f t="shared" si="0"/>
        <v>011</v>
      </c>
      <c r="M7" s="26" t="str">
        <f t="shared" si="1"/>
        <v>111</v>
      </c>
      <c r="N7" s="26" t="str">
        <f t="shared" si="2"/>
        <v>01010</v>
      </c>
      <c r="O7" s="78"/>
      <c r="P7" s="78"/>
      <c r="Q7" s="78"/>
      <c r="R7" s="78"/>
      <c r="S7" t="s">
        <v>252</v>
      </c>
      <c r="T7" s="26" t="str">
        <f t="shared" si="3"/>
        <v>01101</v>
      </c>
      <c r="U7" s="26" t="str">
        <f t="shared" si="4"/>
        <v>110</v>
      </c>
      <c r="V7" s="26" t="str">
        <f t="shared" si="5"/>
        <v>011</v>
      </c>
      <c r="W7" s="26" t="str">
        <f t="shared" si="6"/>
        <v>11110</v>
      </c>
      <c r="X7" s="78"/>
      <c r="Y7" s="78"/>
      <c r="Z7" s="78"/>
      <c r="AA7" s="78"/>
    </row>
    <row r="8" spans="1:27" ht="18.600000000000001" thickBot="1" x14ac:dyDescent="0.4">
      <c r="A8" s="40" t="s">
        <v>0</v>
      </c>
      <c r="B8" s="40" t="s">
        <v>123</v>
      </c>
      <c r="C8" s="40">
        <v>91</v>
      </c>
      <c r="D8" s="40" t="s">
        <v>10</v>
      </c>
      <c r="E8" s="40" t="s">
        <v>142</v>
      </c>
      <c r="F8" s="40" t="str">
        <f t="shared" si="7"/>
        <v>11111011100100011001110000111110</v>
      </c>
      <c r="G8" s="40">
        <f t="shared" si="8"/>
        <v>19</v>
      </c>
      <c r="H8" s="40">
        <v>64</v>
      </c>
      <c r="I8" s="40" t="str">
        <f>HEX2BIN(H8,8)</f>
        <v>01100100</v>
      </c>
      <c r="J8" s="43" t="str">
        <f>CONCATENATE(MID(F8,30,3),MID(F8,17,5),MID(F8,6,3),MID(F8,25,5),MID(F8,14,3),MID(F8,1,5),MID(F8,22,3),MID(F8,9,5))</f>
        <v>11010011011001110011111110010010</v>
      </c>
      <c r="K8" s="26" t="str">
        <f t="shared" si="9"/>
        <v>11010</v>
      </c>
      <c r="L8" s="26" t="str">
        <f t="shared" si="0"/>
        <v>011</v>
      </c>
      <c r="M8" s="26" t="str">
        <f t="shared" si="1"/>
        <v>011</v>
      </c>
      <c r="N8" s="26" t="str">
        <f t="shared" si="2"/>
        <v>00111</v>
      </c>
      <c r="O8" s="77">
        <f>BIN2DEC(K8)-BIN2DEC(K9)</f>
        <v>13</v>
      </c>
      <c r="P8" s="77">
        <f>BIN2DEC(L8)-BIN2DEC(L9)</f>
        <v>-1</v>
      </c>
      <c r="Q8" s="77">
        <f>BIN2DEC(M8)-BIN2DEC(M9)</f>
        <v>0</v>
      </c>
      <c r="R8" s="77">
        <f>BIN2DEC(N8)-BIN2DEC(N9)</f>
        <v>-13</v>
      </c>
      <c r="S8" t="s">
        <v>253</v>
      </c>
      <c r="T8" s="26" t="str">
        <f t="shared" si="3"/>
        <v>00111</v>
      </c>
      <c r="U8" s="26" t="str">
        <f t="shared" si="4"/>
        <v>111</v>
      </c>
      <c r="V8" s="26" t="str">
        <f t="shared" si="5"/>
        <v>100</v>
      </c>
      <c r="W8" s="26" t="str">
        <f t="shared" si="6"/>
        <v>10010</v>
      </c>
      <c r="X8" s="77">
        <f>BIN2DEC(T8)-BIN2DEC(T9)</f>
        <v>-23</v>
      </c>
      <c r="Y8" s="77">
        <f>BIN2DEC(U8)-BIN2DEC(U9)</f>
        <v>6</v>
      </c>
      <c r="Z8" s="77">
        <f>BIN2DEC(V8)-BIN2DEC(V9)</f>
        <v>-1</v>
      </c>
      <c r="AA8" s="77">
        <f>BIN2DEC(W8)-BIN2DEC(W9)</f>
        <v>-5</v>
      </c>
    </row>
    <row r="9" spans="1:27" ht="18.600000000000001" thickBot="1" x14ac:dyDescent="0.4">
      <c r="A9" s="41" t="s">
        <v>6</v>
      </c>
      <c r="B9" s="41" t="s">
        <v>17</v>
      </c>
      <c r="C9" s="41">
        <v>74</v>
      </c>
      <c r="D9" s="41" t="s">
        <v>148</v>
      </c>
      <c r="E9" s="41" t="s">
        <v>143</v>
      </c>
      <c r="F9" s="41" t="str">
        <f t="shared" si="7"/>
        <v>01101100011101001111000110110111</v>
      </c>
      <c r="G9" s="41">
        <f t="shared" si="8"/>
        <v>19</v>
      </c>
      <c r="H9" s="41"/>
      <c r="I9" s="41"/>
      <c r="J9" s="44" t="str">
        <f>F9</f>
        <v>01101100011101001111000110110111</v>
      </c>
      <c r="K9" s="26" t="str">
        <f t="shared" si="9"/>
        <v>01101</v>
      </c>
      <c r="L9" s="26" t="str">
        <f t="shared" si="0"/>
        <v>100</v>
      </c>
      <c r="M9" s="26" t="str">
        <f t="shared" si="1"/>
        <v>011</v>
      </c>
      <c r="N9" s="26" t="str">
        <f t="shared" si="2"/>
        <v>10100</v>
      </c>
      <c r="O9" s="78"/>
      <c r="P9" s="78"/>
      <c r="Q9" s="78"/>
      <c r="R9" s="78"/>
      <c r="S9" t="s">
        <v>254</v>
      </c>
      <c r="T9" s="26" t="str">
        <f t="shared" si="3"/>
        <v>11110</v>
      </c>
      <c r="U9" s="26" t="str">
        <f t="shared" si="4"/>
        <v>001</v>
      </c>
      <c r="V9" s="26" t="str">
        <f t="shared" si="5"/>
        <v>101</v>
      </c>
      <c r="W9" s="26" t="str">
        <f t="shared" si="6"/>
        <v>10111</v>
      </c>
      <c r="X9" s="78"/>
      <c r="Y9" s="78"/>
      <c r="Z9" s="78"/>
      <c r="AA9" s="78"/>
    </row>
    <row r="10" spans="1:27" ht="18.600000000000001" thickBot="1" x14ac:dyDescent="0.4">
      <c r="A10" s="40" t="s">
        <v>0</v>
      </c>
      <c r="B10" s="40">
        <v>21</v>
      </c>
      <c r="C10" s="40">
        <v>29</v>
      </c>
      <c r="D10" s="40" t="s">
        <v>20</v>
      </c>
      <c r="E10" s="40" t="s">
        <v>127</v>
      </c>
      <c r="F10" s="40" t="str">
        <f t="shared" si="7"/>
        <v>00100001001010010000101010101101</v>
      </c>
      <c r="G10" s="40">
        <f t="shared" si="8"/>
        <v>12</v>
      </c>
      <c r="H10" s="40">
        <v>64</v>
      </c>
      <c r="I10" s="40" t="str">
        <f>HEX2BIN(H10,8)</f>
        <v>01100100</v>
      </c>
      <c r="J10" s="43" t="str">
        <f>CONCATENATE(MID(F10,30,3),MID(F10,17,5),MID(F10,6,3),MID(F10,25,5),MID(F10,14,3),MID(F10,1,5),MID(F10,22,3),MID(F10,9,5))</f>
        <v>10100001001101010010010001000101</v>
      </c>
      <c r="K10" s="26" t="str">
        <f t="shared" si="9"/>
        <v>10100</v>
      </c>
      <c r="L10" s="26" t="str">
        <f t="shared" si="0"/>
        <v>001</v>
      </c>
      <c r="M10" s="26" t="str">
        <f t="shared" si="1"/>
        <v>001</v>
      </c>
      <c r="N10" s="26" t="str">
        <f t="shared" si="2"/>
        <v>10101</v>
      </c>
      <c r="O10" s="77">
        <f>BIN2DEC(K10)-BIN2DEC(K11)</f>
        <v>13</v>
      </c>
      <c r="P10" s="77">
        <f>BIN2DEC(L10)-BIN2DEC(L11)</f>
        <v>-1</v>
      </c>
      <c r="Q10" s="77">
        <f>BIN2DEC(M10)-BIN2DEC(M11)</f>
        <v>0</v>
      </c>
      <c r="R10" s="77">
        <f>BIN2DEC(N10)-BIN2DEC(N11)</f>
        <v>19</v>
      </c>
      <c r="S10" t="s">
        <v>255</v>
      </c>
      <c r="T10" s="26" t="str">
        <f t="shared" si="3"/>
        <v>00100</v>
      </c>
      <c r="U10" s="26" t="str">
        <f t="shared" si="4"/>
        <v>100</v>
      </c>
      <c r="V10" s="26" t="str">
        <f t="shared" si="5"/>
        <v>010</v>
      </c>
      <c r="W10" s="26" t="str">
        <f t="shared" si="6"/>
        <v>00101</v>
      </c>
      <c r="X10" s="77">
        <f>BIN2DEC(T10)-BIN2DEC(T11)</f>
        <v>-22</v>
      </c>
      <c r="Y10" s="77">
        <f>BIN2DEC(U10)-BIN2DEC(U11)</f>
        <v>-2</v>
      </c>
      <c r="Z10" s="77">
        <f>BIN2DEC(V10)-BIN2DEC(V11)</f>
        <v>-1</v>
      </c>
      <c r="AA10" s="77">
        <f>BIN2DEC(W10)-BIN2DEC(W11)</f>
        <v>-5</v>
      </c>
    </row>
    <row r="11" spans="1:27" ht="18.600000000000001" thickBot="1" x14ac:dyDescent="0.4">
      <c r="A11" s="41" t="s">
        <v>6</v>
      </c>
      <c r="B11" s="41" t="s">
        <v>115</v>
      </c>
      <c r="C11" s="41">
        <v>22</v>
      </c>
      <c r="D11" s="41" t="s">
        <v>35</v>
      </c>
      <c r="E11" s="41" t="s">
        <v>59</v>
      </c>
      <c r="F11" s="41" t="str">
        <f t="shared" si="7"/>
        <v>00111010001000101101011001101010</v>
      </c>
      <c r="G11" s="41">
        <f t="shared" si="8"/>
        <v>15</v>
      </c>
      <c r="H11" s="41"/>
      <c r="I11" s="41"/>
      <c r="J11" s="44" t="str">
        <f>F11</f>
        <v>00111010001000101101011001101010</v>
      </c>
      <c r="K11" s="26" t="str">
        <f t="shared" si="9"/>
        <v>00111</v>
      </c>
      <c r="L11" s="26" t="str">
        <f t="shared" si="0"/>
        <v>010</v>
      </c>
      <c r="M11" s="26" t="str">
        <f t="shared" si="1"/>
        <v>001</v>
      </c>
      <c r="N11" s="26" t="str">
        <f t="shared" si="2"/>
        <v>00010</v>
      </c>
      <c r="O11" s="78"/>
      <c r="P11" s="78"/>
      <c r="Q11" s="78"/>
      <c r="R11" s="78"/>
      <c r="S11" t="s">
        <v>256</v>
      </c>
      <c r="T11" s="26" t="str">
        <f t="shared" si="3"/>
        <v>11010</v>
      </c>
      <c r="U11" s="26" t="str">
        <f t="shared" si="4"/>
        <v>110</v>
      </c>
      <c r="V11" s="26" t="str">
        <f t="shared" si="5"/>
        <v>011</v>
      </c>
      <c r="W11" s="26" t="str">
        <f t="shared" si="6"/>
        <v>01010</v>
      </c>
      <c r="X11" s="78"/>
      <c r="Y11" s="78"/>
      <c r="Z11" s="78"/>
      <c r="AA11" s="78"/>
    </row>
    <row r="12" spans="1:27" ht="18.600000000000001" thickBot="1" x14ac:dyDescent="0.4">
      <c r="A12" s="40" t="s">
        <v>0</v>
      </c>
      <c r="B12" s="40">
        <v>10</v>
      </c>
      <c r="C12" s="40" t="s">
        <v>67</v>
      </c>
      <c r="D12" s="40">
        <v>93</v>
      </c>
      <c r="E12" s="40" t="s">
        <v>36</v>
      </c>
      <c r="F12" s="40" t="str">
        <f t="shared" si="7"/>
        <v>00010000110000001001001101011111</v>
      </c>
      <c r="G12" s="40">
        <f t="shared" si="8"/>
        <v>13</v>
      </c>
      <c r="H12" s="40">
        <v>64</v>
      </c>
      <c r="I12" s="40" t="str">
        <f>HEX2BIN(H12,8)</f>
        <v>01100100</v>
      </c>
      <c r="J12" s="43" t="str">
        <f>CONCATENATE(MID(F12,30,3),MID(F12,17,5),MID(F12,6,3),MID(F12,25,5),MID(F12,14,3),MID(F12,1,5),MID(F12,22,3),MID(F12,9,5))</f>
        <v>11110010000010110000001001111000</v>
      </c>
      <c r="K12" s="26" t="str">
        <f t="shared" si="9"/>
        <v>11110</v>
      </c>
      <c r="L12" s="26" t="str">
        <f t="shared" si="0"/>
        <v>010</v>
      </c>
      <c r="M12" s="26" t="str">
        <f t="shared" si="1"/>
        <v>000</v>
      </c>
      <c r="N12" s="26" t="str">
        <f t="shared" si="2"/>
        <v>01011</v>
      </c>
      <c r="O12" s="77">
        <f>BIN2DEC(K12)-BIN2DEC(K13)</f>
        <v>13</v>
      </c>
      <c r="P12" s="77">
        <f>BIN2DEC(L12)-BIN2DEC(L13)</f>
        <v>-1</v>
      </c>
      <c r="Q12" s="77">
        <f>BIN2DEC(M12)-BIN2DEC(M13)</f>
        <v>0</v>
      </c>
      <c r="R12" s="77">
        <f>BIN2DEC(N12)-BIN2DEC(N13)</f>
        <v>-13</v>
      </c>
      <c r="S12" t="s">
        <v>257</v>
      </c>
      <c r="T12" s="26" t="str">
        <f t="shared" si="3"/>
        <v>00000</v>
      </c>
      <c r="U12" s="26" t="str">
        <f t="shared" si="4"/>
        <v>010</v>
      </c>
      <c r="V12" s="26" t="str">
        <f t="shared" si="5"/>
        <v>011</v>
      </c>
      <c r="W12" s="26" t="str">
        <f t="shared" si="6"/>
        <v>11000</v>
      </c>
      <c r="X12" s="77">
        <f>BIN2DEC(T12)-BIN2DEC(T13)</f>
        <v>-22</v>
      </c>
      <c r="Y12" s="77">
        <f>BIN2DEC(U12)-BIN2DEC(U13)</f>
        <v>-2</v>
      </c>
      <c r="Z12" s="77">
        <f>BIN2DEC(V12)-BIN2DEC(V13)</f>
        <v>-1</v>
      </c>
      <c r="AA12" s="77">
        <f>BIN2DEC(W12)-BIN2DEC(W13)</f>
        <v>-5</v>
      </c>
    </row>
    <row r="13" spans="1:27" ht="18.600000000000001" thickBot="1" x14ac:dyDescent="0.4">
      <c r="A13" s="41" t="s">
        <v>6</v>
      </c>
      <c r="B13" s="41" t="s">
        <v>157</v>
      </c>
      <c r="C13" s="41">
        <v>18</v>
      </c>
      <c r="D13" s="41" t="s">
        <v>155</v>
      </c>
      <c r="E13" s="41" t="s">
        <v>147</v>
      </c>
      <c r="F13" s="41" t="str">
        <f t="shared" si="7"/>
        <v>10001011000110001011010010011101</v>
      </c>
      <c r="G13" s="41">
        <f t="shared" si="8"/>
        <v>15</v>
      </c>
      <c r="H13" s="41"/>
      <c r="I13" s="41"/>
      <c r="J13" s="44" t="str">
        <f>F13</f>
        <v>10001011000110001011010010011101</v>
      </c>
      <c r="K13" s="26" t="str">
        <f t="shared" si="9"/>
        <v>10001</v>
      </c>
      <c r="L13" s="26" t="str">
        <f t="shared" si="0"/>
        <v>011</v>
      </c>
      <c r="M13" s="26" t="str">
        <f t="shared" si="1"/>
        <v>000</v>
      </c>
      <c r="N13" s="26" t="str">
        <f t="shared" si="2"/>
        <v>11000</v>
      </c>
      <c r="O13" s="78"/>
      <c r="P13" s="78"/>
      <c r="Q13" s="78"/>
      <c r="R13" s="78"/>
      <c r="S13" t="s">
        <v>258</v>
      </c>
      <c r="T13" s="26" t="str">
        <f t="shared" si="3"/>
        <v>10110</v>
      </c>
      <c r="U13" s="26" t="str">
        <f t="shared" si="4"/>
        <v>100</v>
      </c>
      <c r="V13" s="26" t="str">
        <f t="shared" si="5"/>
        <v>100</v>
      </c>
      <c r="W13" s="26" t="str">
        <f t="shared" si="6"/>
        <v>11101</v>
      </c>
      <c r="X13" s="78"/>
      <c r="Y13" s="78"/>
      <c r="Z13" s="78"/>
      <c r="AA13" s="78"/>
    </row>
    <row r="14" spans="1:27" ht="18.600000000000001" thickBot="1" x14ac:dyDescent="0.4">
      <c r="A14" s="40" t="s">
        <v>0</v>
      </c>
      <c r="B14" s="40">
        <v>21</v>
      </c>
      <c r="C14" s="40">
        <v>29</v>
      </c>
      <c r="D14" s="40" t="s">
        <v>20</v>
      </c>
      <c r="E14" s="40" t="s">
        <v>127</v>
      </c>
      <c r="F14" s="40" t="str">
        <f t="shared" si="7"/>
        <v>00100001001010010000101010101101</v>
      </c>
      <c r="G14" s="40">
        <f t="shared" si="8"/>
        <v>12</v>
      </c>
      <c r="H14" s="40">
        <v>64</v>
      </c>
      <c r="I14" s="40" t="str">
        <f>HEX2BIN(H14,8)</f>
        <v>01100100</v>
      </c>
      <c r="J14" s="43" t="str">
        <f>CONCATENATE(MID(F14,30,3),MID(F14,17,5),MID(F14,6,3),MID(F14,25,5),MID(F14,14,3),MID(F14,1,5),MID(F14,22,3),MID(F14,9,5))</f>
        <v>10100001001101010010010001000101</v>
      </c>
      <c r="K14" s="26" t="str">
        <f t="shared" si="9"/>
        <v>10100</v>
      </c>
      <c r="L14" s="26" t="str">
        <f t="shared" si="0"/>
        <v>001</v>
      </c>
      <c r="M14" s="26" t="str">
        <f t="shared" si="1"/>
        <v>001</v>
      </c>
      <c r="N14" s="26" t="str">
        <f t="shared" si="2"/>
        <v>10101</v>
      </c>
      <c r="O14" s="77">
        <f>BIN2DEC(K14)-BIN2DEC(K15)</f>
        <v>13</v>
      </c>
      <c r="P14" s="77">
        <f>BIN2DEC(L14)-BIN2DEC(L15)</f>
        <v>-1</v>
      </c>
      <c r="Q14" s="77">
        <f>BIN2DEC(M14)-BIN2DEC(M15)</f>
        <v>0</v>
      </c>
      <c r="R14" s="77">
        <f>BIN2DEC(N14)-BIN2DEC(N15)</f>
        <v>19</v>
      </c>
      <c r="S14" t="s">
        <v>255</v>
      </c>
      <c r="T14" s="26" t="str">
        <f t="shared" si="3"/>
        <v>00100</v>
      </c>
      <c r="U14" s="26" t="str">
        <f t="shared" si="4"/>
        <v>100</v>
      </c>
      <c r="V14" s="26" t="str">
        <f t="shared" si="5"/>
        <v>010</v>
      </c>
      <c r="W14" s="26" t="str">
        <f t="shared" si="6"/>
        <v>00101</v>
      </c>
      <c r="X14" s="77">
        <f>BIN2DEC(T14)-BIN2DEC(T15)</f>
        <v>-22</v>
      </c>
      <c r="Y14" s="77">
        <f>BIN2DEC(U14)-BIN2DEC(U15)</f>
        <v>-2</v>
      </c>
      <c r="Z14" s="77">
        <f>BIN2DEC(V14)-BIN2DEC(V15)</f>
        <v>-1</v>
      </c>
      <c r="AA14" s="77">
        <f>BIN2DEC(W14)-BIN2DEC(W15)</f>
        <v>-5</v>
      </c>
    </row>
    <row r="15" spans="1:27" ht="18.600000000000001" thickBot="1" x14ac:dyDescent="0.4">
      <c r="A15" s="41" t="s">
        <v>6</v>
      </c>
      <c r="B15" s="41" t="s">
        <v>115</v>
      </c>
      <c r="C15" s="41">
        <v>22</v>
      </c>
      <c r="D15" s="41" t="s">
        <v>35</v>
      </c>
      <c r="E15" s="41" t="s">
        <v>59</v>
      </c>
      <c r="F15" s="41" t="str">
        <f t="shared" si="7"/>
        <v>00111010001000101101011001101010</v>
      </c>
      <c r="G15" s="41">
        <f t="shared" si="8"/>
        <v>15</v>
      </c>
      <c r="H15" s="41"/>
      <c r="I15" s="41"/>
      <c r="J15" s="44" t="str">
        <f>F15</f>
        <v>00111010001000101101011001101010</v>
      </c>
      <c r="K15" s="26" t="str">
        <f t="shared" si="9"/>
        <v>00111</v>
      </c>
      <c r="L15" s="26" t="str">
        <f t="shared" si="0"/>
        <v>010</v>
      </c>
      <c r="M15" s="26" t="str">
        <f t="shared" si="1"/>
        <v>001</v>
      </c>
      <c r="N15" s="26" t="str">
        <f t="shared" si="2"/>
        <v>00010</v>
      </c>
      <c r="O15" s="78"/>
      <c r="P15" s="78"/>
      <c r="Q15" s="78"/>
      <c r="R15" s="78"/>
      <c r="S15" t="s">
        <v>256</v>
      </c>
      <c r="T15" s="26" t="str">
        <f t="shared" si="3"/>
        <v>11010</v>
      </c>
      <c r="U15" s="26" t="str">
        <f t="shared" si="4"/>
        <v>110</v>
      </c>
      <c r="V15" s="26" t="str">
        <f t="shared" si="5"/>
        <v>011</v>
      </c>
      <c r="W15" s="26" t="str">
        <f t="shared" si="6"/>
        <v>01010</v>
      </c>
      <c r="X15" s="78"/>
      <c r="Y15" s="78"/>
      <c r="Z15" s="78"/>
      <c r="AA15" s="78"/>
    </row>
    <row r="16" spans="1:27" ht="18.600000000000001" thickBot="1" x14ac:dyDescent="0.4">
      <c r="A16" s="40" t="s">
        <v>0</v>
      </c>
      <c r="B16" s="40">
        <v>54</v>
      </c>
      <c r="C16" s="40">
        <v>68</v>
      </c>
      <c r="D16" s="40" t="s">
        <v>137</v>
      </c>
      <c r="E16" s="40" t="s">
        <v>157</v>
      </c>
      <c r="F16" s="40" t="str">
        <f>CONCATENATE(HEX2BIN(B16,8),HEX2BIN(C16,8),HEX2BIN(D16,8),HEX2BIN(E16,8))</f>
        <v>01010100011010001001101010001011</v>
      </c>
      <c r="G16" s="40">
        <f>MID(F16,1,1)+MID(F16,2,1)+MID(F16,3,1)+MID(F16,4,1)+MID(F16,5,1)+MID(F16,6,1)+MID(F16,7,1)+MID(F16,8,1)+MID(F16,9,1)+MID(F16,10,1)+MID(F16,11,1)+MID(F16,12,1)+MID(F16,13,1)+MID(F16,14,1)+MID(F16,15,1)+MID(F16,16,1)+MID(F16,17,1)+MID(F16,18,1)+MID(F16,19,1)+MID(F16,20,1)+MID(F16,21,1)+MID(F16,22,1)+MID(F16,23,1)+MID(F16,24,1)+MID(F16,25,1)+MID(F16,26,1)+MID(F16,27,1)+MID(F16,28,1)+MID(F16,29,1)+MID(F16,30,1)+MID(F16,31,1)+MID(F16,32,1)</f>
        <v>14</v>
      </c>
      <c r="H16" s="40">
        <v>64</v>
      </c>
      <c r="I16" s="40" t="str">
        <f>HEX2BIN(H16,8)</f>
        <v>01100100</v>
      </c>
      <c r="J16" s="43" t="str">
        <f>CONCATENATE(MID(F16,30,3),MID(F16,17,5),MID(F16,6,3),MID(F16,25,5),MID(F16,14,3),MID(F16,1,5),MID(F16,22,3),MID(F16,9,5))</f>
        <v>01110011100100010000101001001101</v>
      </c>
      <c r="K16" s="26" t="str">
        <f t="shared" si="9"/>
        <v>01110</v>
      </c>
      <c r="L16" s="26" t="str">
        <f t="shared" si="0"/>
        <v>011</v>
      </c>
      <c r="M16" s="26" t="str">
        <f t="shared" si="1"/>
        <v>100</v>
      </c>
      <c r="N16" s="26" t="str">
        <f t="shared" si="2"/>
        <v>10001</v>
      </c>
      <c r="O16" s="77">
        <f>BIN2DEC(K16)-BIN2DEC(K17)</f>
        <v>13</v>
      </c>
      <c r="P16" s="77">
        <f>BIN2DEC(L16)-BIN2DEC(L17)</f>
        <v>-1</v>
      </c>
      <c r="Q16" s="77">
        <f>BIN2DEC(M16)-BIN2DEC(M17)</f>
        <v>0</v>
      </c>
      <c r="R16" s="77">
        <f>BIN2DEC(N16)-BIN2DEC(N17)</f>
        <v>-13</v>
      </c>
      <c r="S16" t="s">
        <v>259</v>
      </c>
      <c r="T16" s="26" t="str">
        <f t="shared" si="3"/>
        <v>00001</v>
      </c>
      <c r="U16" s="26" t="str">
        <f t="shared" si="4"/>
        <v>010</v>
      </c>
      <c r="V16" s="26" t="str">
        <f t="shared" si="5"/>
        <v>010</v>
      </c>
      <c r="W16" s="26" t="str">
        <f t="shared" si="6"/>
        <v>01101</v>
      </c>
      <c r="X16" s="77">
        <f>BIN2DEC(T16)-BIN2DEC(T17)</f>
        <v>-22</v>
      </c>
      <c r="Y16" s="77">
        <f>BIN2DEC(U16)-BIN2DEC(U17)</f>
        <v>-2</v>
      </c>
      <c r="Z16" s="77">
        <f>BIN2DEC(V16)-BIN2DEC(V17)</f>
        <v>-1</v>
      </c>
      <c r="AA16" s="77">
        <f>BIN2DEC(W16)-BIN2DEC(W17)</f>
        <v>-5</v>
      </c>
    </row>
    <row r="17" spans="1:27" ht="18.600000000000001" thickBot="1" x14ac:dyDescent="0.4">
      <c r="A17" s="41" t="s">
        <v>6</v>
      </c>
      <c r="B17" s="41" t="s">
        <v>118</v>
      </c>
      <c r="C17" s="41" t="s">
        <v>13</v>
      </c>
      <c r="D17" s="41" t="s">
        <v>102</v>
      </c>
      <c r="E17" s="41">
        <v>72</v>
      </c>
      <c r="F17" s="41" t="str">
        <f>CONCATENATE(HEX2BIN(B17,8),HEX2BIN(C17,8),HEX2BIN(D17,8),HEX2BIN(E17,8))</f>
        <v>00001100100111101011110001110010</v>
      </c>
      <c r="G17" s="41">
        <f>MID(F17,1,1)+MID(F17,2,1)+MID(F17,3,1)+MID(F17,4,1)+MID(F17,5,1)+MID(F17,6,1)+MID(F17,7,1)+MID(F17,8,1)+MID(F17,9,1)+MID(F17,10,1)+MID(F17,11,1)+MID(F17,12,1)+MID(F17,13,1)+MID(F17,14,1)+MID(F17,15,1)+MID(F17,16,1)+MID(F17,17,1)+MID(F17,18,1)+MID(F17,19,1)+MID(F17,20,1)+MID(F17,21,1)+MID(F17,22,1)+MID(F17,23,1)+MID(F17,24,1)+MID(F17,25,1)+MID(F17,26,1)+MID(F17,27,1)+MID(F17,28,1)+MID(F17,29,1)+MID(F17,30,1)+MID(F17,31,1)+MID(F17,32,1)</f>
        <v>16</v>
      </c>
      <c r="H17" s="41"/>
      <c r="I17" s="41"/>
      <c r="J17" s="44" t="str">
        <f>F17</f>
        <v>00001100100111101011110001110010</v>
      </c>
      <c r="K17" s="26" t="str">
        <f t="shared" si="9"/>
        <v>00001</v>
      </c>
      <c r="L17" s="26" t="str">
        <f t="shared" si="0"/>
        <v>100</v>
      </c>
      <c r="M17" s="26" t="str">
        <f t="shared" si="1"/>
        <v>100</v>
      </c>
      <c r="N17" s="26" t="str">
        <f t="shared" si="2"/>
        <v>11110</v>
      </c>
      <c r="O17" s="78"/>
      <c r="P17" s="78"/>
      <c r="Q17" s="78"/>
      <c r="R17" s="78"/>
      <c r="S17" t="s">
        <v>260</v>
      </c>
      <c r="T17" s="26" t="str">
        <f t="shared" si="3"/>
        <v>10111</v>
      </c>
      <c r="U17" s="26" t="str">
        <f t="shared" si="4"/>
        <v>100</v>
      </c>
      <c r="V17" s="26" t="str">
        <f t="shared" si="5"/>
        <v>011</v>
      </c>
      <c r="W17" s="26" t="str">
        <f t="shared" si="6"/>
        <v>10010</v>
      </c>
      <c r="X17" s="78"/>
      <c r="Y17" s="78"/>
      <c r="Z17" s="78"/>
      <c r="AA17" s="78"/>
    </row>
    <row r="18" spans="1:27" ht="18.600000000000001" thickBot="1" x14ac:dyDescent="0.4">
      <c r="A18" s="40" t="s">
        <v>0</v>
      </c>
      <c r="B18" s="40" t="s">
        <v>72</v>
      </c>
      <c r="C18" s="40">
        <v>94</v>
      </c>
      <c r="D18" s="40" t="s">
        <v>12</v>
      </c>
      <c r="E18" s="40" t="s">
        <v>45</v>
      </c>
      <c r="F18" s="40" t="str">
        <f>CONCATENATE(HEX2BIN(B18,8),HEX2BIN(C18,8),HEX2BIN(D18,8),HEX2BIN(E18,8))</f>
        <v>01011010100101001010001101111100</v>
      </c>
      <c r="G18" s="40">
        <f>MID(F18,1,1)+MID(F18,2,1)+MID(F18,3,1)+MID(F18,4,1)+MID(F18,5,1)+MID(F18,6,1)+MID(F18,7,1)+MID(F18,8,1)+MID(F18,9,1)+MID(F18,10,1)+MID(F18,11,1)+MID(F18,12,1)+MID(F18,13,1)+MID(F18,14,1)+MID(F18,15,1)+MID(F18,16,1)+MID(F18,17,1)+MID(F18,18,1)+MID(F18,19,1)+MID(F18,20,1)+MID(F18,21,1)+MID(F18,22,1)+MID(F18,23,1)+MID(F18,24,1)+MID(F18,25,1)+MID(F18,26,1)+MID(F18,27,1)+MID(F18,28,1)+MID(F18,29,1)+MID(F18,30,1)+MID(F18,31,1)+MID(F18,32,1)</f>
        <v>16</v>
      </c>
      <c r="H18" s="40">
        <v>64</v>
      </c>
      <c r="I18" s="40" t="str">
        <f>HEX2BIN(H18,8)</f>
        <v>01100100</v>
      </c>
      <c r="J18" s="43" t="str">
        <f>CONCATENATE(MID(F18,30,3),MID(F18,17,5),MID(F18,6,3),MID(F18,25,5),MID(F18,14,3),MID(F18,1,5),MID(F18,22,3),MID(F18,9,5))</f>
        <v>10010100010011111000101101110010</v>
      </c>
      <c r="K18" s="26" t="str">
        <f t="shared" si="9"/>
        <v>10010</v>
      </c>
      <c r="L18" s="26" t="str">
        <f t="shared" si="0"/>
        <v>100</v>
      </c>
      <c r="M18" s="26" t="str">
        <f t="shared" si="1"/>
        <v>010</v>
      </c>
      <c r="N18" s="26" t="str">
        <f t="shared" si="2"/>
        <v>01111</v>
      </c>
      <c r="O18" s="77">
        <f>BIN2DEC(K18)-BIN2DEC(K19)</f>
        <v>13</v>
      </c>
      <c r="P18" s="77">
        <f>BIN2DEC(L18)-BIN2DEC(L19)</f>
        <v>-1</v>
      </c>
      <c r="Q18" s="77">
        <f>BIN2DEC(M18)-BIN2DEC(M19)</f>
        <v>0</v>
      </c>
      <c r="R18" s="77">
        <f>BIN2DEC(N18)-BIN2DEC(N19)</f>
        <v>-13</v>
      </c>
      <c r="S18" t="s">
        <v>261</v>
      </c>
      <c r="T18" s="26" t="str">
        <f t="shared" si="3"/>
        <v>10001</v>
      </c>
      <c r="U18" s="26" t="str">
        <f t="shared" si="4"/>
        <v>011</v>
      </c>
      <c r="V18" s="26" t="str">
        <f t="shared" si="5"/>
        <v>011</v>
      </c>
      <c r="W18" s="26" t="str">
        <f t="shared" si="6"/>
        <v>10010</v>
      </c>
      <c r="X18" s="77">
        <f>BIN2DEC(T18)-BIN2DEC(T19)</f>
        <v>10</v>
      </c>
      <c r="Y18" s="77">
        <f>BIN2DEC(U18)-BIN2DEC(U19)</f>
        <v>-2</v>
      </c>
      <c r="Z18" s="77">
        <f>BIN2DEC(V18)-BIN2DEC(V19)</f>
        <v>-1</v>
      </c>
      <c r="AA18" s="77">
        <f>BIN2DEC(W18)-BIN2DEC(W19)</f>
        <v>-6</v>
      </c>
    </row>
    <row r="19" spans="1:27" ht="18.600000000000001" thickBot="1" x14ac:dyDescent="0.4">
      <c r="A19" s="41" t="s">
        <v>6</v>
      </c>
      <c r="B19" s="41" t="s">
        <v>61</v>
      </c>
      <c r="C19" s="41" t="s">
        <v>58</v>
      </c>
      <c r="D19" s="41" t="s">
        <v>60</v>
      </c>
      <c r="E19" s="41">
        <v>98</v>
      </c>
      <c r="F19" s="41" t="str">
        <f>CONCATENATE(HEX2BIN(B19,8),HEX2BIN(C19,8),HEX2BIN(D19,8),HEX2BIN(E19,8))</f>
        <v>00101101010111000011110110011000</v>
      </c>
      <c r="G19" s="41">
        <f>MID(F19,1,1)+MID(F19,2,1)+MID(F19,3,1)+MID(F19,4,1)+MID(F19,5,1)+MID(F19,6,1)+MID(F19,7,1)+MID(F19,8,1)+MID(F19,9,1)+MID(F19,10,1)+MID(F19,11,1)+MID(F19,12,1)+MID(F19,13,1)+MID(F19,14,1)+MID(F19,15,1)+MID(F19,16,1)+MID(F19,17,1)+MID(F19,18,1)+MID(F19,19,1)+MID(F19,20,1)+MID(F19,21,1)+MID(F19,22,1)+MID(F19,23,1)+MID(F19,24,1)+MID(F19,25,1)+MID(F19,26,1)+MID(F19,27,1)+MID(F19,28,1)+MID(F19,29,1)+MID(F19,30,1)+MID(F19,31,1)+MID(F19,32,1)</f>
        <v>16</v>
      </c>
      <c r="H19" s="41"/>
      <c r="I19" s="41"/>
      <c r="J19" s="44" t="str">
        <f>F19</f>
        <v>00101101010111000011110110011000</v>
      </c>
      <c r="K19" s="26" t="str">
        <f t="shared" si="9"/>
        <v>00101</v>
      </c>
      <c r="L19" s="26" t="str">
        <f t="shared" si="0"/>
        <v>101</v>
      </c>
      <c r="M19" s="26" t="str">
        <f t="shared" si="1"/>
        <v>010</v>
      </c>
      <c r="N19" s="26" t="str">
        <f t="shared" si="2"/>
        <v>11100</v>
      </c>
      <c r="O19" s="78"/>
      <c r="P19" s="78"/>
      <c r="Q19" s="78"/>
      <c r="R19" s="78"/>
      <c r="S19" t="s">
        <v>262</v>
      </c>
      <c r="T19" s="26" t="str">
        <f t="shared" si="3"/>
        <v>00111</v>
      </c>
      <c r="U19" s="26" t="str">
        <f t="shared" si="4"/>
        <v>101</v>
      </c>
      <c r="V19" s="26" t="str">
        <f t="shared" si="5"/>
        <v>100</v>
      </c>
      <c r="W19" s="26" t="str">
        <f t="shared" si="6"/>
        <v>11000</v>
      </c>
      <c r="X19" s="78"/>
      <c r="Y19" s="78"/>
      <c r="Z19" s="78"/>
      <c r="AA19" s="78"/>
    </row>
    <row r="20" spans="1:27" ht="18.600000000000001" thickBot="1" x14ac:dyDescent="0.4">
      <c r="A20" s="40" t="s">
        <v>0</v>
      </c>
      <c r="B20" s="40">
        <v>37</v>
      </c>
      <c r="C20" s="40" t="s">
        <v>89</v>
      </c>
      <c r="D20" s="40" t="s">
        <v>24</v>
      </c>
      <c r="E20" s="40">
        <v>92</v>
      </c>
      <c r="F20" s="40" t="str">
        <f t="shared" ref="F20:F41" si="10">CONCATENATE(HEX2BIN(B20,8),HEX2BIN(C20,8),HEX2BIN(D20,8),HEX2BIN(E20,8))</f>
        <v>00110111111000111011010110010010</v>
      </c>
      <c r="G20" s="40">
        <f t="shared" ref="G20:G41" si="11">MID(F20,1,1)+MID(F20,2,1)+MID(F20,3,1)+MID(F20,4,1)+MID(F20,5,1)+MID(F20,6,1)+MID(F20,7,1)+MID(F20,8,1)+MID(F20,9,1)+MID(F20,10,1)+MID(F20,11,1)+MID(F20,12,1)+MID(F20,13,1)+MID(F20,14,1)+MID(F20,15,1)+MID(F20,16,1)+MID(F20,17,1)+MID(F20,18,1)+MID(F20,19,1)+MID(F20,20,1)+MID(F20,21,1)+MID(F20,22,1)+MID(F20,23,1)+MID(F20,24,1)+MID(F20,25,1)+MID(F20,26,1)+MID(F20,27,1)+MID(F20,28,1)+MID(F20,29,1)+MID(F20,30,1)+MID(F20,31,1)+MID(F20,32,1)</f>
        <v>18</v>
      </c>
      <c r="H20" s="40">
        <v>64</v>
      </c>
      <c r="I20" s="40" t="str">
        <f>HEX2BIN(H20,8)</f>
        <v>01100100</v>
      </c>
      <c r="J20" s="43" t="str">
        <f>CONCATENATE(MID(F20,30,3),MID(F20,17,5),MID(F20,6,3),MID(F20,25,5),MID(F20,14,3),MID(F20,1,5),MID(F20,22,3),MID(F20,9,5))</f>
        <v>01010110111100100110011010111100</v>
      </c>
      <c r="K20" s="26" t="str">
        <f t="shared" si="9"/>
        <v>01010</v>
      </c>
      <c r="L20" s="26" t="str">
        <f t="shared" si="0"/>
        <v>110</v>
      </c>
      <c r="M20" s="26" t="str">
        <f t="shared" si="1"/>
        <v>111</v>
      </c>
      <c r="N20" s="26" t="str">
        <f t="shared" si="2"/>
        <v>10010</v>
      </c>
      <c r="O20" s="77">
        <f>BIN2DEC(K20)-BIN2DEC(K21)</f>
        <v>-19</v>
      </c>
      <c r="P20" s="77">
        <f>BIN2DEC(L20)-BIN2DEC(L21)</f>
        <v>-1</v>
      </c>
      <c r="Q20" s="77">
        <f>BIN2DEC(M20)-BIN2DEC(M21)</f>
        <v>0</v>
      </c>
      <c r="R20" s="77">
        <f>BIN2DEC(N20)-BIN2DEC(N21)</f>
        <v>-12</v>
      </c>
      <c r="S20" t="s">
        <v>263</v>
      </c>
      <c r="T20" s="26" t="str">
        <f t="shared" si="3"/>
        <v>01100</v>
      </c>
      <c r="U20" s="26" t="str">
        <f t="shared" si="4"/>
        <v>110</v>
      </c>
      <c r="V20" s="26" t="str">
        <f t="shared" si="5"/>
        <v>101</v>
      </c>
      <c r="W20" s="26" t="str">
        <f t="shared" si="6"/>
        <v>11100</v>
      </c>
      <c r="X20" s="77">
        <f>BIN2DEC(T20)-BIN2DEC(T21)</f>
        <v>9</v>
      </c>
      <c r="Y20" s="77">
        <f>BIN2DEC(U20)-BIN2DEC(U21)</f>
        <v>6</v>
      </c>
      <c r="Z20" s="77">
        <f>BIN2DEC(V20)-BIN2DEC(V21)</f>
        <v>-2</v>
      </c>
      <c r="AA20" s="77">
        <f>BIN2DEC(W20)-BIN2DEC(W21)</f>
        <v>26</v>
      </c>
    </row>
    <row r="21" spans="1:27" ht="18.600000000000001" thickBot="1" x14ac:dyDescent="0.4">
      <c r="A21" s="41" t="s">
        <v>6</v>
      </c>
      <c r="B21" s="41" t="s">
        <v>56</v>
      </c>
      <c r="C21" s="41" t="s">
        <v>68</v>
      </c>
      <c r="D21" s="41">
        <v>18</v>
      </c>
      <c r="E21" s="41" t="s">
        <v>50</v>
      </c>
      <c r="F21" s="41" t="str">
        <f t="shared" si="10"/>
        <v>11101111111111100001100011100010</v>
      </c>
      <c r="G21" s="41">
        <f t="shared" si="11"/>
        <v>20</v>
      </c>
      <c r="H21" s="41"/>
      <c r="I21" s="41"/>
      <c r="J21" s="44" t="str">
        <f>F21</f>
        <v>11101111111111100001100011100010</v>
      </c>
      <c r="K21" s="26" t="str">
        <f t="shared" si="9"/>
        <v>11101</v>
      </c>
      <c r="L21" s="26" t="str">
        <f t="shared" si="0"/>
        <v>111</v>
      </c>
      <c r="M21" s="26" t="str">
        <f t="shared" si="1"/>
        <v>111</v>
      </c>
      <c r="N21" s="26" t="str">
        <f t="shared" si="2"/>
        <v>11110</v>
      </c>
      <c r="O21" s="78"/>
      <c r="P21" s="78"/>
      <c r="Q21" s="78"/>
      <c r="R21" s="78"/>
      <c r="S21" t="s">
        <v>264</v>
      </c>
      <c r="T21" s="26" t="str">
        <f t="shared" si="3"/>
        <v>00011</v>
      </c>
      <c r="U21" s="26" t="str">
        <f t="shared" si="4"/>
        <v>000</v>
      </c>
      <c r="V21" s="26" t="str">
        <f t="shared" si="5"/>
        <v>111</v>
      </c>
      <c r="W21" s="26" t="str">
        <f t="shared" si="6"/>
        <v>00010</v>
      </c>
      <c r="X21" s="78"/>
      <c r="Y21" s="78"/>
      <c r="Z21" s="78"/>
      <c r="AA21" s="78"/>
    </row>
    <row r="22" spans="1:27" ht="18.600000000000001" thickBot="1" x14ac:dyDescent="0.4">
      <c r="A22" s="50" t="s">
        <v>0</v>
      </c>
      <c r="B22" s="50" t="s">
        <v>103</v>
      </c>
      <c r="C22" s="50">
        <v>87</v>
      </c>
      <c r="D22" s="50" t="s">
        <v>118</v>
      </c>
      <c r="E22" s="50" t="s">
        <v>113</v>
      </c>
      <c r="F22" s="50" t="str">
        <f t="shared" si="10"/>
        <v>10101111100001110000110000011011</v>
      </c>
      <c r="G22" s="50">
        <f t="shared" si="11"/>
        <v>16</v>
      </c>
      <c r="H22" s="50">
        <v>63</v>
      </c>
      <c r="I22" s="50" t="str">
        <f>HEX2BIN(H22,8)</f>
        <v>01100011</v>
      </c>
      <c r="J22" s="34" t="str">
        <f>CONCATENATE(MID(F22,30,3),MID(F22,17,5),MID(F22,6,3),MID(F22,25,5),MID(F22,14,3),MID(F22,1,5),MID(F22,22,3),MID(F22,9,5))</f>
        <v>01100001111000111111010110010000</v>
      </c>
      <c r="K22" s="26" t="str">
        <f t="shared" si="9"/>
        <v>01100</v>
      </c>
      <c r="L22" s="26" t="str">
        <f t="shared" si="0"/>
        <v>001</v>
      </c>
      <c r="M22" s="26" t="str">
        <f t="shared" si="1"/>
        <v>111</v>
      </c>
      <c r="N22" s="26" t="str">
        <f t="shared" si="2"/>
        <v>00011</v>
      </c>
      <c r="O22" s="87">
        <f>BIN2DEC(K22)-BIN2DEC(K23)</f>
        <v>-15</v>
      </c>
      <c r="P22" s="87">
        <f>BIN2DEC(L22)-BIN2DEC(L23)</f>
        <v>-1</v>
      </c>
      <c r="Q22" s="87">
        <f>BIN2DEC(M22)-BIN2DEC(M23)</f>
        <v>4</v>
      </c>
      <c r="R22" s="87">
        <f>BIN2DEC(N22)-BIN2DEC(N23)</f>
        <v>-12</v>
      </c>
      <c r="S22" t="s">
        <v>265</v>
      </c>
      <c r="T22" s="26" t="str">
        <f t="shared" si="3"/>
        <v>11110</v>
      </c>
      <c r="U22" s="26" t="str">
        <f t="shared" si="4"/>
        <v>101</v>
      </c>
      <c r="V22" s="26" t="str">
        <f t="shared" si="5"/>
        <v>100</v>
      </c>
      <c r="W22" s="26" t="str">
        <f t="shared" si="6"/>
        <v>10000</v>
      </c>
      <c r="X22" s="87">
        <f>BIN2DEC(T22)-BIN2DEC(T23)</f>
        <v>22</v>
      </c>
      <c r="Y22" s="87">
        <f>BIN2DEC(U22)-BIN2DEC(U23)</f>
        <v>-2</v>
      </c>
      <c r="Z22" s="87">
        <f>BIN2DEC(V22)-BIN2DEC(V23)</f>
        <v>1</v>
      </c>
      <c r="AA22" s="87">
        <f>BIN2DEC(W22)-BIN2DEC(W23)</f>
        <v>-6</v>
      </c>
    </row>
    <row r="23" spans="1:27" ht="18.600000000000001" thickBot="1" x14ac:dyDescent="0.4">
      <c r="A23" s="51" t="s">
        <v>6</v>
      </c>
      <c r="B23" s="51" t="s">
        <v>111</v>
      </c>
      <c r="C23" s="51" t="s">
        <v>85</v>
      </c>
      <c r="D23" s="51">
        <v>47</v>
      </c>
      <c r="E23" s="51">
        <v>76</v>
      </c>
      <c r="F23" s="51" t="str">
        <f t="shared" si="10"/>
        <v>11011010011011110100011101110110</v>
      </c>
      <c r="G23" s="51">
        <f t="shared" si="11"/>
        <v>20</v>
      </c>
      <c r="H23" s="51"/>
      <c r="I23" s="51"/>
      <c r="J23" s="38" t="str">
        <f>F23</f>
        <v>11011010011011110100011101110110</v>
      </c>
      <c r="K23" s="26" t="str">
        <f t="shared" si="9"/>
        <v>11011</v>
      </c>
      <c r="L23" s="26" t="str">
        <f t="shared" si="0"/>
        <v>010</v>
      </c>
      <c r="M23" s="26" t="str">
        <f t="shared" si="1"/>
        <v>011</v>
      </c>
      <c r="N23" s="26" t="str">
        <f t="shared" si="2"/>
        <v>01111</v>
      </c>
      <c r="O23" s="88"/>
      <c r="P23" s="88"/>
      <c r="Q23" s="88"/>
      <c r="R23" s="88"/>
      <c r="S23" t="s">
        <v>266</v>
      </c>
      <c r="T23" s="26" t="str">
        <f t="shared" si="3"/>
        <v>01000</v>
      </c>
      <c r="U23" s="26" t="str">
        <f t="shared" si="4"/>
        <v>111</v>
      </c>
      <c r="V23" s="26" t="str">
        <f t="shared" si="5"/>
        <v>011</v>
      </c>
      <c r="W23" s="26" t="str">
        <f t="shared" si="6"/>
        <v>10110</v>
      </c>
      <c r="X23" s="88"/>
      <c r="Y23" s="88"/>
      <c r="Z23" s="88"/>
      <c r="AA23" s="88"/>
    </row>
    <row r="24" spans="1:27" ht="18.600000000000001" thickBot="1" x14ac:dyDescent="0.4">
      <c r="A24" s="50" t="s">
        <v>0</v>
      </c>
      <c r="B24" s="50">
        <v>15</v>
      </c>
      <c r="C24" s="50" t="s">
        <v>100</v>
      </c>
      <c r="D24" s="50">
        <v>73</v>
      </c>
      <c r="E24" s="50">
        <v>16</v>
      </c>
      <c r="F24" s="50" t="str">
        <f t="shared" si="10"/>
        <v>00010101111101010111001100010110</v>
      </c>
      <c r="G24" s="50">
        <f t="shared" si="11"/>
        <v>17</v>
      </c>
      <c r="H24" s="50">
        <v>63</v>
      </c>
      <c r="I24" s="50" t="str">
        <f>HEX2BIN(H24,8)</f>
        <v>01100011</v>
      </c>
      <c r="J24" s="34" t="str">
        <f>CONCATENATE(MID(F24,30,3),MID(F24,17,5),MID(F24,6,3),MID(F24,25,5),MID(F24,14,3),MID(F24,1,5),MID(F24,22,3),MID(F24,9,5))</f>
        <v>11001110101000101010001001111110</v>
      </c>
      <c r="K24" s="26" t="str">
        <f t="shared" si="9"/>
        <v>11001</v>
      </c>
      <c r="L24" s="26" t="str">
        <f t="shared" si="0"/>
        <v>110</v>
      </c>
      <c r="M24" s="26" t="str">
        <f t="shared" si="1"/>
        <v>101</v>
      </c>
      <c r="N24" s="26" t="str">
        <f t="shared" si="2"/>
        <v>00010</v>
      </c>
      <c r="O24" s="87">
        <f>BIN2DEC(K24)-BIN2DEC(K25)</f>
        <v>17</v>
      </c>
      <c r="P24" s="87">
        <f>BIN2DEC(L24)-BIN2DEC(L25)</f>
        <v>-1</v>
      </c>
      <c r="Q24" s="87">
        <f>BIN2DEC(M24)-BIN2DEC(M25)</f>
        <v>4</v>
      </c>
      <c r="R24" s="87">
        <f>BIN2DEC(N24)-BIN2DEC(N25)</f>
        <v>-13</v>
      </c>
      <c r="S24" t="s">
        <v>267</v>
      </c>
      <c r="T24" s="26" t="str">
        <f t="shared" si="3"/>
        <v>10100</v>
      </c>
      <c r="U24" s="26" t="str">
        <f t="shared" si="4"/>
        <v>010</v>
      </c>
      <c r="V24" s="26" t="str">
        <f t="shared" si="5"/>
        <v>011</v>
      </c>
      <c r="W24" s="26" t="str">
        <f t="shared" si="6"/>
        <v>11110</v>
      </c>
      <c r="X24" s="87">
        <f>BIN2DEC(T24)-BIN2DEC(T25)</f>
        <v>-10</v>
      </c>
      <c r="Y24" s="87">
        <f>BIN2DEC(U24)-BIN2DEC(U25)</f>
        <v>-2</v>
      </c>
      <c r="Z24" s="87">
        <f>BIN2DEC(V24)-BIN2DEC(V25)</f>
        <v>0</v>
      </c>
      <c r="AA24" s="87">
        <f>BIN2DEC(W24)-BIN2DEC(W25)</f>
        <v>27</v>
      </c>
    </row>
    <row r="25" spans="1:27" ht="18.600000000000001" thickBot="1" x14ac:dyDescent="0.4">
      <c r="A25" s="51" t="s">
        <v>6</v>
      </c>
      <c r="B25" s="51">
        <v>47</v>
      </c>
      <c r="C25" s="51" t="s">
        <v>74</v>
      </c>
      <c r="D25" s="51" t="s">
        <v>81</v>
      </c>
      <c r="E25" s="51">
        <v>63</v>
      </c>
      <c r="F25" s="51" t="str">
        <f t="shared" si="10"/>
        <v>01000111001011111111010001100011</v>
      </c>
      <c r="G25" s="51">
        <f t="shared" si="11"/>
        <v>18</v>
      </c>
      <c r="H25" s="51"/>
      <c r="I25" s="51"/>
      <c r="J25" s="38" t="str">
        <f>F25</f>
        <v>01000111001011111111010001100011</v>
      </c>
      <c r="K25" s="26" t="str">
        <f t="shared" si="9"/>
        <v>01000</v>
      </c>
      <c r="L25" s="26" t="str">
        <f t="shared" si="0"/>
        <v>111</v>
      </c>
      <c r="M25" s="26" t="str">
        <f t="shared" si="1"/>
        <v>001</v>
      </c>
      <c r="N25" s="26" t="str">
        <f t="shared" si="2"/>
        <v>01111</v>
      </c>
      <c r="O25" s="88"/>
      <c r="P25" s="88"/>
      <c r="Q25" s="88"/>
      <c r="R25" s="88"/>
      <c r="S25" t="s">
        <v>268</v>
      </c>
      <c r="T25" s="26" t="str">
        <f t="shared" si="3"/>
        <v>11110</v>
      </c>
      <c r="U25" s="26" t="str">
        <f t="shared" si="4"/>
        <v>100</v>
      </c>
      <c r="V25" s="26" t="str">
        <f t="shared" si="5"/>
        <v>011</v>
      </c>
      <c r="W25" s="26" t="str">
        <f t="shared" si="6"/>
        <v>00011</v>
      </c>
      <c r="X25" s="88"/>
      <c r="Y25" s="88"/>
      <c r="Z25" s="88"/>
      <c r="AA25" s="88"/>
    </row>
    <row r="26" spans="1:27" ht="18.600000000000001" thickBot="1" x14ac:dyDescent="0.4">
      <c r="A26" s="50" t="s">
        <v>0</v>
      </c>
      <c r="B26" s="50">
        <v>10</v>
      </c>
      <c r="C26" s="50" t="s">
        <v>87</v>
      </c>
      <c r="D26" s="50" t="s">
        <v>107</v>
      </c>
      <c r="E26" s="50" t="s">
        <v>135</v>
      </c>
      <c r="F26" s="50" t="str">
        <f t="shared" si="10"/>
        <v>00010000101100111100110010111010</v>
      </c>
      <c r="G26" s="50">
        <f t="shared" si="11"/>
        <v>15</v>
      </c>
      <c r="H26" s="50">
        <v>63</v>
      </c>
      <c r="I26" s="50" t="str">
        <f>HEX2BIN(H26,8)</f>
        <v>01100011</v>
      </c>
      <c r="J26" s="34" t="str">
        <f>CONCATENATE(MID(F26,30,3),MID(F26,17,5),MID(F26,6,3),MID(F26,25,5),MID(F26,14,3),MID(F26,1,5),MID(F26,22,3),MID(F26,9,5))</f>
        <v>01011001000101110110001010010110</v>
      </c>
      <c r="K26" s="26" t="str">
        <f t="shared" si="9"/>
        <v>01011</v>
      </c>
      <c r="L26" s="26" t="str">
        <f t="shared" si="0"/>
        <v>001</v>
      </c>
      <c r="M26" s="26" t="str">
        <f t="shared" si="1"/>
        <v>000</v>
      </c>
      <c r="N26" s="26" t="str">
        <f t="shared" si="2"/>
        <v>10111</v>
      </c>
      <c r="O26" s="87">
        <f>BIN2DEC(K26)-BIN2DEC(K27)</f>
        <v>-15</v>
      </c>
      <c r="P26" s="87">
        <f>BIN2DEC(L26)-BIN2DEC(L27)</f>
        <v>-1</v>
      </c>
      <c r="Q26" s="87">
        <f>BIN2DEC(M26)-BIN2DEC(M27)</f>
        <v>-4</v>
      </c>
      <c r="R26" s="87">
        <f>BIN2DEC(N26)-BIN2DEC(N27)</f>
        <v>20</v>
      </c>
      <c r="S26" t="s">
        <v>269</v>
      </c>
      <c r="T26" s="26" t="str">
        <f t="shared" si="3"/>
        <v>01100</v>
      </c>
      <c r="U26" s="26" t="str">
        <f t="shared" si="4"/>
        <v>010</v>
      </c>
      <c r="V26" s="26" t="str">
        <f t="shared" si="5"/>
        <v>100</v>
      </c>
      <c r="W26" s="26" t="str">
        <f t="shared" si="6"/>
        <v>10110</v>
      </c>
      <c r="X26" s="87">
        <f>BIN2DEC(T26)-BIN2DEC(T27)</f>
        <v>-10</v>
      </c>
      <c r="Y26" s="87">
        <f>BIN2DEC(U26)-BIN2DEC(U27)</f>
        <v>-1</v>
      </c>
      <c r="Z26" s="87">
        <f>BIN2DEC(V26)-BIN2DEC(V27)</f>
        <v>1</v>
      </c>
      <c r="AA26" s="87">
        <f>BIN2DEC(W26)-BIN2DEC(W27)</f>
        <v>-5</v>
      </c>
    </row>
    <row r="27" spans="1:27" ht="18.600000000000001" thickBot="1" x14ac:dyDescent="0.4">
      <c r="A27" s="51" t="s">
        <v>6</v>
      </c>
      <c r="B27" s="51" t="s">
        <v>57</v>
      </c>
      <c r="C27" s="51">
        <v>83</v>
      </c>
      <c r="D27" s="51" t="s">
        <v>87</v>
      </c>
      <c r="E27" s="51" t="s">
        <v>41</v>
      </c>
      <c r="F27" s="51" t="str">
        <f t="shared" si="10"/>
        <v>11010010100000111011001101111011</v>
      </c>
      <c r="G27" s="51">
        <f t="shared" si="11"/>
        <v>18</v>
      </c>
      <c r="H27" s="51"/>
      <c r="I27" s="51"/>
      <c r="J27" s="38" t="str">
        <f>F27</f>
        <v>11010010100000111011001101111011</v>
      </c>
      <c r="K27" s="26" t="str">
        <f t="shared" si="9"/>
        <v>11010</v>
      </c>
      <c r="L27" s="26" t="str">
        <f t="shared" si="0"/>
        <v>010</v>
      </c>
      <c r="M27" s="26" t="str">
        <f t="shared" si="1"/>
        <v>100</v>
      </c>
      <c r="N27" s="26" t="str">
        <f t="shared" si="2"/>
        <v>00011</v>
      </c>
      <c r="O27" s="88"/>
      <c r="P27" s="88"/>
      <c r="Q27" s="88"/>
      <c r="R27" s="88"/>
      <c r="S27" t="s">
        <v>270</v>
      </c>
      <c r="T27" s="26" t="str">
        <f t="shared" si="3"/>
        <v>10110</v>
      </c>
      <c r="U27" s="26" t="str">
        <f t="shared" si="4"/>
        <v>011</v>
      </c>
      <c r="V27" s="26" t="str">
        <f t="shared" si="5"/>
        <v>011</v>
      </c>
      <c r="W27" s="26" t="str">
        <f t="shared" si="6"/>
        <v>11011</v>
      </c>
      <c r="X27" s="88"/>
      <c r="Y27" s="88"/>
      <c r="Z27" s="88"/>
      <c r="AA27" s="88"/>
    </row>
    <row r="28" spans="1:27" ht="18.600000000000001" thickBot="1" x14ac:dyDescent="0.4">
      <c r="A28" s="50" t="s">
        <v>0</v>
      </c>
      <c r="B28" s="50" t="s">
        <v>158</v>
      </c>
      <c r="C28" s="50" t="s">
        <v>163</v>
      </c>
      <c r="D28" s="50" t="s">
        <v>55</v>
      </c>
      <c r="E28" s="50" t="s">
        <v>121</v>
      </c>
      <c r="F28" s="50" t="str">
        <f t="shared" si="10"/>
        <v>11100101110110011000101011100100</v>
      </c>
      <c r="G28" s="50">
        <f t="shared" si="11"/>
        <v>17</v>
      </c>
      <c r="H28" s="50">
        <v>63</v>
      </c>
      <c r="I28" s="50" t="str">
        <f>HEX2BIN(H28,8)</f>
        <v>01100011</v>
      </c>
      <c r="J28" s="34" t="str">
        <f>CONCATENATE(MID(F28,30,3),MID(F28,17,5),MID(F28,6,3),MID(F28,25,5),MID(F28,14,3),MID(F28,1,5),MID(F28,22,3),MID(F28,9,5))</f>
        <v>10010001101111000011110001011011</v>
      </c>
      <c r="K28" s="26" t="str">
        <f t="shared" si="9"/>
        <v>10010</v>
      </c>
      <c r="L28" s="26" t="str">
        <f t="shared" si="0"/>
        <v>001</v>
      </c>
      <c r="M28" s="26" t="str">
        <f t="shared" si="1"/>
        <v>101</v>
      </c>
      <c r="N28" s="26" t="str">
        <f t="shared" si="2"/>
        <v>11100</v>
      </c>
      <c r="O28" s="87">
        <f>BIN2DEC(K28)-BIN2DEC(K29)</f>
        <v>17</v>
      </c>
      <c r="P28" s="87">
        <f>BIN2DEC(L28)-BIN2DEC(L29)</f>
        <v>-1</v>
      </c>
      <c r="Q28" s="87">
        <f>BIN2DEC(M28)-BIN2DEC(M29)</f>
        <v>4</v>
      </c>
      <c r="R28" s="87">
        <f>BIN2DEC(N28)-BIN2DEC(N29)</f>
        <v>19</v>
      </c>
      <c r="S28" t="s">
        <v>271</v>
      </c>
      <c r="T28" s="26" t="str">
        <f t="shared" si="3"/>
        <v>00111</v>
      </c>
      <c r="U28" s="26" t="str">
        <f t="shared" si="4"/>
        <v>100</v>
      </c>
      <c r="V28" s="26" t="str">
        <f t="shared" si="5"/>
        <v>010</v>
      </c>
      <c r="W28" s="26" t="str">
        <f t="shared" si="6"/>
        <v>11011</v>
      </c>
      <c r="X28" s="87">
        <f>BIN2DEC(T28)-BIN2DEC(T29)</f>
        <v>-10</v>
      </c>
      <c r="Y28" s="87">
        <f>BIN2DEC(U28)-BIN2DEC(U29)</f>
        <v>-2</v>
      </c>
      <c r="Z28" s="87">
        <f>BIN2DEC(V28)-BIN2DEC(V29)</f>
        <v>0</v>
      </c>
      <c r="AA28" s="87">
        <f>BIN2DEC(W28)-BIN2DEC(W29)</f>
        <v>27</v>
      </c>
    </row>
    <row r="29" spans="1:27" ht="18.600000000000001" thickBot="1" x14ac:dyDescent="0.4">
      <c r="A29" s="51" t="s">
        <v>6</v>
      </c>
      <c r="B29" s="51" t="s">
        <v>20</v>
      </c>
      <c r="C29" s="51">
        <v>29</v>
      </c>
      <c r="D29" s="51" t="s">
        <v>39</v>
      </c>
      <c r="E29" s="51">
        <v>40</v>
      </c>
      <c r="F29" s="51" t="str">
        <f t="shared" si="10"/>
        <v>00001010001010011000111001000000</v>
      </c>
      <c r="G29" s="51">
        <f t="shared" si="11"/>
        <v>10</v>
      </c>
      <c r="H29" s="51"/>
      <c r="I29" s="51"/>
      <c r="J29" s="38" t="str">
        <f>F29</f>
        <v>00001010001010011000111001000000</v>
      </c>
      <c r="K29" s="26" t="str">
        <f t="shared" si="9"/>
        <v>00001</v>
      </c>
      <c r="L29" s="26" t="str">
        <f t="shared" si="0"/>
        <v>010</v>
      </c>
      <c r="M29" s="26" t="str">
        <f t="shared" si="1"/>
        <v>001</v>
      </c>
      <c r="N29" s="26" t="str">
        <f t="shared" si="2"/>
        <v>01001</v>
      </c>
      <c r="O29" s="88"/>
      <c r="P29" s="88"/>
      <c r="Q29" s="88"/>
      <c r="R29" s="88"/>
      <c r="S29" t="s">
        <v>272</v>
      </c>
      <c r="T29" s="26" t="str">
        <f t="shared" si="3"/>
        <v>10001</v>
      </c>
      <c r="U29" s="26" t="str">
        <f t="shared" si="4"/>
        <v>110</v>
      </c>
      <c r="V29" s="26" t="str">
        <f t="shared" si="5"/>
        <v>010</v>
      </c>
      <c r="W29" s="26" t="str">
        <f t="shared" si="6"/>
        <v>00000</v>
      </c>
      <c r="X29" s="88"/>
      <c r="Y29" s="88"/>
      <c r="Z29" s="88"/>
      <c r="AA29" s="88"/>
    </row>
    <row r="30" spans="1:27" ht="18.600000000000001" thickBot="1" x14ac:dyDescent="0.4">
      <c r="A30" s="50" t="s">
        <v>0</v>
      </c>
      <c r="B30" s="50" t="s">
        <v>75</v>
      </c>
      <c r="C30" s="50">
        <v>86</v>
      </c>
      <c r="D30" s="50">
        <v>76</v>
      </c>
      <c r="E30" s="50" t="s">
        <v>90</v>
      </c>
      <c r="F30" s="50" t="str">
        <f t="shared" si="10"/>
        <v>11010011100001100111011000111011</v>
      </c>
      <c r="G30" s="50">
        <f t="shared" si="11"/>
        <v>18</v>
      </c>
      <c r="H30" s="50">
        <v>63</v>
      </c>
      <c r="I30" s="50" t="str">
        <f>HEX2BIN(H30,8)</f>
        <v>01100011</v>
      </c>
      <c r="J30" s="34" t="str">
        <f>CONCATENATE(MID(F30,30,3),MID(F30,17,5),MID(F30,6,3),MID(F30,25,5),MID(F30,14,3),MID(F30,1,5),MID(F30,22,3),MID(F30,9,5))</f>
        <v>01101110011001111101101011010000</v>
      </c>
      <c r="K30" s="26" t="str">
        <f t="shared" si="9"/>
        <v>01101</v>
      </c>
      <c r="L30" s="26" t="str">
        <f t="shared" si="0"/>
        <v>110</v>
      </c>
      <c r="M30" s="26" t="str">
        <f t="shared" si="1"/>
        <v>011</v>
      </c>
      <c r="N30" s="26" t="str">
        <f t="shared" si="2"/>
        <v>00111</v>
      </c>
      <c r="O30" s="87">
        <f>BIN2DEC(K30)-BIN2DEC(K31)</f>
        <v>-15</v>
      </c>
      <c r="P30" s="87">
        <f>BIN2DEC(L30)-BIN2DEC(L31)</f>
        <v>-1</v>
      </c>
      <c r="Q30" s="87">
        <f>BIN2DEC(M30)-BIN2DEC(M31)</f>
        <v>-4</v>
      </c>
      <c r="R30" s="87">
        <f>BIN2DEC(N30)-BIN2DEC(N31)</f>
        <v>-12</v>
      </c>
      <c r="S30" t="s">
        <v>273</v>
      </c>
      <c r="T30" s="26" t="str">
        <f t="shared" si="3"/>
        <v>11011</v>
      </c>
      <c r="U30" s="26" t="str">
        <f t="shared" si="4"/>
        <v>010</v>
      </c>
      <c r="V30" s="26" t="str">
        <f t="shared" si="5"/>
        <v>110</v>
      </c>
      <c r="W30" s="26" t="str">
        <f t="shared" si="6"/>
        <v>10000</v>
      </c>
      <c r="X30" s="87">
        <f>BIN2DEC(T30)-BIN2DEC(T31)</f>
        <v>22</v>
      </c>
      <c r="Y30" s="87">
        <f>BIN2DEC(U30)-BIN2DEC(U31)</f>
        <v>-1</v>
      </c>
      <c r="Z30" s="87">
        <f>BIN2DEC(V30)-BIN2DEC(V31)</f>
        <v>1</v>
      </c>
      <c r="AA30" s="87">
        <f>BIN2DEC(W30)-BIN2DEC(W31)</f>
        <v>-6</v>
      </c>
    </row>
    <row r="31" spans="1:27" ht="18.600000000000001" thickBot="1" x14ac:dyDescent="0.4">
      <c r="A31" s="51" t="s">
        <v>6</v>
      </c>
      <c r="B31" s="51" t="s">
        <v>83</v>
      </c>
      <c r="C31" s="51" t="s">
        <v>62</v>
      </c>
      <c r="D31" s="51" t="s">
        <v>18</v>
      </c>
      <c r="E31" s="51" t="s">
        <v>49</v>
      </c>
      <c r="F31" s="51" t="str">
        <f t="shared" si="10"/>
        <v>11100111111100110010101110110110</v>
      </c>
      <c r="G31" s="51">
        <f t="shared" si="11"/>
        <v>21</v>
      </c>
      <c r="H31" s="51"/>
      <c r="I31" s="51"/>
      <c r="J31" s="38" t="str">
        <f>F31</f>
        <v>11100111111100110010101110110110</v>
      </c>
      <c r="K31" s="26" t="str">
        <f t="shared" si="9"/>
        <v>11100</v>
      </c>
      <c r="L31" s="26" t="str">
        <f t="shared" si="0"/>
        <v>111</v>
      </c>
      <c r="M31" s="26" t="str">
        <f t="shared" si="1"/>
        <v>111</v>
      </c>
      <c r="N31" s="26" t="str">
        <f t="shared" si="2"/>
        <v>10011</v>
      </c>
      <c r="O31" s="88"/>
      <c r="P31" s="88"/>
      <c r="Q31" s="88"/>
      <c r="R31" s="88"/>
      <c r="S31" t="s">
        <v>274</v>
      </c>
      <c r="T31" s="26" t="str">
        <f t="shared" si="3"/>
        <v>00101</v>
      </c>
      <c r="U31" s="26" t="str">
        <f t="shared" si="4"/>
        <v>011</v>
      </c>
      <c r="V31" s="26" t="str">
        <f t="shared" si="5"/>
        <v>101</v>
      </c>
      <c r="W31" s="26" t="str">
        <f t="shared" si="6"/>
        <v>10110</v>
      </c>
      <c r="X31" s="88"/>
      <c r="Y31" s="88"/>
      <c r="Z31" s="88"/>
      <c r="AA31" s="88"/>
    </row>
    <row r="32" spans="1:27" ht="18.600000000000001" thickBot="1" x14ac:dyDescent="0.4">
      <c r="A32" s="50" t="s">
        <v>0</v>
      </c>
      <c r="B32" s="50">
        <v>22</v>
      </c>
      <c r="C32" s="50">
        <v>18</v>
      </c>
      <c r="D32" s="50">
        <v>22</v>
      </c>
      <c r="E32" s="50" t="s">
        <v>155</v>
      </c>
      <c r="F32" s="50" t="str">
        <f t="shared" si="10"/>
        <v>00100010000110000010001010110100</v>
      </c>
      <c r="G32" s="50">
        <f t="shared" si="11"/>
        <v>10</v>
      </c>
      <c r="H32" s="50">
        <v>63</v>
      </c>
      <c r="I32" s="50" t="str">
        <f>HEX2BIN(H32,8)</f>
        <v>01100011</v>
      </c>
      <c r="J32" s="34" t="str">
        <f>CONCATENATE(MID(F32,30,3),MID(F32,17,5),MID(F32,6,3),MID(F32,25,5),MID(F32,14,3),MID(F32,1,5),MID(F32,22,3),MID(F32,9,5))</f>
        <v>10000100010101100000010001000011</v>
      </c>
      <c r="K32" s="26" t="str">
        <f t="shared" si="9"/>
        <v>10000</v>
      </c>
      <c r="L32" s="26" t="str">
        <f t="shared" si="0"/>
        <v>100</v>
      </c>
      <c r="M32" s="26" t="str">
        <f t="shared" si="1"/>
        <v>010</v>
      </c>
      <c r="N32" s="26" t="str">
        <f t="shared" si="2"/>
        <v>10110</v>
      </c>
      <c r="O32" s="87">
        <f>BIN2DEC(K32)-BIN2DEC(K33)</f>
        <v>-15</v>
      </c>
      <c r="P32" s="87">
        <f>BIN2DEC(L32)-BIN2DEC(L33)</f>
        <v>-1</v>
      </c>
      <c r="Q32" s="87">
        <f>BIN2DEC(M32)-BIN2DEC(M33)</f>
        <v>-4</v>
      </c>
      <c r="R32" s="87">
        <f>BIN2DEC(N32)-BIN2DEC(N33)</f>
        <v>20</v>
      </c>
      <c r="S32" t="s">
        <v>275</v>
      </c>
      <c r="T32" s="26" t="str">
        <f t="shared" si="3"/>
        <v>00000</v>
      </c>
      <c r="U32" s="26" t="str">
        <f t="shared" si="4"/>
        <v>100</v>
      </c>
      <c r="V32" s="26" t="str">
        <f t="shared" si="5"/>
        <v>010</v>
      </c>
      <c r="W32" s="26" t="str">
        <f t="shared" si="6"/>
        <v>00011</v>
      </c>
      <c r="X32" s="87">
        <f>BIN2DEC(T32)-BIN2DEC(T33)</f>
        <v>-10</v>
      </c>
      <c r="Y32" s="87">
        <f>BIN2DEC(U32)-BIN2DEC(U33)</f>
        <v>-1</v>
      </c>
      <c r="Z32" s="87">
        <f>BIN2DEC(V32)-BIN2DEC(V33)</f>
        <v>1</v>
      </c>
      <c r="AA32" s="87">
        <f>BIN2DEC(W32)-BIN2DEC(W33)</f>
        <v>-5</v>
      </c>
    </row>
    <row r="33" spans="1:27" ht="18.600000000000001" thickBot="1" x14ac:dyDescent="0.4">
      <c r="A33" s="51" t="s">
        <v>6</v>
      </c>
      <c r="B33" s="51" t="s">
        <v>156</v>
      </c>
      <c r="C33" s="51" t="s">
        <v>29</v>
      </c>
      <c r="D33" s="51">
        <v>55</v>
      </c>
      <c r="E33" s="51">
        <v>28</v>
      </c>
      <c r="F33" s="51" t="str">
        <f t="shared" si="10"/>
        <v>11111101110000100101010100101000</v>
      </c>
      <c r="G33" s="51">
        <f t="shared" si="11"/>
        <v>16</v>
      </c>
      <c r="H33" s="51"/>
      <c r="I33" s="51"/>
      <c r="J33" s="38" t="str">
        <f>F33</f>
        <v>11111101110000100101010100101000</v>
      </c>
      <c r="K33" s="26" t="str">
        <f t="shared" si="9"/>
        <v>11111</v>
      </c>
      <c r="L33" s="26" t="str">
        <f t="shared" si="0"/>
        <v>101</v>
      </c>
      <c r="M33" s="26" t="str">
        <f t="shared" si="1"/>
        <v>110</v>
      </c>
      <c r="N33" s="26" t="str">
        <f t="shared" si="2"/>
        <v>00010</v>
      </c>
      <c r="O33" s="88"/>
      <c r="P33" s="88"/>
      <c r="Q33" s="88"/>
      <c r="R33" s="88"/>
      <c r="S33" t="s">
        <v>276</v>
      </c>
      <c r="T33" s="26" t="str">
        <f t="shared" si="3"/>
        <v>01010</v>
      </c>
      <c r="U33" s="26" t="str">
        <f t="shared" si="4"/>
        <v>101</v>
      </c>
      <c r="V33" s="26" t="str">
        <f t="shared" si="5"/>
        <v>001</v>
      </c>
      <c r="W33" s="26" t="str">
        <f t="shared" si="6"/>
        <v>01000</v>
      </c>
      <c r="X33" s="88"/>
      <c r="Y33" s="88"/>
      <c r="Z33" s="88"/>
      <c r="AA33" s="88"/>
    </row>
    <row r="34" spans="1:27" ht="18.600000000000001" thickBot="1" x14ac:dyDescent="0.4">
      <c r="A34" s="50" t="s">
        <v>0</v>
      </c>
      <c r="B34" s="50">
        <v>65</v>
      </c>
      <c r="C34" s="50">
        <v>25</v>
      </c>
      <c r="D34" s="50" t="s">
        <v>35</v>
      </c>
      <c r="E34" s="50" t="s">
        <v>79</v>
      </c>
      <c r="F34" s="50" t="str">
        <f t="shared" si="10"/>
        <v>01100101001001011101011001111110</v>
      </c>
      <c r="G34" s="50">
        <f t="shared" si="11"/>
        <v>18</v>
      </c>
      <c r="H34" s="50">
        <v>63</v>
      </c>
      <c r="I34" s="50" t="str">
        <f>HEX2BIN(H34,8)</f>
        <v>01100011</v>
      </c>
      <c r="J34" s="34" t="str">
        <f>CONCATENATE(MID(F34,30,3),MID(F34,17,5),MID(F34,6,3),MID(F34,25,5),MID(F34,14,3),MID(F34,1,5),MID(F34,22,3),MID(F34,9,5))</f>
        <v>11011010101011111010110011000100</v>
      </c>
      <c r="K34" s="26" t="str">
        <f t="shared" si="9"/>
        <v>11011</v>
      </c>
      <c r="L34" s="26" t="str">
        <f t="shared" si="0"/>
        <v>010</v>
      </c>
      <c r="M34" s="26" t="str">
        <f t="shared" si="1"/>
        <v>101</v>
      </c>
      <c r="N34" s="26" t="str">
        <f t="shared" si="2"/>
        <v>01111</v>
      </c>
      <c r="O34" s="87">
        <f>BIN2DEC(K34)-BIN2DEC(K35)</f>
        <v>17</v>
      </c>
      <c r="P34" s="87">
        <f>BIN2DEC(L34)-BIN2DEC(L35)</f>
        <v>-1</v>
      </c>
      <c r="Q34" s="87">
        <f>BIN2DEC(M34)-BIN2DEC(M35)</f>
        <v>4</v>
      </c>
      <c r="R34" s="87">
        <f>BIN2DEC(N34)-BIN2DEC(N35)</f>
        <v>-13</v>
      </c>
      <c r="S34" t="s">
        <v>277</v>
      </c>
      <c r="T34" s="26" t="str">
        <f t="shared" si="3"/>
        <v>10101</v>
      </c>
      <c r="U34" s="26" t="str">
        <f t="shared" si="4"/>
        <v>100</v>
      </c>
      <c r="V34" s="26" t="str">
        <f t="shared" si="5"/>
        <v>110</v>
      </c>
      <c r="W34" s="26" t="str">
        <f t="shared" si="6"/>
        <v>00100</v>
      </c>
      <c r="X34" s="87">
        <f>BIN2DEC(T34)-BIN2DEC(T35)</f>
        <v>-10</v>
      </c>
      <c r="Y34" s="87">
        <f>BIN2DEC(U34)-BIN2DEC(U35)</f>
        <v>-2</v>
      </c>
      <c r="Z34" s="87">
        <f>BIN2DEC(V34)-BIN2DEC(V35)</f>
        <v>1</v>
      </c>
      <c r="AA34" s="87">
        <f>BIN2DEC(W34)-BIN2DEC(W35)</f>
        <v>-5</v>
      </c>
    </row>
    <row r="35" spans="1:27" ht="18.600000000000001" thickBot="1" x14ac:dyDescent="0.4">
      <c r="A35" s="51" t="s">
        <v>6</v>
      </c>
      <c r="B35" s="51">
        <v>53</v>
      </c>
      <c r="C35" s="51" t="s">
        <v>84</v>
      </c>
      <c r="D35" s="51" t="s">
        <v>68</v>
      </c>
      <c r="E35" s="51" t="s">
        <v>149</v>
      </c>
      <c r="F35" s="51" t="str">
        <f t="shared" si="10"/>
        <v>01010011001111001111111010101001</v>
      </c>
      <c r="G35" s="51">
        <f t="shared" si="11"/>
        <v>19</v>
      </c>
      <c r="H35" s="51"/>
      <c r="I35" s="51"/>
      <c r="J35" s="38" t="str">
        <f>F35</f>
        <v>01010011001111001111111010101001</v>
      </c>
      <c r="K35" s="26" t="str">
        <f t="shared" si="9"/>
        <v>01010</v>
      </c>
      <c r="L35" s="26" t="str">
        <f t="shared" si="0"/>
        <v>011</v>
      </c>
      <c r="M35" s="26" t="str">
        <f t="shared" si="1"/>
        <v>001</v>
      </c>
      <c r="N35" s="26" t="str">
        <f t="shared" si="2"/>
        <v>11100</v>
      </c>
      <c r="O35" s="88"/>
      <c r="P35" s="88"/>
      <c r="Q35" s="88"/>
      <c r="R35" s="88"/>
      <c r="S35" t="s">
        <v>278</v>
      </c>
      <c r="T35" s="26" t="str">
        <f t="shared" si="3"/>
        <v>11111</v>
      </c>
      <c r="U35" s="26" t="str">
        <f t="shared" si="4"/>
        <v>110</v>
      </c>
      <c r="V35" s="26" t="str">
        <f t="shared" si="5"/>
        <v>101</v>
      </c>
      <c r="W35" s="26" t="str">
        <f t="shared" si="6"/>
        <v>01001</v>
      </c>
      <c r="X35" s="88"/>
      <c r="Y35" s="88"/>
      <c r="Z35" s="88"/>
      <c r="AA35" s="88"/>
    </row>
    <row r="36" spans="1:27" ht="18.600000000000001" thickBot="1" x14ac:dyDescent="0.4">
      <c r="A36" s="40" t="s">
        <v>0</v>
      </c>
      <c r="B36" s="40" t="s">
        <v>10</v>
      </c>
      <c r="C36" s="40" t="s">
        <v>11</v>
      </c>
      <c r="D36" s="40" t="s">
        <v>12</v>
      </c>
      <c r="E36" s="40" t="s">
        <v>13</v>
      </c>
      <c r="F36" s="40" t="str">
        <f t="shared" si="10"/>
        <v>10011100101110001010001110011110</v>
      </c>
      <c r="G36" s="40">
        <f t="shared" si="11"/>
        <v>17</v>
      </c>
      <c r="H36" s="40">
        <v>65</v>
      </c>
      <c r="I36" s="40" t="str">
        <f>HEX2BIN(H36,8)</f>
        <v>01100101</v>
      </c>
      <c r="J36" s="43" t="str">
        <f>CONCATENATE(MID(F36,30,3),MID(F36,17,5),MID(F36,6,3),MID(F36,25,5),MID(F36,14,3),MID(F36,1,5),MID(F36,22,3),MID(F36,9,5))</f>
        <v>11010100100100110001001101110111</v>
      </c>
      <c r="K36" s="26" t="str">
        <f t="shared" si="9"/>
        <v>11010</v>
      </c>
      <c r="L36" s="26" t="str">
        <f t="shared" si="0"/>
        <v>100</v>
      </c>
      <c r="M36" s="26" t="str">
        <f t="shared" si="1"/>
        <v>100</v>
      </c>
      <c r="N36" s="26" t="str">
        <f t="shared" si="2"/>
        <v>10011</v>
      </c>
      <c r="O36" s="77">
        <f>BIN2DEC(K36)-BIN2DEC(K37)</f>
        <v>9</v>
      </c>
      <c r="P36" s="77">
        <f>BIN2DEC(L36)-BIN2DEC(L37)</f>
        <v>-1</v>
      </c>
      <c r="Q36" s="77">
        <f>BIN2DEC(M36)-BIN2DEC(M37)</f>
        <v>4</v>
      </c>
      <c r="R36" s="77">
        <f>BIN2DEC(N36)-BIN2DEC(N37)</f>
        <v>19</v>
      </c>
      <c r="S36" t="s">
        <v>279</v>
      </c>
      <c r="T36" s="26" t="str">
        <f t="shared" si="3"/>
        <v>00010</v>
      </c>
      <c r="U36" s="26" t="str">
        <f t="shared" si="4"/>
        <v>011</v>
      </c>
      <c r="V36" s="26" t="str">
        <f t="shared" si="5"/>
        <v>011</v>
      </c>
      <c r="W36" s="26" t="str">
        <f t="shared" si="6"/>
        <v>10111</v>
      </c>
      <c r="X36" s="77">
        <f>BIN2DEC(T36)-BIN2DEC(T37)</f>
        <v>-2</v>
      </c>
      <c r="Y36" s="77">
        <f>BIN2DEC(U36)-BIN2DEC(U37)</f>
        <v>-3</v>
      </c>
      <c r="Z36" s="77">
        <f>BIN2DEC(V36)-BIN2DEC(V37)</f>
        <v>-3</v>
      </c>
      <c r="AA36" s="77">
        <f>BIN2DEC(W36)-BIN2DEC(W37)</f>
        <v>-6</v>
      </c>
    </row>
    <row r="37" spans="1:27" ht="18.600000000000001" thickBot="1" x14ac:dyDescent="0.4">
      <c r="A37" s="41" t="s">
        <v>6</v>
      </c>
      <c r="B37" s="41" t="s">
        <v>15</v>
      </c>
      <c r="C37" s="41">
        <v>0</v>
      </c>
      <c r="D37" s="41">
        <v>26</v>
      </c>
      <c r="E37" s="41" t="s">
        <v>14</v>
      </c>
      <c r="F37" s="41" t="str">
        <f t="shared" si="10"/>
        <v>10001101000000000010011011011101</v>
      </c>
      <c r="G37" s="41">
        <f t="shared" si="11"/>
        <v>13</v>
      </c>
      <c r="H37" s="41"/>
      <c r="I37" s="41"/>
      <c r="J37" s="44" t="str">
        <f>F37</f>
        <v>10001101000000000010011011011101</v>
      </c>
      <c r="K37" s="26" t="str">
        <f t="shared" si="9"/>
        <v>10001</v>
      </c>
      <c r="L37" s="26" t="str">
        <f t="shared" si="0"/>
        <v>101</v>
      </c>
      <c r="M37" s="26" t="str">
        <f t="shared" si="1"/>
        <v>000</v>
      </c>
      <c r="N37" s="26" t="str">
        <f t="shared" si="2"/>
        <v>00000</v>
      </c>
      <c r="O37" s="78"/>
      <c r="P37" s="78"/>
      <c r="Q37" s="78"/>
      <c r="R37" s="78"/>
      <c r="S37" t="s">
        <v>280</v>
      </c>
      <c r="T37" s="26" t="str">
        <f t="shared" si="3"/>
        <v>00100</v>
      </c>
      <c r="U37" s="26" t="str">
        <f t="shared" si="4"/>
        <v>110</v>
      </c>
      <c r="V37" s="26" t="str">
        <f t="shared" si="5"/>
        <v>110</v>
      </c>
      <c r="W37" s="26" t="str">
        <f t="shared" si="6"/>
        <v>11101</v>
      </c>
      <c r="X37" s="78"/>
      <c r="Y37" s="78"/>
      <c r="Z37" s="78"/>
      <c r="AA37" s="78"/>
    </row>
    <row r="38" spans="1:27" ht="18.600000000000001" thickBot="1" x14ac:dyDescent="0.4">
      <c r="A38" s="56" t="s">
        <v>0</v>
      </c>
      <c r="B38" s="56">
        <v>46</v>
      </c>
      <c r="C38" s="56">
        <v>76</v>
      </c>
      <c r="D38" s="56">
        <v>28</v>
      </c>
      <c r="E38" s="56" t="s">
        <v>10</v>
      </c>
      <c r="F38" s="56" t="str">
        <f t="shared" si="10"/>
        <v>01000110011101100010100010011100</v>
      </c>
      <c r="G38" s="56">
        <f t="shared" si="11"/>
        <v>14</v>
      </c>
      <c r="H38" s="56" t="s">
        <v>47</v>
      </c>
      <c r="I38" s="56" t="str">
        <f>HEX2BIN(H38,8)</f>
        <v>11111111</v>
      </c>
      <c r="J38" s="57" t="str">
        <f>CONCATENATE(MID(F38,30,3),MID(F38,17,5),MID(F38,6,3),MID(F38,25,5),MID(F38,14,3),MID(F38,1,5),MID(F38,22,3),MID(F38,9,5))</f>
        <v>10000101110100111100100000001110</v>
      </c>
      <c r="K38" s="26" t="str">
        <f t="shared" si="9"/>
        <v>10000</v>
      </c>
      <c r="L38" s="26" t="str">
        <f t="shared" si="0"/>
        <v>101</v>
      </c>
      <c r="M38" s="26" t="str">
        <f t="shared" si="1"/>
        <v>110</v>
      </c>
      <c r="N38" s="26" t="str">
        <f t="shared" si="2"/>
        <v>10011</v>
      </c>
      <c r="O38" s="100">
        <f>BIN2DEC(K38)-BIN2DEC(K39)</f>
        <v>-4</v>
      </c>
      <c r="P38" s="100">
        <f>BIN2DEC(L38)-BIN2DEC(L39)</f>
        <v>0</v>
      </c>
      <c r="Q38" s="100">
        <f>BIN2DEC(M38)-BIN2DEC(M39)</f>
        <v>4</v>
      </c>
      <c r="R38" s="100">
        <f>BIN2DEC(N38)-BIN2DEC(N39)</f>
        <v>0</v>
      </c>
      <c r="S38" t="s">
        <v>281</v>
      </c>
      <c r="T38" s="26" t="str">
        <f t="shared" si="3"/>
        <v>11001</v>
      </c>
      <c r="U38" s="26" t="str">
        <f t="shared" si="4"/>
        <v>000</v>
      </c>
      <c r="V38" s="26" t="str">
        <f t="shared" si="5"/>
        <v>000</v>
      </c>
      <c r="W38" s="26" t="str">
        <f t="shared" si="6"/>
        <v>01110</v>
      </c>
      <c r="X38" s="100">
        <f>BIN2DEC(T38)-BIN2DEC(T39)</f>
        <v>-4</v>
      </c>
      <c r="Y38" s="100">
        <f>BIN2DEC(U38)-BIN2DEC(U39)</f>
        <v>0</v>
      </c>
      <c r="Z38" s="100">
        <f>BIN2DEC(V38)-BIN2DEC(V39)</f>
        <v>-1</v>
      </c>
      <c r="AA38" s="100">
        <f>BIN2DEC(W38)-BIN2DEC(W39)</f>
        <v>0</v>
      </c>
    </row>
    <row r="39" spans="1:27" ht="18.600000000000001" thickBot="1" x14ac:dyDescent="0.4">
      <c r="A39" s="61" t="s">
        <v>6</v>
      </c>
      <c r="B39" s="61" t="s">
        <v>154</v>
      </c>
      <c r="C39" s="61">
        <v>53</v>
      </c>
      <c r="D39" s="61" t="s">
        <v>76</v>
      </c>
      <c r="E39" s="61" t="s">
        <v>104</v>
      </c>
      <c r="F39" s="61" t="str">
        <f t="shared" si="10"/>
        <v>10100101010100111110100000101110</v>
      </c>
      <c r="G39" s="61">
        <f t="shared" si="11"/>
        <v>16</v>
      </c>
      <c r="H39" s="61"/>
      <c r="I39" s="61"/>
      <c r="J39" s="62" t="str">
        <f>F39</f>
        <v>10100101010100111110100000101110</v>
      </c>
      <c r="K39" s="26" t="str">
        <f t="shared" si="9"/>
        <v>10100</v>
      </c>
      <c r="L39" s="26" t="str">
        <f t="shared" si="0"/>
        <v>101</v>
      </c>
      <c r="M39" s="26" t="str">
        <f t="shared" si="1"/>
        <v>010</v>
      </c>
      <c r="N39" s="26" t="str">
        <f t="shared" si="2"/>
        <v>10011</v>
      </c>
      <c r="O39" s="101"/>
      <c r="P39" s="101"/>
      <c r="Q39" s="101"/>
      <c r="R39" s="101"/>
      <c r="S39" t="s">
        <v>282</v>
      </c>
      <c r="T39" s="26" t="str">
        <f t="shared" si="3"/>
        <v>11101</v>
      </c>
      <c r="U39" s="26" t="str">
        <f t="shared" si="4"/>
        <v>000</v>
      </c>
      <c r="V39" s="26" t="str">
        <f t="shared" si="5"/>
        <v>001</v>
      </c>
      <c r="W39" s="26" t="str">
        <f t="shared" si="6"/>
        <v>01110</v>
      </c>
      <c r="X39" s="101"/>
      <c r="Y39" s="101"/>
      <c r="Z39" s="101"/>
      <c r="AA39" s="101"/>
    </row>
    <row r="40" spans="1:27" ht="18.600000000000001" thickBot="1" x14ac:dyDescent="0.4">
      <c r="A40" s="56" t="s">
        <v>0</v>
      </c>
      <c r="B40" s="56" t="s">
        <v>106</v>
      </c>
      <c r="C40" s="56" t="s">
        <v>82</v>
      </c>
      <c r="D40" s="56">
        <v>1</v>
      </c>
      <c r="E40" s="56" t="s">
        <v>48</v>
      </c>
      <c r="F40" s="56" t="str">
        <f t="shared" si="10"/>
        <v>11011110110011010000000111000101</v>
      </c>
      <c r="G40" s="56">
        <f t="shared" si="11"/>
        <v>16</v>
      </c>
      <c r="H40" s="56" t="s">
        <v>47</v>
      </c>
      <c r="I40" s="56" t="str">
        <f>HEX2BIN(H40,8)</f>
        <v>11111111</v>
      </c>
      <c r="J40" s="57" t="str">
        <f>CONCATENATE(MID(F40,30,3),MID(F40,17,5),MID(F40,6,3),MID(F40,25,5),MID(F40,14,3),MID(F40,1,5),MID(F40,22,3),MID(F40,9,5))</f>
        <v>10100000110110001011101100111001</v>
      </c>
      <c r="K40" s="26" t="str">
        <f t="shared" si="9"/>
        <v>10100</v>
      </c>
      <c r="L40" s="26" t="str">
        <f t="shared" si="0"/>
        <v>000</v>
      </c>
      <c r="M40" s="26" t="str">
        <f t="shared" si="1"/>
        <v>110</v>
      </c>
      <c r="N40" s="26" t="str">
        <f t="shared" si="2"/>
        <v>11000</v>
      </c>
      <c r="O40" s="100">
        <f>BIN2DEC(K40)-BIN2DEC(K41)</f>
        <v>-4</v>
      </c>
      <c r="P40" s="100">
        <f>BIN2DEC(L40)-BIN2DEC(L41)</f>
        <v>0</v>
      </c>
      <c r="Q40" s="100">
        <f>BIN2DEC(M40)-BIN2DEC(M41)</f>
        <v>4</v>
      </c>
      <c r="R40" s="100">
        <f>BIN2DEC(N40)-BIN2DEC(N41)</f>
        <v>0</v>
      </c>
      <c r="S40" t="s">
        <v>283</v>
      </c>
      <c r="T40" s="26" t="str">
        <f t="shared" si="3"/>
        <v>10111</v>
      </c>
      <c r="U40" s="26" t="str">
        <f t="shared" si="4"/>
        <v>011</v>
      </c>
      <c r="V40" s="26" t="str">
        <f t="shared" si="5"/>
        <v>001</v>
      </c>
      <c r="W40" s="26" t="str">
        <f t="shared" si="6"/>
        <v>11001</v>
      </c>
      <c r="X40" s="100">
        <f>BIN2DEC(T40)-BIN2DEC(T41)</f>
        <v>-4</v>
      </c>
      <c r="Y40" s="100">
        <f>BIN2DEC(U40)-BIN2DEC(U41)</f>
        <v>0</v>
      </c>
      <c r="Z40" s="100">
        <f>BIN2DEC(V40)-BIN2DEC(V41)</f>
        <v>-1</v>
      </c>
      <c r="AA40" s="100">
        <f>BIN2DEC(W40)-BIN2DEC(W41)</f>
        <v>0</v>
      </c>
    </row>
    <row r="41" spans="1:27" ht="18.600000000000001" thickBot="1" x14ac:dyDescent="0.4">
      <c r="A41" s="61" t="s">
        <v>6</v>
      </c>
      <c r="B41" s="61" t="s">
        <v>67</v>
      </c>
      <c r="C41" s="61">
        <v>58</v>
      </c>
      <c r="D41" s="61" t="s">
        <v>19</v>
      </c>
      <c r="E41" s="61">
        <v>59</v>
      </c>
      <c r="F41" s="61" t="str">
        <f t="shared" si="10"/>
        <v>11000000010110001101101101011001</v>
      </c>
      <c r="G41" s="61">
        <f t="shared" si="11"/>
        <v>15</v>
      </c>
      <c r="H41" s="61"/>
      <c r="I41" s="61"/>
      <c r="J41" s="62" t="str">
        <f>F41</f>
        <v>11000000010110001101101101011001</v>
      </c>
      <c r="K41" s="26" t="str">
        <f t="shared" si="9"/>
        <v>11000</v>
      </c>
      <c r="L41" s="26" t="str">
        <f t="shared" si="0"/>
        <v>000</v>
      </c>
      <c r="M41" s="26" t="str">
        <f t="shared" si="1"/>
        <v>010</v>
      </c>
      <c r="N41" s="26" t="str">
        <f t="shared" si="2"/>
        <v>11000</v>
      </c>
      <c r="O41" s="101"/>
      <c r="P41" s="101"/>
      <c r="Q41" s="101"/>
      <c r="R41" s="101"/>
      <c r="S41" t="s">
        <v>284</v>
      </c>
      <c r="T41" s="26" t="str">
        <f t="shared" si="3"/>
        <v>11011</v>
      </c>
      <c r="U41" s="26" t="str">
        <f t="shared" si="4"/>
        <v>011</v>
      </c>
      <c r="V41" s="26" t="str">
        <f t="shared" si="5"/>
        <v>010</v>
      </c>
      <c r="W41" s="26" t="str">
        <f t="shared" si="6"/>
        <v>11001</v>
      </c>
      <c r="X41" s="101"/>
      <c r="Y41" s="101"/>
      <c r="Z41" s="101"/>
      <c r="AA41" s="101"/>
    </row>
  </sheetData>
  <mergeCells count="164">
    <mergeCell ref="X38:X39"/>
    <mergeCell ref="Y38:Y39"/>
    <mergeCell ref="Z38:Z39"/>
    <mergeCell ref="AA38:AA39"/>
    <mergeCell ref="X40:X41"/>
    <mergeCell ref="Y40:Y41"/>
    <mergeCell ref="Z40:Z41"/>
    <mergeCell ref="AA40:AA41"/>
    <mergeCell ref="X34:X35"/>
    <mergeCell ref="Y34:Y35"/>
    <mergeCell ref="Z34:Z35"/>
    <mergeCell ref="AA34:AA35"/>
    <mergeCell ref="X36:X37"/>
    <mergeCell ref="Y36:Y37"/>
    <mergeCell ref="Z36:Z37"/>
    <mergeCell ref="AA36:AA37"/>
    <mergeCell ref="X30:X31"/>
    <mergeCell ref="Y30:Y31"/>
    <mergeCell ref="Z30:Z31"/>
    <mergeCell ref="AA30:AA31"/>
    <mergeCell ref="X32:X33"/>
    <mergeCell ref="Y32:Y33"/>
    <mergeCell ref="Z32:Z33"/>
    <mergeCell ref="AA32:AA33"/>
    <mergeCell ref="X26:X27"/>
    <mergeCell ref="Y26:Y27"/>
    <mergeCell ref="Z26:Z27"/>
    <mergeCell ref="AA26:AA27"/>
    <mergeCell ref="X28:X29"/>
    <mergeCell ref="Y28:Y29"/>
    <mergeCell ref="Z28:Z29"/>
    <mergeCell ref="AA28:AA29"/>
    <mergeCell ref="X22:X23"/>
    <mergeCell ref="Y22:Y23"/>
    <mergeCell ref="Z22:Z23"/>
    <mergeCell ref="AA22:AA23"/>
    <mergeCell ref="X24:X25"/>
    <mergeCell ref="Y24:Y25"/>
    <mergeCell ref="Z24:Z25"/>
    <mergeCell ref="AA24:AA25"/>
    <mergeCell ref="X18:X19"/>
    <mergeCell ref="Y18:Y19"/>
    <mergeCell ref="Z18:Z19"/>
    <mergeCell ref="AA18:AA19"/>
    <mergeCell ref="X20:X21"/>
    <mergeCell ref="Y20:Y21"/>
    <mergeCell ref="Z20:Z21"/>
    <mergeCell ref="AA20:AA21"/>
    <mergeCell ref="X14:X15"/>
    <mergeCell ref="Y14:Y15"/>
    <mergeCell ref="Z14:Z15"/>
    <mergeCell ref="AA14:AA15"/>
    <mergeCell ref="X16:X17"/>
    <mergeCell ref="Y16:Y17"/>
    <mergeCell ref="Z16:Z17"/>
    <mergeCell ref="AA16:AA17"/>
    <mergeCell ref="Z10:Z11"/>
    <mergeCell ref="AA10:AA11"/>
    <mergeCell ref="X12:X13"/>
    <mergeCell ref="Y12:Y13"/>
    <mergeCell ref="Z12:Z13"/>
    <mergeCell ref="AA12:AA13"/>
    <mergeCell ref="Z6:Z7"/>
    <mergeCell ref="AA6:AA7"/>
    <mergeCell ref="X8:X9"/>
    <mergeCell ref="Y8:Y9"/>
    <mergeCell ref="Z8:Z9"/>
    <mergeCell ref="AA8:AA9"/>
    <mergeCell ref="Z2:Z3"/>
    <mergeCell ref="AA2:AA3"/>
    <mergeCell ref="X4:X5"/>
    <mergeCell ref="Y4:Y5"/>
    <mergeCell ref="Z4:Z5"/>
    <mergeCell ref="AA4:AA5"/>
    <mergeCell ref="O40:O41"/>
    <mergeCell ref="P40:P41"/>
    <mergeCell ref="Q40:Q41"/>
    <mergeCell ref="R40:R41"/>
    <mergeCell ref="X2:X3"/>
    <mergeCell ref="Y2:Y3"/>
    <mergeCell ref="X6:X7"/>
    <mergeCell ref="Y6:Y7"/>
    <mergeCell ref="X10:X11"/>
    <mergeCell ref="Y10:Y11"/>
    <mergeCell ref="O36:O37"/>
    <mergeCell ref="P36:P37"/>
    <mergeCell ref="Q36:Q37"/>
    <mergeCell ref="R36:R37"/>
    <mergeCell ref="O38:O39"/>
    <mergeCell ref="P38:P39"/>
    <mergeCell ref="Q38:Q39"/>
    <mergeCell ref="R38:R39"/>
    <mergeCell ref="O32:O33"/>
    <mergeCell ref="P32:P33"/>
    <mergeCell ref="Q32:Q33"/>
    <mergeCell ref="R32:R33"/>
    <mergeCell ref="O34:O35"/>
    <mergeCell ref="P34:P35"/>
    <mergeCell ref="Q34:Q35"/>
    <mergeCell ref="R34:R35"/>
    <mergeCell ref="O28:O29"/>
    <mergeCell ref="P28:P29"/>
    <mergeCell ref="Q28:Q29"/>
    <mergeCell ref="R28:R29"/>
    <mergeCell ref="O30:O31"/>
    <mergeCell ref="P30:P31"/>
    <mergeCell ref="Q30:Q31"/>
    <mergeCell ref="R30:R31"/>
    <mergeCell ref="O24:O25"/>
    <mergeCell ref="P24:P25"/>
    <mergeCell ref="Q24:Q25"/>
    <mergeCell ref="R24:R25"/>
    <mergeCell ref="O26:O27"/>
    <mergeCell ref="P26:P27"/>
    <mergeCell ref="Q26:Q27"/>
    <mergeCell ref="R26:R27"/>
    <mergeCell ref="O20:O21"/>
    <mergeCell ref="P20:P21"/>
    <mergeCell ref="Q20:Q21"/>
    <mergeCell ref="R20:R21"/>
    <mergeCell ref="O22:O23"/>
    <mergeCell ref="P22:P23"/>
    <mergeCell ref="Q22:Q23"/>
    <mergeCell ref="R22:R23"/>
    <mergeCell ref="O16:O17"/>
    <mergeCell ref="P16:P17"/>
    <mergeCell ref="Q16:Q17"/>
    <mergeCell ref="R16:R17"/>
    <mergeCell ref="O18:O19"/>
    <mergeCell ref="P18:P19"/>
    <mergeCell ref="Q18:Q19"/>
    <mergeCell ref="R18:R19"/>
    <mergeCell ref="O12:O13"/>
    <mergeCell ref="P12:P13"/>
    <mergeCell ref="Q12:Q13"/>
    <mergeCell ref="R12:R13"/>
    <mergeCell ref="O14:O15"/>
    <mergeCell ref="P14:P15"/>
    <mergeCell ref="Q14:Q15"/>
    <mergeCell ref="R14:R15"/>
    <mergeCell ref="O10:O11"/>
    <mergeCell ref="P10:P11"/>
    <mergeCell ref="Q10:Q11"/>
    <mergeCell ref="R10:R11"/>
    <mergeCell ref="O4:O5"/>
    <mergeCell ref="P4:P5"/>
    <mergeCell ref="Q4:Q5"/>
    <mergeCell ref="R4:R5"/>
    <mergeCell ref="O6:O7"/>
    <mergeCell ref="P6:P7"/>
    <mergeCell ref="Q6:Q7"/>
    <mergeCell ref="R6:R7"/>
    <mergeCell ref="K1:N1"/>
    <mergeCell ref="O1:R1"/>
    <mergeCell ref="H2:H3"/>
    <mergeCell ref="I2:I3"/>
    <mergeCell ref="O2:O3"/>
    <mergeCell ref="P2:P3"/>
    <mergeCell ref="Q2:Q3"/>
    <mergeCell ref="R2:R3"/>
    <mergeCell ref="O8:O9"/>
    <mergeCell ref="P8:P9"/>
    <mergeCell ref="Q8:Q9"/>
    <mergeCell ref="R8:R9"/>
  </mergeCells>
  <conditionalFormatting sqref="G4 G8 G16 G24 G6 G10 G12 G14 G18 G20 G22 G26 G28 G30 G32 G34 G36 G38 G40">
    <cfRule type="expression" dxfId="27" priority="42">
      <formula>G4=G5</formula>
    </cfRule>
  </conditionalFormatting>
  <conditionalFormatting sqref="G5 G9 G17 G25 G7 G11 G13 G15 G19 G21 G23 G27 G29 G31 G33 G35 G37 G39 G41">
    <cfRule type="expression" dxfId="26" priority="41">
      <formula>G5=G4</formula>
    </cfRule>
  </conditionalFormatting>
  <conditionalFormatting sqref="G2">
    <cfRule type="expression" dxfId="25" priority="2">
      <formula>G2=G3</formula>
    </cfRule>
  </conditionalFormatting>
  <conditionalFormatting sqref="G3">
    <cfRule type="expression" dxfId="24" priority="1">
      <formula>G3=G2</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S24"/>
  <sheetViews>
    <sheetView topLeftCell="A7" zoomScale="120" zoomScaleNormal="120" workbookViewId="0">
      <selection activeCell="S2" sqref="S2:S16"/>
    </sheetView>
  </sheetViews>
  <sheetFormatPr defaultRowHeight="18" x14ac:dyDescent="0.35"/>
  <cols>
    <col min="1" max="1" width="48.44140625" style="1" bestFit="1" customWidth="1"/>
    <col min="2" max="2" width="11.33203125" style="1" bestFit="1" customWidth="1"/>
    <col min="3" max="3" width="43.21875" style="1" bestFit="1" customWidth="1"/>
    <col min="4" max="4" width="17.33203125" style="1" bestFit="1" customWidth="1"/>
    <col min="5" max="5" width="11.33203125" style="1" bestFit="1" customWidth="1"/>
    <col min="6" max="6" width="48.44140625" style="1" bestFit="1" customWidth="1"/>
    <col min="7" max="7" width="17.33203125" style="1" bestFit="1" customWidth="1"/>
    <col min="8" max="8" width="11.33203125" style="1" bestFit="1" customWidth="1"/>
    <col min="9" max="9" width="48.44140625" style="1" bestFit="1" customWidth="1"/>
    <col min="10" max="10" width="17.33203125" style="1" bestFit="1" customWidth="1"/>
    <col min="11" max="11" width="11.33203125" style="1" bestFit="1" customWidth="1"/>
    <col min="12" max="12" width="48.44140625" style="1" bestFit="1" customWidth="1"/>
    <col min="13" max="13" width="17.33203125" style="1" bestFit="1" customWidth="1"/>
    <col min="14" max="14" width="11.33203125" style="1" bestFit="1" customWidth="1"/>
    <col min="15" max="15" width="48.44140625" style="1" bestFit="1" customWidth="1"/>
    <col min="16" max="16" width="17.33203125" style="1" bestFit="1" customWidth="1"/>
    <col min="17" max="17" width="11.33203125" style="1" bestFit="1" customWidth="1"/>
    <col min="18" max="18" width="48.44140625" style="1" bestFit="1" customWidth="1"/>
    <col min="19" max="19" width="17.33203125" style="1" bestFit="1" customWidth="1"/>
    <col min="20" max="16384" width="8.88671875" style="1"/>
  </cols>
  <sheetData>
    <row r="1" spans="1:19" x14ac:dyDescent="0.35">
      <c r="A1" s="1" t="s">
        <v>308</v>
      </c>
      <c r="B1" s="94" t="s">
        <v>286</v>
      </c>
      <c r="C1" s="94"/>
      <c r="D1" s="1" t="s">
        <v>290</v>
      </c>
      <c r="E1" s="94" t="s">
        <v>291</v>
      </c>
      <c r="F1" s="94"/>
      <c r="G1" s="1" t="s">
        <v>290</v>
      </c>
      <c r="H1" s="94" t="s">
        <v>294</v>
      </c>
      <c r="I1" s="94"/>
      <c r="J1" s="1" t="s">
        <v>290</v>
      </c>
      <c r="K1" s="94" t="s">
        <v>295</v>
      </c>
      <c r="L1" s="94"/>
      <c r="M1" s="1" t="s">
        <v>290</v>
      </c>
      <c r="N1" s="94" t="s">
        <v>296</v>
      </c>
      <c r="O1" s="94"/>
      <c r="P1" s="1" t="s">
        <v>290</v>
      </c>
      <c r="Q1" s="94" t="s">
        <v>297</v>
      </c>
      <c r="R1" s="94"/>
      <c r="S1" s="1" t="s">
        <v>290</v>
      </c>
    </row>
    <row r="2" spans="1:19" x14ac:dyDescent="0.35">
      <c r="A2" s="1" t="s">
        <v>309</v>
      </c>
      <c r="B2" s="1" t="s">
        <v>300</v>
      </c>
      <c r="C2" s="1" t="str">
        <f>IF(D2=1,CONCATENATE(MOD(MID(исх,1,1)+MID(ключ,1,1),2),MOD(MID(исх,2,1)+MID(ключ,2,1),2),MOD(MID(исх,3,1)+MID(ключ,3,1),2),MOD(MID(исх,4,1)+MID(ключ,4,1),2),MOD(MID(исх,5,1)+MID(ключ,5,1),2),MOD(MID(исх,6,1)+MID(ключ,6,1),2),MOD(MID(исх,7,1)+MID(ключ,7,1),2),MOD(MID(исх,8,1)+MID(ключ,8,1),2),MOD(MID(исх,9,1)+MID(ключ,1,1),2),MOD(MID(исх,10,1)+MID(ключ,2,1),2),MOD(MID(исх,11,1)+MID(ключ,3,1),2),MOD(MID(исх,12,1)+MID(ключ,4,1),2),MOD(MID(исх,13,1)+MID(ключ,5,1),2),MOD(MID(исх,14,1)+MID(ключ,6,1),2),MOD(MID(исх,15,1)+MID(ключ,7,1),2),MOD(MID(исх,16,1)+MID(ключ,8,1),2),MOD(MID(исх,17,1)+MID(ключ,1,1),2),MOD(MID(исх,18,1)+MID(ключ,2,1),2),MOD(MID(исх,19,1)+MID(ключ,3,1),2),MOD(MID(исх,20,1)+MID(ключ,4,1),2),MOD(MID(исх,21,1)+MID(ключ,5,1),2),MOD(MID(исх,22,1)+MID(ключ,6,1),2),MOD(MID(исх,23,1)+MID(ключ,7,1),2),MOD(MID(исх,24,1)+MID(ключ,8,1),2),MOD(MID(исх,25,1)+MID(ключ,1,1),2),MOD(MID(исх,26,1)+MID(ключ,2,1),2),MOD(MID(исх,27,1)+MID(ключ,3,1),2),MOD(MID(исх,28,1)+MID(ключ,4,1),2),MOD(MID(исх,29,1)+MID(ключ,5,1),2),MOD(MID(исх,30,1)+MID(ключ,6,1),2),MOD(MID(исх,31,1)+MID(ключ,7,1),2),MOD(MID(исх,32,1)+MID(ключ,8,1),2)),исх)</f>
        <v>10100110110000010110000100110110</v>
      </c>
      <c r="D2" s="1" t="str">
        <f>MID(DEC2BIN(xor,4),1,1)</f>
        <v>0</v>
      </c>
      <c r="E2" s="1" t="s">
        <v>300</v>
      </c>
      <c r="F2" s="1" t="str">
        <f>IF(G2=1,CONCATENATE(MOD(MID(исх,1,1)+MID(ключ,1,1),2),MOD(MID(исх,2,1)+MID(ключ,2,1),2),MOD(MID(исх,3,1)+MID(ключ,3,1),2),MOD(MID(исх,4,1)+MID(ключ,4,1),2),MOD(MID(исх,5,1)+MID(ключ,5,1),2),MOD(MID(исх,6,1)+MID(ключ,6,1),2),MOD(MID(исх,7,1)+MID(ключ,7,1),2),MOD(MID(исх,8,1)+MID(ключ,8,1),2),MOD(MID(исх,9,1)+MID(ключ,1,1),2),MOD(MID(исх,10,1)+MID(ключ,2,1),2),MOD(MID(исх,11,1)+MID(ключ,3,1),2),MOD(MID(исх,12,1)+MID(ключ,4,1),2),MOD(MID(исх,13,1)+MID(ключ,5,1),2),MOD(MID(исх,14,1)+MID(ключ,6,1),2),MOD(MID(исх,15,1)+MID(ключ,7,1),2),MOD(MID(исх,16,1)+MID(ключ,8,1),2),MOD(MID(исх,17,1)+MID(ключ,1,1),2),MOD(MID(исх,18,1)+MID(ключ,2,1),2),MOD(MID(исх,19,1)+MID(ключ,3,1),2),MOD(MID(исх,20,1)+MID(ключ,4,1),2),MOD(MID(исх,21,1)+MID(ключ,5,1),2),MOD(MID(исх,22,1)+MID(ключ,6,1),2),MOD(MID(исх,23,1)+MID(ключ,7,1),2),MOD(MID(исх,24,1)+MID(ключ,8,1),2),MOD(MID(исх,25,1)+MID(ключ,1,1),2),MOD(MID(исх,26,1)+MID(ключ,2,1),2),MOD(MID(исх,27,1)+MID(ключ,3,1),2),MOD(MID(исх,28,1)+MID(ключ,4,1),2),MOD(MID(исх,29,1)+MID(ключ,5,1),2),MOD(MID(исх,30,1)+MID(ключ,6,1),2),MOD(MID(исх,31,1)+MID(ключ,7,1),2),MOD(MID(исх,32,1)+MID(ключ,8,1),2)),исх)</f>
        <v>10100110110000010110000100110110</v>
      </c>
      <c r="G2" s="1" t="str">
        <f>MID(DEC2BIN(xor,5),1,1)</f>
        <v>0</v>
      </c>
      <c r="H2" s="1" t="s">
        <v>300</v>
      </c>
      <c r="I2" s="1" t="str">
        <f>IF(J2=1,CONCATENATE(MOD(MID(исх,1,1)+MID(ключ,1,1),2),MOD(MID(исх,2,1)+MID(ключ,2,1),2),MOD(MID(исх,3,1)+MID(ключ,3,1),2),MOD(MID(исх,4,1)+MID(ключ,4,1),2),MOD(MID(исх,5,1)+MID(ключ,5,1),2),MOD(MID(исх,6,1)+MID(ключ,6,1),2),MOD(MID(исх,7,1)+MID(ключ,7,1),2),MOD(MID(исх,8,1)+MID(ключ,8,1),2),MOD(MID(исх,9,1)+MID(ключ,1,1),2),MOD(MID(исх,10,1)+MID(ключ,2,1),2),MOD(MID(исх,11,1)+MID(ключ,3,1),2),MOD(MID(исх,12,1)+MID(ключ,4,1),2),MOD(MID(исх,13,1)+MID(ключ,5,1),2),MOD(MID(исх,14,1)+MID(ключ,6,1),2),MOD(MID(исх,15,1)+MID(ключ,7,1),2),MOD(MID(исх,16,1)+MID(ключ,8,1),2),MOD(MID(исх,17,1)+MID(ключ,1,1),2),MOD(MID(исх,18,1)+MID(ключ,2,1),2),MOD(MID(исх,19,1)+MID(ключ,3,1),2),MOD(MID(исх,20,1)+MID(ключ,4,1),2),MOD(MID(исх,21,1)+MID(ключ,5,1),2),MOD(MID(исх,22,1)+MID(ключ,6,1),2),MOD(MID(исх,23,1)+MID(ключ,7,1),2),MOD(MID(исх,24,1)+MID(ключ,8,1),2),MOD(MID(исх,25,1)+MID(ключ,1,1),2),MOD(MID(исх,26,1)+MID(ключ,2,1),2),MOD(MID(исх,27,1)+MID(ключ,3,1),2),MOD(MID(исх,28,1)+MID(ключ,4,1),2),MOD(MID(исх,29,1)+MID(ключ,5,1),2),MOD(MID(исх,30,1)+MID(ключ,6,1),2),MOD(MID(исх,31,1)+MID(ключ,7,1),2),MOD(MID(исх,32,1)+MID(ключ,8,1),2)),исх)</f>
        <v>10100110110000010110000100110110</v>
      </c>
      <c r="J2" s="1" t="str">
        <f>MID(DEC2BIN(xor,6),1,1)</f>
        <v>0</v>
      </c>
      <c r="K2" s="1" t="s">
        <v>300</v>
      </c>
      <c r="L2" s="1" t="str">
        <f>IF(M2=1,CONCATENATE(MOD(MID(исх,1,1)+MID(ключ,1,1),2),MOD(MID(исх,2,1)+MID(ключ,2,1),2),MOD(MID(исх,3,1)+MID(ключ,3,1),2),MOD(MID(исх,4,1)+MID(ключ,4,1),2),MOD(MID(исх,5,1)+MID(ключ,5,1),2),MOD(MID(исх,6,1)+MID(ключ,6,1),2),MOD(MID(исх,7,1)+MID(ключ,7,1),2),MOD(MID(исх,8,1)+MID(ключ,8,1),2),MOD(MID(исх,9,1)+MID(ключ,1,1),2),MOD(MID(исх,10,1)+MID(ключ,2,1),2),MOD(MID(исх,11,1)+MID(ключ,3,1),2),MOD(MID(исх,12,1)+MID(ключ,4,1),2),MOD(MID(исх,13,1)+MID(ключ,5,1),2),MOD(MID(исх,14,1)+MID(ключ,6,1),2),MOD(MID(исх,15,1)+MID(ключ,7,1),2),MOD(MID(исх,16,1)+MID(ключ,8,1),2),MOD(MID(исх,17,1)+MID(ключ,1,1),2),MOD(MID(исх,18,1)+MID(ключ,2,1),2),MOD(MID(исх,19,1)+MID(ключ,3,1),2),MOD(MID(исх,20,1)+MID(ключ,4,1),2),MOD(MID(исх,21,1)+MID(ключ,5,1),2),MOD(MID(исх,22,1)+MID(ключ,6,1),2),MOD(MID(исх,23,1)+MID(ключ,7,1),2),MOD(MID(исх,24,1)+MID(ключ,8,1),2),MOD(MID(исх,25,1)+MID(ключ,1,1),2),MOD(MID(исх,26,1)+MID(ключ,2,1),2),MOD(MID(исх,27,1)+MID(ключ,3,1),2),MOD(MID(исх,28,1)+MID(ключ,4,1),2),MOD(MID(исх,29,1)+MID(ключ,5,1),2),MOD(MID(исх,30,1)+MID(ключ,6,1),2),MOD(MID(исх,31,1)+MID(ключ,7,1),2),MOD(MID(исх,32,1)+MID(ключ,8,1),2)),исх)</f>
        <v>10100110110000010110000100110110</v>
      </c>
      <c r="M2" s="1" t="str">
        <f>MID(DEC2BIN(xor,5),1,1)</f>
        <v>0</v>
      </c>
      <c r="N2" s="1" t="s">
        <v>300</v>
      </c>
      <c r="O2" s="1" t="str">
        <f>IF(P2=1,CONCATENATE(MOD(MID(исх,1,1)+MID(ключ,1,1),2),MOD(MID(исх,2,1)+MID(ключ,2,1),2),MOD(MID(исх,3,1)+MID(ключ,3,1),2),MOD(MID(исх,4,1)+MID(ключ,4,1),2),MOD(MID(исх,5,1)+MID(ключ,5,1),2),MOD(MID(исх,6,1)+MID(ключ,6,1),2),MOD(MID(исх,7,1)+MID(ключ,7,1),2),MOD(MID(исх,8,1)+MID(ключ,8,1),2),MOD(MID(исх,9,1)+MID(ключ,1,1),2),MOD(MID(исх,10,1)+MID(ключ,2,1),2),MOD(MID(исх,11,1)+MID(ключ,3,1),2),MOD(MID(исх,12,1)+MID(ключ,4,1),2),MOD(MID(исх,13,1)+MID(ключ,5,1),2),MOD(MID(исх,14,1)+MID(ключ,6,1),2),MOD(MID(исх,15,1)+MID(ключ,7,1),2),MOD(MID(исх,16,1)+MID(ключ,8,1),2),MOD(MID(исх,17,1)+MID(ключ,1,1),2),MOD(MID(исх,18,1)+MID(ключ,2,1),2),MOD(MID(исх,19,1)+MID(ключ,3,1),2),MOD(MID(исх,20,1)+MID(ключ,4,1),2),MOD(MID(исх,21,1)+MID(ключ,5,1),2),MOD(MID(исх,22,1)+MID(ключ,6,1),2),MOD(MID(исх,23,1)+MID(ключ,7,1),2),MOD(MID(исх,24,1)+MID(ключ,8,1),2),MOD(MID(исх,25,1)+MID(ключ,1,1),2),MOD(MID(исх,26,1)+MID(ключ,2,1),2),MOD(MID(исх,27,1)+MID(ключ,3,1),2),MOD(MID(исх,28,1)+MID(ключ,4,1),2),MOD(MID(исх,29,1)+MID(ключ,5,1),2),MOD(MID(исх,30,1)+MID(ключ,6,1),2),MOD(MID(исх,31,1)+MID(ключ,7,1),2),MOD(MID(исх,32,1)+MID(ключ,8,1),2)),исх)</f>
        <v>10100110110000010110000100110110</v>
      </c>
      <c r="P2" s="1" t="str">
        <f>MID(DEC2BIN(xor,5),1,1)</f>
        <v>0</v>
      </c>
      <c r="Q2" s="1" t="s">
        <v>300</v>
      </c>
      <c r="R2" s="1" t="str">
        <f>IF(S2=1,CONCATENATE(MOD(MID(исх,1,1)+MID(ключ,1,1),2),MOD(MID(исх,2,1)+MID(ключ,2,1),2),MOD(MID(исх,3,1)+MID(ключ,3,1),2),MOD(MID(исх,4,1)+MID(ключ,4,1),2),MOD(MID(исх,5,1)+MID(ключ,5,1),2),MOD(MID(исх,6,1)+MID(ключ,6,1),2),MOD(MID(исх,7,1)+MID(ключ,7,1),2),MOD(MID(исх,8,1)+MID(ключ,8,1),2),MOD(MID(исх,9,1)+MID(ключ,1,1),2),MOD(MID(исх,10,1)+MID(ключ,2,1),2),MOD(MID(исх,11,1)+MID(ключ,3,1),2),MOD(MID(исх,12,1)+MID(ключ,4,1),2),MOD(MID(исх,13,1)+MID(ключ,5,1),2),MOD(MID(исх,14,1)+MID(ключ,6,1),2),MOD(MID(исх,15,1)+MID(ключ,7,1),2),MOD(MID(исх,16,1)+MID(ключ,8,1),2),MOD(MID(исх,17,1)+MID(ключ,1,1),2),MOD(MID(исх,18,1)+MID(ключ,2,1),2),MOD(MID(исх,19,1)+MID(ключ,3,1),2),MOD(MID(исх,20,1)+MID(ключ,4,1),2),MOD(MID(исх,21,1)+MID(ключ,5,1),2),MOD(MID(исх,22,1)+MID(ключ,6,1),2),MOD(MID(исх,23,1)+MID(ключ,7,1),2),MOD(MID(исх,24,1)+MID(ключ,8,1),2),MOD(MID(исх,25,1)+MID(ключ,1,1),2),MOD(MID(исх,26,1)+MID(ключ,2,1),2),MOD(MID(исх,27,1)+MID(ключ,3,1),2),MOD(MID(исх,28,1)+MID(ключ,4,1),2),MOD(MID(исх,29,1)+MID(ключ,5,1),2),MOD(MID(исх,30,1)+MID(ключ,6,1),2),MOD(MID(исх,31,1)+MID(ключ,7,1),2),MOD(MID(исх,32,1)+MID(ключ,8,1),2)),исх)</f>
        <v>10100110110000010110000100110110</v>
      </c>
      <c r="S2" s="1" t="str">
        <f>MID(DEC2BIN(xor,8),1,1)</f>
        <v>0</v>
      </c>
    </row>
    <row r="3" spans="1:19" x14ac:dyDescent="0.35">
      <c r="A3" s="64" t="s">
        <v>310</v>
      </c>
      <c r="B3" s="1" t="s">
        <v>287</v>
      </c>
      <c r="C3" s="1" t="str">
        <f>CONCATENATE(MID(C2,30,3),MID(C2,1,29))</f>
        <v>11010100110110000010110000100110</v>
      </c>
      <c r="E3" s="1" t="s">
        <v>287</v>
      </c>
      <c r="F3" s="1" t="str">
        <f>CONCATENATE(MID(F2,17,16),MID(F2,1,16))</f>
        <v>01100001001101101010011011000001</v>
      </c>
      <c r="H3" s="1" t="s">
        <v>287</v>
      </c>
      <c r="I3" s="1" t="str">
        <f>CONCATENATE(MID(I2,25,8),MID(I2,1,24))</f>
        <v>00110110101001101100000101100001</v>
      </c>
      <c r="K3" s="1" t="s">
        <v>287</v>
      </c>
      <c r="L3" s="1" t="str">
        <f>CONCATENATE(MID(L2,17,16),MID(L2,1,16))</f>
        <v>01100001001101101010011011000001</v>
      </c>
      <c r="N3" s="1" t="s">
        <v>287</v>
      </c>
      <c r="O3" s="1" t="str">
        <f>CONCATENATE(MID(O2,17,16),MID(O2,1,16))</f>
        <v>01100001001101101010011011000001</v>
      </c>
      <c r="Q3" s="1" t="s">
        <v>287</v>
      </c>
      <c r="R3" s="1" t="str">
        <f>CONCATENATE(MID(R2,30,3),MID(R2,1,29))</f>
        <v>11010100110110000010110000100110</v>
      </c>
    </row>
    <row r="4" spans="1:19" x14ac:dyDescent="0.35">
      <c r="B4" s="1" t="s">
        <v>300</v>
      </c>
      <c r="C4" s="1" t="str">
        <f>IF(D4=1,CONCATENATE(MOD(MID(C3,1,1)+MID(ключ,1,1),2),MOD(MID(C3,2,1)+MID(ключ,2,1),2),MOD(MID(C3,3,1)+MID(ключ,3,1),2),MOD(MID(C3,4,1)+MID(ключ,4,1),2),MOD(MID(C3,5,1)+MID(ключ,5,1),2),MOD(MID(C3,6,1)+MID(ключ,6,1),2),MOD(MID(C3,7,1)+MID(ключ,7,1),2),MOD(MID(C3,8,1)+MID(ключ,8,1),2),MOD(MID(C3,9,1)+MID(ключ,1,1),2),MOD(MID(C3,10,1)+MID(ключ,2,1),2),MOD(MID(C3,11,1)+MID(ключ,3,1),2),MOD(MID(C3,12,1)+MID(ключ,4,1),2),MOD(MID(C3,13,1)+MID(ключ,5,1),2),MOD(MID(C3,14,1)+MID(ключ,6,1),2),MOD(MID(C3,15,1)+MID(ключ,7,1),2),MOD(MID(C3,16,1)+MID(ключ,8,1),2),MOD(MID(C3,17,1)+MID(ключ,1,1),2),MOD(MID(C3,18,1)+MID(ключ,2,1),2),MOD(MID(C3,19,1)+MID(ключ,3,1),2),MOD(MID(C3,20,1)+MID(ключ,4,1),2),MOD(MID(C3,21,1)+MID(ключ,5,1),2),MOD(MID(C3,22,1)+MID(ключ,6,1),2),MOD(MID(C3,23,1)+MID(ключ,7,1),2),MOD(MID(C3,24,1)+MID(ключ,8,1),2),MOD(MID(C3,25,1)+MID(ключ,1,1),2),MOD(MID(C3,26,1)+MID(ключ,2,1),2),MOD(MID(C3,27,1)+MID(ключ,3,1),2),MOD(MID(C3,28,1)+MID(ключ,4,1),2),MOD(MID(C3,29,1)+MID(ключ,5,1),2),MOD(MID(C3,30,1)+MID(ключ,6,1),2),MOD(MID(C3,31,1)+MID(ключ,7,1),2),MOD(MID(C3,32,1)+MID(ключ,8,1),2)),C3)</f>
        <v>11010100110110000010110000100110</v>
      </c>
      <c r="D4" s="1" t="str">
        <f>MID(DEC2BIN(xor,4),2,1)</f>
        <v>0</v>
      </c>
      <c r="E4" s="1" t="s">
        <v>300</v>
      </c>
      <c r="F4" s="1" t="str">
        <f>IF(G4=1,CONCATENATE(MOD(MID(F3,1,1)+MID(ключ,1,1),2),MOD(MID(F3,2,1)+MID(ключ,2,1),2),MOD(MID(F3,3,1)+MID(ключ,3,1),2),MOD(MID(F3,4,1)+MID(ключ,4,1),2),MOD(MID(F3,5,1)+MID(ключ,5,1),2),MOD(MID(F3,6,1)+MID(ключ,6,1),2),MOD(MID(F3,7,1)+MID(ключ,7,1),2),MOD(MID(F3,8,1)+MID(ключ,8,1),2),MOD(MID(F3,9,1)+MID(ключ,1,1),2),MOD(MID(F3,10,1)+MID(ключ,2,1),2),MOD(MID(F3,11,1)+MID(ключ,3,1),2),MOD(MID(F3,12,1)+MID(ключ,4,1),2),MOD(MID(F3,13,1)+MID(ключ,5,1),2),MOD(MID(F3,14,1)+MID(ключ,6,1),2),MOD(MID(F3,15,1)+MID(ключ,7,1),2),MOD(MID(F3,16,1)+MID(ключ,8,1),2),MOD(MID(F3,17,1)+MID(ключ,1,1),2),MOD(MID(F3,18,1)+MID(ключ,2,1),2),MOD(MID(F3,19,1)+MID(ключ,3,1),2),MOD(MID(F3,20,1)+MID(ключ,4,1),2),MOD(MID(F3,21,1)+MID(ключ,5,1),2),MOD(MID(F3,22,1)+MID(ключ,6,1),2),MOD(MID(F3,23,1)+MID(ключ,7,1),2),MOD(MID(F3,24,1)+MID(ключ,8,1),2),MOD(MID(F3,25,1)+MID(ключ,1,1),2),MOD(MID(F3,26,1)+MID(ключ,2,1),2),MOD(MID(F3,27,1)+MID(ключ,3,1),2),MOD(MID(F3,28,1)+MID(ключ,4,1),2),MOD(MID(F3,29,1)+MID(ключ,5,1),2),MOD(MID(F3,30,1)+MID(ключ,6,1),2),MOD(MID(F3,31,1)+MID(ключ,7,1),2),MOD(MID(F3,32,1)+MID(ключ,8,1),2)),F3)</f>
        <v>01100001001101101010011011000001</v>
      </c>
      <c r="G4" s="1" t="str">
        <f>MID(DEC2BIN(xor,5),2,1)</f>
        <v>0</v>
      </c>
      <c r="H4" s="1" t="s">
        <v>300</v>
      </c>
      <c r="I4" s="1" t="str">
        <f>IF(J4=1,CONCATENATE(MOD(MID(I3,1,1)+MID(ключ,1,1),2),MOD(MID(I3,2,1)+MID(ключ,2,1),2),MOD(MID(I3,3,1)+MID(ключ,3,1),2),MOD(MID(I3,4,1)+MID(ключ,4,1),2),MOD(MID(I3,5,1)+MID(ключ,5,1),2),MOD(MID(I3,6,1)+MID(ключ,6,1),2),MOD(MID(I3,7,1)+MID(ключ,7,1),2),MOD(MID(I3,8,1)+MID(ключ,8,1),2),MOD(MID(I3,9,1)+MID(ключ,1,1),2),MOD(MID(I3,10,1)+MID(ключ,2,1),2),MOD(MID(I3,11,1)+MID(ключ,3,1),2),MOD(MID(I3,12,1)+MID(ключ,4,1),2),MOD(MID(I3,13,1)+MID(ключ,5,1),2),MOD(MID(I3,14,1)+MID(ключ,6,1),2),MOD(MID(I3,15,1)+MID(ключ,7,1),2),MOD(MID(I3,16,1)+MID(ключ,8,1),2),MOD(MID(I3,17,1)+MID(ключ,1,1),2),MOD(MID(I3,18,1)+MID(ключ,2,1),2),MOD(MID(I3,19,1)+MID(ключ,3,1),2),MOD(MID(I3,20,1)+MID(ключ,4,1),2),MOD(MID(I3,21,1)+MID(ключ,5,1),2),MOD(MID(I3,22,1)+MID(ключ,6,1),2),MOD(MID(I3,23,1)+MID(ключ,7,1),2),MOD(MID(I3,24,1)+MID(ключ,8,1),2),MOD(MID(I3,25,1)+MID(ключ,1,1),2),MOD(MID(I3,26,1)+MID(ключ,2,1),2),MOD(MID(I3,27,1)+MID(ключ,3,1),2),MOD(MID(I3,28,1)+MID(ключ,4,1),2),MOD(MID(I3,29,1)+MID(ключ,5,1),2),MOD(MID(I3,30,1)+MID(ключ,6,1),2),MOD(MID(I3,31,1)+MID(ключ,7,1),2),MOD(MID(I3,32,1)+MID(ключ,8,1),2)),I3)</f>
        <v>00110110101001101100000101100001</v>
      </c>
      <c r="J4" s="1" t="str">
        <f>MID(DEC2BIN(xor,6),2,1)</f>
        <v>0</v>
      </c>
      <c r="K4" s="1" t="s">
        <v>300</v>
      </c>
      <c r="L4" s="1" t="str">
        <f>IF(M4=1,CONCATENATE(MOD(MID(L3,1,1)+MID(ключ,1,1),2),MOD(MID(L3,2,1)+MID(ключ,2,1),2),MOD(MID(L3,3,1)+MID(ключ,3,1),2),MOD(MID(L3,4,1)+MID(ключ,4,1),2),MOD(MID(L3,5,1)+MID(ключ,5,1),2),MOD(MID(L3,6,1)+MID(ключ,6,1),2),MOD(MID(L3,7,1)+MID(ключ,7,1),2),MOD(MID(L3,8,1)+MID(ключ,8,1),2),MOD(MID(L3,9,1)+MID(ключ,1,1),2),MOD(MID(L3,10,1)+MID(ключ,2,1),2),MOD(MID(L3,11,1)+MID(ключ,3,1),2),MOD(MID(L3,12,1)+MID(ключ,4,1),2),MOD(MID(L3,13,1)+MID(ключ,5,1),2),MOD(MID(L3,14,1)+MID(ключ,6,1),2),MOD(MID(L3,15,1)+MID(ключ,7,1),2),MOD(MID(L3,16,1)+MID(ключ,8,1),2),MOD(MID(L3,17,1)+MID(ключ,1,1),2),MOD(MID(L3,18,1)+MID(ключ,2,1),2),MOD(MID(L3,19,1)+MID(ключ,3,1),2),MOD(MID(L3,20,1)+MID(ключ,4,1),2),MOD(MID(L3,21,1)+MID(ключ,5,1),2),MOD(MID(L3,22,1)+MID(ключ,6,1),2),MOD(MID(L3,23,1)+MID(ключ,7,1),2),MOD(MID(L3,24,1)+MID(ключ,8,1),2),MOD(MID(L3,25,1)+MID(ключ,1,1),2),MOD(MID(L3,26,1)+MID(ключ,2,1),2),MOD(MID(L3,27,1)+MID(ключ,3,1),2),MOD(MID(L3,28,1)+MID(ключ,4,1),2),MOD(MID(L3,29,1)+MID(ключ,5,1),2),MOD(MID(L3,30,1)+MID(ключ,6,1),2),MOD(MID(L3,31,1)+MID(ключ,7,1),2),MOD(MID(L3,32,1)+MID(ключ,8,1),2)),L3)</f>
        <v>01100001001101101010011011000001</v>
      </c>
      <c r="M4" s="1" t="str">
        <f>MID(DEC2BIN(xor,5),2,1)</f>
        <v>0</v>
      </c>
      <c r="N4" s="1" t="s">
        <v>300</v>
      </c>
      <c r="O4" s="1" t="str">
        <f>IF(P4=1,CONCATENATE(MOD(MID(O3,1,1)+MID(ключ,1,1),2),MOD(MID(O3,2,1)+MID(ключ,2,1),2),MOD(MID(O3,3,1)+MID(ключ,3,1),2),MOD(MID(O3,4,1)+MID(ключ,4,1),2),MOD(MID(O3,5,1)+MID(ключ,5,1),2),MOD(MID(O3,6,1)+MID(ключ,6,1),2),MOD(MID(O3,7,1)+MID(ключ,7,1),2),MOD(MID(O3,8,1)+MID(ключ,8,1),2),MOD(MID(O3,9,1)+MID(ключ,1,1),2),MOD(MID(O3,10,1)+MID(ключ,2,1),2),MOD(MID(O3,11,1)+MID(ключ,3,1),2),MOD(MID(O3,12,1)+MID(ключ,4,1),2),MOD(MID(O3,13,1)+MID(ключ,5,1),2),MOD(MID(O3,14,1)+MID(ключ,6,1),2),MOD(MID(O3,15,1)+MID(ключ,7,1),2),MOD(MID(O3,16,1)+MID(ключ,8,1),2),MOD(MID(O3,17,1)+MID(ключ,1,1),2),MOD(MID(O3,18,1)+MID(ключ,2,1),2),MOD(MID(O3,19,1)+MID(ключ,3,1),2),MOD(MID(O3,20,1)+MID(ключ,4,1),2),MOD(MID(O3,21,1)+MID(ключ,5,1),2),MOD(MID(O3,22,1)+MID(ключ,6,1),2),MOD(MID(O3,23,1)+MID(ключ,7,1),2),MOD(MID(O3,24,1)+MID(ключ,8,1),2),MOD(MID(O3,25,1)+MID(ключ,1,1),2),MOD(MID(O3,26,1)+MID(ключ,2,1),2),MOD(MID(O3,27,1)+MID(ключ,3,1),2),MOD(MID(O3,28,1)+MID(ключ,4,1),2),MOD(MID(O3,29,1)+MID(ключ,5,1),2),MOD(MID(O3,30,1)+MID(ключ,6,1),2),MOD(MID(O3,31,1)+MID(ключ,7,1),2),MOD(MID(O3,32,1)+MID(ключ,8,1),2)),O3)</f>
        <v>01100001001101101010011011000001</v>
      </c>
      <c r="P4" s="1" t="str">
        <f>MID(DEC2BIN(xor,5),2,1)</f>
        <v>0</v>
      </c>
      <c r="Q4" s="1" t="s">
        <v>300</v>
      </c>
      <c r="R4" s="1" t="str">
        <f>IF(S4=1,CONCATENATE(MOD(MID(R3,1,1)+MID(ключ,1,1),2),MOD(MID(R3,2,1)+MID(ключ,2,1),2),MOD(MID(R3,3,1)+MID(ключ,3,1),2),MOD(MID(R3,4,1)+MID(ключ,4,1),2),MOD(MID(R3,5,1)+MID(ключ,5,1),2),MOD(MID(R3,6,1)+MID(ключ,6,1),2),MOD(MID(R3,7,1)+MID(ключ,7,1),2),MOD(MID(R3,8,1)+MID(ключ,8,1),2),MOD(MID(R3,9,1)+MID(ключ,1,1),2),MOD(MID(R3,10,1)+MID(ключ,2,1),2),MOD(MID(R3,11,1)+MID(ключ,3,1),2),MOD(MID(R3,12,1)+MID(ключ,4,1),2),MOD(MID(R3,13,1)+MID(ключ,5,1),2),MOD(MID(R3,14,1)+MID(ключ,6,1),2),MOD(MID(R3,15,1)+MID(ключ,7,1),2),MOD(MID(R3,16,1)+MID(ключ,8,1),2),MOD(MID(R3,17,1)+MID(ключ,1,1),2),MOD(MID(R3,18,1)+MID(ключ,2,1),2),MOD(MID(R3,19,1)+MID(ключ,3,1),2),MOD(MID(R3,20,1)+MID(ключ,4,1),2),MOD(MID(R3,21,1)+MID(ключ,5,1),2),MOD(MID(R3,22,1)+MID(ключ,6,1),2),MOD(MID(R3,23,1)+MID(ключ,7,1),2),MOD(MID(R3,24,1)+MID(ключ,8,1),2),MOD(MID(R3,25,1)+MID(ключ,1,1),2),MOD(MID(R3,26,1)+MID(ключ,2,1),2),MOD(MID(R3,27,1)+MID(ключ,3,1),2),MOD(MID(R3,28,1)+MID(ключ,4,1),2),MOD(MID(R3,29,1)+MID(ключ,5,1),2),MOD(MID(R3,30,1)+MID(ключ,6,1),2),MOD(MID(R3,31,1)+MID(ключ,7,1),2),MOD(MID(R3,32,1)+MID(ключ,8,1),2)),R3)</f>
        <v>11010100110110000010110000100110</v>
      </c>
      <c r="S4" s="1" t="str">
        <f>MID(DEC2BIN(xor,8),2,1)</f>
        <v>0</v>
      </c>
    </row>
    <row r="5" spans="1:19" x14ac:dyDescent="0.35">
      <c r="B5" s="1" t="s">
        <v>288</v>
      </c>
      <c r="C5" s="1" t="str">
        <f>CONCATENATE(MID(C4,1,3),MID(C4,28,5),MID(C4,9,3),MID(C4,4,5),MID(C4,17,3),MID(C4,12,5),MID(C4,25,3),MID(C4,20,5))</f>
        <v>11000110110101000011100000101100</v>
      </c>
      <c r="E5" s="1" t="s">
        <v>288</v>
      </c>
      <c r="F5" s="1" t="str">
        <f>CONCATENATE(MID(F4,30,3),MID(F4,1,29))</f>
        <v>00101100001001101101010011011000</v>
      </c>
      <c r="H5" s="1" t="s">
        <v>288</v>
      </c>
      <c r="I5" s="1" t="str">
        <f>CONCATENATE(MID(I4,25,8),MID(I4,1,24))</f>
        <v>01100001001101101010011011000001</v>
      </c>
      <c r="K5" s="1" t="s">
        <v>288</v>
      </c>
      <c r="L5" s="1" t="str">
        <f>CONCATENATE(MID(L4,1,5),MID(L4,30,3),MID(L4,9,5),MID(L4,6,3),MID(L4,17,5),MID(L4,14,3),MID(L4,25,5),MID(L4,22,3))</f>
        <v>01100001001100011010011011000110</v>
      </c>
      <c r="N5" s="1" t="s">
        <v>288</v>
      </c>
      <c r="O5" s="1" t="str">
        <f>CONCATENATE(MID(O4,1,5),MID(O4,30,3),MID(O4,9,5),MID(O4,6,3),MID(O4,17,5),MID(O4,14,3),MID(O4,25,5),MID(O4,22,3))</f>
        <v>01100001001100011010011011000110</v>
      </c>
      <c r="Q5" s="1" t="s">
        <v>288</v>
      </c>
      <c r="R5" s="1" t="str">
        <f>CONCATENATE(MID(R4,1,5),MID(R4,30,3),MID(R4,9,5),MID(R4,6,3),MID(R4,17,5),MID(R4,14,3),MID(R4,25,5),MID(R4,22,3))</f>
        <v>11010110110111000010100000100100</v>
      </c>
    </row>
    <row r="6" spans="1:19" x14ac:dyDescent="0.35">
      <c r="B6" s="1" t="s">
        <v>300</v>
      </c>
      <c r="C6" s="1" t="str">
        <f>IF(D6=1,CONCATENATE(MOD(MID(C5,1,1)+MID(ключ,1,1),2),MOD(MID(C5,2,1)+MID(ключ,2,1),2),MOD(MID(C5,3,1)+MID(ключ,3,1),2),MOD(MID(C5,4,1)+MID(ключ,4,1),2),MOD(MID(C5,5,1)+MID(ключ,5,1),2),MOD(MID(C5,6,1)+MID(ключ,6,1),2),MOD(MID(C5,7,1)+MID(ключ,7,1),2),MOD(MID(C5,8,1)+MID(ключ,8,1),2),MOD(MID(C5,9,1)+MID(ключ,1,1),2),MOD(MID(C5,10,1)+MID(ключ,2,1),2),MOD(MID(C5,11,1)+MID(ключ,3,1),2),MOD(MID(C5,12,1)+MID(ключ,4,1),2),MOD(MID(C5,13,1)+MID(ключ,5,1),2),MOD(MID(C5,14,1)+MID(ключ,6,1),2),MOD(MID(C5,15,1)+MID(ключ,7,1),2),MOD(MID(C5,16,1)+MID(ключ,8,1),2),MOD(MID(C5,17,1)+MID(ключ,1,1),2),MOD(MID(C5,18,1)+MID(ключ,2,1),2),MOD(MID(C5,19,1)+MID(ключ,3,1),2),MOD(MID(C5,20,1)+MID(ключ,4,1),2),MOD(MID(C5,21,1)+MID(ключ,5,1),2),MOD(MID(C5,22,1)+MID(ключ,6,1),2),MOD(MID(C5,23,1)+MID(ключ,7,1),2),MOD(MID(C5,24,1)+MID(ключ,8,1),2),MOD(MID(C5,25,1)+MID(ключ,1,1),2),MOD(MID(C5,26,1)+MID(ключ,2,1),2),MOD(MID(C5,27,1)+MID(ключ,3,1),2),MOD(MID(C5,28,1)+MID(ключ,4,1),2),MOD(MID(C5,29,1)+MID(ключ,5,1),2),MOD(MID(C5,30,1)+MID(ключ,6,1),2),MOD(MID(C5,31,1)+MID(ключ,7,1),2),MOD(MID(C5,32,1)+MID(ключ,8,1),2)),C5)</f>
        <v>11000110110101000011100000101100</v>
      </c>
      <c r="D6" s="1" t="str">
        <f>MID(DEC2BIN(xor,4),3,1)</f>
        <v>0</v>
      </c>
      <c r="E6" s="1" t="s">
        <v>300</v>
      </c>
      <c r="F6" s="1" t="str">
        <f>IF(G6=1,CONCATENATE(MOD(MID(F5,1,1)+MID(ключ,1,1),2),MOD(MID(F5,2,1)+MID(ключ,2,1),2),MOD(MID(F5,3,1)+MID(ключ,3,1),2),MOD(MID(F5,4,1)+MID(ключ,4,1),2),MOD(MID(F5,5,1)+MID(ключ,5,1),2),MOD(MID(F5,6,1)+MID(ключ,6,1),2),MOD(MID(F5,7,1)+MID(ключ,7,1),2),MOD(MID(F5,8,1)+MID(ключ,8,1),2),MOD(MID(F5,9,1)+MID(ключ,1,1),2),MOD(MID(F5,10,1)+MID(ключ,2,1),2),MOD(MID(F5,11,1)+MID(ключ,3,1),2),MOD(MID(F5,12,1)+MID(ключ,4,1),2),MOD(MID(F5,13,1)+MID(ключ,5,1),2),MOD(MID(F5,14,1)+MID(ключ,6,1),2),MOD(MID(F5,15,1)+MID(ключ,7,1),2),MOD(MID(F5,16,1)+MID(ключ,8,1),2),MOD(MID(F5,17,1)+MID(ключ,1,1),2),MOD(MID(F5,18,1)+MID(ключ,2,1),2),MOD(MID(F5,19,1)+MID(ключ,3,1),2),MOD(MID(F5,20,1)+MID(ключ,4,1),2),MOD(MID(F5,21,1)+MID(ключ,5,1),2),MOD(MID(F5,22,1)+MID(ключ,6,1),2),MOD(MID(F5,23,1)+MID(ключ,7,1),2),MOD(MID(F5,24,1)+MID(ключ,8,1),2),MOD(MID(F5,25,1)+MID(ключ,1,1),2),MOD(MID(F5,26,1)+MID(ключ,2,1),2),MOD(MID(F5,27,1)+MID(ключ,3,1),2),MOD(MID(F5,28,1)+MID(ключ,4,1),2),MOD(MID(F5,29,1)+MID(ключ,5,1),2),MOD(MID(F5,30,1)+MID(ключ,6,1),2),MOD(MID(F5,31,1)+MID(ключ,7,1),2),MOD(MID(F5,32,1)+MID(ключ,8,1),2)),F5)</f>
        <v>00101100001001101101010011011000</v>
      </c>
      <c r="G6" s="1" t="str">
        <f>MID(DEC2BIN(xor,5),3,1)</f>
        <v>0</v>
      </c>
      <c r="H6" s="1" t="s">
        <v>300</v>
      </c>
      <c r="I6" s="1" t="str">
        <f>IF(J6=1,CONCATENATE(MOD(MID(I5,1,1)+MID(ключ,1,1),2),MOD(MID(I5,2,1)+MID(ключ,2,1),2),MOD(MID(I5,3,1)+MID(ключ,3,1),2),MOD(MID(I5,4,1)+MID(ключ,4,1),2),MOD(MID(I5,5,1)+MID(ключ,5,1),2),MOD(MID(I5,6,1)+MID(ключ,6,1),2),MOD(MID(I5,7,1)+MID(ключ,7,1),2),MOD(MID(I5,8,1)+MID(ключ,8,1),2),MOD(MID(I5,9,1)+MID(ключ,1,1),2),MOD(MID(I5,10,1)+MID(ключ,2,1),2),MOD(MID(I5,11,1)+MID(ключ,3,1),2),MOD(MID(I5,12,1)+MID(ключ,4,1),2),MOD(MID(I5,13,1)+MID(ключ,5,1),2),MOD(MID(I5,14,1)+MID(ключ,6,1),2),MOD(MID(I5,15,1)+MID(ключ,7,1),2),MOD(MID(I5,16,1)+MID(ключ,8,1),2),MOD(MID(I5,17,1)+MID(ключ,1,1),2),MOD(MID(I5,18,1)+MID(ключ,2,1),2),MOD(MID(I5,19,1)+MID(ключ,3,1),2),MOD(MID(I5,20,1)+MID(ключ,4,1),2),MOD(MID(I5,21,1)+MID(ключ,5,1),2),MOD(MID(I5,22,1)+MID(ключ,6,1),2),MOD(MID(I5,23,1)+MID(ключ,7,1),2),MOD(MID(I5,24,1)+MID(ключ,8,1),2),MOD(MID(I5,25,1)+MID(ключ,1,1),2),MOD(MID(I5,26,1)+MID(ключ,2,1),2),MOD(MID(I5,27,1)+MID(ключ,3,1),2),MOD(MID(I5,28,1)+MID(ключ,4,1),2),MOD(MID(I5,29,1)+MID(ключ,5,1),2),MOD(MID(I5,30,1)+MID(ключ,6,1),2),MOD(MID(I5,31,1)+MID(ключ,7,1),2),MOD(MID(I5,32,1)+MID(ключ,8,1),2)),I5)</f>
        <v>01100001001101101010011011000001</v>
      </c>
      <c r="J6" s="1" t="str">
        <f>MID(DEC2BIN(xor,6),3,1)</f>
        <v>0</v>
      </c>
      <c r="K6" s="1" t="s">
        <v>300</v>
      </c>
      <c r="L6" s="1" t="str">
        <f>IF(M6=1,CONCATENATE(MOD(MID(L5,1,1)+MID(ключ,1,1),2),MOD(MID(L5,2,1)+MID(ключ,2,1),2),MOD(MID(L5,3,1)+MID(ключ,3,1),2),MOD(MID(L5,4,1)+MID(ключ,4,1),2),MOD(MID(L5,5,1)+MID(ключ,5,1),2),MOD(MID(L5,6,1)+MID(ключ,6,1),2),MOD(MID(L5,7,1)+MID(ключ,7,1),2),MOD(MID(L5,8,1)+MID(ключ,8,1),2),MOD(MID(L5,9,1)+MID(ключ,1,1),2),MOD(MID(L5,10,1)+MID(ключ,2,1),2),MOD(MID(L5,11,1)+MID(ключ,3,1),2),MOD(MID(L5,12,1)+MID(ключ,4,1),2),MOD(MID(L5,13,1)+MID(ключ,5,1),2),MOD(MID(L5,14,1)+MID(ключ,6,1),2),MOD(MID(L5,15,1)+MID(ключ,7,1),2),MOD(MID(L5,16,1)+MID(ключ,8,1),2),MOD(MID(L5,17,1)+MID(ключ,1,1),2),MOD(MID(L5,18,1)+MID(ключ,2,1),2),MOD(MID(L5,19,1)+MID(ключ,3,1),2),MOD(MID(L5,20,1)+MID(ключ,4,1),2),MOD(MID(L5,21,1)+MID(ключ,5,1),2),MOD(MID(L5,22,1)+MID(ключ,6,1),2),MOD(MID(L5,23,1)+MID(ключ,7,1),2),MOD(MID(L5,24,1)+MID(ключ,8,1),2),MOD(MID(L5,25,1)+MID(ключ,1,1),2),MOD(MID(L5,26,1)+MID(ключ,2,1),2),MOD(MID(L5,27,1)+MID(ключ,3,1),2),MOD(MID(L5,28,1)+MID(ключ,4,1),2),MOD(MID(L5,29,1)+MID(ключ,5,1),2),MOD(MID(L5,30,1)+MID(ключ,6,1),2),MOD(MID(L5,31,1)+MID(ключ,7,1),2),MOD(MID(L5,32,1)+MID(ключ,8,1),2)),L5)</f>
        <v>01100001001100011010011011000110</v>
      </c>
      <c r="M6" s="1" t="str">
        <f>MID(DEC2BIN(xor,5),3,1)</f>
        <v>0</v>
      </c>
      <c r="N6" s="1" t="s">
        <v>300</v>
      </c>
      <c r="O6" s="1" t="str">
        <f>IF(P6=1,CONCATENATE(MOD(MID(O5,1,1)+MID(ключ,1,1),2),MOD(MID(O5,2,1)+MID(ключ,2,1),2),MOD(MID(O5,3,1)+MID(ключ,3,1),2),MOD(MID(O5,4,1)+MID(ключ,4,1),2),MOD(MID(O5,5,1)+MID(ключ,5,1),2),MOD(MID(O5,6,1)+MID(ключ,6,1),2),MOD(MID(O5,7,1)+MID(ключ,7,1),2),MOD(MID(O5,8,1)+MID(ключ,8,1),2),MOD(MID(O5,9,1)+MID(ключ,1,1),2),MOD(MID(O5,10,1)+MID(ключ,2,1),2),MOD(MID(O5,11,1)+MID(ключ,3,1),2),MOD(MID(O5,12,1)+MID(ключ,4,1),2),MOD(MID(O5,13,1)+MID(ключ,5,1),2),MOD(MID(O5,14,1)+MID(ключ,6,1),2),MOD(MID(O5,15,1)+MID(ключ,7,1),2),MOD(MID(O5,16,1)+MID(ключ,8,1),2),MOD(MID(O5,17,1)+MID(ключ,1,1),2),MOD(MID(O5,18,1)+MID(ключ,2,1),2),MOD(MID(O5,19,1)+MID(ключ,3,1),2),MOD(MID(O5,20,1)+MID(ключ,4,1),2),MOD(MID(O5,21,1)+MID(ключ,5,1),2),MOD(MID(O5,22,1)+MID(ключ,6,1),2),MOD(MID(O5,23,1)+MID(ключ,7,1),2),MOD(MID(O5,24,1)+MID(ключ,8,1),2),MOD(MID(O5,25,1)+MID(ключ,1,1),2),MOD(MID(O5,26,1)+MID(ключ,2,1),2),MOD(MID(O5,27,1)+MID(ключ,3,1),2),MOD(MID(O5,28,1)+MID(ключ,4,1),2),MOD(MID(O5,29,1)+MID(ключ,5,1),2),MOD(MID(O5,30,1)+MID(ключ,6,1),2),MOD(MID(O5,31,1)+MID(ключ,7,1),2),MOD(MID(O5,32,1)+MID(ключ,8,1),2)),O5)</f>
        <v>01100001001100011010011011000110</v>
      </c>
      <c r="P6" s="1" t="str">
        <f>MID(DEC2BIN(xor,5),3,1)</f>
        <v>0</v>
      </c>
      <c r="Q6" s="1" t="s">
        <v>300</v>
      </c>
      <c r="R6" s="1" t="str">
        <f>IF(S6=1,CONCATENATE(MOD(MID(R5,1,1)+MID(ключ,1,1),2),MOD(MID(R5,2,1)+MID(ключ,2,1),2),MOD(MID(R5,3,1)+MID(ключ,3,1),2),MOD(MID(R5,4,1)+MID(ключ,4,1),2),MOD(MID(R5,5,1)+MID(ключ,5,1),2),MOD(MID(R5,6,1)+MID(ключ,6,1),2),MOD(MID(R5,7,1)+MID(ключ,7,1),2),MOD(MID(R5,8,1)+MID(ключ,8,1),2),MOD(MID(R5,9,1)+MID(ключ,1,1),2),MOD(MID(R5,10,1)+MID(ключ,2,1),2),MOD(MID(R5,11,1)+MID(ключ,3,1),2),MOD(MID(R5,12,1)+MID(ключ,4,1),2),MOD(MID(R5,13,1)+MID(ключ,5,1),2),MOD(MID(R5,14,1)+MID(ключ,6,1),2),MOD(MID(R5,15,1)+MID(ключ,7,1),2),MOD(MID(R5,16,1)+MID(ключ,8,1),2),MOD(MID(R5,17,1)+MID(ключ,1,1),2),MOD(MID(R5,18,1)+MID(ключ,2,1),2),MOD(MID(R5,19,1)+MID(ключ,3,1),2),MOD(MID(R5,20,1)+MID(ключ,4,1),2),MOD(MID(R5,21,1)+MID(ключ,5,1),2),MOD(MID(R5,22,1)+MID(ключ,6,1),2),MOD(MID(R5,23,1)+MID(ключ,7,1),2),MOD(MID(R5,24,1)+MID(ключ,8,1),2),MOD(MID(R5,25,1)+MID(ключ,1,1),2),MOD(MID(R5,26,1)+MID(ключ,2,1),2),MOD(MID(R5,27,1)+MID(ключ,3,1),2),MOD(MID(R5,28,1)+MID(ключ,4,1),2),MOD(MID(R5,29,1)+MID(ключ,5,1),2),MOD(MID(R5,30,1)+MID(ключ,6,1),2),MOD(MID(R5,31,1)+MID(ключ,7,1),2),MOD(MID(R5,32,1)+MID(ключ,8,1),2)),R5)</f>
        <v>11010110110111000010100000100100</v>
      </c>
      <c r="S6" s="1" t="str">
        <f>MID(DEC2BIN(xor,8),3,1)</f>
        <v>0</v>
      </c>
    </row>
    <row r="7" spans="1:19" x14ac:dyDescent="0.35">
      <c r="B7" s="1" t="s">
        <v>289</v>
      </c>
      <c r="C7" s="1" t="str">
        <f>CONCATENATE(MID(C6,1,3),MID(C6,28,5),MID(C6,9,3),MID(C6,4,5),MID(C6,17,3),MID(C6,12,5),MID(C6,25,3),MID(C6,20,5))</f>
        <v>11001100110001100011010000111000</v>
      </c>
      <c r="E7" s="1" t="s">
        <v>289</v>
      </c>
      <c r="F7" s="1" t="str">
        <f>CONCATENATE(MID(F6,25,3),MID(F6,4,5),MID(F6,1,3),MID(F6,12,5),MID(F6,9,3),MID(F6,20,5),MID(F6,17,3),MID(F6,28,5))</f>
        <v>11001100001001100011010011011000</v>
      </c>
      <c r="H7" s="1" t="s">
        <v>289</v>
      </c>
      <c r="I7" s="1" t="str">
        <f>CONCATENATE(MID(I6,30,3),MID(I6,1,29))</f>
        <v>00101100001001101101010011011000</v>
      </c>
      <c r="K7" s="1" t="s">
        <v>289</v>
      </c>
      <c r="L7" s="1" t="str">
        <f>CONCATENATE(MID(L6,30,3),MID(L6,1,29))</f>
        <v>11001100001001100011010011011000</v>
      </c>
      <c r="N7" s="1" t="s">
        <v>289</v>
      </c>
      <c r="O7" s="1" t="str">
        <f>CONCATENATE(MID(O6,1,5),MID(O6,30,3),MID(O6,9,5),MID(O6,6,3),MID(O6,17,5),MID(O6,14,3),MID(O6,25,5),MID(O6,22,3))</f>
        <v>01100110001100011010000111000110</v>
      </c>
      <c r="Q7" s="1" t="s">
        <v>289</v>
      </c>
      <c r="R7" s="1" t="str">
        <f>CONCATENATE(MID(R6,30,3),MID(R6,1,29))</f>
        <v>10011010110110111000010100000100</v>
      </c>
    </row>
    <row r="8" spans="1:19" x14ac:dyDescent="0.35">
      <c r="B8" s="1" t="s">
        <v>300</v>
      </c>
      <c r="C8" s="1" t="str">
        <f>IF(D8=1,CONCATENATE(MOD(MID(C7,1,1)+MID(ключ,1,1),2),MOD(MID(C7,2,1)+MID(ключ,2,1),2),MOD(MID(C7,3,1)+MID(ключ,3,1),2),MOD(MID(C7,4,1)+MID(ключ,4,1),2),MOD(MID(C7,5,1)+MID(ключ,5,1),2),MOD(MID(C7,6,1)+MID(ключ,6,1),2),MOD(MID(C7,7,1)+MID(ключ,7,1),2),MOD(MID(C7,8,1)+MID(ключ,8,1),2),MOD(MID(C7,9,1)+MID(ключ,1,1),2),MOD(MID(C7,10,1)+MID(ключ,2,1),2),MOD(MID(C7,11,1)+MID(ключ,3,1),2),MOD(MID(C7,12,1)+MID(ключ,4,1),2),MOD(MID(C7,13,1)+MID(ключ,5,1),2),MOD(MID(C7,14,1)+MID(ключ,6,1),2),MOD(MID(C7,15,1)+MID(ключ,7,1),2),MOD(MID(C7,16,1)+MID(ключ,8,1),2),MOD(MID(C7,17,1)+MID(ключ,1,1),2),MOD(MID(C7,18,1)+MID(ключ,2,1),2),MOD(MID(C7,19,1)+MID(ключ,3,1),2),MOD(MID(C7,20,1)+MID(ключ,4,1),2),MOD(MID(C7,21,1)+MID(ключ,5,1),2),MOD(MID(C7,22,1)+MID(ключ,6,1),2),MOD(MID(C7,23,1)+MID(ключ,7,1),2),MOD(MID(C7,24,1)+MID(ключ,8,1),2),MOD(MID(C7,25,1)+MID(ключ,1,1),2),MOD(MID(C7,26,1)+MID(ключ,2,1),2),MOD(MID(C7,27,1)+MID(ключ,3,1),2),MOD(MID(C7,28,1)+MID(ключ,4,1),2),MOD(MID(C7,29,1)+MID(ключ,5,1),2),MOD(MID(C7,30,1)+MID(ключ,6,1),2),MOD(MID(C7,31,1)+MID(ключ,7,1),2),MOD(MID(C7,32,1)+MID(ключ,8,1),2)),C7)</f>
        <v>11001100110001100011010000111000</v>
      </c>
      <c r="D8" s="1" t="str">
        <f>MID(DEC2BIN(xor,4),4,1)</f>
        <v>0</v>
      </c>
      <c r="E8" s="1" t="s">
        <v>300</v>
      </c>
      <c r="F8" s="1" t="str">
        <f>IF(G8=1,CONCATENATE(MOD(MID(F7,1,1)+MID(ключ,1,1),2),MOD(MID(F7,2,1)+MID(ключ,2,1),2),MOD(MID(F7,3,1)+MID(ключ,3,1),2),MOD(MID(F7,4,1)+MID(ключ,4,1),2),MOD(MID(F7,5,1)+MID(ключ,5,1),2),MOD(MID(F7,6,1)+MID(ключ,6,1),2),MOD(MID(F7,7,1)+MID(ключ,7,1),2),MOD(MID(F7,8,1)+MID(ключ,8,1),2),MOD(MID(F7,9,1)+MID(ключ,1,1),2),MOD(MID(F7,10,1)+MID(ключ,2,1),2),MOD(MID(F7,11,1)+MID(ключ,3,1),2),MOD(MID(F7,12,1)+MID(ключ,4,1),2),MOD(MID(F7,13,1)+MID(ключ,5,1),2),MOD(MID(F7,14,1)+MID(ключ,6,1),2),MOD(MID(F7,15,1)+MID(ключ,7,1),2),MOD(MID(F7,16,1)+MID(ключ,8,1),2),MOD(MID(F7,17,1)+MID(ключ,1,1),2),MOD(MID(F7,18,1)+MID(ключ,2,1),2),MOD(MID(F7,19,1)+MID(ключ,3,1),2),MOD(MID(F7,20,1)+MID(ключ,4,1),2),MOD(MID(F7,21,1)+MID(ключ,5,1),2),MOD(MID(F7,22,1)+MID(ключ,6,1),2),MOD(MID(F7,23,1)+MID(ключ,7,1),2),MOD(MID(F7,24,1)+MID(ключ,8,1),2),MOD(MID(F7,25,1)+MID(ключ,1,1),2),MOD(MID(F7,26,1)+MID(ключ,2,1),2),MOD(MID(F7,27,1)+MID(ключ,3,1),2),MOD(MID(F7,28,1)+MID(ключ,4,1),2),MOD(MID(F7,29,1)+MID(ключ,5,1),2),MOD(MID(F7,30,1)+MID(ключ,6,1),2),MOD(MID(F7,31,1)+MID(ключ,7,1),2),MOD(MID(F7,32,1)+MID(ключ,8,1),2)),F7)</f>
        <v>11001100001001100011010011011000</v>
      </c>
      <c r="G8" s="1" t="str">
        <f>MID(DEC2BIN(xor,5),4,1)</f>
        <v>0</v>
      </c>
      <c r="H8" s="1" t="s">
        <v>300</v>
      </c>
      <c r="I8" s="1" t="str">
        <f>IF(J8=1,CONCATENATE(MOD(MID(I7,1,1)+MID(ключ,1,1),2),MOD(MID(I7,2,1)+MID(ключ,2,1),2),MOD(MID(I7,3,1)+MID(ключ,3,1),2),MOD(MID(I7,4,1)+MID(ключ,4,1),2),MOD(MID(I7,5,1)+MID(ключ,5,1),2),MOD(MID(I7,6,1)+MID(ключ,6,1),2),MOD(MID(I7,7,1)+MID(ключ,7,1),2),MOD(MID(I7,8,1)+MID(ключ,8,1),2),MOD(MID(I7,9,1)+MID(ключ,1,1),2),MOD(MID(I7,10,1)+MID(ключ,2,1),2),MOD(MID(I7,11,1)+MID(ключ,3,1),2),MOD(MID(I7,12,1)+MID(ключ,4,1),2),MOD(MID(I7,13,1)+MID(ключ,5,1),2),MOD(MID(I7,14,1)+MID(ключ,6,1),2),MOD(MID(I7,15,1)+MID(ключ,7,1),2),MOD(MID(I7,16,1)+MID(ключ,8,1),2),MOD(MID(I7,17,1)+MID(ключ,1,1),2),MOD(MID(I7,18,1)+MID(ключ,2,1),2),MOD(MID(I7,19,1)+MID(ключ,3,1),2),MOD(MID(I7,20,1)+MID(ключ,4,1),2),MOD(MID(I7,21,1)+MID(ключ,5,1),2),MOD(MID(I7,22,1)+MID(ключ,6,1),2),MOD(MID(I7,23,1)+MID(ключ,7,1),2),MOD(MID(I7,24,1)+MID(ключ,8,1),2),MOD(MID(I7,25,1)+MID(ключ,1,1),2),MOD(MID(I7,26,1)+MID(ключ,2,1),2),MOD(MID(I7,27,1)+MID(ключ,3,1),2),MOD(MID(I7,28,1)+MID(ключ,4,1),2),MOD(MID(I7,29,1)+MID(ключ,5,1),2),MOD(MID(I7,30,1)+MID(ключ,6,1),2),MOD(MID(I7,31,1)+MID(ключ,7,1),2),MOD(MID(I7,32,1)+MID(ключ,8,1),2)),I7)</f>
        <v>00101100001001101101010011011000</v>
      </c>
      <c r="J8" s="1" t="str">
        <f>MID(DEC2BIN(xor,6),4,1)</f>
        <v>0</v>
      </c>
      <c r="K8" s="1" t="s">
        <v>300</v>
      </c>
      <c r="L8" s="1" t="str">
        <f>IF(M8=1,CONCATENATE(MOD(MID(L7,1,1)+MID(ключ,1,1),2),MOD(MID(L7,2,1)+MID(ключ,2,1),2),MOD(MID(L7,3,1)+MID(ключ,3,1),2),MOD(MID(L7,4,1)+MID(ключ,4,1),2),MOD(MID(L7,5,1)+MID(ключ,5,1),2),MOD(MID(L7,6,1)+MID(ключ,6,1),2),MOD(MID(L7,7,1)+MID(ключ,7,1),2),MOD(MID(L7,8,1)+MID(ключ,8,1),2),MOD(MID(L7,9,1)+MID(ключ,1,1),2),MOD(MID(L7,10,1)+MID(ключ,2,1),2),MOD(MID(L7,11,1)+MID(ключ,3,1),2),MOD(MID(L7,12,1)+MID(ключ,4,1),2),MOD(MID(L7,13,1)+MID(ключ,5,1),2),MOD(MID(L7,14,1)+MID(ключ,6,1),2),MOD(MID(L7,15,1)+MID(ключ,7,1),2),MOD(MID(L7,16,1)+MID(ключ,8,1),2),MOD(MID(L7,17,1)+MID(ключ,1,1),2),MOD(MID(L7,18,1)+MID(ключ,2,1),2),MOD(MID(L7,19,1)+MID(ключ,3,1),2),MOD(MID(L7,20,1)+MID(ключ,4,1),2),MOD(MID(L7,21,1)+MID(ключ,5,1),2),MOD(MID(L7,22,1)+MID(ключ,6,1),2),MOD(MID(L7,23,1)+MID(ключ,7,1),2),MOD(MID(L7,24,1)+MID(ключ,8,1),2),MOD(MID(L7,25,1)+MID(ключ,1,1),2),MOD(MID(L7,26,1)+MID(ключ,2,1),2),MOD(MID(L7,27,1)+MID(ключ,3,1),2),MOD(MID(L7,28,1)+MID(ключ,4,1),2),MOD(MID(L7,29,1)+MID(ключ,5,1),2),MOD(MID(L7,30,1)+MID(ключ,6,1),2),MOD(MID(L7,31,1)+MID(ключ,7,1),2),MOD(MID(L7,32,1)+MID(ключ,8,1),2)),L7)</f>
        <v>11001100001001100011010011011000</v>
      </c>
      <c r="M8" s="1" t="str">
        <f>MID(DEC2BIN(xor,5),4,1)</f>
        <v>0</v>
      </c>
      <c r="N8" s="1" t="s">
        <v>300</v>
      </c>
      <c r="O8" s="1" t="str">
        <f>IF(P8=1,CONCATENATE(MOD(MID(O7,1,1)+MID(ключ,1,1),2),MOD(MID(O7,2,1)+MID(ключ,2,1),2),MOD(MID(O7,3,1)+MID(ключ,3,1),2),MOD(MID(O7,4,1)+MID(ключ,4,1),2),MOD(MID(O7,5,1)+MID(ключ,5,1),2),MOD(MID(O7,6,1)+MID(ключ,6,1),2),MOD(MID(O7,7,1)+MID(ключ,7,1),2),MOD(MID(O7,8,1)+MID(ключ,8,1),2),MOD(MID(O7,9,1)+MID(ключ,1,1),2),MOD(MID(O7,10,1)+MID(ключ,2,1),2),MOD(MID(O7,11,1)+MID(ключ,3,1),2),MOD(MID(O7,12,1)+MID(ключ,4,1),2),MOD(MID(O7,13,1)+MID(ключ,5,1),2),MOD(MID(O7,14,1)+MID(ключ,6,1),2),MOD(MID(O7,15,1)+MID(ключ,7,1),2),MOD(MID(O7,16,1)+MID(ключ,8,1),2),MOD(MID(O7,17,1)+MID(ключ,1,1),2),MOD(MID(O7,18,1)+MID(ключ,2,1),2),MOD(MID(O7,19,1)+MID(ключ,3,1),2),MOD(MID(O7,20,1)+MID(ключ,4,1),2),MOD(MID(O7,21,1)+MID(ключ,5,1),2),MOD(MID(O7,22,1)+MID(ключ,6,1),2),MOD(MID(O7,23,1)+MID(ключ,7,1),2),MOD(MID(O7,24,1)+MID(ключ,8,1),2),MOD(MID(O7,25,1)+MID(ключ,1,1),2),MOD(MID(O7,26,1)+MID(ключ,2,1),2),MOD(MID(O7,27,1)+MID(ключ,3,1),2),MOD(MID(O7,28,1)+MID(ключ,4,1),2),MOD(MID(O7,29,1)+MID(ключ,5,1),2),MOD(MID(O7,30,1)+MID(ключ,6,1),2),MOD(MID(O7,31,1)+MID(ключ,7,1),2),MOD(MID(O7,32,1)+MID(ключ,8,1),2)),O7)</f>
        <v>01100110001100011010000111000110</v>
      </c>
      <c r="P8" s="1" t="str">
        <f>MID(DEC2BIN(xor,5),4,1)</f>
        <v>0</v>
      </c>
      <c r="Q8" s="1" t="s">
        <v>300</v>
      </c>
      <c r="R8" s="1" t="str">
        <f>IF(S8=1,CONCATENATE(MOD(MID(R7,1,1)+MID(ключ,1,1),2),MOD(MID(R7,2,1)+MID(ключ,2,1),2),MOD(MID(R7,3,1)+MID(ключ,3,1),2),MOD(MID(R7,4,1)+MID(ключ,4,1),2),MOD(MID(R7,5,1)+MID(ключ,5,1),2),MOD(MID(R7,6,1)+MID(ключ,6,1),2),MOD(MID(R7,7,1)+MID(ключ,7,1),2),MOD(MID(R7,8,1)+MID(ключ,8,1),2),MOD(MID(R7,9,1)+MID(ключ,1,1),2),MOD(MID(R7,10,1)+MID(ключ,2,1),2),MOD(MID(R7,11,1)+MID(ключ,3,1),2),MOD(MID(R7,12,1)+MID(ключ,4,1),2),MOD(MID(R7,13,1)+MID(ключ,5,1),2),MOD(MID(R7,14,1)+MID(ключ,6,1),2),MOD(MID(R7,15,1)+MID(ключ,7,1),2),MOD(MID(R7,16,1)+MID(ключ,8,1),2),MOD(MID(R7,17,1)+MID(ключ,1,1),2),MOD(MID(R7,18,1)+MID(ключ,2,1),2),MOD(MID(R7,19,1)+MID(ключ,3,1),2),MOD(MID(R7,20,1)+MID(ключ,4,1),2),MOD(MID(R7,21,1)+MID(ключ,5,1),2),MOD(MID(R7,22,1)+MID(ключ,6,1),2),MOD(MID(R7,23,1)+MID(ключ,7,1),2),MOD(MID(R7,24,1)+MID(ключ,8,1),2),MOD(MID(R7,25,1)+MID(ключ,1,1),2),MOD(MID(R7,26,1)+MID(ключ,2,1),2),MOD(MID(R7,27,1)+MID(ключ,3,1),2),MOD(MID(R7,28,1)+MID(ключ,4,1),2),MOD(MID(R7,29,1)+MID(ключ,5,1),2),MOD(MID(R7,30,1)+MID(ключ,6,1),2),MOD(MID(R7,31,1)+MID(ключ,7,1),2),MOD(MID(R7,32,1)+MID(ключ,8,1),2)),R7)</f>
        <v>10011010110110111000010100000100</v>
      </c>
      <c r="S8" s="1" t="str">
        <f>MID(DEC2BIN(xor,8),4,1)</f>
        <v>0</v>
      </c>
    </row>
    <row r="9" spans="1:19" x14ac:dyDescent="0.35">
      <c r="B9" s="1" t="s">
        <v>301</v>
      </c>
      <c r="C9" s="1" t="str">
        <f>IF(C8=рез,"ВЕРНО","ОШИБКА")</f>
        <v>ОШИБКА</v>
      </c>
      <c r="E9" s="1" t="s">
        <v>292</v>
      </c>
      <c r="F9" s="1" t="str">
        <f>CONCATENATE(MID(F8,25,3),MID(F8,4,5),MID(F8,1,3),MID(F8,12,5),MID(F8,9,3),MID(F8,20,5),MID(F8,17,3),MID(F8,28,5))</f>
        <v>11001100110001100011010000111000</v>
      </c>
      <c r="H9" s="1" t="s">
        <v>292</v>
      </c>
      <c r="I9" s="1" t="str">
        <f>CONCATENATE(MID(I8,25,3),MID(I8,4,5),MID(I8,1,3),MID(I8,12,5),MID(I8,9,3),MID(I8,20,5),MID(I8,17,3),MID(I8,28,5))</f>
        <v>11001100001001100011010011011000</v>
      </c>
      <c r="K9" s="1" t="s">
        <v>292</v>
      </c>
      <c r="L9" s="1" t="str">
        <f>CONCATENATE(MID(L8,25,3),MID(L8,4,5),MID(L8,1,3),MID(L8,12,5),MID(L8,9,3),MID(L8,20,5),MID(L8,17,3),MID(L8,28,5))</f>
        <v>11001100110001100011010000111000</v>
      </c>
      <c r="N9" s="1" t="s">
        <v>292</v>
      </c>
      <c r="O9" s="1" t="str">
        <f>CONCATENATE(MID(O8,30,3),MID(O8,1,29))</f>
        <v>11001100110001100011010000111000</v>
      </c>
      <c r="Q9" s="1" t="s">
        <v>292</v>
      </c>
      <c r="R9" s="1" t="str">
        <f>CONCATENATE(MID(R8,28,5),MID(R8,1,27))</f>
        <v>00100100110101101101110000101000</v>
      </c>
    </row>
    <row r="10" spans="1:19" x14ac:dyDescent="0.35">
      <c r="E10" s="1" t="s">
        <v>300</v>
      </c>
      <c r="F10" s="1" t="str">
        <f>IF(G10=1,CONCATENATE(MOD(MID(F9,1,1)+MID(ключ,1,1),2),MOD(MID(F9,2,1)+MID(ключ,2,1),2),MOD(MID(F9,3,1)+MID(ключ,3,1),2),MOD(MID(F9,4,1)+MID(ключ,4,1),2),MOD(MID(F9,5,1)+MID(ключ,5,1),2),MOD(MID(F9,6,1)+MID(ключ,6,1),2),MOD(MID(F9,7,1)+MID(ключ,7,1),2),MOD(MID(F9,8,1)+MID(ключ,8,1),2),MOD(MID(F9,9,1)+MID(ключ,1,1),2),MOD(MID(F9,10,1)+MID(ключ,2,1),2),MOD(MID(F9,11,1)+MID(ключ,3,1),2),MOD(MID(F9,12,1)+MID(ключ,4,1),2),MOD(MID(F9,13,1)+MID(ключ,5,1),2),MOD(MID(F9,14,1)+MID(ключ,6,1),2),MOD(MID(F9,15,1)+MID(ключ,7,1),2),MOD(MID(F9,16,1)+MID(ключ,8,1),2),MOD(MID(F9,17,1)+MID(ключ,1,1),2),MOD(MID(F9,18,1)+MID(ключ,2,1),2),MOD(MID(F9,19,1)+MID(ключ,3,1),2),MOD(MID(F9,20,1)+MID(ключ,4,1),2),MOD(MID(F9,21,1)+MID(ключ,5,1),2),MOD(MID(F9,22,1)+MID(ключ,6,1),2),MOD(MID(F9,23,1)+MID(ключ,7,1),2),MOD(MID(F9,24,1)+MID(ключ,8,1),2),MOD(MID(F9,25,1)+MID(ключ,1,1),2),MOD(MID(F9,26,1)+MID(ключ,2,1),2),MOD(MID(F9,27,1)+MID(ключ,3,1),2),MOD(MID(F9,28,1)+MID(ключ,4,1),2),MOD(MID(F9,29,1)+MID(ключ,5,1),2),MOD(MID(F9,30,1)+MID(ключ,6,1),2),MOD(MID(F9,31,1)+MID(ключ,7,1),2),MOD(MID(F9,32,1)+MID(ключ,8,1),2)),F9)</f>
        <v>11001100110001100011010000111000</v>
      </c>
      <c r="G10" s="1" t="str">
        <f>MID(DEC2BIN(xor,5),5,1)</f>
        <v>0</v>
      </c>
      <c r="H10" s="1" t="s">
        <v>300</v>
      </c>
      <c r="I10" s="1" t="str">
        <f>IF(J10=1,CONCATENATE(MOD(MID(I9,1,1)+MID(ключ,1,1),2),MOD(MID(I9,2,1)+MID(ключ,2,1),2),MOD(MID(I9,3,1)+MID(ключ,3,1),2),MOD(MID(I9,4,1)+MID(ключ,4,1),2),MOD(MID(I9,5,1)+MID(ключ,5,1),2),MOD(MID(I9,6,1)+MID(ключ,6,1),2),MOD(MID(I9,7,1)+MID(ключ,7,1),2),MOD(MID(I9,8,1)+MID(ключ,8,1),2),MOD(MID(I9,9,1)+MID(ключ,1,1),2),MOD(MID(I9,10,1)+MID(ключ,2,1),2),MOD(MID(I9,11,1)+MID(ключ,3,1),2),MOD(MID(I9,12,1)+MID(ключ,4,1),2),MOD(MID(I9,13,1)+MID(ключ,5,1),2),MOD(MID(I9,14,1)+MID(ключ,6,1),2),MOD(MID(I9,15,1)+MID(ключ,7,1),2),MOD(MID(I9,16,1)+MID(ключ,8,1),2),MOD(MID(I9,17,1)+MID(ключ,1,1),2),MOD(MID(I9,18,1)+MID(ключ,2,1),2),MOD(MID(I9,19,1)+MID(ключ,3,1),2),MOD(MID(I9,20,1)+MID(ключ,4,1),2),MOD(MID(I9,21,1)+MID(ключ,5,1),2),MOD(MID(I9,22,1)+MID(ключ,6,1),2),MOD(MID(I9,23,1)+MID(ключ,7,1),2),MOD(MID(I9,24,1)+MID(ключ,8,1),2),MOD(MID(I9,25,1)+MID(ключ,1,1),2),MOD(MID(I9,26,1)+MID(ключ,2,1),2),MOD(MID(I9,27,1)+MID(ключ,3,1),2),MOD(MID(I9,28,1)+MID(ключ,4,1),2),MOD(MID(I9,29,1)+MID(ключ,5,1),2),MOD(MID(I9,30,1)+MID(ключ,6,1),2),MOD(MID(I9,31,1)+MID(ключ,7,1),2),MOD(MID(I9,32,1)+MID(ключ,8,1),2)),I9)</f>
        <v>11001100001001100011010011011000</v>
      </c>
      <c r="J10" s="1" t="str">
        <f>MID(DEC2BIN(xor,6),5,1)</f>
        <v>0</v>
      </c>
      <c r="K10" s="1" t="s">
        <v>300</v>
      </c>
      <c r="L10" s="1" t="str">
        <f>IF(M10=1,CONCATENATE(MOD(MID(L9,1,1)+MID(ключ,1,1),2),MOD(MID(L9,2,1)+MID(ключ,2,1),2),MOD(MID(L9,3,1)+MID(ключ,3,1),2),MOD(MID(L9,4,1)+MID(ключ,4,1),2),MOD(MID(L9,5,1)+MID(ключ,5,1),2),MOD(MID(L9,6,1)+MID(ключ,6,1),2),MOD(MID(L9,7,1)+MID(ключ,7,1),2),MOD(MID(L9,8,1)+MID(ключ,8,1),2),MOD(MID(L9,9,1)+MID(ключ,1,1),2),MOD(MID(L9,10,1)+MID(ключ,2,1),2),MOD(MID(L9,11,1)+MID(ключ,3,1),2),MOD(MID(L9,12,1)+MID(ключ,4,1),2),MOD(MID(L9,13,1)+MID(ключ,5,1),2),MOD(MID(L9,14,1)+MID(ключ,6,1),2),MOD(MID(L9,15,1)+MID(ключ,7,1),2),MOD(MID(L9,16,1)+MID(ключ,8,1),2),MOD(MID(L9,17,1)+MID(ключ,1,1),2),MOD(MID(L9,18,1)+MID(ключ,2,1),2),MOD(MID(L9,19,1)+MID(ключ,3,1),2),MOD(MID(L9,20,1)+MID(ключ,4,1),2),MOD(MID(L9,21,1)+MID(ключ,5,1),2),MOD(MID(L9,22,1)+MID(ключ,6,1),2),MOD(MID(L9,23,1)+MID(ключ,7,1),2),MOD(MID(L9,24,1)+MID(ключ,8,1),2),MOD(MID(L9,25,1)+MID(ключ,1,1),2),MOD(MID(L9,26,1)+MID(ключ,2,1),2),MOD(MID(L9,27,1)+MID(ключ,3,1),2),MOD(MID(L9,28,1)+MID(ключ,4,1),2),MOD(MID(L9,29,1)+MID(ключ,5,1),2),MOD(MID(L9,30,1)+MID(ключ,6,1),2),MOD(MID(L9,31,1)+MID(ключ,7,1),2),MOD(MID(L9,32,1)+MID(ключ,8,1),2)),L9)</f>
        <v>11001100110001100011010000111000</v>
      </c>
      <c r="M10" s="1" t="str">
        <f>MID(DEC2BIN(xor,5),5,1)</f>
        <v>0</v>
      </c>
      <c r="N10" s="1" t="s">
        <v>300</v>
      </c>
      <c r="O10" s="1" t="str">
        <f>IF(P10=1,CONCATENATE(MOD(MID(O9,1,1)+MID(ключ,1,1),2),MOD(MID(O9,2,1)+MID(ключ,2,1),2),MOD(MID(O9,3,1)+MID(ключ,3,1),2),MOD(MID(O9,4,1)+MID(ключ,4,1),2),MOD(MID(O9,5,1)+MID(ключ,5,1),2),MOD(MID(O9,6,1)+MID(ключ,6,1),2),MOD(MID(O9,7,1)+MID(ключ,7,1),2),MOD(MID(O9,8,1)+MID(ключ,8,1),2),MOD(MID(O9,9,1)+MID(ключ,1,1),2),MOD(MID(O9,10,1)+MID(ключ,2,1),2),MOD(MID(O9,11,1)+MID(ключ,3,1),2),MOD(MID(O9,12,1)+MID(ключ,4,1),2),MOD(MID(O9,13,1)+MID(ключ,5,1),2),MOD(MID(O9,14,1)+MID(ключ,6,1),2),MOD(MID(O9,15,1)+MID(ключ,7,1),2),MOD(MID(O9,16,1)+MID(ключ,8,1),2),MOD(MID(O9,17,1)+MID(ключ,1,1),2),MOD(MID(O9,18,1)+MID(ключ,2,1),2),MOD(MID(O9,19,1)+MID(ключ,3,1),2),MOD(MID(O9,20,1)+MID(ключ,4,1),2),MOD(MID(O9,21,1)+MID(ключ,5,1),2),MOD(MID(O9,22,1)+MID(ключ,6,1),2),MOD(MID(O9,23,1)+MID(ключ,7,1),2),MOD(MID(O9,24,1)+MID(ключ,8,1),2),MOD(MID(O9,25,1)+MID(ключ,1,1),2),MOD(MID(O9,26,1)+MID(ключ,2,1),2),MOD(MID(O9,27,1)+MID(ключ,3,1),2),MOD(MID(O9,28,1)+MID(ключ,4,1),2),MOD(MID(O9,29,1)+MID(ключ,5,1),2),MOD(MID(O9,30,1)+MID(ключ,6,1),2),MOD(MID(O9,31,1)+MID(ключ,7,1),2),MOD(MID(O9,32,1)+MID(ключ,8,1),2)),O9)</f>
        <v>11001100110001100011010000111000</v>
      </c>
      <c r="P10" s="1" t="str">
        <f>MID(DEC2BIN(xor,5),5,1)</f>
        <v>0</v>
      </c>
      <c r="Q10" s="1" t="s">
        <v>300</v>
      </c>
      <c r="R10" s="1" t="str">
        <f>IF(S10=1,CONCATENATE(MOD(MID(R9,1,1)+MID(ключ,1,1),2),MOD(MID(R9,2,1)+MID(ключ,2,1),2),MOD(MID(R9,3,1)+MID(ключ,3,1),2),MOD(MID(R9,4,1)+MID(ключ,4,1),2),MOD(MID(R9,5,1)+MID(ключ,5,1),2),MOD(MID(R9,6,1)+MID(ключ,6,1),2),MOD(MID(R9,7,1)+MID(ключ,7,1),2),MOD(MID(R9,8,1)+MID(ключ,8,1),2),MOD(MID(R9,9,1)+MID(ключ,1,1),2),MOD(MID(R9,10,1)+MID(ключ,2,1),2),MOD(MID(R9,11,1)+MID(ключ,3,1),2),MOD(MID(R9,12,1)+MID(ключ,4,1),2),MOD(MID(R9,13,1)+MID(ключ,5,1),2),MOD(MID(R9,14,1)+MID(ключ,6,1),2),MOD(MID(R9,15,1)+MID(ключ,7,1),2),MOD(MID(R9,16,1)+MID(ключ,8,1),2),MOD(MID(R9,17,1)+MID(ключ,1,1),2),MOD(MID(R9,18,1)+MID(ключ,2,1),2),MOD(MID(R9,19,1)+MID(ключ,3,1),2),MOD(MID(R9,20,1)+MID(ключ,4,1),2),MOD(MID(R9,21,1)+MID(ключ,5,1),2),MOD(MID(R9,22,1)+MID(ключ,6,1),2),MOD(MID(R9,23,1)+MID(ключ,7,1),2),MOD(MID(R9,24,1)+MID(ключ,8,1),2),MOD(MID(R9,25,1)+MID(ключ,1,1),2),MOD(MID(R9,26,1)+MID(ключ,2,1),2),MOD(MID(R9,27,1)+MID(ключ,3,1),2),MOD(MID(R9,28,1)+MID(ключ,4,1),2),MOD(MID(R9,29,1)+MID(ключ,5,1),2),MOD(MID(R9,30,1)+MID(ключ,6,1),2),MOD(MID(R9,31,1)+MID(ключ,7,1),2),MOD(MID(R9,32,1)+MID(ключ,8,1),2)),R9)</f>
        <v>00100100110101101101110000101000</v>
      </c>
      <c r="S10" s="1" t="str">
        <f>MID(DEC2BIN(xor,8),5,1)</f>
        <v>0</v>
      </c>
    </row>
    <row r="11" spans="1:19" x14ac:dyDescent="0.35">
      <c r="E11" s="1" t="s">
        <v>301</v>
      </c>
      <c r="F11" s="1" t="str">
        <f>IF(F10=рез,"ВЕРНО","ОШИБКА")</f>
        <v>ОШИБКА</v>
      </c>
      <c r="H11" s="1" t="s">
        <v>293</v>
      </c>
      <c r="I11" s="1" t="str">
        <f>CONCATENATE(MID(I10,25,3),MID(I10,4,5),MID(I10,1,3),MID(I10,12,5),MID(I10,9,3),MID(I10,20,5),MID(I10,17,3),MID(I10,28,5))</f>
        <v>11001100110001100011010000111000</v>
      </c>
      <c r="K11" s="1" t="s">
        <v>301</v>
      </c>
      <c r="L11" s="1" t="str">
        <f>IF(L10=рез,"ВЕРНО","ОШИБКА")</f>
        <v>ОШИБКА</v>
      </c>
      <c r="N11" s="1" t="s">
        <v>301</v>
      </c>
      <c r="O11" s="1" t="str">
        <f>IF(O10=рез,"ВЕРНО","ОШИБКА")</f>
        <v>ОШИБКА</v>
      </c>
      <c r="Q11" s="1" t="s">
        <v>293</v>
      </c>
      <c r="R11" s="1" t="str">
        <f>CONCATENATE(MID(R10,30,3),MID(R10,1,29))</f>
        <v>00000100100110101101101110000101</v>
      </c>
    </row>
    <row r="12" spans="1:19" x14ac:dyDescent="0.35">
      <c r="A12" s="65" t="s">
        <v>302</v>
      </c>
      <c r="B12" s="65">
        <v>0</v>
      </c>
      <c r="H12" s="1" t="s">
        <v>300</v>
      </c>
      <c r="I12" s="1" t="str">
        <f>IF(J12=1,CONCATENATE(MOD(MID(I11,1,1)+MID(ключ,1,1),2),MOD(MID(I11,2,1)+MID(ключ,2,1),2),MOD(MID(I11,3,1)+MID(ключ,3,1),2),MOD(MID(I11,4,1)+MID(ключ,4,1),2),MOD(MID(I11,5,1)+MID(ключ,5,1),2),MOD(MID(I11,6,1)+MID(ключ,6,1),2),MOD(MID(I11,7,1)+MID(ключ,7,1),2),MOD(MID(I11,8,1)+MID(ключ,8,1),2),MOD(MID(I11,9,1)+MID(ключ,1,1),2),MOD(MID(I11,10,1)+MID(ключ,2,1),2),MOD(MID(I11,11,1)+MID(ключ,3,1),2),MOD(MID(I11,12,1)+MID(ключ,4,1),2),MOD(MID(I11,13,1)+MID(ключ,5,1),2),MOD(MID(I11,14,1)+MID(ключ,6,1),2),MOD(MID(I11,15,1)+MID(ключ,7,1),2),MOD(MID(I11,16,1)+MID(ключ,8,1),2),MOD(MID(I11,17,1)+MID(ключ,1,1),2),MOD(MID(I11,18,1)+MID(ключ,2,1),2),MOD(MID(I11,19,1)+MID(ключ,3,1),2),MOD(MID(I11,20,1)+MID(ключ,4,1),2),MOD(MID(I11,21,1)+MID(ключ,5,1),2),MOD(MID(I11,22,1)+MID(ключ,6,1),2),MOD(MID(I11,23,1)+MID(ключ,7,1),2),MOD(MID(I11,24,1)+MID(ключ,8,1),2),MOD(MID(I11,25,1)+MID(ключ,1,1),2),MOD(MID(I11,26,1)+MID(ключ,2,1),2),MOD(MID(I11,27,1)+MID(ключ,3,1),2),MOD(MID(I11,28,1)+MID(ключ,4,1),2),MOD(MID(I11,29,1)+MID(ключ,5,1),2),MOD(MID(I11,30,1)+MID(ключ,6,1),2),MOD(MID(I11,31,1)+MID(ключ,7,1),2),MOD(MID(I11,32,1)+MID(ключ,8,1),2)),I11)</f>
        <v>11001100110001100011010000111000</v>
      </c>
      <c r="J12" s="1" t="str">
        <f>MID(DEC2BIN(xor,6),6,1)</f>
        <v>0</v>
      </c>
      <c r="Q12" s="1" t="s">
        <v>300</v>
      </c>
      <c r="R12" s="1" t="str">
        <f>IF(S12=1,CONCATENATE(MOD(MID(R11,1,1)+MID(ключ,1,1),2),MOD(MID(R11,2,1)+MID(ключ,2,1),2),MOD(MID(R11,3,1)+MID(ключ,3,1),2),MOD(MID(R11,4,1)+MID(ключ,4,1),2),MOD(MID(R11,5,1)+MID(ключ,5,1),2),MOD(MID(R11,6,1)+MID(ключ,6,1),2),MOD(MID(R11,7,1)+MID(ключ,7,1),2),MOD(MID(R11,8,1)+MID(ключ,8,1),2),MOD(MID(R11,9,1)+MID(ключ,1,1),2),MOD(MID(R11,10,1)+MID(ключ,2,1),2),MOD(MID(R11,11,1)+MID(ключ,3,1),2),MOD(MID(R11,12,1)+MID(ключ,4,1),2),MOD(MID(R11,13,1)+MID(ключ,5,1),2),MOD(MID(R11,14,1)+MID(ключ,6,1),2),MOD(MID(R11,15,1)+MID(ключ,7,1),2),MOD(MID(R11,16,1)+MID(ключ,8,1),2),MOD(MID(R11,17,1)+MID(ключ,1,1),2),MOD(MID(R11,18,1)+MID(ключ,2,1),2),MOD(MID(R11,19,1)+MID(ключ,3,1),2),MOD(MID(R11,20,1)+MID(ключ,4,1),2),MOD(MID(R11,21,1)+MID(ключ,5,1),2),MOD(MID(R11,22,1)+MID(ключ,6,1),2),MOD(MID(R11,23,1)+MID(ключ,7,1),2),MOD(MID(R11,24,1)+MID(ключ,8,1),2),MOD(MID(R11,25,1)+MID(ключ,1,1),2),MOD(MID(R11,26,1)+MID(ключ,2,1),2),MOD(MID(R11,27,1)+MID(ключ,3,1),2),MOD(MID(R11,28,1)+MID(ключ,4,1),2),MOD(MID(R11,29,1)+MID(ключ,5,1),2),MOD(MID(R11,30,1)+MID(ключ,6,1),2),MOD(MID(R11,31,1)+MID(ключ,7,1),2),MOD(MID(R11,32,1)+MID(ключ,8,1),2)),R11)</f>
        <v>00000100100110101101101110000101</v>
      </c>
      <c r="S12" s="1" t="str">
        <f>MID(DEC2BIN(xor,8),6,1)</f>
        <v>0</v>
      </c>
    </row>
    <row r="13" spans="1:19" x14ac:dyDescent="0.35">
      <c r="H13" s="1" t="s">
        <v>301</v>
      </c>
      <c r="I13" s="1" t="str">
        <f>IF(I12=рез,"ВЕРНО","ОШИБКА")</f>
        <v>ОШИБКА</v>
      </c>
      <c r="Q13" s="1" t="s">
        <v>298</v>
      </c>
      <c r="R13" s="1" t="str">
        <f>CONCATENATE(MID(R12,25,3),MID(R12,4,5),MID(R12,1,3),MID(R12,12,5),MID(R12,9,3),MID(R12,20,5),MID(R12,17,3),MID(R12,28,5))</f>
        <v>10000100000110101001101111000101</v>
      </c>
    </row>
    <row r="14" spans="1:19" x14ac:dyDescent="0.35">
      <c r="A14" s="1" t="s">
        <v>307</v>
      </c>
      <c r="B14" s="1" t="s">
        <v>306</v>
      </c>
      <c r="Q14" s="1" t="s">
        <v>300</v>
      </c>
      <c r="R14" s="1" t="str">
        <f>IF(S14=1,CONCATENATE(MOD(MID(R13,1,1)+MID(ключ,1,1),2),MOD(MID(R13,2,1)+MID(ключ,2,1),2),MOD(MID(R13,3,1)+MID(ключ,3,1),2),MOD(MID(R13,4,1)+MID(ключ,4,1),2),MOD(MID(R13,5,1)+MID(ключ,5,1),2),MOD(MID(R13,6,1)+MID(ключ,6,1),2),MOD(MID(R13,7,1)+MID(ключ,7,1),2),MOD(MID(R13,8,1)+MID(ключ,8,1),2),MOD(MID(R13,9,1)+MID(ключ,1,1),2),MOD(MID(R13,10,1)+MID(ключ,2,1),2),MOD(MID(R13,11,1)+MID(ключ,3,1),2),MOD(MID(R13,12,1)+MID(ключ,4,1),2),MOD(MID(R13,13,1)+MID(ключ,5,1),2),MOD(MID(R13,14,1)+MID(ключ,6,1),2),MOD(MID(R13,15,1)+MID(ключ,7,1),2),MOD(MID(R13,16,1)+MID(ключ,8,1),2),MOD(MID(R13,17,1)+MID(ключ,1,1),2),MOD(MID(R13,18,1)+MID(ключ,2,1),2),MOD(MID(R13,19,1)+MID(ключ,3,1),2),MOD(MID(R13,20,1)+MID(ключ,4,1),2),MOD(MID(R13,21,1)+MID(ключ,5,1),2),MOD(MID(R13,22,1)+MID(ключ,6,1),2),MOD(MID(R13,23,1)+MID(ключ,7,1),2),MOD(MID(R13,24,1)+MID(ключ,8,1),2),MOD(MID(R13,25,1)+MID(ключ,1,1),2),MOD(MID(R13,26,1)+MID(ключ,2,1),2),MOD(MID(R13,27,1)+MID(ключ,3,1),2),MOD(MID(R13,28,1)+MID(ключ,4,1),2),MOD(MID(R13,29,1)+MID(ключ,5,1),2),MOD(MID(R13,30,1)+MID(ключ,6,1),2),MOD(MID(R13,31,1)+MID(ключ,7,1),2),MOD(MID(R13,32,1)+MID(ключ,8,1),2)),R13)</f>
        <v>10000100000110101001101111000101</v>
      </c>
      <c r="S14" s="1" t="str">
        <f>MID(DEC2BIN(xor,8),7,1)</f>
        <v>0</v>
      </c>
    </row>
    <row r="15" spans="1:19" x14ac:dyDescent="0.35">
      <c r="A15" s="1">
        <v>10</v>
      </c>
      <c r="B15" s="1" t="str">
        <f>BIN2HEX(A15,2)</f>
        <v>02</v>
      </c>
      <c r="Q15" s="1" t="s">
        <v>299</v>
      </c>
      <c r="R15" s="1" t="str">
        <f>CONCATENATE(MID(R14,25,3),MID(R14,4,5),MID(R14,1,3),MID(R14,12,5),MID(R14,9,3),MID(R14,20,5),MID(R14,17,3),MID(R14,28,5))</f>
        <v>11000100100110100001101110000101</v>
      </c>
    </row>
    <row r="16" spans="1:19" x14ac:dyDescent="0.35">
      <c r="A16" s="1">
        <v>100</v>
      </c>
      <c r="B16" s="1" t="str">
        <f t="shared" ref="B16:B21" si="0">BIN2HEX(A16,2)</f>
        <v>04</v>
      </c>
      <c r="Q16" s="1" t="s">
        <v>300</v>
      </c>
      <c r="R16" s="1" t="str">
        <f>IF(S16=1,CONCATENATE(MOD(MID(R15,1,1)+MID(ключ,1,1),2),MOD(MID(R15,2,1)+MID(ключ,2,1),2),MOD(MID(R15,3,1)+MID(ключ,3,1),2),MOD(MID(R15,4,1)+MID(ключ,4,1),2),MOD(MID(R15,5,1)+MID(ключ,5,1),2),MOD(MID(R15,6,1)+MID(ключ,6,1),2),MOD(MID(R15,7,1)+MID(ключ,7,1),2),MOD(MID(R15,8,1)+MID(ключ,8,1),2),MOD(MID(R15,9,1)+MID(ключ,1,1),2),MOD(MID(R15,10,1)+MID(ключ,2,1),2),MOD(MID(R15,11,1)+MID(ключ,3,1),2),MOD(MID(R15,12,1)+MID(ключ,4,1),2),MOD(MID(R15,13,1)+MID(ключ,5,1),2),MOD(MID(R15,14,1)+MID(ключ,6,1),2),MOD(MID(R15,15,1)+MID(ключ,7,1),2),MOD(MID(R15,16,1)+MID(ключ,8,1),2),MOD(MID(R15,17,1)+MID(ключ,1,1),2),MOD(MID(R15,18,1)+MID(ключ,2,1),2),MOD(MID(R15,19,1)+MID(ключ,3,1),2),MOD(MID(R15,20,1)+MID(ключ,4,1),2),MOD(MID(R15,21,1)+MID(ключ,5,1),2),MOD(MID(R15,22,1)+MID(ключ,6,1),2),MOD(MID(R15,23,1)+MID(ключ,7,1),2),MOD(MID(R15,24,1)+MID(ключ,8,1),2),MOD(MID(R15,25,1)+MID(ключ,1,1),2),MOD(MID(R15,26,1)+MID(ключ,2,1),2),MOD(MID(R15,27,1)+MID(ключ,3,1),2),MOD(MID(R15,28,1)+MID(ключ,4,1),2),MOD(MID(R15,29,1)+MID(ключ,5,1),2),MOD(MID(R15,30,1)+MID(ключ,6,1),2),MOD(MID(R15,31,1)+MID(ключ,7,1),2),MOD(MID(R15,32,1)+MID(ключ,8,1),2)),R15)</f>
        <v>11000100100110100001101110000101</v>
      </c>
      <c r="S16" s="1" t="str">
        <f>MID(DEC2BIN(xor,8),8,1)</f>
        <v>0</v>
      </c>
    </row>
    <row r="17" spans="1:18" x14ac:dyDescent="0.35">
      <c r="A17" s="1">
        <v>1000</v>
      </c>
      <c r="B17" s="1" t="str">
        <f t="shared" si="0"/>
        <v>08</v>
      </c>
      <c r="Q17" s="1" t="s">
        <v>301</v>
      </c>
      <c r="R17" s="1" t="str">
        <f>IF(R16=рез,"ВЕРНО","ОШИБКА")</f>
        <v>ОШИБКА</v>
      </c>
    </row>
    <row r="18" spans="1:18" x14ac:dyDescent="0.35">
      <c r="A18" s="1">
        <v>10000</v>
      </c>
      <c r="B18" s="1" t="str">
        <f t="shared" si="0"/>
        <v>10</v>
      </c>
    </row>
    <row r="19" spans="1:18" x14ac:dyDescent="0.35">
      <c r="A19" s="1">
        <v>100000</v>
      </c>
      <c r="B19" s="1" t="str">
        <f t="shared" si="0"/>
        <v>20</v>
      </c>
    </row>
    <row r="20" spans="1:18" x14ac:dyDescent="0.35">
      <c r="A20" s="1">
        <v>1000000</v>
      </c>
      <c r="B20" s="1" t="str">
        <f t="shared" si="0"/>
        <v>40</v>
      </c>
    </row>
    <row r="21" spans="1:18" x14ac:dyDescent="0.35">
      <c r="A21" s="1">
        <v>10000000</v>
      </c>
      <c r="B21" s="1" t="str">
        <f t="shared" si="0"/>
        <v>80</v>
      </c>
    </row>
    <row r="24" spans="1:18" x14ac:dyDescent="0.35">
      <c r="R24" s="1" t="s">
        <v>303</v>
      </c>
    </row>
  </sheetData>
  <mergeCells count="6">
    <mergeCell ref="Q1:R1"/>
    <mergeCell ref="B1:C1"/>
    <mergeCell ref="E1:F1"/>
    <mergeCell ref="H1:I1"/>
    <mergeCell ref="K1:L1"/>
    <mergeCell ref="N1:O1"/>
  </mergeCells>
  <conditionalFormatting sqref="C9">
    <cfRule type="expression" dxfId="23" priority="11">
      <formula>C9="ВЕРНО"</formula>
    </cfRule>
    <cfRule type="expression" dxfId="22" priority="12">
      <formula>C9="ОШИБКА"</formula>
    </cfRule>
  </conditionalFormatting>
  <conditionalFormatting sqref="F11">
    <cfRule type="expression" dxfId="21" priority="9">
      <formula>F11="ВЕРНО"</formula>
    </cfRule>
    <cfRule type="expression" dxfId="20" priority="10">
      <formula>F11="ОШИБКА"</formula>
    </cfRule>
  </conditionalFormatting>
  <conditionalFormatting sqref="I13">
    <cfRule type="expression" dxfId="19" priority="7">
      <formula>I13="ВЕРНО"</formula>
    </cfRule>
    <cfRule type="expression" dxfId="18" priority="8">
      <formula>I13="ОШИБКА"</formula>
    </cfRule>
  </conditionalFormatting>
  <conditionalFormatting sqref="L11">
    <cfRule type="expression" dxfId="17" priority="5">
      <formula>L11="ВЕРНО"</formula>
    </cfRule>
    <cfRule type="expression" dxfId="16" priority="6">
      <formula>L11="ОШИБКА"</formula>
    </cfRule>
  </conditionalFormatting>
  <conditionalFormatting sqref="O11">
    <cfRule type="expression" dxfId="15" priority="3">
      <formula>O11="ВЕРНО"</formula>
    </cfRule>
    <cfRule type="expression" dxfId="14" priority="4">
      <formula>O11="ОШИБКА"</formula>
    </cfRule>
  </conditionalFormatting>
  <conditionalFormatting sqref="R17">
    <cfRule type="expression" dxfId="13" priority="1">
      <formula>R17="ВЕРНО"</formula>
    </cfRule>
    <cfRule type="expression" dxfId="12" priority="2">
      <formula>R17="ОШИБКА"</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T18"/>
  <sheetViews>
    <sheetView zoomScale="130" zoomScaleNormal="130" workbookViewId="0">
      <selection activeCell="R20" sqref="R20"/>
    </sheetView>
  </sheetViews>
  <sheetFormatPr defaultRowHeight="14.4" x14ac:dyDescent="0.3"/>
  <cols>
    <col min="1" max="1" width="40.88671875" bestFit="1" customWidth="1"/>
    <col min="2" max="2" width="11.33203125" bestFit="1" customWidth="1"/>
    <col min="3" max="3" width="45.6640625" bestFit="1" customWidth="1"/>
    <col min="4" max="4" width="18.21875" bestFit="1" customWidth="1"/>
    <col min="5" max="5" width="11.33203125" bestFit="1" customWidth="1"/>
    <col min="6" max="6" width="45.6640625" bestFit="1" customWidth="1"/>
    <col min="7" max="7" width="18.21875" bestFit="1" customWidth="1"/>
    <col min="8" max="8" width="11.33203125" bestFit="1" customWidth="1"/>
    <col min="9" max="9" width="45.6640625" bestFit="1" customWidth="1"/>
    <col min="10" max="10" width="18.21875" bestFit="1" customWidth="1"/>
    <col min="11" max="11" width="11.33203125" bestFit="1" customWidth="1"/>
    <col min="12" max="12" width="45.6640625" bestFit="1" customWidth="1"/>
    <col min="13" max="13" width="18.21875" bestFit="1" customWidth="1"/>
    <col min="14" max="14" width="11.33203125" bestFit="1" customWidth="1"/>
    <col min="15" max="15" width="45.6640625" bestFit="1" customWidth="1"/>
    <col min="16" max="16" width="18.21875" bestFit="1" customWidth="1"/>
    <col min="17" max="17" width="11.33203125" bestFit="1" customWidth="1"/>
    <col min="18" max="18" width="40.88671875" bestFit="1" customWidth="1"/>
    <col min="19" max="19" width="18.21875" bestFit="1" customWidth="1"/>
  </cols>
  <sheetData>
    <row r="1" spans="1:20" ht="18" x14ac:dyDescent="0.35">
      <c r="A1" s="1" t="s">
        <v>311</v>
      </c>
      <c r="B1" s="94" t="s">
        <v>286</v>
      </c>
      <c r="C1" s="94"/>
      <c r="D1" s="1" t="s">
        <v>305</v>
      </c>
      <c r="E1" s="94" t="s">
        <v>291</v>
      </c>
      <c r="F1" s="94"/>
      <c r="G1" s="1" t="s">
        <v>305</v>
      </c>
      <c r="H1" s="94" t="s">
        <v>294</v>
      </c>
      <c r="I1" s="94"/>
      <c r="J1" s="1" t="s">
        <v>305</v>
      </c>
      <c r="K1" s="94" t="s">
        <v>295</v>
      </c>
      <c r="L1" s="94"/>
      <c r="M1" s="1" t="s">
        <v>305</v>
      </c>
      <c r="N1" s="94" t="s">
        <v>296</v>
      </c>
      <c r="O1" s="94"/>
      <c r="P1" s="1" t="s">
        <v>305</v>
      </c>
      <c r="Q1" s="94" t="s">
        <v>297</v>
      </c>
      <c r="R1" s="94"/>
      <c r="S1" s="1" t="s">
        <v>305</v>
      </c>
    </row>
    <row r="2" spans="1:20" ht="18" x14ac:dyDescent="0.35">
      <c r="A2" s="1" t="s">
        <v>312</v>
      </c>
      <c r="B2" s="1" t="s">
        <v>304</v>
      </c>
      <c r="C2" s="1" t="str">
        <f>CONCATENATE(DEC2BIN(MOD(BIN2DEC(MID(исх2,1,8))+BIN2DEC(ключ2)*D2,256),8),DEC2BIN(MOD(BIN2DEC(MID(исх2,9,8))+BIN2DEC(ключ2)*D2,256),8),DEC2BIN(MOD(BIN2DEC(MID(исх2,17,8))+BIN2DEC(ключ2)*D2,256),8),DEC2BIN(MOD(BIN2DEC(MID(исх2,25,8))+BIN2DEC(ключ2)*D2,256),8))</f>
        <v>01110000001000010101011100110110</v>
      </c>
      <c r="D2" s="1">
        <f>MOD(INT(sum/POWER(3,$T2)),3)</f>
        <v>1</v>
      </c>
      <c r="E2" s="1" t="s">
        <v>304</v>
      </c>
      <c r="F2" s="1" t="str">
        <f>CONCATENATE(DEC2BIN(MOD(BIN2DEC(MID(исх2,1,8))+BIN2DEC(ключ2)*G2,256),8),DEC2BIN(MOD(BIN2DEC(MID(исх2,9,8))+BIN2DEC(ключ2)*G2,256),8),DEC2BIN(MOD(BIN2DEC(MID(исх2,17,8))+BIN2DEC(ключ2)*G2,256),8),DEC2BIN(MOD(BIN2DEC(MID(исх2,25,8))+BIN2DEC(ключ2)*G2,256),8))</f>
        <v>01110000001000010101011100110110</v>
      </c>
      <c r="G2" s="1">
        <f>MOD(INT(sum/POWER(3,$T2)),3)</f>
        <v>1</v>
      </c>
      <c r="H2" s="1" t="s">
        <v>304</v>
      </c>
      <c r="I2" s="1" t="str">
        <f>CONCATENATE(DEC2BIN(MOD(BIN2DEC(MID(исх2,1,8))+BIN2DEC(ключ2)*J2,256),8),DEC2BIN(MOD(BIN2DEC(MID(исх2,9,8))+BIN2DEC(ключ2)*J2,256),8),DEC2BIN(MOD(BIN2DEC(MID(исх2,17,8))+BIN2DEC(ключ2)*J2,256),8),DEC2BIN(MOD(BIN2DEC(MID(исх2,25,8))+BIN2DEC(ключ2)*J2,256),8))</f>
        <v>01110000001000010101011100110110</v>
      </c>
      <c r="J2" s="1">
        <f>MOD(INT(sum/POWER(3,$T2)),3)</f>
        <v>1</v>
      </c>
      <c r="K2" s="1" t="s">
        <v>304</v>
      </c>
      <c r="L2" s="1" t="str">
        <f>CONCATENATE(DEC2BIN(MOD(BIN2DEC(MID(исх2,1,8))+BIN2DEC(ключ2)*M2,256),8),DEC2BIN(MOD(BIN2DEC(MID(исх2,9,8))+BIN2DEC(ключ2)*M2,256),8),DEC2BIN(MOD(BIN2DEC(MID(исх2,17,8))+BIN2DEC(ключ2)*M2,256),8),DEC2BIN(MOD(BIN2DEC(MID(исх2,25,8))+BIN2DEC(ключ2)*M2,256),8))</f>
        <v>01110000001000010101011100110110</v>
      </c>
      <c r="M2" s="1">
        <f>MOD(INT(sum/POWER(3,$T2)),3)</f>
        <v>1</v>
      </c>
      <c r="N2" s="1" t="s">
        <v>304</v>
      </c>
      <c r="O2" s="1" t="str">
        <f>CONCATENATE(DEC2BIN(MOD(BIN2DEC(MID(исх2,1,8))+BIN2DEC(ключ2)*P2,256),8),DEC2BIN(MOD(BIN2DEC(MID(исх2,9,8))+BIN2DEC(ключ2)*P2,256),8),DEC2BIN(MOD(BIN2DEC(MID(исх2,17,8))+BIN2DEC(ключ2)*P2,256),8),DEC2BIN(MOD(BIN2DEC(MID(исх2,25,8))+BIN2DEC(ключ2)*P2,256),8))</f>
        <v>01110000001000010101011100110110</v>
      </c>
      <c r="P2" s="1">
        <f>MOD(INT(sum/POWER(3,$T2)),3)</f>
        <v>1</v>
      </c>
      <c r="Q2" s="1" t="s">
        <v>304</v>
      </c>
      <c r="R2" s="1" t="str">
        <f>CONCATENATE(DEC2BIN(MOD(BIN2DEC(MID(исх2,1,8))+BIN2DEC(ключ2)*S2,256),8),DEC2BIN(MOD(BIN2DEC(MID(исх2,9,8))+BIN2DEC(ключ2)*S2,256),8),DEC2BIN(MOD(BIN2DEC(MID(исх2,17,8))+BIN2DEC(ключ2)*S2,256),8),DEC2BIN(MOD(BIN2DEC(MID(исх2,25,8))+BIN2DEC(ключ2)*S2,256),8))</f>
        <v>01110000001000010101011100110110</v>
      </c>
      <c r="S2" s="1">
        <f>MOD(INT(sum/POWER(3,$T2)),3)</f>
        <v>1</v>
      </c>
      <c r="T2">
        <v>0</v>
      </c>
    </row>
    <row r="3" spans="1:20" ht="18" x14ac:dyDescent="0.35">
      <c r="A3" s="64" t="s">
        <v>313</v>
      </c>
      <c r="B3" s="1" t="s">
        <v>287</v>
      </c>
      <c r="C3" s="1" t="str">
        <f>CONCATENATE(MID(C2,30,3),MID(C2,1,29))</f>
        <v>11001110000001000010101011100110</v>
      </c>
      <c r="D3" s="1"/>
      <c r="E3" s="1" t="s">
        <v>287</v>
      </c>
      <c r="F3" s="1" t="str">
        <f>CONCATENATE(MID(F2,17,16),MID(F2,1,16))</f>
        <v>01010111001101100111000000100001</v>
      </c>
      <c r="G3" s="1"/>
      <c r="H3" s="1" t="s">
        <v>287</v>
      </c>
      <c r="I3" s="1" t="str">
        <f>CONCATENATE(MID(I2,25,8),MID(I2,1,24))</f>
        <v>00110110011100000010000101010111</v>
      </c>
      <c r="J3" s="1"/>
      <c r="K3" s="1" t="s">
        <v>287</v>
      </c>
      <c r="L3" s="1" t="str">
        <f>CONCATENATE(MID(L2,17,16),MID(L2,1,16))</f>
        <v>01010111001101100111000000100001</v>
      </c>
      <c r="M3" s="1"/>
      <c r="N3" s="1" t="s">
        <v>287</v>
      </c>
      <c r="O3" s="1" t="str">
        <f>CONCATENATE(MID(O2,17,16),MID(O2,1,16))</f>
        <v>01010111001101100111000000100001</v>
      </c>
      <c r="P3" s="1"/>
      <c r="Q3" s="1" t="s">
        <v>287</v>
      </c>
      <c r="R3" s="1" t="str">
        <f>CONCATENATE(MID(R2,30,3),MID(R2,1,29))</f>
        <v>11001110000001000010101011100110</v>
      </c>
      <c r="S3" s="1"/>
    </row>
    <row r="4" spans="1:20" ht="18" x14ac:dyDescent="0.35">
      <c r="B4" s="1" t="s">
        <v>304</v>
      </c>
      <c r="C4" s="1" t="str">
        <f>CONCATENATE(DEC2BIN(MOD(BIN2DEC(MID(C3,1,8))+BIN2DEC(ключ2)*D4,256),8),DEC2BIN(MOD(BIN2DEC(MID(C3,9,8))+BIN2DEC(ключ2)*D4,256),8),DEC2BIN(MOD(BIN2DEC(MID(C3,17,8))+BIN2DEC(ключ2)*D4,256),8),DEC2BIN(MOD(BIN2DEC(MID(C3,25,8))+BIN2DEC(ключ2)*D4,256),8))</f>
        <v>11001111000001010010101111100111</v>
      </c>
      <c r="D4" s="1">
        <f>MOD(INT(sum/POWER(3,$T4)),3)</f>
        <v>1</v>
      </c>
      <c r="E4" s="1" t="s">
        <v>304</v>
      </c>
      <c r="F4" s="1" t="str">
        <f>CONCATENATE(DEC2BIN(MOD(BIN2DEC(MID(F3,1,8))+BIN2DEC(ключ2)*G4,256),8),DEC2BIN(MOD(BIN2DEC(MID(F3,9,8))+BIN2DEC(ключ2)*G4,256),8),DEC2BIN(MOD(BIN2DEC(MID(F3,17,8))+BIN2DEC(ключ2)*G4,256),8),DEC2BIN(MOD(BIN2DEC(MID(F3,25,8))+BIN2DEC(ключ2)*G4,256),8))</f>
        <v>01011000001101110111000100100010</v>
      </c>
      <c r="G4" s="1">
        <f>MOD(INT(sum/POWER(3,$T4)),3)</f>
        <v>1</v>
      </c>
      <c r="H4" s="1" t="s">
        <v>304</v>
      </c>
      <c r="I4" s="1" t="str">
        <f>CONCATENATE(DEC2BIN(MOD(BIN2DEC(MID(I3,1,8))+BIN2DEC(ключ2)*J4,256),8),DEC2BIN(MOD(BIN2DEC(MID(I3,9,8))+BIN2DEC(ключ2)*J4,256),8),DEC2BIN(MOD(BIN2DEC(MID(I3,17,8))+BIN2DEC(ключ2)*J4,256),8),DEC2BIN(MOD(BIN2DEC(MID(I3,25,8))+BIN2DEC(ключ2)*J4,256),8))</f>
        <v>00110111011100010010001001011000</v>
      </c>
      <c r="J4" s="1">
        <f>MOD(INT(sum/POWER(3,$T4)),3)</f>
        <v>1</v>
      </c>
      <c r="K4" s="1" t="s">
        <v>304</v>
      </c>
      <c r="L4" s="1" t="str">
        <f>CONCATENATE(DEC2BIN(MOD(BIN2DEC(MID(L3,1,8))+BIN2DEC(ключ2)*M4,256),8),DEC2BIN(MOD(BIN2DEC(MID(L3,9,8))+BIN2DEC(ключ2)*M4,256),8),DEC2BIN(MOD(BIN2DEC(MID(L3,17,8))+BIN2DEC(ключ2)*M4,256),8),DEC2BIN(MOD(BIN2DEC(MID(L3,25,8))+BIN2DEC(ключ2)*M4,256),8))</f>
        <v>01011000001101110111000100100010</v>
      </c>
      <c r="M4" s="1">
        <f>MOD(INT(sum/POWER(3,$T4)),3)</f>
        <v>1</v>
      </c>
      <c r="N4" s="1" t="s">
        <v>304</v>
      </c>
      <c r="O4" s="1" t="str">
        <f>CONCATENATE(DEC2BIN(MOD(BIN2DEC(MID(O3,1,8))+BIN2DEC(ключ2)*P4,256),8),DEC2BIN(MOD(BIN2DEC(MID(O3,9,8))+BIN2DEC(ключ2)*P4,256),8),DEC2BIN(MOD(BIN2DEC(MID(O3,17,8))+BIN2DEC(ключ2)*P4,256),8),DEC2BIN(MOD(BIN2DEC(MID(O3,25,8))+BIN2DEC(ключ2)*P4,256),8))</f>
        <v>01011000001101110111000100100010</v>
      </c>
      <c r="P4" s="1">
        <f>MOD(INT(sum/POWER(3,$T4)),3)</f>
        <v>1</v>
      </c>
      <c r="Q4" s="1" t="s">
        <v>304</v>
      </c>
      <c r="R4" s="1" t="str">
        <f>CONCATENATE(DEC2BIN(MOD(BIN2DEC(MID(R3,1,8))+BIN2DEC(ключ2)*S4,256),8),DEC2BIN(MOD(BIN2DEC(MID(R3,9,8))+BIN2DEC(ключ2)*S4,256),8),DEC2BIN(MOD(BIN2DEC(MID(R3,17,8))+BIN2DEC(ключ2)*S4,256),8),DEC2BIN(MOD(BIN2DEC(MID(R3,25,8))+BIN2DEC(ключ2)*S4,256),8))</f>
        <v>11001111000001010010101111100111</v>
      </c>
      <c r="S4" s="1">
        <f>MOD(INT(sum/POWER(3,$T4)),3)</f>
        <v>1</v>
      </c>
      <c r="T4">
        <v>1</v>
      </c>
    </row>
    <row r="5" spans="1:20" ht="18" x14ac:dyDescent="0.35">
      <c r="B5" s="1" t="s">
        <v>288</v>
      </c>
      <c r="C5" s="1" t="str">
        <f>CONCATENATE(MID(C4,1,3),MID(C4,28,5),MID(C4,9,3),MID(C4,4,5),MID(C4,17,3),MID(C4,12,5),MID(C4,25,3),MID(C4,20,5))</f>
        <v>11000111000011110010010111101011</v>
      </c>
      <c r="D5" s="1"/>
      <c r="E5" s="1" t="s">
        <v>288</v>
      </c>
      <c r="F5" s="1" t="str">
        <f>CONCATENATE(MID(F4,30,3),MID(F4,1,29))</f>
        <v>01001011000001101110111000100100</v>
      </c>
      <c r="G5" s="1"/>
      <c r="H5" s="1" t="s">
        <v>288</v>
      </c>
      <c r="I5" s="1" t="str">
        <f>CONCATENATE(MID(I4,25,8),MID(I4,1,24))</f>
        <v>01011000001101110111000100100010</v>
      </c>
      <c r="J5" s="1"/>
      <c r="K5" s="1" t="s">
        <v>288</v>
      </c>
      <c r="L5" s="1" t="str">
        <f>CONCATENATE(MID(L4,1,5),MID(L4,30,3),MID(L4,9,5),MID(L4,6,3),MID(L4,17,5),MID(L4,14,3),MID(L4,25,5),MID(L4,22,3))</f>
        <v>01011010001100000111011100100001</v>
      </c>
      <c r="M5" s="1"/>
      <c r="N5" s="1" t="s">
        <v>288</v>
      </c>
      <c r="O5" s="1" t="str">
        <f>CONCATENATE(MID(O4,1,5),MID(O4,30,3),MID(O4,9,5),MID(O4,6,3),MID(O4,17,5),MID(O4,14,3),MID(O4,25,5),MID(O4,22,3))</f>
        <v>01011010001100000111011100100001</v>
      </c>
      <c r="P5" s="1"/>
      <c r="Q5" s="1" t="s">
        <v>288</v>
      </c>
      <c r="R5" s="1" t="str">
        <f>CONCATENATE(MID(R4,1,5),MID(R4,30,3),MID(R4,9,5),MID(R4,6,3),MID(R4,17,5),MID(R4,14,3),MID(R4,25,5),MID(R4,22,3))</f>
        <v>11001111000001110010110111100011</v>
      </c>
      <c r="S5" s="1"/>
    </row>
    <row r="6" spans="1:20" ht="18" x14ac:dyDescent="0.35">
      <c r="B6" s="1" t="s">
        <v>304</v>
      </c>
      <c r="C6" s="1" t="str">
        <f>CONCATENATE(DEC2BIN(MOD(BIN2DEC(MID(C5,1,8))+BIN2DEC(ключ2)*D6,256),8),DEC2BIN(MOD(BIN2DEC(MID(C5,9,8))+BIN2DEC(ключ2)*D6,256),8),DEC2BIN(MOD(BIN2DEC(MID(C5,17,8))+BIN2DEC(ключ2)*D6,256),8),DEC2BIN(MOD(BIN2DEC(MID(C5,25,8))+BIN2DEC(ключ2)*D6,256),8))</f>
        <v>11000111000011110010010111101011</v>
      </c>
      <c r="D6" s="1">
        <f>MOD(INT(sum/POWER(3,$T6)),3)</f>
        <v>0</v>
      </c>
      <c r="E6" s="1" t="s">
        <v>304</v>
      </c>
      <c r="F6" s="1" t="str">
        <f>CONCATENATE(DEC2BIN(MOD(BIN2DEC(MID(F5,1,8))+BIN2DEC(ключ2)*G6,256),8),DEC2BIN(MOD(BIN2DEC(MID(F5,9,8))+BIN2DEC(ключ2)*G6,256),8),DEC2BIN(MOD(BIN2DEC(MID(F5,17,8))+BIN2DEC(ключ2)*G6,256),8),DEC2BIN(MOD(BIN2DEC(MID(F5,25,8))+BIN2DEC(ключ2)*G6,256),8))</f>
        <v>01001011000001101110111000100100</v>
      </c>
      <c r="G6" s="1">
        <f>MOD(INT(sum/POWER(3,$T6)),3)</f>
        <v>0</v>
      </c>
      <c r="H6" s="1" t="s">
        <v>304</v>
      </c>
      <c r="I6" s="1" t="str">
        <f>CONCATENATE(DEC2BIN(MOD(BIN2DEC(MID(I5,1,8))+BIN2DEC(ключ2)*J6,256),8),DEC2BIN(MOD(BIN2DEC(MID(I5,9,8))+BIN2DEC(ключ2)*J6,256),8),DEC2BIN(MOD(BIN2DEC(MID(I5,17,8))+BIN2DEC(ключ2)*J6,256),8),DEC2BIN(MOD(BIN2DEC(MID(I5,25,8))+BIN2DEC(ключ2)*J6,256),8))</f>
        <v>01011000001101110111000100100010</v>
      </c>
      <c r="J6" s="1">
        <f>MOD(INT(sum/POWER(3,$T6)),3)</f>
        <v>0</v>
      </c>
      <c r="K6" s="1" t="s">
        <v>304</v>
      </c>
      <c r="L6" s="1" t="str">
        <f>CONCATENATE(DEC2BIN(MOD(BIN2DEC(MID(L5,1,8))+BIN2DEC(ключ2)*M6,256),8),DEC2BIN(MOD(BIN2DEC(MID(L5,9,8))+BIN2DEC(ключ2)*M6,256),8),DEC2BIN(MOD(BIN2DEC(MID(L5,17,8))+BIN2DEC(ключ2)*M6,256),8),DEC2BIN(MOD(BIN2DEC(MID(L5,25,8))+BIN2DEC(ключ2)*M6,256),8))</f>
        <v>01011010001100000111011100100001</v>
      </c>
      <c r="M6" s="1">
        <f>MOD(INT(sum/POWER(3,$T6)),3)</f>
        <v>0</v>
      </c>
      <c r="N6" s="1" t="s">
        <v>304</v>
      </c>
      <c r="O6" s="1" t="str">
        <f>CONCATENATE(DEC2BIN(MOD(BIN2DEC(MID(O5,1,8))+BIN2DEC(ключ2)*P6,256),8),DEC2BIN(MOD(BIN2DEC(MID(O5,9,8))+BIN2DEC(ключ2)*P6,256),8),DEC2BIN(MOD(BIN2DEC(MID(O5,17,8))+BIN2DEC(ключ2)*P6,256),8),DEC2BIN(MOD(BIN2DEC(MID(O5,25,8))+BIN2DEC(ключ2)*P6,256),8))</f>
        <v>01011010001100000111011100100001</v>
      </c>
      <c r="P6" s="1">
        <f>MOD(INT(sum/POWER(3,$T6)),3)</f>
        <v>0</v>
      </c>
      <c r="Q6" s="1" t="s">
        <v>304</v>
      </c>
      <c r="R6" s="1" t="str">
        <f>CONCATENATE(DEC2BIN(MOD(BIN2DEC(MID(R5,1,8))+BIN2DEC(ключ2)*S6,256),8),DEC2BIN(MOD(BIN2DEC(MID(R5,9,8))+BIN2DEC(ключ2)*S6,256),8),DEC2BIN(MOD(BIN2DEC(MID(R5,17,8))+BIN2DEC(ключ2)*S6,256),8),DEC2BIN(MOD(BIN2DEC(MID(R5,25,8))+BIN2DEC(ключ2)*S6,256),8))</f>
        <v>11001111000001110010110111100011</v>
      </c>
      <c r="S6" s="1">
        <f>MOD(INT(sum/POWER(3,$T6)),3)</f>
        <v>0</v>
      </c>
      <c r="T6">
        <v>2</v>
      </c>
    </row>
    <row r="7" spans="1:20" ht="18" x14ac:dyDescent="0.35">
      <c r="B7" s="1" t="s">
        <v>289</v>
      </c>
      <c r="C7" s="1" t="str">
        <f>CONCATENATE(MID(C6,1,3),MID(C6,28,5),MID(C6,9,3),MID(C6,4,5),MID(C6,17,3),MID(C6,12,5),MID(C6,25,3),MID(C6,20,5))</f>
        <v>11001011000001110010111111100101</v>
      </c>
      <c r="D7" s="1"/>
      <c r="E7" s="1" t="s">
        <v>289</v>
      </c>
      <c r="F7" s="1" t="str">
        <f>CONCATENATE(MID(F6,25,3),MID(F6,4,5),MID(F6,1,3),MID(F6,12,5),MID(F6,9,3),MID(F6,20,5),MID(F6,17,3),MID(F6,28,5))</f>
        <v>00101011010001100000111011100100</v>
      </c>
      <c r="G7" s="1"/>
      <c r="H7" s="1" t="s">
        <v>289</v>
      </c>
      <c r="I7" s="1" t="str">
        <f>CONCATENATE(MID(I6,30,3),MID(I6,1,29))</f>
        <v>01001011000001101110111000100100</v>
      </c>
      <c r="J7" s="1"/>
      <c r="K7" s="1" t="s">
        <v>289</v>
      </c>
      <c r="L7" s="1" t="str">
        <f>CONCATENATE(MID(L6,30,3),MID(L6,1,29))</f>
        <v>00101011010001100000111011100100</v>
      </c>
      <c r="M7" s="1"/>
      <c r="N7" s="1" t="s">
        <v>289</v>
      </c>
      <c r="O7" s="1" t="str">
        <f>CONCATENATE(MID(O6,1,5),MID(O6,30,3),MID(O6,9,5),MID(O6,6,3),MID(O6,17,5),MID(O6,14,3),MID(O6,25,5),MID(O6,22,3))</f>
        <v>01011001001100100111000000100111</v>
      </c>
      <c r="P7" s="1"/>
      <c r="Q7" s="1" t="s">
        <v>289</v>
      </c>
      <c r="R7" s="1" t="str">
        <f>CONCATENATE(MID(R6,30,3),MID(R6,1,29))</f>
        <v>01111001111000001110010110111100</v>
      </c>
      <c r="S7" s="1"/>
    </row>
    <row r="8" spans="1:20" ht="18" x14ac:dyDescent="0.35">
      <c r="B8" s="1" t="s">
        <v>304</v>
      </c>
      <c r="C8" s="1" t="str">
        <f>CONCATENATE(DEC2BIN(MOD(BIN2DEC(MID(C7,1,8))+BIN2DEC(ключ2)*D8,256),8),DEC2BIN(MOD(BIN2DEC(MID(C7,9,8))+BIN2DEC(ключ2)*D8,256),8),DEC2BIN(MOD(BIN2DEC(MID(C7,17,8))+BIN2DEC(ключ2)*D8,256),8),DEC2BIN(MOD(BIN2DEC(MID(C7,25,8))+BIN2DEC(ключ2)*D8,256),8))</f>
        <v>11001011000001110010111111100101</v>
      </c>
      <c r="D8" s="1">
        <f>MOD(INT(sum/POWER(3,$T8)),3)</f>
        <v>0</v>
      </c>
      <c r="E8" s="1" t="s">
        <v>304</v>
      </c>
      <c r="F8" s="1" t="str">
        <f>CONCATENATE(DEC2BIN(MOD(BIN2DEC(MID(F7,1,8))+BIN2DEC(ключ2)*G8,256),8),DEC2BIN(MOD(BIN2DEC(MID(F7,9,8))+BIN2DEC(ключ2)*G8,256),8),DEC2BIN(MOD(BIN2DEC(MID(F7,17,8))+BIN2DEC(ключ2)*G8,256),8),DEC2BIN(MOD(BIN2DEC(MID(F7,25,8))+BIN2DEC(ключ2)*G8,256),8))</f>
        <v>00101011010001100000111011100100</v>
      </c>
      <c r="G8" s="1">
        <f>MOD(INT(sum/POWER(3,$T8)),3)</f>
        <v>0</v>
      </c>
      <c r="H8" s="1" t="s">
        <v>304</v>
      </c>
      <c r="I8" s="1" t="str">
        <f>CONCATENATE(DEC2BIN(MOD(BIN2DEC(MID(I7,1,8))+BIN2DEC(ключ2)*J8,256),8),DEC2BIN(MOD(BIN2DEC(MID(I7,9,8))+BIN2DEC(ключ2)*J8,256),8),DEC2BIN(MOD(BIN2DEC(MID(I7,17,8))+BIN2DEC(ключ2)*J8,256),8),DEC2BIN(MOD(BIN2DEC(MID(I7,25,8))+BIN2DEC(ключ2)*J8,256),8))</f>
        <v>01001011000001101110111000100100</v>
      </c>
      <c r="J8" s="1">
        <f>MOD(INT(sum/POWER(3,$T8)),3)</f>
        <v>0</v>
      </c>
      <c r="K8" s="1" t="s">
        <v>304</v>
      </c>
      <c r="L8" s="1" t="str">
        <f>CONCATENATE(DEC2BIN(MOD(BIN2DEC(MID(L7,1,8))+BIN2DEC(ключ2)*M8,256),8),DEC2BIN(MOD(BIN2DEC(MID(L7,9,8))+BIN2DEC(ключ2)*M8,256),8),DEC2BIN(MOD(BIN2DEC(MID(L7,17,8))+BIN2DEC(ключ2)*M8,256),8),DEC2BIN(MOD(BIN2DEC(MID(L7,25,8))+BIN2DEC(ключ2)*M8,256),8))</f>
        <v>00101011010001100000111011100100</v>
      </c>
      <c r="M8" s="1">
        <f>MOD(INT(sum/POWER(3,$T8)),3)</f>
        <v>0</v>
      </c>
      <c r="N8" s="1" t="s">
        <v>304</v>
      </c>
      <c r="O8" s="1" t="str">
        <f>CONCATENATE(DEC2BIN(MOD(BIN2DEC(MID(O7,1,8))+BIN2DEC(ключ2)*P8,256),8),DEC2BIN(MOD(BIN2DEC(MID(O7,9,8))+BIN2DEC(ключ2)*P8,256),8),DEC2BIN(MOD(BIN2DEC(MID(O7,17,8))+BIN2DEC(ключ2)*P8,256),8),DEC2BIN(MOD(BIN2DEC(MID(O7,25,8))+BIN2DEC(ключ2)*P8,256),8))</f>
        <v>01011001001100100111000000100111</v>
      </c>
      <c r="P8" s="1">
        <f>MOD(INT(sum/POWER(3,$T8)),3)</f>
        <v>0</v>
      </c>
      <c r="Q8" s="1" t="s">
        <v>304</v>
      </c>
      <c r="R8" s="1" t="str">
        <f>CONCATENATE(DEC2BIN(MOD(BIN2DEC(MID(R7,1,8))+BIN2DEC(ключ2)*S8,256),8),DEC2BIN(MOD(BIN2DEC(MID(R7,9,8))+BIN2DEC(ключ2)*S8,256),8),DEC2BIN(MOD(BIN2DEC(MID(R7,17,8))+BIN2DEC(ключ2)*S8,256),8),DEC2BIN(MOD(BIN2DEC(MID(R7,25,8))+BIN2DEC(ключ2)*S8,256),8))</f>
        <v>01111001111000001110010110111100</v>
      </c>
      <c r="S8" s="1">
        <f>MOD(INT(sum/POWER(3,$T8)),3)</f>
        <v>0</v>
      </c>
      <c r="T8">
        <v>3</v>
      </c>
    </row>
    <row r="9" spans="1:20" ht="18" x14ac:dyDescent="0.35">
      <c r="B9" s="1" t="s">
        <v>301</v>
      </c>
      <c r="C9" s="1" t="str">
        <f>IF(C8=рез2,"ВЕРНО","ОШИБКА")</f>
        <v>ОШИБКА</v>
      </c>
      <c r="D9" s="1"/>
      <c r="E9" s="1" t="s">
        <v>292</v>
      </c>
      <c r="F9" s="1" t="str">
        <f>CONCATENATE(MID(F8,25,3),MID(F8,4,5),MID(F8,1,3),MID(F8,12,5),MID(F8,9,3),MID(F8,20,5),MID(F8,17,3),MID(F8,28,5))</f>
        <v>11101011001001100100111000000100</v>
      </c>
      <c r="G9" s="1"/>
      <c r="H9" s="1" t="s">
        <v>292</v>
      </c>
      <c r="I9" s="1" t="str">
        <f>CONCATENATE(MID(I8,25,3),MID(I8,4,5),MID(I8,1,3),MID(I8,12,5),MID(I8,9,3),MID(I8,20,5),MID(I8,17,3),MID(I8,28,5))</f>
        <v>00101011010001100000111011100100</v>
      </c>
      <c r="J9" s="1"/>
      <c r="K9" s="1" t="s">
        <v>292</v>
      </c>
      <c r="L9" s="1" t="str">
        <f>CONCATENATE(MID(L8,25,3),MID(L8,4,5),MID(L8,1,3),MID(L8,12,5),MID(L8,9,3),MID(L8,20,5),MID(L8,17,3),MID(L8,28,5))</f>
        <v>11101011001001100100111000000100</v>
      </c>
      <c r="M9" s="1"/>
      <c r="N9" s="1" t="s">
        <v>292</v>
      </c>
      <c r="O9" s="1" t="str">
        <f>CONCATENATE(MID(O8,30,3),MID(O8,1,29))</f>
        <v>11101011001001100100111000000100</v>
      </c>
      <c r="P9" s="1"/>
      <c r="Q9" s="1" t="s">
        <v>292</v>
      </c>
      <c r="R9" s="1" t="str">
        <f>CONCATENATE(MID(R8,28,5),MID(R8,1,27))</f>
        <v>11100011110011110000011100101101</v>
      </c>
      <c r="S9" s="1"/>
    </row>
    <row r="10" spans="1:20" ht="18" x14ac:dyDescent="0.35">
      <c r="B10" s="1"/>
      <c r="C10" s="1" t="str">
        <f>рез2</f>
        <v>11001011011001100110111000000100</v>
      </c>
      <c r="D10" s="1"/>
      <c r="E10" s="1" t="s">
        <v>304</v>
      </c>
      <c r="F10" s="1" t="str">
        <f>CONCATENATE(DEC2BIN(MOD(BIN2DEC(MID(F9,1,8))+BIN2DEC(ключ2)*G10,256),8),DEC2BIN(MOD(BIN2DEC(MID(F9,9,8))+BIN2DEC(ключ2)*G10,256),8),DEC2BIN(MOD(BIN2DEC(MID(F9,17,8))+BIN2DEC(ключ2)*G10,256),8),DEC2BIN(MOD(BIN2DEC(MID(F9,25,8))+BIN2DEC(ключ2)*G10,256),8))</f>
        <v>11101011001001100100111000000100</v>
      </c>
      <c r="G10" s="1">
        <f>MOD(INT(sum/POWER(3,$T10)),3)</f>
        <v>0</v>
      </c>
      <c r="H10" s="1" t="s">
        <v>304</v>
      </c>
      <c r="I10" s="1" t="str">
        <f>CONCATENATE(DEC2BIN(MOD(BIN2DEC(MID(I9,1,8))+BIN2DEC(ключ2)*J10,256),8),DEC2BIN(MOD(BIN2DEC(MID(I9,9,8))+BIN2DEC(ключ2)*J10,256),8),DEC2BIN(MOD(BIN2DEC(MID(I9,17,8))+BIN2DEC(ключ2)*J10,256),8),DEC2BIN(MOD(BIN2DEC(MID(I9,25,8))+BIN2DEC(ключ2)*J10,256),8))</f>
        <v>00101011010001100000111011100100</v>
      </c>
      <c r="J10" s="1">
        <f>MOD(INT(sum/POWER(3,$T10)),3)</f>
        <v>0</v>
      </c>
      <c r="K10" s="1" t="s">
        <v>304</v>
      </c>
      <c r="L10" s="1" t="str">
        <f>CONCATENATE(DEC2BIN(MOD(BIN2DEC(MID(L9,1,8))+BIN2DEC(ключ2)*M10,256),8),DEC2BIN(MOD(BIN2DEC(MID(L9,9,8))+BIN2DEC(ключ2)*M10,256),8),DEC2BIN(MOD(BIN2DEC(MID(L9,17,8))+BIN2DEC(ключ2)*M10,256),8),DEC2BIN(MOD(BIN2DEC(MID(L9,25,8))+BIN2DEC(ключ2)*M10,256),8))</f>
        <v>11101011001001100100111000000100</v>
      </c>
      <c r="M10" s="1">
        <f>MOD(INT(sum/POWER(3,$T10)),3)</f>
        <v>0</v>
      </c>
      <c r="N10" s="1" t="s">
        <v>304</v>
      </c>
      <c r="O10" s="1" t="str">
        <f>CONCATENATE(DEC2BIN(MOD(BIN2DEC(MID(O9,1,8))+BIN2DEC(ключ2)*P10,256),8),DEC2BIN(MOD(BIN2DEC(MID(O9,9,8))+BIN2DEC(ключ2)*P10,256),8),DEC2BIN(MOD(BIN2DEC(MID(O9,17,8))+BIN2DEC(ключ2)*P10,256),8),DEC2BIN(MOD(BIN2DEC(MID(O9,25,8))+BIN2DEC(ключ2)*P10,256),8))</f>
        <v>11101011001001100100111000000100</v>
      </c>
      <c r="P10" s="1">
        <f>MOD(INT(sum/POWER(3,$T10)),3)</f>
        <v>0</v>
      </c>
      <c r="Q10" s="1" t="s">
        <v>304</v>
      </c>
      <c r="R10" s="1" t="str">
        <f>CONCATENATE(DEC2BIN(MOD(BIN2DEC(MID(R9,1,8))+BIN2DEC(ключ2)*S10,256),8),DEC2BIN(MOD(BIN2DEC(MID(R9,9,8))+BIN2DEC(ключ2)*S10,256),8),DEC2BIN(MOD(BIN2DEC(MID(R9,17,8))+BIN2DEC(ключ2)*S10,256),8),DEC2BIN(MOD(BIN2DEC(MID(R9,25,8))+BIN2DEC(ключ2)*S10,256),8))</f>
        <v>11100011110011110000011100101101</v>
      </c>
      <c r="S10" s="1">
        <f>MOD(INT(sum/POWER(3,$T10)),3)</f>
        <v>0</v>
      </c>
      <c r="T10">
        <v>4</v>
      </c>
    </row>
    <row r="11" spans="1:20" ht="18" x14ac:dyDescent="0.35">
      <c r="B11" s="1"/>
      <c r="C11" s="1"/>
      <c r="D11" s="1"/>
      <c r="E11" s="1" t="s">
        <v>301</v>
      </c>
      <c r="F11" s="1" t="str">
        <f>IF(F10=рез2,"ВЕРНО","ОШИБКА")</f>
        <v>ОШИБКА</v>
      </c>
      <c r="G11" s="1"/>
      <c r="H11" s="1" t="s">
        <v>293</v>
      </c>
      <c r="I11" s="1" t="str">
        <f>CONCATENATE(MID(I10,25,3),MID(I10,4,5),MID(I10,1,3),MID(I10,12,5),MID(I10,9,3),MID(I10,20,5),MID(I10,17,3),MID(I10,28,5))</f>
        <v>11101011001001100100111000000100</v>
      </c>
      <c r="J11" s="1"/>
      <c r="K11" s="1" t="s">
        <v>301</v>
      </c>
      <c r="L11" s="1" t="str">
        <f>IF(L10=рез2,"ВЕРНО","ОШИБКА")</f>
        <v>ОШИБКА</v>
      </c>
      <c r="M11" s="1"/>
      <c r="N11" s="1" t="s">
        <v>301</v>
      </c>
      <c r="O11" s="1" t="str">
        <f>IF(O10=рез2,"ВЕРНО","ОШИБКА")</f>
        <v>ОШИБКА</v>
      </c>
      <c r="P11" s="1"/>
      <c r="Q11" s="1" t="s">
        <v>293</v>
      </c>
      <c r="R11" s="1" t="str">
        <f>CONCATENATE(MID(R10,30,3),MID(R10,1,29))</f>
        <v>10111100011110011110000011100101</v>
      </c>
      <c r="S11" s="1"/>
    </row>
    <row r="12" spans="1:20" ht="18" x14ac:dyDescent="0.35">
      <c r="B12" s="65">
        <v>4</v>
      </c>
      <c r="C12" s="1"/>
      <c r="D12" s="1"/>
      <c r="E12" s="1"/>
      <c r="F12" s="1" t="str">
        <f>рез2</f>
        <v>11001011011001100110111000000100</v>
      </c>
      <c r="G12" s="1"/>
      <c r="H12" s="1" t="s">
        <v>304</v>
      </c>
      <c r="I12" s="1" t="str">
        <f>CONCATENATE(DEC2BIN(MOD(BIN2DEC(MID(I11,1,8))+BIN2DEC(ключ2)*J12,256),8),DEC2BIN(MOD(BIN2DEC(MID(I11,9,8))+BIN2DEC(ключ2)*J12,256),8),DEC2BIN(MOD(BIN2DEC(MID(I11,17,8))+BIN2DEC(ключ2)*J12,256),8),DEC2BIN(MOD(BIN2DEC(MID(I11,25,8))+BIN2DEC(ключ2)*J12,256),8))</f>
        <v>11101011001001100100111000000100</v>
      </c>
      <c r="J12" s="1">
        <f>MOD(INT(sum/POWER(3,$T12)),3)</f>
        <v>0</v>
      </c>
      <c r="K12" s="1"/>
      <c r="L12" s="1" t="str">
        <f>рез2</f>
        <v>11001011011001100110111000000100</v>
      </c>
      <c r="M12" s="1"/>
      <c r="N12" s="1"/>
      <c r="O12" s="1" t="str">
        <f>рез2</f>
        <v>11001011011001100110111000000100</v>
      </c>
      <c r="P12" s="1"/>
      <c r="Q12" s="1" t="s">
        <v>304</v>
      </c>
      <c r="R12" s="1" t="str">
        <f>CONCATENATE(DEC2BIN(MOD(BIN2DEC(MID(R11,1,8))+BIN2DEC(ключ2)*S12,256),8),DEC2BIN(MOD(BIN2DEC(MID(R11,9,8))+BIN2DEC(ключ2)*S12,256),8),DEC2BIN(MOD(BIN2DEC(MID(R11,17,8))+BIN2DEC(ключ2)*S12,256),8),DEC2BIN(MOD(BIN2DEC(MID(R11,25,8))+BIN2DEC(ключ2)*S12,256),8))</f>
        <v>10111100011110011110000011100101</v>
      </c>
      <c r="S12" s="1">
        <f>MOD(INT(sum/POWER(3,$T12)),3)</f>
        <v>0</v>
      </c>
      <c r="T12">
        <v>5</v>
      </c>
    </row>
    <row r="13" spans="1:20" ht="18" x14ac:dyDescent="0.35">
      <c r="B13" s="1"/>
      <c r="C13" s="1"/>
      <c r="D13" s="1"/>
      <c r="E13" s="1"/>
      <c r="F13" s="1"/>
      <c r="G13" s="1"/>
      <c r="H13" s="1" t="s">
        <v>301</v>
      </c>
      <c r="I13" s="1" t="str">
        <f>IF(I12=рез2,"ВЕРНО","ОШИБКА")</f>
        <v>ОШИБКА</v>
      </c>
      <c r="J13" s="1"/>
      <c r="K13" s="1"/>
      <c r="L13" s="1"/>
      <c r="M13" s="1"/>
      <c r="N13" s="1"/>
      <c r="O13" s="1"/>
      <c r="P13" s="1"/>
      <c r="Q13" s="1" t="s">
        <v>298</v>
      </c>
      <c r="R13" s="1" t="str">
        <f>CONCATENATE(MID(R12,25,3),MID(R12,4,5),MID(R12,1,3),MID(R12,12,5),MID(R12,9,3),MID(R12,20,5),MID(R12,17,3),MID(R12,28,5))</f>
        <v>11111100101110010110000011100101</v>
      </c>
      <c r="S13" s="1"/>
    </row>
    <row r="14" spans="1:20" ht="18" x14ac:dyDescent="0.35">
      <c r="B14" s="1"/>
      <c r="C14" s="1"/>
      <c r="D14" s="1"/>
      <c r="E14" s="1"/>
      <c r="F14" s="1"/>
      <c r="G14" s="1"/>
      <c r="H14" s="1"/>
      <c r="I14" s="1" t="str">
        <f>рез2</f>
        <v>11001011011001100110111000000100</v>
      </c>
      <c r="J14" s="1"/>
      <c r="K14" s="1"/>
      <c r="L14" s="1"/>
      <c r="M14" s="1"/>
      <c r="N14" s="1"/>
      <c r="O14" s="1"/>
      <c r="P14" s="1"/>
      <c r="Q14" s="1" t="s">
        <v>304</v>
      </c>
      <c r="R14" s="1" t="str">
        <f>CONCATENATE(DEC2BIN(MOD(BIN2DEC(MID(R13,1,8))+BIN2DEC(ключ2)*S14,256),8),DEC2BIN(MOD(BIN2DEC(MID(R13,9,8))+BIN2DEC(ключ2)*S14,256),8),DEC2BIN(MOD(BIN2DEC(MID(R13,17,8))+BIN2DEC(ключ2)*S14,256),8),DEC2BIN(MOD(BIN2DEC(MID(R13,25,8))+BIN2DEC(ключ2)*S14,256),8))</f>
        <v>11111100101110010110000011100101</v>
      </c>
      <c r="S14" s="1">
        <f>MOD(INT(sum/POWER(3,$T14)),3)</f>
        <v>0</v>
      </c>
      <c r="T14">
        <v>6</v>
      </c>
    </row>
    <row r="15" spans="1:20" ht="18" x14ac:dyDescent="0.35">
      <c r="B15" s="1"/>
      <c r="C15" s="1"/>
      <c r="D15" s="1"/>
      <c r="E15" s="1"/>
      <c r="F15" s="1"/>
      <c r="G15" s="1"/>
      <c r="H15" s="1"/>
      <c r="I15" s="1"/>
      <c r="J15" s="1"/>
      <c r="K15" s="1"/>
      <c r="L15" s="1"/>
      <c r="M15" s="1"/>
      <c r="N15" s="1"/>
      <c r="O15" s="1"/>
      <c r="P15" s="1"/>
      <c r="Q15" s="1" t="s">
        <v>299</v>
      </c>
      <c r="R15" s="1" t="str">
        <f>CONCATENATE(MID(R14,25,3),MID(R14,4,5),MID(R14,1,3),MID(R14,12,5),MID(R14,9,3),MID(R14,20,5),MID(R14,17,3),MID(R14,28,5))</f>
        <v>11111100111110011010000001100101</v>
      </c>
      <c r="S15" s="1"/>
    </row>
    <row r="16" spans="1:20" ht="18" x14ac:dyDescent="0.35">
      <c r="B16" s="1"/>
      <c r="C16" s="1"/>
      <c r="D16" s="1"/>
      <c r="E16" s="1"/>
      <c r="F16" s="1"/>
      <c r="G16" s="1"/>
      <c r="H16" s="1"/>
      <c r="I16" s="1"/>
      <c r="J16" s="1"/>
      <c r="K16" s="1"/>
      <c r="L16" s="1"/>
      <c r="M16" s="1"/>
      <c r="N16" s="1"/>
      <c r="O16" s="1"/>
      <c r="P16" s="1"/>
      <c r="Q16" s="1" t="s">
        <v>304</v>
      </c>
      <c r="R16" s="1" t="str">
        <f>CONCATENATE(DEC2BIN(MOD(BIN2DEC(MID(R15,1,8))+BIN2DEC(ключ2)*S16,256),8),DEC2BIN(MOD(BIN2DEC(MID(R15,9,8))+BIN2DEC(ключ2)*S16,256),8),DEC2BIN(MOD(BIN2DEC(MID(R15,17,8))+BIN2DEC(ключ2)*S16,256),8),DEC2BIN(MOD(BIN2DEC(MID(R15,25,8))+BIN2DEC(ключ2)*S16,256),8))</f>
        <v>11111100111110011010000001100101</v>
      </c>
      <c r="S16" s="1">
        <f>MOD(INT(sum/POWER(3,$T16)),3)</f>
        <v>0</v>
      </c>
      <c r="T16">
        <v>7</v>
      </c>
    </row>
    <row r="17" spans="2:19" ht="18" x14ac:dyDescent="0.35">
      <c r="B17" s="1"/>
      <c r="C17" s="1"/>
      <c r="D17" s="1"/>
      <c r="E17" s="1"/>
      <c r="F17" s="1"/>
      <c r="G17" s="1"/>
      <c r="H17" s="1"/>
      <c r="I17" s="1"/>
      <c r="J17" s="1"/>
      <c r="K17" s="1"/>
      <c r="L17" s="1"/>
      <c r="M17" s="1"/>
      <c r="N17" s="1"/>
      <c r="O17" s="1"/>
      <c r="P17" s="1"/>
      <c r="Q17" s="1" t="s">
        <v>301</v>
      </c>
      <c r="R17" s="1" t="str">
        <f>IF(R16=рез2,"ВЕРНО","ОШИБКА")</f>
        <v>ОШИБКА</v>
      </c>
      <c r="S17" s="1"/>
    </row>
    <row r="18" spans="2:19" ht="18" x14ac:dyDescent="0.35">
      <c r="R18" s="1" t="str">
        <f>рез2</f>
        <v>11001011011001100110111000000100</v>
      </c>
    </row>
  </sheetData>
  <mergeCells count="6">
    <mergeCell ref="N1:O1"/>
    <mergeCell ref="Q1:R1"/>
    <mergeCell ref="B1:C1"/>
    <mergeCell ref="E1:F1"/>
    <mergeCell ref="H1:I1"/>
    <mergeCell ref="K1:L1"/>
  </mergeCells>
  <conditionalFormatting sqref="C9">
    <cfRule type="expression" dxfId="11" priority="11">
      <formula>C9="ВЕРНО"</formula>
    </cfRule>
    <cfRule type="expression" dxfId="10" priority="12">
      <formula>C9="ОШИБКА"</formula>
    </cfRule>
  </conditionalFormatting>
  <conditionalFormatting sqref="F11">
    <cfRule type="expression" dxfId="9" priority="9">
      <formula>F11="ВЕРНО"</formula>
    </cfRule>
    <cfRule type="expression" dxfId="8" priority="10">
      <formula>F11="ОШИБКА"</formula>
    </cfRule>
  </conditionalFormatting>
  <conditionalFormatting sqref="I13">
    <cfRule type="expression" dxfId="7" priority="7">
      <formula>I13="ВЕРНО"</formula>
    </cfRule>
    <cfRule type="expression" dxfId="6" priority="8">
      <formula>I13="ОШИБКА"</formula>
    </cfRule>
  </conditionalFormatting>
  <conditionalFormatting sqref="L11">
    <cfRule type="expression" dxfId="5" priority="5">
      <formula>L11="ВЕРНО"</formula>
    </cfRule>
    <cfRule type="expression" dxfId="4" priority="6">
      <formula>L11="ОШИБКА"</formula>
    </cfRule>
  </conditionalFormatting>
  <conditionalFormatting sqref="R17">
    <cfRule type="expression" dxfId="3" priority="3">
      <formula>R17="ВЕРНО"</formula>
    </cfRule>
    <cfRule type="expression" dxfId="2" priority="4">
      <formula>R17="ОШИБКА"</formula>
    </cfRule>
  </conditionalFormatting>
  <conditionalFormatting sqref="O11">
    <cfRule type="expression" dxfId="1" priority="1">
      <formula>O11="ВЕРНО"</formula>
    </cfRule>
    <cfRule type="expression" dxfId="0" priority="2">
      <formula>O11="ОШИБКА"</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8</vt:i4>
      </vt:variant>
      <vt:variant>
        <vt:lpstr>Именованные диапазоны</vt:lpstr>
      </vt:variant>
      <vt:variant>
        <vt:i4>8</vt:i4>
      </vt:variant>
    </vt:vector>
  </HeadingPairs>
  <TitlesOfParts>
    <vt:vector size="16" baseType="lpstr">
      <vt:lpstr>Выборка 1</vt:lpstr>
      <vt:lpstr>Выборка 3</vt:lpstr>
      <vt:lpstr>п1 ч1</vt:lpstr>
      <vt:lpstr>п1 ч2</vt:lpstr>
      <vt:lpstr>п1 ч3</vt:lpstr>
      <vt:lpstr>Анализ</vt:lpstr>
      <vt:lpstr>Попытка 2</vt:lpstr>
      <vt:lpstr>Попытка 3</vt:lpstr>
      <vt:lpstr>'Попытка 3'!sum</vt:lpstr>
      <vt:lpstr>xor</vt:lpstr>
      <vt:lpstr>исх</vt:lpstr>
      <vt:lpstr>'Попытка 3'!исх2</vt:lpstr>
      <vt:lpstr>ключ</vt:lpstr>
      <vt:lpstr>'Попытка 3'!ключ2</vt:lpstr>
      <vt:lpstr>рез</vt:lpstr>
      <vt:lpstr>рез2</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2023-04-02T10:52:58Z</dcterms:modified>
</cp:coreProperties>
</file>